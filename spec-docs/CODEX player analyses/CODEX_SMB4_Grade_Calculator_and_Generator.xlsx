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rade_Scale" sheetId="2" state="visible" r:id="rId2"/>
    <sheet xmlns:r="http://schemas.openxmlformats.org/officeDocument/2006/relationships" name="Archetype_Presets" sheetId="3" state="visible" r:id="rId3"/>
    <sheet xmlns:r="http://schemas.openxmlformats.org/officeDocument/2006/relationships" name="Trait_Polarity" sheetId="4" state="visible" r:id="rId4"/>
    <sheet xmlns:r="http://schemas.openxmlformats.org/officeDocument/2006/relationships" name="Hitter_PrimaryAdj" sheetId="5" state="visible" r:id="rId5"/>
    <sheet xmlns:r="http://schemas.openxmlformats.org/officeDocument/2006/relationships" name="Pitcher_RoleAdj" sheetId="6" state="visible" r:id="rId6"/>
    <sheet xmlns:r="http://schemas.openxmlformats.org/officeDocument/2006/relationships" name="SecondaryAdj" sheetId="7" state="visible" r:id="rId7"/>
    <sheet xmlns:r="http://schemas.openxmlformats.org/officeDocument/2006/relationships" name="Calculator" sheetId="8" state="visible" r:id="rId8"/>
    <sheet xmlns:r="http://schemas.openxmlformats.org/officeDocument/2006/relationships" name="Generato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SMB4 Grade Calculator + Fictional Player Generator</t>
        </is>
      </c>
    </row>
    <row r="2">
      <c r="A2" t="inlineStr"/>
    </row>
    <row r="3">
      <c r="A3" t="inlineStr">
        <is>
          <t>This workbook is designed for upload to Google Sheets.</t>
        </is>
      </c>
    </row>
    <row r="4">
      <c r="A4" t="inlineStr"/>
    </row>
    <row r="5">
      <c r="A5" t="inlineStr">
        <is>
          <t>Tabs:</t>
        </is>
      </c>
    </row>
    <row r="6">
      <c r="A6" t="inlineStr">
        <is>
          <t>- Calculator: enter player attributes and get predicted grade.</t>
        </is>
      </c>
    </row>
    <row r="7">
      <c r="A7" t="inlineStr">
        <is>
          <t>- Generator: pick target grade + context and generate random stat lines.</t>
        </is>
      </c>
    </row>
    <row r="8">
      <c r="A8" t="inlineStr">
        <is>
          <t>- Archetype_Presets: roster templates for balanced/power/speed-defense/bullpen-heavy teams.</t>
        </is>
      </c>
    </row>
    <row r="9">
      <c r="A9" t="inlineStr">
        <is>
          <t>- Trait_Polarity / PrimaryAdj / SecondaryAdj: lookup tables.</t>
        </is>
      </c>
    </row>
    <row r="10">
      <c r="A10" t="inlineStr"/>
    </row>
    <row r="11">
      <c r="A11" t="inlineStr">
        <is>
          <t>Model factors included:</t>
        </is>
      </c>
    </row>
    <row r="12">
      <c r="A12" t="inlineStr">
        <is>
          <t>- Primary position</t>
        </is>
      </c>
    </row>
    <row r="13">
      <c r="A13" t="inlineStr">
        <is>
          <t>- Secondary position</t>
        </is>
      </c>
    </row>
    <row r="14">
      <c r="A14" t="inlineStr">
        <is>
          <t>- Bats / Throws</t>
        </is>
      </c>
    </row>
    <row r="15">
      <c r="A15" t="inlineStr">
        <is>
          <t>- Positive vs Negative traits</t>
        </is>
      </c>
    </row>
    <row r="16">
      <c r="A16" t="inlineStr">
        <is>
          <t>- Full ratings (POW/CON/SPD/FLD/ARM or VEL/JNK/ACC)</t>
        </is>
      </c>
    </row>
    <row r="17">
      <c r="A17" t="inlineStr">
        <is>
          <t>- Pitcher batting stats (small effect in pitcher equation)</t>
        </is>
      </c>
    </row>
    <row r="18">
      <c r="A18" t="inlineStr"/>
    </row>
    <row r="19">
      <c r="A19" t="inlineStr">
        <is>
          <t>Grade scale used:</t>
        </is>
      </c>
    </row>
    <row r="20">
      <c r="A20" t="inlineStr">
        <is>
          <t>S, A+, A, A-, B+, B, B-, C+, C, C-, D+, D, D-, E+, E, E-, 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GradeIdx</t>
        </is>
      </c>
      <c r="B1" s="2" t="inlineStr">
        <is>
          <t>Grade</t>
        </is>
      </c>
      <c r="C1" s="2" t="inlineStr"/>
      <c r="D1" s="2" t="inlineStr">
        <is>
          <t>Grade</t>
        </is>
      </c>
      <c r="E1" s="2" t="inlineStr">
        <is>
          <t>GradeIdx</t>
        </is>
      </c>
    </row>
    <row r="2">
      <c r="A2" t="n">
        <v>0</v>
      </c>
      <c r="B2" t="inlineStr">
        <is>
          <t>F</t>
        </is>
      </c>
      <c r="D2" t="inlineStr">
        <is>
          <t>S</t>
        </is>
      </c>
      <c r="E2" t="n">
        <v>16</v>
      </c>
    </row>
    <row r="3">
      <c r="A3" t="n">
        <v>1</v>
      </c>
      <c r="B3" t="inlineStr">
        <is>
          <t>E-</t>
        </is>
      </c>
      <c r="D3" t="inlineStr">
        <is>
          <t>A+</t>
        </is>
      </c>
      <c r="E3" t="n">
        <v>15</v>
      </c>
    </row>
    <row r="4">
      <c r="A4" t="n">
        <v>2</v>
      </c>
      <c r="B4" t="inlineStr">
        <is>
          <t>E</t>
        </is>
      </c>
      <c r="D4" t="inlineStr">
        <is>
          <t>A</t>
        </is>
      </c>
      <c r="E4" t="n">
        <v>14</v>
      </c>
    </row>
    <row r="5">
      <c r="A5" t="n">
        <v>3</v>
      </c>
      <c r="B5" t="inlineStr">
        <is>
          <t>E+</t>
        </is>
      </c>
      <c r="D5" t="inlineStr">
        <is>
          <t>A-</t>
        </is>
      </c>
      <c r="E5" t="n">
        <v>13</v>
      </c>
    </row>
    <row r="6">
      <c r="A6" t="n">
        <v>4</v>
      </c>
      <c r="B6" t="inlineStr">
        <is>
          <t>D-</t>
        </is>
      </c>
      <c r="D6" t="inlineStr">
        <is>
          <t>B+</t>
        </is>
      </c>
      <c r="E6" t="n">
        <v>12</v>
      </c>
    </row>
    <row r="7">
      <c r="A7" t="n">
        <v>5</v>
      </c>
      <c r="B7" t="inlineStr">
        <is>
          <t>D</t>
        </is>
      </c>
      <c r="D7" t="inlineStr">
        <is>
          <t>B</t>
        </is>
      </c>
      <c r="E7" t="n">
        <v>11</v>
      </c>
    </row>
    <row r="8">
      <c r="A8" t="n">
        <v>6</v>
      </c>
      <c r="B8" t="inlineStr">
        <is>
          <t>D+</t>
        </is>
      </c>
      <c r="D8" t="inlineStr">
        <is>
          <t>B-</t>
        </is>
      </c>
      <c r="E8" t="n">
        <v>10</v>
      </c>
    </row>
    <row r="9">
      <c r="A9" t="n">
        <v>7</v>
      </c>
      <c r="B9" t="inlineStr">
        <is>
          <t>C-</t>
        </is>
      </c>
      <c r="D9" t="inlineStr">
        <is>
          <t>C+</t>
        </is>
      </c>
      <c r="E9" t="n">
        <v>9</v>
      </c>
    </row>
    <row r="10">
      <c r="A10" t="n">
        <v>8</v>
      </c>
      <c r="B10" t="inlineStr">
        <is>
          <t>C</t>
        </is>
      </c>
      <c r="D10" t="inlineStr">
        <is>
          <t>C</t>
        </is>
      </c>
      <c r="E10" t="n">
        <v>8</v>
      </c>
    </row>
    <row r="11">
      <c r="A11" t="n">
        <v>9</v>
      </c>
      <c r="B11" t="inlineStr">
        <is>
          <t>C+</t>
        </is>
      </c>
      <c r="D11" t="inlineStr">
        <is>
          <t>C-</t>
        </is>
      </c>
      <c r="E11" t="n">
        <v>7</v>
      </c>
    </row>
    <row r="12">
      <c r="A12" t="n">
        <v>10</v>
      </c>
      <c r="B12" t="inlineStr">
        <is>
          <t>B-</t>
        </is>
      </c>
      <c r="D12" t="inlineStr">
        <is>
          <t>D+</t>
        </is>
      </c>
      <c r="E12" t="n">
        <v>6</v>
      </c>
    </row>
    <row r="13">
      <c r="A13" t="n">
        <v>11</v>
      </c>
      <c r="B13" t="inlineStr">
        <is>
          <t>B</t>
        </is>
      </c>
      <c r="D13" t="inlineStr">
        <is>
          <t>D</t>
        </is>
      </c>
      <c r="E13" t="n">
        <v>5</v>
      </c>
    </row>
    <row r="14">
      <c r="A14" t="n">
        <v>12</v>
      </c>
      <c r="B14" t="inlineStr">
        <is>
          <t>B+</t>
        </is>
      </c>
      <c r="D14" t="inlineStr">
        <is>
          <t>D-</t>
        </is>
      </c>
      <c r="E14" t="n">
        <v>4</v>
      </c>
    </row>
    <row r="15">
      <c r="A15" t="n">
        <v>13</v>
      </c>
      <c r="B15" t="inlineStr">
        <is>
          <t>A-</t>
        </is>
      </c>
      <c r="D15" t="inlineStr">
        <is>
          <t>E+</t>
        </is>
      </c>
      <c r="E15" t="n">
        <v>3</v>
      </c>
    </row>
    <row r="16">
      <c r="A16" t="n">
        <v>14</v>
      </c>
      <c r="B16" t="inlineStr">
        <is>
          <t>A</t>
        </is>
      </c>
      <c r="D16" t="inlineStr">
        <is>
          <t>E</t>
        </is>
      </c>
      <c r="E16" t="n">
        <v>2</v>
      </c>
    </row>
    <row r="17">
      <c r="A17" t="n">
        <v>15</v>
      </c>
      <c r="B17" t="inlineStr">
        <is>
          <t>A+</t>
        </is>
      </c>
      <c r="D17" t="inlineStr">
        <is>
          <t>E-</t>
        </is>
      </c>
      <c r="E17" t="n">
        <v>1</v>
      </c>
    </row>
    <row r="18">
      <c r="A18" t="n">
        <v>16</v>
      </c>
      <c r="B18" t="inlineStr">
        <is>
          <t>S</t>
        </is>
      </c>
      <c r="D18" t="inlineStr">
        <is>
          <t>F</t>
        </is>
      </c>
      <c r="E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2" t="inlineStr">
        <is>
          <t>Archetype</t>
        </is>
      </c>
      <c r="B1" s="2" t="inlineStr">
        <is>
          <t>C</t>
        </is>
      </c>
      <c r="C1" s="2" t="inlineStr">
        <is>
          <t>1B</t>
        </is>
      </c>
      <c r="D1" s="2" t="inlineStr">
        <is>
          <t>2B</t>
        </is>
      </c>
      <c r="E1" s="2" t="inlineStr">
        <is>
          <t>3B</t>
        </is>
      </c>
      <c r="F1" s="2" t="inlineStr">
        <is>
          <t>SS</t>
        </is>
      </c>
      <c r="G1" s="2" t="inlineStr">
        <is>
          <t>LF</t>
        </is>
      </c>
      <c r="H1" s="2" t="inlineStr">
        <is>
          <t>CF</t>
        </is>
      </c>
      <c r="I1" s="2" t="inlineStr">
        <is>
          <t>RF</t>
        </is>
      </c>
      <c r="J1" s="2" t="inlineStr">
        <is>
          <t>SP</t>
        </is>
      </c>
      <c r="K1" s="2" t="inlineStr">
        <is>
          <t>SP/RP</t>
        </is>
      </c>
      <c r="L1" s="2" t="inlineStr">
        <is>
          <t>RP</t>
        </is>
      </c>
      <c r="M1" s="2" t="inlineStr">
        <is>
          <t>CP</t>
        </is>
      </c>
      <c r="N1" s="2" t="inlineStr">
        <is>
          <t>Total</t>
        </is>
      </c>
    </row>
    <row r="2">
      <c r="A2" t="inlineStr">
        <is>
          <t>balanced</t>
        </is>
      </c>
      <c r="B2" t="n">
        <v>2</v>
      </c>
      <c r="C2" t="n">
        <v>2</v>
      </c>
      <c r="D2" t="n">
        <v>2</v>
      </c>
      <c r="E2" t="n">
        <v>1</v>
      </c>
      <c r="F2" t="n">
        <v>1</v>
      </c>
      <c r="G2" t="n">
        <v>2</v>
      </c>
      <c r="H2" t="n">
        <v>1</v>
      </c>
      <c r="I2" t="n">
        <v>2</v>
      </c>
      <c r="J2" t="n">
        <v>4</v>
      </c>
      <c r="K2" t="n">
        <v>1</v>
      </c>
      <c r="L2" t="n">
        <v>3</v>
      </c>
      <c r="M2" t="n">
        <v>1</v>
      </c>
      <c r="N2" t="n">
        <v>22</v>
      </c>
    </row>
    <row r="3">
      <c r="A3" t="inlineStr">
        <is>
          <t>power-heavy</t>
        </is>
      </c>
      <c r="B3" t="n">
        <v>2</v>
      </c>
      <c r="C3" t="n">
        <v>3</v>
      </c>
      <c r="D3" t="n">
        <v>1</v>
      </c>
      <c r="E3" t="n">
        <v>2</v>
      </c>
      <c r="F3" t="n">
        <v>1</v>
      </c>
      <c r="G3" t="n">
        <v>2</v>
      </c>
      <c r="H3" t="n">
        <v>1</v>
      </c>
      <c r="I3" t="n">
        <v>2</v>
      </c>
      <c r="J3" t="n">
        <v>4</v>
      </c>
      <c r="K3" t="n">
        <v>1</v>
      </c>
      <c r="L3" t="n">
        <v>2</v>
      </c>
      <c r="M3" t="n">
        <v>1</v>
      </c>
      <c r="N3" t="n">
        <v>22</v>
      </c>
    </row>
    <row r="4">
      <c r="A4" t="inlineStr">
        <is>
          <t>speed-defense</t>
        </is>
      </c>
      <c r="B4" t="n">
        <v>2</v>
      </c>
      <c r="C4" t="n">
        <v>1</v>
      </c>
      <c r="D4" t="n">
        <v>2</v>
      </c>
      <c r="E4" t="n">
        <v>1</v>
      </c>
      <c r="F4" t="n">
        <v>2</v>
      </c>
      <c r="G4" t="n">
        <v>1</v>
      </c>
      <c r="H4" t="n">
        <v>2</v>
      </c>
      <c r="I4" t="n">
        <v>1</v>
      </c>
      <c r="J4" t="n">
        <v>4</v>
      </c>
      <c r="K4" t="n">
        <v>1</v>
      </c>
      <c r="L4" t="n">
        <v>4</v>
      </c>
      <c r="M4" t="n">
        <v>1</v>
      </c>
      <c r="N4" t="n">
        <v>22</v>
      </c>
    </row>
    <row r="5">
      <c r="A5" t="inlineStr">
        <is>
          <t>bullpen-heavy</t>
        </is>
      </c>
      <c r="B5" t="n">
        <v>2</v>
      </c>
      <c r="C5" t="n">
        <v>1</v>
      </c>
      <c r="D5" t="n">
        <v>2</v>
      </c>
      <c r="E5" t="n">
        <v>1</v>
      </c>
      <c r="F5" t="n">
        <v>2</v>
      </c>
      <c r="G5" t="n">
        <v>1</v>
      </c>
      <c r="H5" t="n">
        <v>1</v>
      </c>
      <c r="I5" t="n">
        <v>1</v>
      </c>
      <c r="J5" t="n">
        <v>3</v>
      </c>
      <c r="K5" t="n">
        <v>2</v>
      </c>
      <c r="L5" t="n">
        <v>5</v>
      </c>
      <c r="M5" t="n">
        <v>1</v>
      </c>
      <c r="N5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Trait</t>
        </is>
      </c>
      <c r="B1" s="2" t="inlineStr">
        <is>
          <t>PosFlag</t>
        </is>
      </c>
      <c r="C1" s="2" t="inlineStr">
        <is>
          <t>NegFlag</t>
        </is>
      </c>
      <c r="D1" s="2" t="inlineStr">
        <is>
          <t>Polarity</t>
        </is>
      </c>
    </row>
    <row r="2">
      <c r="A2" t="inlineStr">
        <is>
          <t>Ace Exterminator</t>
        </is>
      </c>
      <c r="B2" t="n">
        <v>1</v>
      </c>
      <c r="C2" t="n">
        <v>0</v>
      </c>
      <c r="D2" t="inlineStr">
        <is>
          <t>Positive</t>
        </is>
      </c>
    </row>
    <row r="3">
      <c r="A3" t="inlineStr">
        <is>
          <t>BB Prone</t>
        </is>
      </c>
      <c r="B3" t="n">
        <v>0</v>
      </c>
      <c r="C3" t="n">
        <v>1</v>
      </c>
      <c r="D3" t="inlineStr">
        <is>
          <t>Negative</t>
        </is>
      </c>
    </row>
    <row r="4">
      <c r="A4" t="inlineStr">
        <is>
          <t>Bad Ball Hitter</t>
        </is>
      </c>
      <c r="B4" t="n">
        <v>1</v>
      </c>
      <c r="C4" t="n">
        <v>0</v>
      </c>
      <c r="D4" t="inlineStr">
        <is>
          <t>Positive</t>
        </is>
      </c>
    </row>
    <row r="5">
      <c r="A5" t="inlineStr">
        <is>
          <t>Bad Jumps</t>
        </is>
      </c>
      <c r="B5" t="n">
        <v>0</v>
      </c>
      <c r="C5" t="n">
        <v>1</v>
      </c>
      <c r="D5" t="inlineStr">
        <is>
          <t>Negative</t>
        </is>
      </c>
    </row>
    <row r="6">
      <c r="A6" t="inlineStr">
        <is>
          <t>Base Jogger</t>
        </is>
      </c>
      <c r="B6" t="n">
        <v>0</v>
      </c>
      <c r="C6" t="n">
        <v>1</v>
      </c>
      <c r="D6" t="inlineStr">
        <is>
          <t>Negative</t>
        </is>
      </c>
    </row>
    <row r="7">
      <c r="A7" t="inlineStr">
        <is>
          <t>Base Rounder</t>
        </is>
      </c>
      <c r="B7" t="n">
        <v>1</v>
      </c>
      <c r="C7" t="n">
        <v>0</v>
      </c>
      <c r="D7" t="inlineStr">
        <is>
          <t>Positive</t>
        </is>
      </c>
    </row>
    <row r="8">
      <c r="A8" t="inlineStr">
        <is>
          <t>Big Hack</t>
        </is>
      </c>
      <c r="B8" t="n">
        <v>1</v>
      </c>
      <c r="C8" t="n">
        <v>0</v>
      </c>
      <c r="D8" t="inlineStr">
        <is>
          <t>Positive</t>
        </is>
      </c>
    </row>
    <row r="9">
      <c r="A9" t="inlineStr">
        <is>
          <t>Bunter</t>
        </is>
      </c>
      <c r="B9" t="n">
        <v>1</v>
      </c>
      <c r="C9" t="n">
        <v>0</v>
      </c>
      <c r="D9" t="inlineStr">
        <is>
          <t>Positive</t>
        </is>
      </c>
    </row>
    <row r="10">
      <c r="A10" t="inlineStr">
        <is>
          <t>Butter Fingers</t>
        </is>
      </c>
      <c r="B10" t="n">
        <v>0</v>
      </c>
      <c r="C10" t="n">
        <v>1</v>
      </c>
      <c r="D10" t="inlineStr">
        <is>
          <t>Negative</t>
        </is>
      </c>
    </row>
    <row r="11">
      <c r="A11" t="inlineStr">
        <is>
          <t>CON vs LHP</t>
        </is>
      </c>
      <c r="B11" t="n">
        <v>1</v>
      </c>
      <c r="C11" t="n">
        <v>0</v>
      </c>
      <c r="D11" t="inlineStr">
        <is>
          <t>Positive</t>
        </is>
      </c>
    </row>
    <row r="12">
      <c r="A12" t="inlineStr">
        <is>
          <t>CON vs RHP</t>
        </is>
      </c>
      <c r="B12" t="n">
        <v>1</v>
      </c>
      <c r="C12" t="n">
        <v>0</v>
      </c>
      <c r="D12" t="inlineStr">
        <is>
          <t>Positive</t>
        </is>
      </c>
    </row>
    <row r="13">
      <c r="A13" t="inlineStr">
        <is>
          <t>Cannon Arm</t>
        </is>
      </c>
      <c r="B13" t="n">
        <v>1</v>
      </c>
      <c r="C13" t="n">
        <v>0</v>
      </c>
      <c r="D13" t="inlineStr">
        <is>
          <t>Positive</t>
        </is>
      </c>
    </row>
    <row r="14">
      <c r="A14" t="inlineStr">
        <is>
          <t>Choker</t>
        </is>
      </c>
      <c r="B14" t="n">
        <v>0</v>
      </c>
      <c r="C14" t="n">
        <v>1</v>
      </c>
      <c r="D14" t="inlineStr">
        <is>
          <t>Negative</t>
        </is>
      </c>
    </row>
    <row r="15">
      <c r="A15" t="inlineStr">
        <is>
          <t>Clutch</t>
        </is>
      </c>
      <c r="B15" t="n">
        <v>1</v>
      </c>
      <c r="C15" t="n">
        <v>0</v>
      </c>
      <c r="D15" t="inlineStr">
        <is>
          <t>Positive</t>
        </is>
      </c>
    </row>
    <row r="16">
      <c r="A16" t="inlineStr">
        <is>
          <t>Composed</t>
        </is>
      </c>
      <c r="B16" t="n">
        <v>1</v>
      </c>
      <c r="C16" t="n">
        <v>0</v>
      </c>
      <c r="D16" t="inlineStr">
        <is>
          <t>Positive</t>
        </is>
      </c>
    </row>
    <row r="17">
      <c r="A17" t="inlineStr">
        <is>
          <t>Consistent</t>
        </is>
      </c>
      <c r="B17" t="n">
        <v>1</v>
      </c>
      <c r="C17" t="n">
        <v>0</v>
      </c>
      <c r="D17" t="inlineStr">
        <is>
          <t>Positive</t>
        </is>
      </c>
    </row>
    <row r="18">
      <c r="A18" t="inlineStr">
        <is>
          <t>Crossed Up</t>
        </is>
      </c>
      <c r="B18" t="n">
        <v>0</v>
      </c>
      <c r="C18" t="n">
        <v>1</v>
      </c>
      <c r="D18" t="inlineStr">
        <is>
          <t>Negative</t>
        </is>
      </c>
    </row>
    <row r="19">
      <c r="A19" t="inlineStr">
        <is>
          <t>Distractor</t>
        </is>
      </c>
      <c r="B19" t="n">
        <v>1</v>
      </c>
      <c r="C19" t="n">
        <v>0</v>
      </c>
      <c r="D19" t="inlineStr">
        <is>
          <t>Positive</t>
        </is>
      </c>
    </row>
    <row r="20">
      <c r="A20" t="inlineStr">
        <is>
          <t>Dive Wizard</t>
        </is>
      </c>
      <c r="B20" t="n">
        <v>1</v>
      </c>
      <c r="C20" t="n">
        <v>0</v>
      </c>
      <c r="D20" t="inlineStr">
        <is>
          <t>Positive</t>
        </is>
      </c>
    </row>
    <row r="21">
      <c r="A21" t="inlineStr">
        <is>
          <t>Durable</t>
        </is>
      </c>
      <c r="B21" t="n">
        <v>1</v>
      </c>
      <c r="C21" t="n">
        <v>0</v>
      </c>
      <c r="D21" t="inlineStr">
        <is>
          <t>Positive</t>
        </is>
      </c>
    </row>
    <row r="22">
      <c r="A22" t="inlineStr">
        <is>
          <t>Easy Jumps</t>
        </is>
      </c>
      <c r="B22" t="n">
        <v>0</v>
      </c>
      <c r="C22" t="n">
        <v>1</v>
      </c>
      <c r="D22" t="inlineStr">
        <is>
          <t>Negative</t>
        </is>
      </c>
    </row>
    <row r="23">
      <c r="A23" t="inlineStr">
        <is>
          <t>Easy Target</t>
        </is>
      </c>
      <c r="B23" t="n">
        <v>0</v>
      </c>
      <c r="C23" t="n">
        <v>1</v>
      </c>
      <c r="D23" t="inlineStr">
        <is>
          <t>Negative</t>
        </is>
      </c>
    </row>
    <row r="24">
      <c r="A24" t="inlineStr">
        <is>
          <t>Elite 2F</t>
        </is>
      </c>
      <c r="B24" t="n">
        <v>1</v>
      </c>
      <c r="C24" t="n">
        <v>0</v>
      </c>
      <c r="D24" t="inlineStr">
        <is>
          <t>Positive</t>
        </is>
      </c>
    </row>
    <row r="25">
      <c r="A25" t="inlineStr">
        <is>
          <t>Elite 4F</t>
        </is>
      </c>
      <c r="B25" t="n">
        <v>1</v>
      </c>
      <c r="C25" t="n">
        <v>0</v>
      </c>
      <c r="D25" t="inlineStr">
        <is>
          <t>Positive</t>
        </is>
      </c>
    </row>
    <row r="26">
      <c r="A26" t="inlineStr">
        <is>
          <t>Elite CB</t>
        </is>
      </c>
      <c r="B26" t="n">
        <v>1</v>
      </c>
      <c r="C26" t="n">
        <v>0</v>
      </c>
      <c r="D26" t="inlineStr">
        <is>
          <t>Positive</t>
        </is>
      </c>
    </row>
    <row r="27">
      <c r="A27" t="inlineStr">
        <is>
          <t>Elite CF</t>
        </is>
      </c>
      <c r="B27" t="n">
        <v>1</v>
      </c>
      <c r="C27" t="n">
        <v>0</v>
      </c>
      <c r="D27" t="inlineStr">
        <is>
          <t>Positive</t>
        </is>
      </c>
    </row>
    <row r="28">
      <c r="A28" t="inlineStr">
        <is>
          <t>Elite CH</t>
        </is>
      </c>
      <c r="B28" t="n">
        <v>1</v>
      </c>
      <c r="C28" t="n">
        <v>0</v>
      </c>
      <c r="D28" t="inlineStr">
        <is>
          <t>Positive</t>
        </is>
      </c>
    </row>
    <row r="29">
      <c r="A29" t="inlineStr">
        <is>
          <t>Elite FK</t>
        </is>
      </c>
      <c r="B29" t="n">
        <v>1</v>
      </c>
      <c r="C29" t="n">
        <v>0</v>
      </c>
      <c r="D29" t="inlineStr">
        <is>
          <t>Positive</t>
        </is>
      </c>
    </row>
    <row r="30">
      <c r="A30" t="inlineStr">
        <is>
          <t>Elite SB</t>
        </is>
      </c>
      <c r="B30" t="n">
        <v>1</v>
      </c>
      <c r="C30" t="n">
        <v>0</v>
      </c>
      <c r="D30" t="inlineStr">
        <is>
          <t>Positive</t>
        </is>
      </c>
    </row>
    <row r="31">
      <c r="A31" t="inlineStr">
        <is>
          <t>Elite SL</t>
        </is>
      </c>
      <c r="B31" t="n">
        <v>1</v>
      </c>
      <c r="C31" t="n">
        <v>0</v>
      </c>
      <c r="D31" t="inlineStr">
        <is>
          <t>Positive</t>
        </is>
      </c>
    </row>
    <row r="32">
      <c r="A32" t="inlineStr">
        <is>
          <t>Falls Behind</t>
        </is>
      </c>
      <c r="B32" t="n">
        <v>0</v>
      </c>
      <c r="C32" t="n">
        <v>1</v>
      </c>
      <c r="D32" t="inlineStr">
        <is>
          <t>Negative</t>
        </is>
      </c>
    </row>
    <row r="33">
      <c r="A33" t="inlineStr">
        <is>
          <t>Fastball Hitter</t>
        </is>
      </c>
      <c r="B33" t="n">
        <v>1</v>
      </c>
      <c r="C33" t="n">
        <v>0</v>
      </c>
      <c r="D33" t="inlineStr">
        <is>
          <t>Positive</t>
        </is>
      </c>
    </row>
    <row r="34">
      <c r="A34" t="inlineStr">
        <is>
          <t>First Pitch Prayer</t>
        </is>
      </c>
      <c r="B34" t="n">
        <v>0</v>
      </c>
      <c r="C34" t="n">
        <v>1</v>
      </c>
      <c r="D34" t="inlineStr">
        <is>
          <t>Negative</t>
        </is>
      </c>
    </row>
    <row r="35">
      <c r="A35" t="inlineStr">
        <is>
          <t>First Pitch Slayer</t>
        </is>
      </c>
      <c r="B35" t="n">
        <v>1</v>
      </c>
      <c r="C35" t="n">
        <v>0</v>
      </c>
      <c r="D35" t="inlineStr">
        <is>
          <t>Positive</t>
        </is>
      </c>
    </row>
    <row r="36">
      <c r="A36" t="inlineStr">
        <is>
          <t>Gets Ahead</t>
        </is>
      </c>
      <c r="B36" t="n">
        <v>1</v>
      </c>
      <c r="C36" t="n">
        <v>0</v>
      </c>
      <c r="D36" t="inlineStr">
        <is>
          <t>Positive</t>
        </is>
      </c>
    </row>
    <row r="37">
      <c r="A37" t="inlineStr">
        <is>
          <t>High Pitch</t>
        </is>
      </c>
      <c r="B37" t="n">
        <v>1</v>
      </c>
      <c r="C37" t="n">
        <v>0</v>
      </c>
      <c r="D37" t="inlineStr">
        <is>
          <t>Positive</t>
        </is>
      </c>
    </row>
    <row r="38">
      <c r="A38" t="inlineStr">
        <is>
          <t>Injury Prone</t>
        </is>
      </c>
      <c r="B38" t="n">
        <v>0</v>
      </c>
      <c r="C38" t="n">
        <v>1</v>
      </c>
      <c r="D38" t="inlineStr">
        <is>
          <t>Negative</t>
        </is>
      </c>
    </row>
    <row r="39">
      <c r="A39" t="inlineStr">
        <is>
          <t>Inside Pitch</t>
        </is>
      </c>
      <c r="B39" t="n">
        <v>1</v>
      </c>
      <c r="C39" t="n">
        <v>0</v>
      </c>
      <c r="D39" t="inlineStr">
        <is>
          <t>Positive</t>
        </is>
      </c>
    </row>
    <row r="40">
      <c r="A40" t="inlineStr">
        <is>
          <t>K Collector</t>
        </is>
      </c>
      <c r="B40" t="n">
        <v>1</v>
      </c>
      <c r="C40" t="n">
        <v>0</v>
      </c>
      <c r="D40" t="inlineStr">
        <is>
          <t>Positive</t>
        </is>
      </c>
    </row>
    <row r="41">
      <c r="A41" t="inlineStr">
        <is>
          <t>K Neglecter</t>
        </is>
      </c>
      <c r="B41" t="n">
        <v>0</v>
      </c>
      <c r="C41" t="n">
        <v>1</v>
      </c>
      <c r="D41" t="inlineStr">
        <is>
          <t>Negative</t>
        </is>
      </c>
    </row>
    <row r="42">
      <c r="A42" t="inlineStr">
        <is>
          <t>K Neglector</t>
        </is>
      </c>
      <c r="B42" t="n">
        <v>0</v>
      </c>
      <c r="C42" t="n">
        <v>1</v>
      </c>
      <c r="D42" t="inlineStr">
        <is>
          <t>Negative</t>
        </is>
      </c>
    </row>
    <row r="43">
      <c r="A43" t="inlineStr">
        <is>
          <t>Little Hack</t>
        </is>
      </c>
      <c r="B43" t="n">
        <v>1</v>
      </c>
      <c r="C43" t="n">
        <v>0</v>
      </c>
      <c r="D43" t="inlineStr">
        <is>
          <t>Positive</t>
        </is>
      </c>
    </row>
    <row r="44">
      <c r="A44" t="inlineStr">
        <is>
          <t>Low Pitch</t>
        </is>
      </c>
      <c r="B44" t="n">
        <v>1</v>
      </c>
      <c r="C44" t="n">
        <v>0</v>
      </c>
      <c r="D44" t="inlineStr">
        <is>
          <t>Positive</t>
        </is>
      </c>
    </row>
    <row r="45">
      <c r="A45" t="inlineStr">
        <is>
          <t>Magic Hands</t>
        </is>
      </c>
      <c r="B45" t="n">
        <v>1</v>
      </c>
      <c r="C45" t="n">
        <v>0</v>
      </c>
      <c r="D45" t="inlineStr">
        <is>
          <t>Positive</t>
        </is>
      </c>
    </row>
    <row r="46">
      <c r="A46" t="inlineStr">
        <is>
          <t>Meltdown</t>
        </is>
      </c>
      <c r="B46" t="n">
        <v>0</v>
      </c>
      <c r="C46" t="n">
        <v>1</v>
      </c>
      <c r="D46" t="inlineStr">
        <is>
          <t>Negative</t>
        </is>
      </c>
    </row>
    <row r="47">
      <c r="A47" t="inlineStr">
        <is>
          <t>Metal Head</t>
        </is>
      </c>
      <c r="B47" t="n">
        <v>1</v>
      </c>
      <c r="C47" t="n">
        <v>0</v>
      </c>
      <c r="D47" t="inlineStr">
        <is>
          <t>Positive</t>
        </is>
      </c>
    </row>
    <row r="48">
      <c r="A48" t="inlineStr">
        <is>
          <t>Mind Gamer</t>
        </is>
      </c>
      <c r="B48" t="n">
        <v>1</v>
      </c>
      <c r="C48" t="n">
        <v>0</v>
      </c>
      <c r="D48" t="inlineStr">
        <is>
          <t>Positive</t>
        </is>
      </c>
    </row>
    <row r="49">
      <c r="A49" t="inlineStr">
        <is>
          <t>Noodle Arm</t>
        </is>
      </c>
      <c r="B49" t="n">
        <v>0</v>
      </c>
      <c r="C49" t="n">
        <v>1</v>
      </c>
      <c r="D49" t="inlineStr">
        <is>
          <t>Negative</t>
        </is>
      </c>
    </row>
    <row r="50">
      <c r="A50" t="inlineStr">
        <is>
          <t>Off-Speed Hitter</t>
        </is>
      </c>
      <c r="B50" t="n">
        <v>1</v>
      </c>
      <c r="C50" t="n">
        <v>0</v>
      </c>
      <c r="D50" t="inlineStr">
        <is>
          <t>Positive</t>
        </is>
      </c>
    </row>
    <row r="51">
      <c r="A51" t="inlineStr">
        <is>
          <t>Outside Pitch</t>
        </is>
      </c>
      <c r="B51" t="n">
        <v>1</v>
      </c>
      <c r="C51" t="n">
        <v>0</v>
      </c>
      <c r="D51" t="inlineStr">
        <is>
          <t>Positive</t>
        </is>
      </c>
    </row>
    <row r="52">
      <c r="A52" t="inlineStr">
        <is>
          <t>POW vs LHP</t>
        </is>
      </c>
      <c r="B52" t="n">
        <v>1</v>
      </c>
      <c r="C52" t="n">
        <v>0</v>
      </c>
      <c r="D52" t="inlineStr">
        <is>
          <t>Positive</t>
        </is>
      </c>
    </row>
    <row r="53">
      <c r="A53" t="inlineStr">
        <is>
          <t>POW vs RHP</t>
        </is>
      </c>
      <c r="B53" t="n">
        <v>1</v>
      </c>
      <c r="C53" t="n">
        <v>0</v>
      </c>
      <c r="D53" t="inlineStr">
        <is>
          <t>Positive</t>
        </is>
      </c>
    </row>
    <row r="54">
      <c r="A54" t="inlineStr">
        <is>
          <t>Pick Officer</t>
        </is>
      </c>
      <c r="B54" t="n">
        <v>1</v>
      </c>
      <c r="C54" t="n">
        <v>0</v>
      </c>
      <c r="D54" t="inlineStr">
        <is>
          <t>Positive</t>
        </is>
      </c>
    </row>
    <row r="55">
      <c r="A55" t="inlineStr">
        <is>
          <t>Pinch Perfect</t>
        </is>
      </c>
      <c r="B55" t="n">
        <v>1</v>
      </c>
      <c r="C55" t="n">
        <v>0</v>
      </c>
      <c r="D55" t="inlineStr">
        <is>
          <t>Positive</t>
        </is>
      </c>
    </row>
    <row r="56">
      <c r="A56" t="inlineStr">
        <is>
          <t>RBI Hero</t>
        </is>
      </c>
      <c r="B56" t="n">
        <v>1</v>
      </c>
      <c r="C56" t="n">
        <v>0</v>
      </c>
      <c r="D56" t="inlineStr">
        <is>
          <t>Positive</t>
        </is>
      </c>
    </row>
    <row r="57">
      <c r="A57" t="inlineStr">
        <is>
          <t>RBI Zero</t>
        </is>
      </c>
      <c r="B57" t="n">
        <v>0</v>
      </c>
      <c r="C57" t="n">
        <v>1</v>
      </c>
      <c r="D57" t="inlineStr">
        <is>
          <t>Negative</t>
        </is>
      </c>
    </row>
    <row r="58">
      <c r="A58" t="inlineStr">
        <is>
          <t>Rally Starter</t>
        </is>
      </c>
      <c r="B58" t="n">
        <v>1</v>
      </c>
      <c r="C58" t="n">
        <v>0</v>
      </c>
      <c r="D58" t="inlineStr">
        <is>
          <t>Positive</t>
        </is>
      </c>
    </row>
    <row r="59">
      <c r="A59" t="inlineStr">
        <is>
          <t>Rally Stopper</t>
        </is>
      </c>
      <c r="B59" t="n">
        <v>1</v>
      </c>
      <c r="C59" t="n">
        <v>0</v>
      </c>
      <c r="D59" t="inlineStr">
        <is>
          <t>Positive</t>
        </is>
      </c>
    </row>
    <row r="60">
      <c r="A60" t="inlineStr">
        <is>
          <t>Reverse Splits</t>
        </is>
      </c>
      <c r="B60" t="n">
        <v>1</v>
      </c>
      <c r="C60" t="n">
        <v>0</v>
      </c>
      <c r="D60" t="inlineStr">
        <is>
          <t>Positive</t>
        </is>
      </c>
    </row>
    <row r="61">
      <c r="A61" t="inlineStr">
        <is>
          <t>Sign Stealer</t>
        </is>
      </c>
      <c r="B61" t="n">
        <v>1</v>
      </c>
      <c r="C61" t="n">
        <v>0</v>
      </c>
      <c r="D61" t="inlineStr">
        <is>
          <t>Positive</t>
        </is>
      </c>
    </row>
    <row r="62">
      <c r="A62" t="inlineStr">
        <is>
          <t>Slow Poke</t>
        </is>
      </c>
      <c r="B62" t="n">
        <v>0</v>
      </c>
      <c r="C62" t="n">
        <v>1</v>
      </c>
      <c r="D62" t="inlineStr">
        <is>
          <t>Negative</t>
        </is>
      </c>
    </row>
    <row r="63">
      <c r="A63" t="inlineStr">
        <is>
          <t>Specialist</t>
        </is>
      </c>
      <c r="B63" t="n">
        <v>1</v>
      </c>
      <c r="C63" t="n">
        <v>0</v>
      </c>
      <c r="D63" t="inlineStr">
        <is>
          <t>Positive</t>
        </is>
      </c>
    </row>
    <row r="64">
      <c r="A64" t="inlineStr">
        <is>
          <t>Sprinter</t>
        </is>
      </c>
      <c r="B64" t="n">
        <v>1</v>
      </c>
      <c r="C64" t="n">
        <v>0</v>
      </c>
      <c r="D64" t="inlineStr">
        <is>
          <t>Positive</t>
        </is>
      </c>
    </row>
    <row r="65">
      <c r="A65" t="inlineStr">
        <is>
          <t>Stealer</t>
        </is>
      </c>
      <c r="B65" t="n">
        <v>1</v>
      </c>
      <c r="C65" t="n">
        <v>0</v>
      </c>
      <c r="D65" t="inlineStr">
        <is>
          <t>Positive</t>
        </is>
      </c>
    </row>
    <row r="66">
      <c r="A66" t="inlineStr">
        <is>
          <t>Stimulated</t>
        </is>
      </c>
      <c r="B66" t="n">
        <v>1</v>
      </c>
      <c r="C66" t="n">
        <v>0</v>
      </c>
      <c r="D66" t="inlineStr">
        <is>
          <t>Positive</t>
        </is>
      </c>
    </row>
    <row r="67">
      <c r="A67" t="inlineStr">
        <is>
          <t>Surrounded</t>
        </is>
      </c>
      <c r="B67" t="n">
        <v>0</v>
      </c>
      <c r="C67" t="n">
        <v>1</v>
      </c>
      <c r="D67" t="inlineStr">
        <is>
          <t>Negative</t>
        </is>
      </c>
    </row>
    <row r="68">
      <c r="A68" t="inlineStr">
        <is>
          <t>Tough Out</t>
        </is>
      </c>
      <c r="B68" t="n">
        <v>1</v>
      </c>
      <c r="C68" t="n">
        <v>0</v>
      </c>
      <c r="D68" t="inlineStr">
        <is>
          <t>Positive</t>
        </is>
      </c>
    </row>
    <row r="69">
      <c r="A69" t="inlineStr">
        <is>
          <t>Two Way</t>
        </is>
      </c>
      <c r="B69" t="n">
        <v>1</v>
      </c>
      <c r="C69" t="n">
        <v>0</v>
      </c>
      <c r="D69" t="inlineStr">
        <is>
          <t>Positive</t>
        </is>
      </c>
    </row>
    <row r="70">
      <c r="A70" t="inlineStr">
        <is>
          <t>Utility</t>
        </is>
      </c>
      <c r="B70" t="n">
        <v>1</v>
      </c>
      <c r="C70" t="n">
        <v>0</v>
      </c>
      <c r="D70" t="inlineStr">
        <is>
          <t>Positive</t>
        </is>
      </c>
    </row>
    <row r="71">
      <c r="A71" t="inlineStr">
        <is>
          <t>Volatile</t>
        </is>
      </c>
      <c r="B71" t="n">
        <v>0</v>
      </c>
      <c r="C71" t="n">
        <v>1</v>
      </c>
      <c r="D71" t="inlineStr">
        <is>
          <t>Negative</t>
        </is>
      </c>
    </row>
    <row r="72">
      <c r="A72" t="inlineStr">
        <is>
          <t>Whiffer</t>
        </is>
      </c>
      <c r="B72" t="n">
        <v>0</v>
      </c>
      <c r="C72" t="n">
        <v>1</v>
      </c>
      <c r="D72" t="inlineStr">
        <is>
          <t>Negative</t>
        </is>
      </c>
    </row>
    <row r="73">
      <c r="A73" t="inlineStr">
        <is>
          <t>Wild Thing</t>
        </is>
      </c>
      <c r="B73" t="n">
        <v>0</v>
      </c>
      <c r="C73" t="n">
        <v>1</v>
      </c>
      <c r="D73" t="inlineStr">
        <is>
          <t>Negative</t>
        </is>
      </c>
    </row>
    <row r="74">
      <c r="A74" t="inlineStr">
        <is>
          <t>Wild Thrower</t>
        </is>
      </c>
      <c r="B74" t="n">
        <v>0</v>
      </c>
      <c r="C74" t="n">
        <v>1</v>
      </c>
      <c r="D74" t="inlineStr">
        <is>
          <t>Negative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2" t="inlineStr">
        <is>
          <t>PrimaryPos</t>
        </is>
      </c>
      <c r="B1" s="2" t="inlineStr">
        <is>
          <t>Adj</t>
        </is>
      </c>
    </row>
    <row r="2">
      <c r="A2" t="inlineStr">
        <is>
          <t>1B</t>
        </is>
      </c>
      <c r="B2" t="n">
        <v>0</v>
      </c>
    </row>
    <row r="3">
      <c r="A3" t="inlineStr">
        <is>
          <t>2B</t>
        </is>
      </c>
      <c r="B3" t="n">
        <v>0.051</v>
      </c>
    </row>
    <row r="4">
      <c r="A4" t="inlineStr">
        <is>
          <t>3B</t>
        </is>
      </c>
      <c r="B4" t="n">
        <v>-0.395</v>
      </c>
    </row>
    <row r="5">
      <c r="A5" t="inlineStr">
        <is>
          <t>C</t>
        </is>
      </c>
      <c r="B5" t="n">
        <v>0.476</v>
      </c>
    </row>
    <row r="6">
      <c r="A6" t="inlineStr">
        <is>
          <t>CF</t>
        </is>
      </c>
      <c r="B6" t="n">
        <v>0.07199999999999999</v>
      </c>
    </row>
    <row r="7">
      <c r="A7" t="inlineStr">
        <is>
          <t>LF</t>
        </is>
      </c>
      <c r="B7" t="n">
        <v>-0.119</v>
      </c>
    </row>
    <row r="8">
      <c r="A8" t="inlineStr">
        <is>
          <t>RF</t>
        </is>
      </c>
      <c r="B8" t="n">
        <v>0.014</v>
      </c>
    </row>
    <row r="9">
      <c r="A9" t="inlineStr">
        <is>
          <t>SS</t>
        </is>
      </c>
      <c r="B9" t="n">
        <v>-0.136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2" t="inlineStr">
        <is>
          <t>PrimaryPos</t>
        </is>
      </c>
      <c r="B1" s="2" t="inlineStr">
        <is>
          <t>Adj</t>
        </is>
      </c>
    </row>
    <row r="2">
      <c r="A2" t="inlineStr">
        <is>
          <t>CP</t>
        </is>
      </c>
      <c r="B2" t="n">
        <v>-0.431</v>
      </c>
    </row>
    <row r="3">
      <c r="A3" t="inlineStr">
        <is>
          <t>RP</t>
        </is>
      </c>
      <c r="B3" t="n">
        <v>-0.265</v>
      </c>
    </row>
    <row r="4">
      <c r="A4" t="inlineStr">
        <is>
          <t>SP</t>
        </is>
      </c>
      <c r="B4" t="n">
        <v>0</v>
      </c>
    </row>
    <row r="5">
      <c r="A5" t="inlineStr">
        <is>
          <t>SP/RP</t>
        </is>
      </c>
      <c r="B5" t="n">
        <v>-0.353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2" t="inlineStr">
        <is>
          <t>SecondaryPos</t>
        </is>
      </c>
      <c r="B1" s="2" t="inlineStr">
        <is>
          <t>Adj</t>
        </is>
      </c>
    </row>
    <row r="2">
      <c r="A2" t="inlineStr">
        <is>
          <t>(none)</t>
        </is>
      </c>
      <c r="B2" t="n">
        <v>0</v>
      </c>
    </row>
    <row r="3">
      <c r="A3" t="inlineStr">
        <is>
          <t>1B</t>
        </is>
      </c>
      <c r="B3" t="n">
        <v>0.104</v>
      </c>
    </row>
    <row r="4">
      <c r="A4" t="inlineStr">
        <is>
          <t>1B/OF</t>
        </is>
      </c>
      <c r="B4" t="n">
        <v>0.126</v>
      </c>
    </row>
    <row r="5">
      <c r="A5" t="inlineStr">
        <is>
          <t>2B</t>
        </is>
      </c>
      <c r="B5" t="n">
        <v>0.481</v>
      </c>
    </row>
    <row r="6">
      <c r="A6" t="inlineStr">
        <is>
          <t>3B</t>
        </is>
      </c>
      <c r="B6" t="n">
        <v>0.268</v>
      </c>
    </row>
    <row r="7">
      <c r="A7" t="inlineStr">
        <is>
          <t>C</t>
        </is>
      </c>
      <c r="B7" t="n">
        <v>-0.058</v>
      </c>
    </row>
    <row r="8">
      <c r="A8" t="inlineStr">
        <is>
          <t>IF</t>
        </is>
      </c>
      <c r="B8" t="n">
        <v>0.262</v>
      </c>
    </row>
    <row r="9">
      <c r="A9" t="inlineStr">
        <is>
          <t>IF/OF</t>
        </is>
      </c>
      <c r="B9" t="n">
        <v>0.369</v>
      </c>
    </row>
    <row r="10">
      <c r="A10" t="inlineStr">
        <is>
          <t>LF</t>
        </is>
      </c>
      <c r="B10" t="n">
        <v>0.004</v>
      </c>
    </row>
    <row r="11">
      <c r="A11" t="inlineStr">
        <is>
          <t>OF</t>
        </is>
      </c>
      <c r="B11" t="n">
        <v>0.196</v>
      </c>
    </row>
    <row r="12">
      <c r="A12" t="inlineStr">
        <is>
          <t>RF</t>
        </is>
      </c>
      <c r="B12" t="n">
        <v>0.159</v>
      </c>
    </row>
    <row r="13">
      <c r="A13" t="inlineStr">
        <is>
          <t>SS</t>
        </is>
      </c>
      <c r="B13" t="n">
        <v>0.296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8" customWidth="1" min="4" max="4"/>
    <col width="8" customWidth="1" min="5" max="5"/>
    <col width="16" customWidth="1" min="6" max="6"/>
    <col width="16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  <col width="9" customWidth="1" min="17" max="17"/>
    <col width="9" customWidth="1" min="18" max="18"/>
    <col width="12" customWidth="1" min="19" max="19"/>
    <col width="10" customWidth="1" min="20" max="20"/>
    <col width="11" customWidth="1" min="21" max="21"/>
    <col width="10" customWidth="1" min="22" max="22"/>
    <col width="9" customWidth="1" min="23" max="23"/>
    <col width="8" customWidth="1" min="24" max="24"/>
    <col width="10" customWidth="1" min="25" max="25"/>
    <col width="18" customWidth="1" min="26" max="26"/>
    <col width="24" customWidth="1" min="27" max="27"/>
  </cols>
  <sheetData>
    <row r="1">
      <c r="A1" s="2" t="inlineStr">
        <is>
          <t>Name</t>
        </is>
      </c>
      <c r="B1" s="2" t="inlineStr">
        <is>
          <t>PrimaryPos</t>
        </is>
      </c>
      <c r="C1" s="2" t="inlineStr">
        <is>
          <t>SecondaryPos</t>
        </is>
      </c>
      <c r="D1" s="2" t="inlineStr">
        <is>
          <t>Bats</t>
        </is>
      </c>
      <c r="E1" s="2" t="inlineStr">
        <is>
          <t>Throws</t>
        </is>
      </c>
      <c r="F1" s="2" t="inlineStr">
        <is>
          <t>Trait1</t>
        </is>
      </c>
      <c r="G1" s="2" t="inlineStr">
        <is>
          <t>Trait2</t>
        </is>
      </c>
      <c r="H1" s="2" t="inlineStr">
        <is>
          <t>POW</t>
        </is>
      </c>
      <c r="I1" s="2" t="inlineStr">
        <is>
          <t>CON</t>
        </is>
      </c>
      <c r="J1" s="2" t="inlineStr">
        <is>
          <t>SPD</t>
        </is>
      </c>
      <c r="K1" s="2" t="inlineStr">
        <is>
          <t>FLD</t>
        </is>
      </c>
      <c r="L1" s="2" t="inlineStr">
        <is>
          <t>ARM</t>
        </is>
      </c>
      <c r="M1" s="2" t="inlineStr">
        <is>
          <t>VEL</t>
        </is>
      </c>
      <c r="N1" s="2" t="inlineStr">
        <is>
          <t>JNK</t>
        </is>
      </c>
      <c r="O1" s="2" t="inlineStr">
        <is>
          <t>ACC</t>
        </is>
      </c>
      <c r="P1" s="2" t="inlineStr">
        <is>
          <t>PlayerType</t>
        </is>
      </c>
      <c r="Q1" s="2" t="inlineStr">
        <is>
          <t>PosTraits</t>
        </is>
      </c>
      <c r="R1" s="2" t="inlineStr">
        <is>
          <t>NegTraits</t>
        </is>
      </c>
      <c r="S1" s="2" t="inlineStr">
        <is>
          <t>BaseWeighted</t>
        </is>
      </c>
      <c r="T1" s="2" t="inlineStr">
        <is>
          <t>PrimaryAdj</t>
        </is>
      </c>
      <c r="U1" s="2" t="inlineStr">
        <is>
          <t>SecondaryAdj</t>
        </is>
      </c>
      <c r="V1" s="2" t="inlineStr">
        <is>
          <t>Points</t>
        </is>
      </c>
      <c r="W1" s="2" t="inlineStr">
        <is>
          <t>GradeIdx</t>
        </is>
      </c>
      <c r="X1" s="2" t="inlineStr">
        <is>
          <t>Grade</t>
        </is>
      </c>
      <c r="Y1" s="2" t="inlineStr">
        <is>
          <t>TargetGrade</t>
        </is>
      </c>
      <c r="Z1" s="2" t="inlineStr">
        <is>
          <t>DeltaIdx (Pred-Target)</t>
        </is>
      </c>
      <c r="AA1" s="2" t="inlineStr">
        <is>
          <t>Notes</t>
        </is>
      </c>
    </row>
    <row r="2">
      <c r="P2">
        <f>IF(OR(B2="SP",B2="RP",B2="CP",B2="SP/RP"),"P","H")</f>
        <v/>
      </c>
      <c r="Q2">
        <f>IF(F2="",0,IFNA(VLOOKUP(F2,Trait_Polarity!$A:$C,2,FALSE),0))+IF(G2="",0,IFNA(VLOOKUP(G2,Trait_Polarity!$A:$C,2,FALSE),0))</f>
        <v/>
      </c>
      <c r="R2">
        <f>IF(F2="",0,IFNA(VLOOKUP(F2,Trait_Polarity!$A:$C,3,FALSE),0))+IF(G2="",0,IFNA(VLOOKUP(G2,Trait_Polarity!$A:$C,3,FALSE),0))</f>
        <v/>
      </c>
      <c r="S2">
        <f>IF(P2="P",(M2+N2+O2)/3,0.3*H2+0.3*I2+0.2*J2+0.1*K2+0.1*L2)</f>
        <v/>
      </c>
      <c r="T2">
        <f>IF(P2="P",IFNA(VLOOKUP(B2,Pitcher_RoleAdj!$A:$B,2,FALSE),0),IFNA(VLOOKUP(B2,Hitter_PrimaryAdj!$A:$B,2,FALSE),0))</f>
        <v/>
      </c>
      <c r="U2">
        <f>IFNA(VLOOKUP(IF(C2="","(none)",C2),SecondaryAdj!$A:$B,2,FALSE),0)</f>
        <v/>
      </c>
      <c r="V2">
        <f>IF(P2="P",0.7780+0.1628*S2+0.2957*Q2-0.1912*R2-0.1512*IF(D2="S",1,0)+0.1600*IF(E2="L",1,0)+0.0091*H2+0.0124*I2+0.0017*J2+T2+U2,-0.8294+0.1849*S2+0.1750*Q2-0.2969*R2+0.6924*IF(D2="S",1,0)+0.0457*IF(E2="L",1,0)+T2+U2)</f>
        <v/>
      </c>
      <c r="W2">
        <f>MAX(0,MIN(16,ROUND(V2,0)))</f>
        <v/>
      </c>
      <c r="X2">
        <f>IFNA(VLOOKUP(W2,Grade_Scale!$A:$B,2,FALSE),"F")</f>
        <v/>
      </c>
      <c r="Z2">
        <f>IF(Y2="","",W2-IFNA(VLOOKUP(Y2,Grade_Scale!$D:$E,2,FALSE),""))</f>
        <v/>
      </c>
    </row>
    <row r="3">
      <c r="P3">
        <f>IF(OR(B3="SP",B3="RP",B3="CP",B3="SP/RP"),"P","H")</f>
        <v/>
      </c>
      <c r="Q3">
        <f>IF(F3="",0,IFNA(VLOOKUP(F3,Trait_Polarity!$A:$C,2,FALSE),0))+IF(G3="",0,IFNA(VLOOKUP(G3,Trait_Polarity!$A:$C,2,FALSE),0))</f>
        <v/>
      </c>
      <c r="R3">
        <f>IF(F3="",0,IFNA(VLOOKUP(F3,Trait_Polarity!$A:$C,3,FALSE),0))+IF(G3="",0,IFNA(VLOOKUP(G3,Trait_Polarity!$A:$C,3,FALSE),0))</f>
        <v/>
      </c>
      <c r="S3">
        <f>IF(P3="P",(M3+N3+O3)/3,0.3*H3+0.3*I3+0.2*J3+0.1*K3+0.1*L3)</f>
        <v/>
      </c>
      <c r="T3">
        <f>IF(P3="P",IFNA(VLOOKUP(B3,Pitcher_RoleAdj!$A:$B,2,FALSE),0),IFNA(VLOOKUP(B3,Hitter_PrimaryAdj!$A:$B,2,FALSE),0))</f>
        <v/>
      </c>
      <c r="U3">
        <f>IFNA(VLOOKUP(IF(C3="","(none)",C3),SecondaryAdj!$A:$B,2,FALSE),0)</f>
        <v/>
      </c>
      <c r="V3">
        <f>IF(P3="P",0.7780+0.1628*S3+0.2957*Q3-0.1912*R3-0.1512*IF(D3="S",1,0)+0.1600*IF(E3="L",1,0)+0.0091*H3+0.0124*I3+0.0017*J3+T3+U3,-0.8294+0.1849*S3+0.1750*Q3-0.2969*R3+0.6924*IF(D3="S",1,0)+0.0457*IF(E3="L",1,0)+T3+U3)</f>
        <v/>
      </c>
      <c r="W3">
        <f>MAX(0,MIN(16,ROUND(V3,0)))</f>
        <v/>
      </c>
      <c r="X3">
        <f>IFNA(VLOOKUP(W3,Grade_Scale!$A:$B,2,FALSE),"F")</f>
        <v/>
      </c>
      <c r="Z3">
        <f>IF(Y3="","",W3-IFNA(VLOOKUP(Y3,Grade_Scale!$D:$E,2,FALSE),""))</f>
        <v/>
      </c>
    </row>
    <row r="4">
      <c r="P4">
        <f>IF(OR(B4="SP",B4="RP",B4="CP",B4="SP/RP"),"P","H")</f>
        <v/>
      </c>
      <c r="Q4">
        <f>IF(F4="",0,IFNA(VLOOKUP(F4,Trait_Polarity!$A:$C,2,FALSE),0))+IF(G4="",0,IFNA(VLOOKUP(G4,Trait_Polarity!$A:$C,2,FALSE),0))</f>
        <v/>
      </c>
      <c r="R4">
        <f>IF(F4="",0,IFNA(VLOOKUP(F4,Trait_Polarity!$A:$C,3,FALSE),0))+IF(G4="",0,IFNA(VLOOKUP(G4,Trait_Polarity!$A:$C,3,FALSE),0))</f>
        <v/>
      </c>
      <c r="S4">
        <f>IF(P4="P",(M4+N4+O4)/3,0.3*H4+0.3*I4+0.2*J4+0.1*K4+0.1*L4)</f>
        <v/>
      </c>
      <c r="T4">
        <f>IF(P4="P",IFNA(VLOOKUP(B4,Pitcher_RoleAdj!$A:$B,2,FALSE),0),IFNA(VLOOKUP(B4,Hitter_PrimaryAdj!$A:$B,2,FALSE),0))</f>
        <v/>
      </c>
      <c r="U4">
        <f>IFNA(VLOOKUP(IF(C4="","(none)",C4),SecondaryAdj!$A:$B,2,FALSE),0)</f>
        <v/>
      </c>
      <c r="V4">
        <f>IF(P4="P",0.7780+0.1628*S4+0.2957*Q4-0.1912*R4-0.1512*IF(D4="S",1,0)+0.1600*IF(E4="L",1,0)+0.0091*H4+0.0124*I4+0.0017*J4+T4+U4,-0.8294+0.1849*S4+0.1750*Q4-0.2969*R4+0.6924*IF(D4="S",1,0)+0.0457*IF(E4="L",1,0)+T4+U4)</f>
        <v/>
      </c>
      <c r="W4">
        <f>MAX(0,MIN(16,ROUND(V4,0)))</f>
        <v/>
      </c>
      <c r="X4">
        <f>IFNA(VLOOKUP(W4,Grade_Scale!$A:$B,2,FALSE),"F")</f>
        <v/>
      </c>
      <c r="Z4">
        <f>IF(Y4="","",W4-IFNA(VLOOKUP(Y4,Grade_Scale!$D:$E,2,FALSE),""))</f>
        <v/>
      </c>
    </row>
    <row r="5">
      <c r="P5">
        <f>IF(OR(B5="SP",B5="RP",B5="CP",B5="SP/RP"),"P","H")</f>
        <v/>
      </c>
      <c r="Q5">
        <f>IF(F5="",0,IFNA(VLOOKUP(F5,Trait_Polarity!$A:$C,2,FALSE),0))+IF(G5="",0,IFNA(VLOOKUP(G5,Trait_Polarity!$A:$C,2,FALSE),0))</f>
        <v/>
      </c>
      <c r="R5">
        <f>IF(F5="",0,IFNA(VLOOKUP(F5,Trait_Polarity!$A:$C,3,FALSE),0))+IF(G5="",0,IFNA(VLOOKUP(G5,Trait_Polarity!$A:$C,3,FALSE),0))</f>
        <v/>
      </c>
      <c r="S5">
        <f>IF(P5="P",(M5+N5+O5)/3,0.3*H5+0.3*I5+0.2*J5+0.1*K5+0.1*L5)</f>
        <v/>
      </c>
      <c r="T5">
        <f>IF(P5="P",IFNA(VLOOKUP(B5,Pitcher_RoleAdj!$A:$B,2,FALSE),0),IFNA(VLOOKUP(B5,Hitter_PrimaryAdj!$A:$B,2,FALSE),0))</f>
        <v/>
      </c>
      <c r="U5">
        <f>IFNA(VLOOKUP(IF(C5="","(none)",C5),SecondaryAdj!$A:$B,2,FALSE),0)</f>
        <v/>
      </c>
      <c r="V5">
        <f>IF(P5="P",0.7780+0.1628*S5+0.2957*Q5-0.1912*R5-0.1512*IF(D5="S",1,0)+0.1600*IF(E5="L",1,0)+0.0091*H5+0.0124*I5+0.0017*J5+T5+U5,-0.8294+0.1849*S5+0.1750*Q5-0.2969*R5+0.6924*IF(D5="S",1,0)+0.0457*IF(E5="L",1,0)+T5+U5)</f>
        <v/>
      </c>
      <c r="W5">
        <f>MAX(0,MIN(16,ROUND(V5,0)))</f>
        <v/>
      </c>
      <c r="X5">
        <f>IFNA(VLOOKUP(W5,Grade_Scale!$A:$B,2,FALSE),"F")</f>
        <v/>
      </c>
      <c r="Z5">
        <f>IF(Y5="","",W5-IFNA(VLOOKUP(Y5,Grade_Scale!$D:$E,2,FALSE),""))</f>
        <v/>
      </c>
    </row>
    <row r="6">
      <c r="P6">
        <f>IF(OR(B6="SP",B6="RP",B6="CP",B6="SP/RP"),"P","H")</f>
        <v/>
      </c>
      <c r="Q6">
        <f>IF(F6="",0,IFNA(VLOOKUP(F6,Trait_Polarity!$A:$C,2,FALSE),0))+IF(G6="",0,IFNA(VLOOKUP(G6,Trait_Polarity!$A:$C,2,FALSE),0))</f>
        <v/>
      </c>
      <c r="R6">
        <f>IF(F6="",0,IFNA(VLOOKUP(F6,Trait_Polarity!$A:$C,3,FALSE),0))+IF(G6="",0,IFNA(VLOOKUP(G6,Trait_Polarity!$A:$C,3,FALSE),0))</f>
        <v/>
      </c>
      <c r="S6">
        <f>IF(P6="P",(M6+N6+O6)/3,0.3*H6+0.3*I6+0.2*J6+0.1*K6+0.1*L6)</f>
        <v/>
      </c>
      <c r="T6">
        <f>IF(P6="P",IFNA(VLOOKUP(B6,Pitcher_RoleAdj!$A:$B,2,FALSE),0),IFNA(VLOOKUP(B6,Hitter_PrimaryAdj!$A:$B,2,FALSE),0))</f>
        <v/>
      </c>
      <c r="U6">
        <f>IFNA(VLOOKUP(IF(C6="","(none)",C6),SecondaryAdj!$A:$B,2,FALSE),0)</f>
        <v/>
      </c>
      <c r="V6">
        <f>IF(P6="P",0.7780+0.1628*S6+0.2957*Q6-0.1912*R6-0.1512*IF(D6="S",1,0)+0.1600*IF(E6="L",1,0)+0.0091*H6+0.0124*I6+0.0017*J6+T6+U6,-0.8294+0.1849*S6+0.1750*Q6-0.2969*R6+0.6924*IF(D6="S",1,0)+0.0457*IF(E6="L",1,0)+T6+U6)</f>
        <v/>
      </c>
      <c r="W6">
        <f>MAX(0,MIN(16,ROUND(V6,0)))</f>
        <v/>
      </c>
      <c r="X6">
        <f>IFNA(VLOOKUP(W6,Grade_Scale!$A:$B,2,FALSE),"F")</f>
        <v/>
      </c>
      <c r="Z6">
        <f>IF(Y6="","",W6-IFNA(VLOOKUP(Y6,Grade_Scale!$D:$E,2,FALSE),""))</f>
        <v/>
      </c>
    </row>
    <row r="7">
      <c r="P7">
        <f>IF(OR(B7="SP",B7="RP",B7="CP",B7="SP/RP"),"P","H")</f>
        <v/>
      </c>
      <c r="Q7">
        <f>IF(F7="",0,IFNA(VLOOKUP(F7,Trait_Polarity!$A:$C,2,FALSE),0))+IF(G7="",0,IFNA(VLOOKUP(G7,Trait_Polarity!$A:$C,2,FALSE),0))</f>
        <v/>
      </c>
      <c r="R7">
        <f>IF(F7="",0,IFNA(VLOOKUP(F7,Trait_Polarity!$A:$C,3,FALSE),0))+IF(G7="",0,IFNA(VLOOKUP(G7,Trait_Polarity!$A:$C,3,FALSE),0))</f>
        <v/>
      </c>
      <c r="S7">
        <f>IF(P7="P",(M7+N7+O7)/3,0.3*H7+0.3*I7+0.2*J7+0.1*K7+0.1*L7)</f>
        <v/>
      </c>
      <c r="T7">
        <f>IF(P7="P",IFNA(VLOOKUP(B7,Pitcher_RoleAdj!$A:$B,2,FALSE),0),IFNA(VLOOKUP(B7,Hitter_PrimaryAdj!$A:$B,2,FALSE),0))</f>
        <v/>
      </c>
      <c r="U7">
        <f>IFNA(VLOOKUP(IF(C7="","(none)",C7),SecondaryAdj!$A:$B,2,FALSE),0)</f>
        <v/>
      </c>
      <c r="V7">
        <f>IF(P7="P",0.7780+0.1628*S7+0.2957*Q7-0.1912*R7-0.1512*IF(D7="S",1,0)+0.1600*IF(E7="L",1,0)+0.0091*H7+0.0124*I7+0.0017*J7+T7+U7,-0.8294+0.1849*S7+0.1750*Q7-0.2969*R7+0.6924*IF(D7="S",1,0)+0.0457*IF(E7="L",1,0)+T7+U7)</f>
        <v/>
      </c>
      <c r="W7">
        <f>MAX(0,MIN(16,ROUND(V7,0)))</f>
        <v/>
      </c>
      <c r="X7">
        <f>IFNA(VLOOKUP(W7,Grade_Scale!$A:$B,2,FALSE),"F")</f>
        <v/>
      </c>
      <c r="Z7">
        <f>IF(Y7="","",W7-IFNA(VLOOKUP(Y7,Grade_Scale!$D:$E,2,FALSE),""))</f>
        <v/>
      </c>
    </row>
    <row r="8">
      <c r="P8">
        <f>IF(OR(B8="SP",B8="RP",B8="CP",B8="SP/RP"),"P","H")</f>
        <v/>
      </c>
      <c r="Q8">
        <f>IF(F8="",0,IFNA(VLOOKUP(F8,Trait_Polarity!$A:$C,2,FALSE),0))+IF(G8="",0,IFNA(VLOOKUP(G8,Trait_Polarity!$A:$C,2,FALSE),0))</f>
        <v/>
      </c>
      <c r="R8">
        <f>IF(F8="",0,IFNA(VLOOKUP(F8,Trait_Polarity!$A:$C,3,FALSE),0))+IF(G8="",0,IFNA(VLOOKUP(G8,Trait_Polarity!$A:$C,3,FALSE),0))</f>
        <v/>
      </c>
      <c r="S8">
        <f>IF(P8="P",(M8+N8+O8)/3,0.3*H8+0.3*I8+0.2*J8+0.1*K8+0.1*L8)</f>
        <v/>
      </c>
      <c r="T8">
        <f>IF(P8="P",IFNA(VLOOKUP(B8,Pitcher_RoleAdj!$A:$B,2,FALSE),0),IFNA(VLOOKUP(B8,Hitter_PrimaryAdj!$A:$B,2,FALSE),0))</f>
        <v/>
      </c>
      <c r="U8">
        <f>IFNA(VLOOKUP(IF(C8="","(none)",C8),SecondaryAdj!$A:$B,2,FALSE),0)</f>
        <v/>
      </c>
      <c r="V8">
        <f>IF(P8="P",0.7780+0.1628*S8+0.2957*Q8-0.1912*R8-0.1512*IF(D8="S",1,0)+0.1600*IF(E8="L",1,0)+0.0091*H8+0.0124*I8+0.0017*J8+T8+U8,-0.8294+0.1849*S8+0.1750*Q8-0.2969*R8+0.6924*IF(D8="S",1,0)+0.0457*IF(E8="L",1,0)+T8+U8)</f>
        <v/>
      </c>
      <c r="W8">
        <f>MAX(0,MIN(16,ROUND(V8,0)))</f>
        <v/>
      </c>
      <c r="X8">
        <f>IFNA(VLOOKUP(W8,Grade_Scale!$A:$B,2,FALSE),"F")</f>
        <v/>
      </c>
      <c r="Z8">
        <f>IF(Y8="","",W8-IFNA(VLOOKUP(Y8,Grade_Scale!$D:$E,2,FALSE),""))</f>
        <v/>
      </c>
    </row>
    <row r="9">
      <c r="P9">
        <f>IF(OR(B9="SP",B9="RP",B9="CP",B9="SP/RP"),"P","H")</f>
        <v/>
      </c>
      <c r="Q9">
        <f>IF(F9="",0,IFNA(VLOOKUP(F9,Trait_Polarity!$A:$C,2,FALSE),0))+IF(G9="",0,IFNA(VLOOKUP(G9,Trait_Polarity!$A:$C,2,FALSE),0))</f>
        <v/>
      </c>
      <c r="R9">
        <f>IF(F9="",0,IFNA(VLOOKUP(F9,Trait_Polarity!$A:$C,3,FALSE),0))+IF(G9="",0,IFNA(VLOOKUP(G9,Trait_Polarity!$A:$C,3,FALSE),0))</f>
        <v/>
      </c>
      <c r="S9">
        <f>IF(P9="P",(M9+N9+O9)/3,0.3*H9+0.3*I9+0.2*J9+0.1*K9+0.1*L9)</f>
        <v/>
      </c>
      <c r="T9">
        <f>IF(P9="P",IFNA(VLOOKUP(B9,Pitcher_RoleAdj!$A:$B,2,FALSE),0),IFNA(VLOOKUP(B9,Hitter_PrimaryAdj!$A:$B,2,FALSE),0))</f>
        <v/>
      </c>
      <c r="U9">
        <f>IFNA(VLOOKUP(IF(C9="","(none)",C9),SecondaryAdj!$A:$B,2,FALSE),0)</f>
        <v/>
      </c>
      <c r="V9">
        <f>IF(P9="P",0.7780+0.1628*S9+0.2957*Q9-0.1912*R9-0.1512*IF(D9="S",1,0)+0.1600*IF(E9="L",1,0)+0.0091*H9+0.0124*I9+0.0017*J9+T9+U9,-0.8294+0.1849*S9+0.1750*Q9-0.2969*R9+0.6924*IF(D9="S",1,0)+0.0457*IF(E9="L",1,0)+T9+U9)</f>
        <v/>
      </c>
      <c r="W9">
        <f>MAX(0,MIN(16,ROUND(V9,0)))</f>
        <v/>
      </c>
      <c r="X9">
        <f>IFNA(VLOOKUP(W9,Grade_Scale!$A:$B,2,FALSE),"F")</f>
        <v/>
      </c>
      <c r="Z9">
        <f>IF(Y9="","",W9-IFNA(VLOOKUP(Y9,Grade_Scale!$D:$E,2,FALSE),""))</f>
        <v/>
      </c>
    </row>
    <row r="10">
      <c r="P10">
        <f>IF(OR(B10="SP",B10="RP",B10="CP",B10="SP/RP"),"P","H")</f>
        <v/>
      </c>
      <c r="Q10">
        <f>IF(F10="",0,IFNA(VLOOKUP(F10,Trait_Polarity!$A:$C,2,FALSE),0))+IF(G10="",0,IFNA(VLOOKUP(G10,Trait_Polarity!$A:$C,2,FALSE),0))</f>
        <v/>
      </c>
      <c r="R10">
        <f>IF(F10="",0,IFNA(VLOOKUP(F10,Trait_Polarity!$A:$C,3,FALSE),0))+IF(G10="",0,IFNA(VLOOKUP(G10,Trait_Polarity!$A:$C,3,FALSE),0))</f>
        <v/>
      </c>
      <c r="S10">
        <f>IF(P10="P",(M10+N10+O10)/3,0.3*H10+0.3*I10+0.2*J10+0.1*K10+0.1*L10)</f>
        <v/>
      </c>
      <c r="T10">
        <f>IF(P10="P",IFNA(VLOOKUP(B10,Pitcher_RoleAdj!$A:$B,2,FALSE),0),IFNA(VLOOKUP(B10,Hitter_PrimaryAdj!$A:$B,2,FALSE),0))</f>
        <v/>
      </c>
      <c r="U10">
        <f>IFNA(VLOOKUP(IF(C10="","(none)",C10),SecondaryAdj!$A:$B,2,FALSE),0)</f>
        <v/>
      </c>
      <c r="V10">
        <f>IF(P10="P",0.7780+0.1628*S10+0.2957*Q10-0.1912*R10-0.1512*IF(D10="S",1,0)+0.1600*IF(E10="L",1,0)+0.0091*H10+0.0124*I10+0.0017*J10+T10+U10,-0.8294+0.1849*S10+0.1750*Q10-0.2969*R10+0.6924*IF(D10="S",1,0)+0.0457*IF(E10="L",1,0)+T10+U10)</f>
        <v/>
      </c>
      <c r="W10">
        <f>MAX(0,MIN(16,ROUND(V10,0)))</f>
        <v/>
      </c>
      <c r="X10">
        <f>IFNA(VLOOKUP(W10,Grade_Scale!$A:$B,2,FALSE),"F")</f>
        <v/>
      </c>
      <c r="Z10">
        <f>IF(Y10="","",W10-IFNA(VLOOKUP(Y10,Grade_Scale!$D:$E,2,FALSE),""))</f>
        <v/>
      </c>
    </row>
    <row r="11">
      <c r="P11">
        <f>IF(OR(B11="SP",B11="RP",B11="CP",B11="SP/RP"),"P","H")</f>
        <v/>
      </c>
      <c r="Q11">
        <f>IF(F11="",0,IFNA(VLOOKUP(F11,Trait_Polarity!$A:$C,2,FALSE),0))+IF(G11="",0,IFNA(VLOOKUP(G11,Trait_Polarity!$A:$C,2,FALSE),0))</f>
        <v/>
      </c>
      <c r="R11">
        <f>IF(F11="",0,IFNA(VLOOKUP(F11,Trait_Polarity!$A:$C,3,FALSE),0))+IF(G11="",0,IFNA(VLOOKUP(G11,Trait_Polarity!$A:$C,3,FALSE),0))</f>
        <v/>
      </c>
      <c r="S11">
        <f>IF(P11="P",(M11+N11+O11)/3,0.3*H11+0.3*I11+0.2*J11+0.1*K11+0.1*L11)</f>
        <v/>
      </c>
      <c r="T11">
        <f>IF(P11="P",IFNA(VLOOKUP(B11,Pitcher_RoleAdj!$A:$B,2,FALSE),0),IFNA(VLOOKUP(B11,Hitter_PrimaryAdj!$A:$B,2,FALSE),0))</f>
        <v/>
      </c>
      <c r="U11">
        <f>IFNA(VLOOKUP(IF(C11="","(none)",C11),SecondaryAdj!$A:$B,2,FALSE),0)</f>
        <v/>
      </c>
      <c r="V11">
        <f>IF(P11="P",0.7780+0.1628*S11+0.2957*Q11-0.1912*R11-0.1512*IF(D11="S",1,0)+0.1600*IF(E11="L",1,0)+0.0091*H11+0.0124*I11+0.0017*J11+T11+U11,-0.8294+0.1849*S11+0.1750*Q11-0.2969*R11+0.6924*IF(D11="S",1,0)+0.0457*IF(E11="L",1,0)+T11+U11)</f>
        <v/>
      </c>
      <c r="W11">
        <f>MAX(0,MIN(16,ROUND(V11,0)))</f>
        <v/>
      </c>
      <c r="X11">
        <f>IFNA(VLOOKUP(W11,Grade_Scale!$A:$B,2,FALSE),"F")</f>
        <v/>
      </c>
      <c r="Z11">
        <f>IF(Y11="","",W11-IFNA(VLOOKUP(Y11,Grade_Scale!$D:$E,2,FALSE),""))</f>
        <v/>
      </c>
    </row>
    <row r="12">
      <c r="P12">
        <f>IF(OR(B12="SP",B12="RP",B12="CP",B12="SP/RP"),"P","H")</f>
        <v/>
      </c>
      <c r="Q12">
        <f>IF(F12="",0,IFNA(VLOOKUP(F12,Trait_Polarity!$A:$C,2,FALSE),0))+IF(G12="",0,IFNA(VLOOKUP(G12,Trait_Polarity!$A:$C,2,FALSE),0))</f>
        <v/>
      </c>
      <c r="R12">
        <f>IF(F12="",0,IFNA(VLOOKUP(F12,Trait_Polarity!$A:$C,3,FALSE),0))+IF(G12="",0,IFNA(VLOOKUP(G12,Trait_Polarity!$A:$C,3,FALSE),0))</f>
        <v/>
      </c>
      <c r="S12">
        <f>IF(P12="P",(M12+N12+O12)/3,0.3*H12+0.3*I12+0.2*J12+0.1*K12+0.1*L12)</f>
        <v/>
      </c>
      <c r="T12">
        <f>IF(P12="P",IFNA(VLOOKUP(B12,Pitcher_RoleAdj!$A:$B,2,FALSE),0),IFNA(VLOOKUP(B12,Hitter_PrimaryAdj!$A:$B,2,FALSE),0))</f>
        <v/>
      </c>
      <c r="U12">
        <f>IFNA(VLOOKUP(IF(C12="","(none)",C12),SecondaryAdj!$A:$B,2,FALSE),0)</f>
        <v/>
      </c>
      <c r="V12">
        <f>IF(P12="P",0.7780+0.1628*S12+0.2957*Q12-0.1912*R12-0.1512*IF(D12="S",1,0)+0.1600*IF(E12="L",1,0)+0.0091*H12+0.0124*I12+0.0017*J12+T12+U12,-0.8294+0.1849*S12+0.1750*Q12-0.2969*R12+0.6924*IF(D12="S",1,0)+0.0457*IF(E12="L",1,0)+T12+U12)</f>
        <v/>
      </c>
      <c r="W12">
        <f>MAX(0,MIN(16,ROUND(V12,0)))</f>
        <v/>
      </c>
      <c r="X12">
        <f>IFNA(VLOOKUP(W12,Grade_Scale!$A:$B,2,FALSE),"F")</f>
        <v/>
      </c>
      <c r="Z12">
        <f>IF(Y12="","",W12-IFNA(VLOOKUP(Y12,Grade_Scale!$D:$E,2,FALSE),""))</f>
        <v/>
      </c>
    </row>
    <row r="13">
      <c r="P13">
        <f>IF(OR(B13="SP",B13="RP",B13="CP",B13="SP/RP"),"P","H")</f>
        <v/>
      </c>
      <c r="Q13">
        <f>IF(F13="",0,IFNA(VLOOKUP(F13,Trait_Polarity!$A:$C,2,FALSE),0))+IF(G13="",0,IFNA(VLOOKUP(G13,Trait_Polarity!$A:$C,2,FALSE),0))</f>
        <v/>
      </c>
      <c r="R13">
        <f>IF(F13="",0,IFNA(VLOOKUP(F13,Trait_Polarity!$A:$C,3,FALSE),0))+IF(G13="",0,IFNA(VLOOKUP(G13,Trait_Polarity!$A:$C,3,FALSE),0))</f>
        <v/>
      </c>
      <c r="S13">
        <f>IF(P13="P",(M13+N13+O13)/3,0.3*H13+0.3*I13+0.2*J13+0.1*K13+0.1*L13)</f>
        <v/>
      </c>
      <c r="T13">
        <f>IF(P13="P",IFNA(VLOOKUP(B13,Pitcher_RoleAdj!$A:$B,2,FALSE),0),IFNA(VLOOKUP(B13,Hitter_PrimaryAdj!$A:$B,2,FALSE),0))</f>
        <v/>
      </c>
      <c r="U13">
        <f>IFNA(VLOOKUP(IF(C13="","(none)",C13),SecondaryAdj!$A:$B,2,FALSE),0)</f>
        <v/>
      </c>
      <c r="V13">
        <f>IF(P13="P",0.7780+0.1628*S13+0.2957*Q13-0.1912*R13-0.1512*IF(D13="S",1,0)+0.1600*IF(E13="L",1,0)+0.0091*H13+0.0124*I13+0.0017*J13+T13+U13,-0.8294+0.1849*S13+0.1750*Q13-0.2969*R13+0.6924*IF(D13="S",1,0)+0.0457*IF(E13="L",1,0)+T13+U13)</f>
        <v/>
      </c>
      <c r="W13">
        <f>MAX(0,MIN(16,ROUND(V13,0)))</f>
        <v/>
      </c>
      <c r="X13">
        <f>IFNA(VLOOKUP(W13,Grade_Scale!$A:$B,2,FALSE),"F")</f>
        <v/>
      </c>
      <c r="Z13">
        <f>IF(Y13="","",W13-IFNA(VLOOKUP(Y13,Grade_Scale!$D:$E,2,FALSE),""))</f>
        <v/>
      </c>
    </row>
    <row r="14">
      <c r="P14">
        <f>IF(OR(B14="SP",B14="RP",B14="CP",B14="SP/RP"),"P","H")</f>
        <v/>
      </c>
      <c r="Q14">
        <f>IF(F14="",0,IFNA(VLOOKUP(F14,Trait_Polarity!$A:$C,2,FALSE),0))+IF(G14="",0,IFNA(VLOOKUP(G14,Trait_Polarity!$A:$C,2,FALSE),0))</f>
        <v/>
      </c>
      <c r="R14">
        <f>IF(F14="",0,IFNA(VLOOKUP(F14,Trait_Polarity!$A:$C,3,FALSE),0))+IF(G14="",0,IFNA(VLOOKUP(G14,Trait_Polarity!$A:$C,3,FALSE),0))</f>
        <v/>
      </c>
      <c r="S14">
        <f>IF(P14="P",(M14+N14+O14)/3,0.3*H14+0.3*I14+0.2*J14+0.1*K14+0.1*L14)</f>
        <v/>
      </c>
      <c r="T14">
        <f>IF(P14="P",IFNA(VLOOKUP(B14,Pitcher_RoleAdj!$A:$B,2,FALSE),0),IFNA(VLOOKUP(B14,Hitter_PrimaryAdj!$A:$B,2,FALSE),0))</f>
        <v/>
      </c>
      <c r="U14">
        <f>IFNA(VLOOKUP(IF(C14="","(none)",C14),SecondaryAdj!$A:$B,2,FALSE),0)</f>
        <v/>
      </c>
      <c r="V14">
        <f>IF(P14="P",0.7780+0.1628*S14+0.2957*Q14-0.1912*R14-0.1512*IF(D14="S",1,0)+0.1600*IF(E14="L",1,0)+0.0091*H14+0.0124*I14+0.0017*J14+T14+U14,-0.8294+0.1849*S14+0.1750*Q14-0.2969*R14+0.6924*IF(D14="S",1,0)+0.0457*IF(E14="L",1,0)+T14+U14)</f>
        <v/>
      </c>
      <c r="W14">
        <f>MAX(0,MIN(16,ROUND(V14,0)))</f>
        <v/>
      </c>
      <c r="X14">
        <f>IFNA(VLOOKUP(W14,Grade_Scale!$A:$B,2,FALSE),"F")</f>
        <v/>
      </c>
      <c r="Z14">
        <f>IF(Y14="","",W14-IFNA(VLOOKUP(Y14,Grade_Scale!$D:$E,2,FALSE),""))</f>
        <v/>
      </c>
    </row>
    <row r="15">
      <c r="P15">
        <f>IF(OR(B15="SP",B15="RP",B15="CP",B15="SP/RP"),"P","H")</f>
        <v/>
      </c>
      <c r="Q15">
        <f>IF(F15="",0,IFNA(VLOOKUP(F15,Trait_Polarity!$A:$C,2,FALSE),0))+IF(G15="",0,IFNA(VLOOKUP(G15,Trait_Polarity!$A:$C,2,FALSE),0))</f>
        <v/>
      </c>
      <c r="R15">
        <f>IF(F15="",0,IFNA(VLOOKUP(F15,Trait_Polarity!$A:$C,3,FALSE),0))+IF(G15="",0,IFNA(VLOOKUP(G15,Trait_Polarity!$A:$C,3,FALSE),0))</f>
        <v/>
      </c>
      <c r="S15">
        <f>IF(P15="P",(M15+N15+O15)/3,0.3*H15+0.3*I15+0.2*J15+0.1*K15+0.1*L15)</f>
        <v/>
      </c>
      <c r="T15">
        <f>IF(P15="P",IFNA(VLOOKUP(B15,Pitcher_RoleAdj!$A:$B,2,FALSE),0),IFNA(VLOOKUP(B15,Hitter_PrimaryAdj!$A:$B,2,FALSE),0))</f>
        <v/>
      </c>
      <c r="U15">
        <f>IFNA(VLOOKUP(IF(C15="","(none)",C15),SecondaryAdj!$A:$B,2,FALSE),0)</f>
        <v/>
      </c>
      <c r="V15">
        <f>IF(P15="P",0.7780+0.1628*S15+0.2957*Q15-0.1912*R15-0.1512*IF(D15="S",1,0)+0.1600*IF(E15="L",1,0)+0.0091*H15+0.0124*I15+0.0017*J15+T15+U15,-0.8294+0.1849*S15+0.1750*Q15-0.2969*R15+0.6924*IF(D15="S",1,0)+0.0457*IF(E15="L",1,0)+T15+U15)</f>
        <v/>
      </c>
      <c r="W15">
        <f>MAX(0,MIN(16,ROUND(V15,0)))</f>
        <v/>
      </c>
      <c r="X15">
        <f>IFNA(VLOOKUP(W15,Grade_Scale!$A:$B,2,FALSE),"F")</f>
        <v/>
      </c>
      <c r="Z15">
        <f>IF(Y15="","",W15-IFNA(VLOOKUP(Y15,Grade_Scale!$D:$E,2,FALSE),""))</f>
        <v/>
      </c>
    </row>
    <row r="16">
      <c r="P16">
        <f>IF(OR(B16="SP",B16="RP",B16="CP",B16="SP/RP"),"P","H")</f>
        <v/>
      </c>
      <c r="Q16">
        <f>IF(F16="",0,IFNA(VLOOKUP(F16,Trait_Polarity!$A:$C,2,FALSE),0))+IF(G16="",0,IFNA(VLOOKUP(G16,Trait_Polarity!$A:$C,2,FALSE),0))</f>
        <v/>
      </c>
      <c r="R16">
        <f>IF(F16="",0,IFNA(VLOOKUP(F16,Trait_Polarity!$A:$C,3,FALSE),0))+IF(G16="",0,IFNA(VLOOKUP(G16,Trait_Polarity!$A:$C,3,FALSE),0))</f>
        <v/>
      </c>
      <c r="S16">
        <f>IF(P16="P",(M16+N16+O16)/3,0.3*H16+0.3*I16+0.2*J16+0.1*K16+0.1*L16)</f>
        <v/>
      </c>
      <c r="T16">
        <f>IF(P16="P",IFNA(VLOOKUP(B16,Pitcher_RoleAdj!$A:$B,2,FALSE),0),IFNA(VLOOKUP(B16,Hitter_PrimaryAdj!$A:$B,2,FALSE),0))</f>
        <v/>
      </c>
      <c r="U16">
        <f>IFNA(VLOOKUP(IF(C16="","(none)",C16),SecondaryAdj!$A:$B,2,FALSE),0)</f>
        <v/>
      </c>
      <c r="V16">
        <f>IF(P16="P",0.7780+0.1628*S16+0.2957*Q16-0.1912*R16-0.1512*IF(D16="S",1,0)+0.1600*IF(E16="L",1,0)+0.0091*H16+0.0124*I16+0.0017*J16+T16+U16,-0.8294+0.1849*S16+0.1750*Q16-0.2969*R16+0.6924*IF(D16="S",1,0)+0.0457*IF(E16="L",1,0)+T16+U16)</f>
        <v/>
      </c>
      <c r="W16">
        <f>MAX(0,MIN(16,ROUND(V16,0)))</f>
        <v/>
      </c>
      <c r="X16">
        <f>IFNA(VLOOKUP(W16,Grade_Scale!$A:$B,2,FALSE),"F")</f>
        <v/>
      </c>
      <c r="Z16">
        <f>IF(Y16="","",W16-IFNA(VLOOKUP(Y16,Grade_Scale!$D:$E,2,FALSE),""))</f>
        <v/>
      </c>
    </row>
    <row r="17">
      <c r="P17">
        <f>IF(OR(B17="SP",B17="RP",B17="CP",B17="SP/RP"),"P","H")</f>
        <v/>
      </c>
      <c r="Q17">
        <f>IF(F17="",0,IFNA(VLOOKUP(F17,Trait_Polarity!$A:$C,2,FALSE),0))+IF(G17="",0,IFNA(VLOOKUP(G17,Trait_Polarity!$A:$C,2,FALSE),0))</f>
        <v/>
      </c>
      <c r="R17">
        <f>IF(F17="",0,IFNA(VLOOKUP(F17,Trait_Polarity!$A:$C,3,FALSE),0))+IF(G17="",0,IFNA(VLOOKUP(G17,Trait_Polarity!$A:$C,3,FALSE),0))</f>
        <v/>
      </c>
      <c r="S17">
        <f>IF(P17="P",(M17+N17+O17)/3,0.3*H17+0.3*I17+0.2*J17+0.1*K17+0.1*L17)</f>
        <v/>
      </c>
      <c r="T17">
        <f>IF(P17="P",IFNA(VLOOKUP(B17,Pitcher_RoleAdj!$A:$B,2,FALSE),0),IFNA(VLOOKUP(B17,Hitter_PrimaryAdj!$A:$B,2,FALSE),0))</f>
        <v/>
      </c>
      <c r="U17">
        <f>IFNA(VLOOKUP(IF(C17="","(none)",C17),SecondaryAdj!$A:$B,2,FALSE),0)</f>
        <v/>
      </c>
      <c r="V17">
        <f>IF(P17="P",0.7780+0.1628*S17+0.2957*Q17-0.1912*R17-0.1512*IF(D17="S",1,0)+0.1600*IF(E17="L",1,0)+0.0091*H17+0.0124*I17+0.0017*J17+T17+U17,-0.8294+0.1849*S17+0.1750*Q17-0.2969*R17+0.6924*IF(D17="S",1,0)+0.0457*IF(E17="L",1,0)+T17+U17)</f>
        <v/>
      </c>
      <c r="W17">
        <f>MAX(0,MIN(16,ROUND(V17,0)))</f>
        <v/>
      </c>
      <c r="X17">
        <f>IFNA(VLOOKUP(W17,Grade_Scale!$A:$B,2,FALSE),"F")</f>
        <v/>
      </c>
      <c r="Z17">
        <f>IF(Y17="","",W17-IFNA(VLOOKUP(Y17,Grade_Scale!$D:$E,2,FALSE),""))</f>
        <v/>
      </c>
    </row>
    <row r="18">
      <c r="P18">
        <f>IF(OR(B18="SP",B18="RP",B18="CP",B18="SP/RP"),"P","H")</f>
        <v/>
      </c>
      <c r="Q18">
        <f>IF(F18="",0,IFNA(VLOOKUP(F18,Trait_Polarity!$A:$C,2,FALSE),0))+IF(G18="",0,IFNA(VLOOKUP(G18,Trait_Polarity!$A:$C,2,FALSE),0))</f>
        <v/>
      </c>
      <c r="R18">
        <f>IF(F18="",0,IFNA(VLOOKUP(F18,Trait_Polarity!$A:$C,3,FALSE),0))+IF(G18="",0,IFNA(VLOOKUP(G18,Trait_Polarity!$A:$C,3,FALSE),0))</f>
        <v/>
      </c>
      <c r="S18">
        <f>IF(P18="P",(M18+N18+O18)/3,0.3*H18+0.3*I18+0.2*J18+0.1*K18+0.1*L18)</f>
        <v/>
      </c>
      <c r="T18">
        <f>IF(P18="P",IFNA(VLOOKUP(B18,Pitcher_RoleAdj!$A:$B,2,FALSE),0),IFNA(VLOOKUP(B18,Hitter_PrimaryAdj!$A:$B,2,FALSE),0))</f>
        <v/>
      </c>
      <c r="U18">
        <f>IFNA(VLOOKUP(IF(C18="","(none)",C18),SecondaryAdj!$A:$B,2,FALSE),0)</f>
        <v/>
      </c>
      <c r="V18">
        <f>IF(P18="P",0.7780+0.1628*S18+0.2957*Q18-0.1912*R18-0.1512*IF(D18="S",1,0)+0.1600*IF(E18="L",1,0)+0.0091*H18+0.0124*I18+0.0017*J18+T18+U18,-0.8294+0.1849*S18+0.1750*Q18-0.2969*R18+0.6924*IF(D18="S",1,0)+0.0457*IF(E18="L",1,0)+T18+U18)</f>
        <v/>
      </c>
      <c r="W18">
        <f>MAX(0,MIN(16,ROUND(V18,0)))</f>
        <v/>
      </c>
      <c r="X18">
        <f>IFNA(VLOOKUP(W18,Grade_Scale!$A:$B,2,FALSE),"F")</f>
        <v/>
      </c>
      <c r="Z18">
        <f>IF(Y18="","",W18-IFNA(VLOOKUP(Y18,Grade_Scale!$D:$E,2,FALSE),""))</f>
        <v/>
      </c>
    </row>
    <row r="19">
      <c r="P19">
        <f>IF(OR(B19="SP",B19="RP",B19="CP",B19="SP/RP"),"P","H")</f>
        <v/>
      </c>
      <c r="Q19">
        <f>IF(F19="",0,IFNA(VLOOKUP(F19,Trait_Polarity!$A:$C,2,FALSE),0))+IF(G19="",0,IFNA(VLOOKUP(G19,Trait_Polarity!$A:$C,2,FALSE),0))</f>
        <v/>
      </c>
      <c r="R19">
        <f>IF(F19="",0,IFNA(VLOOKUP(F19,Trait_Polarity!$A:$C,3,FALSE),0))+IF(G19="",0,IFNA(VLOOKUP(G19,Trait_Polarity!$A:$C,3,FALSE),0))</f>
        <v/>
      </c>
      <c r="S19">
        <f>IF(P19="P",(M19+N19+O19)/3,0.3*H19+0.3*I19+0.2*J19+0.1*K19+0.1*L19)</f>
        <v/>
      </c>
      <c r="T19">
        <f>IF(P19="P",IFNA(VLOOKUP(B19,Pitcher_RoleAdj!$A:$B,2,FALSE),0),IFNA(VLOOKUP(B19,Hitter_PrimaryAdj!$A:$B,2,FALSE),0))</f>
        <v/>
      </c>
      <c r="U19">
        <f>IFNA(VLOOKUP(IF(C19="","(none)",C19),SecondaryAdj!$A:$B,2,FALSE),0)</f>
        <v/>
      </c>
      <c r="V19">
        <f>IF(P19="P",0.7780+0.1628*S19+0.2957*Q19-0.1912*R19-0.1512*IF(D19="S",1,0)+0.1600*IF(E19="L",1,0)+0.0091*H19+0.0124*I19+0.0017*J19+T19+U19,-0.8294+0.1849*S19+0.1750*Q19-0.2969*R19+0.6924*IF(D19="S",1,0)+0.0457*IF(E19="L",1,0)+T19+U19)</f>
        <v/>
      </c>
      <c r="W19">
        <f>MAX(0,MIN(16,ROUND(V19,0)))</f>
        <v/>
      </c>
      <c r="X19">
        <f>IFNA(VLOOKUP(W19,Grade_Scale!$A:$B,2,FALSE),"F")</f>
        <v/>
      </c>
      <c r="Z19">
        <f>IF(Y19="","",W19-IFNA(VLOOKUP(Y19,Grade_Scale!$D:$E,2,FALSE),""))</f>
        <v/>
      </c>
    </row>
    <row r="20">
      <c r="P20">
        <f>IF(OR(B20="SP",B20="RP",B20="CP",B20="SP/RP"),"P","H")</f>
        <v/>
      </c>
      <c r="Q20">
        <f>IF(F20="",0,IFNA(VLOOKUP(F20,Trait_Polarity!$A:$C,2,FALSE),0))+IF(G20="",0,IFNA(VLOOKUP(G20,Trait_Polarity!$A:$C,2,FALSE),0))</f>
        <v/>
      </c>
      <c r="R20">
        <f>IF(F20="",0,IFNA(VLOOKUP(F20,Trait_Polarity!$A:$C,3,FALSE),0))+IF(G20="",0,IFNA(VLOOKUP(G20,Trait_Polarity!$A:$C,3,FALSE),0))</f>
        <v/>
      </c>
      <c r="S20">
        <f>IF(P20="P",(M20+N20+O20)/3,0.3*H20+0.3*I20+0.2*J20+0.1*K20+0.1*L20)</f>
        <v/>
      </c>
      <c r="T20">
        <f>IF(P20="P",IFNA(VLOOKUP(B20,Pitcher_RoleAdj!$A:$B,2,FALSE),0),IFNA(VLOOKUP(B20,Hitter_PrimaryAdj!$A:$B,2,FALSE),0))</f>
        <v/>
      </c>
      <c r="U20">
        <f>IFNA(VLOOKUP(IF(C20="","(none)",C20),SecondaryAdj!$A:$B,2,FALSE),0)</f>
        <v/>
      </c>
      <c r="V20">
        <f>IF(P20="P",0.7780+0.1628*S20+0.2957*Q20-0.1912*R20-0.1512*IF(D20="S",1,0)+0.1600*IF(E20="L",1,0)+0.0091*H20+0.0124*I20+0.0017*J20+T20+U20,-0.8294+0.1849*S20+0.1750*Q20-0.2969*R20+0.6924*IF(D20="S",1,0)+0.0457*IF(E20="L",1,0)+T20+U20)</f>
        <v/>
      </c>
      <c r="W20">
        <f>MAX(0,MIN(16,ROUND(V20,0)))</f>
        <v/>
      </c>
      <c r="X20">
        <f>IFNA(VLOOKUP(W20,Grade_Scale!$A:$B,2,FALSE),"F")</f>
        <v/>
      </c>
      <c r="Z20">
        <f>IF(Y20="","",W20-IFNA(VLOOKUP(Y20,Grade_Scale!$D:$E,2,FALSE),""))</f>
        <v/>
      </c>
    </row>
    <row r="21">
      <c r="P21">
        <f>IF(OR(B21="SP",B21="RP",B21="CP",B21="SP/RP"),"P","H")</f>
        <v/>
      </c>
      <c r="Q21">
        <f>IF(F21="",0,IFNA(VLOOKUP(F21,Trait_Polarity!$A:$C,2,FALSE),0))+IF(G21="",0,IFNA(VLOOKUP(G21,Trait_Polarity!$A:$C,2,FALSE),0))</f>
        <v/>
      </c>
      <c r="R21">
        <f>IF(F21="",0,IFNA(VLOOKUP(F21,Trait_Polarity!$A:$C,3,FALSE),0))+IF(G21="",0,IFNA(VLOOKUP(G21,Trait_Polarity!$A:$C,3,FALSE),0))</f>
        <v/>
      </c>
      <c r="S21">
        <f>IF(P21="P",(M21+N21+O21)/3,0.3*H21+0.3*I21+0.2*J21+0.1*K21+0.1*L21)</f>
        <v/>
      </c>
      <c r="T21">
        <f>IF(P21="P",IFNA(VLOOKUP(B21,Pitcher_RoleAdj!$A:$B,2,FALSE),0),IFNA(VLOOKUP(B21,Hitter_PrimaryAdj!$A:$B,2,FALSE),0))</f>
        <v/>
      </c>
      <c r="U21">
        <f>IFNA(VLOOKUP(IF(C21="","(none)",C21),SecondaryAdj!$A:$B,2,FALSE),0)</f>
        <v/>
      </c>
      <c r="V21">
        <f>IF(P21="P",0.7780+0.1628*S21+0.2957*Q21-0.1912*R21-0.1512*IF(D21="S",1,0)+0.1600*IF(E21="L",1,0)+0.0091*H21+0.0124*I21+0.0017*J21+T21+U21,-0.8294+0.1849*S21+0.1750*Q21-0.2969*R21+0.6924*IF(D21="S",1,0)+0.0457*IF(E21="L",1,0)+T21+U21)</f>
        <v/>
      </c>
      <c r="W21">
        <f>MAX(0,MIN(16,ROUND(V21,0)))</f>
        <v/>
      </c>
      <c r="X21">
        <f>IFNA(VLOOKUP(W21,Grade_Scale!$A:$B,2,FALSE),"F")</f>
        <v/>
      </c>
      <c r="Z21">
        <f>IF(Y21="","",W21-IFNA(VLOOKUP(Y21,Grade_Scale!$D:$E,2,FALSE),""))</f>
        <v/>
      </c>
    </row>
    <row r="22">
      <c r="P22">
        <f>IF(OR(B22="SP",B22="RP",B22="CP",B22="SP/RP"),"P","H")</f>
        <v/>
      </c>
      <c r="Q22">
        <f>IF(F22="",0,IFNA(VLOOKUP(F22,Trait_Polarity!$A:$C,2,FALSE),0))+IF(G22="",0,IFNA(VLOOKUP(G22,Trait_Polarity!$A:$C,2,FALSE),0))</f>
        <v/>
      </c>
      <c r="R22">
        <f>IF(F22="",0,IFNA(VLOOKUP(F22,Trait_Polarity!$A:$C,3,FALSE),0))+IF(G22="",0,IFNA(VLOOKUP(G22,Trait_Polarity!$A:$C,3,FALSE),0))</f>
        <v/>
      </c>
      <c r="S22">
        <f>IF(P22="P",(M22+N22+O22)/3,0.3*H22+0.3*I22+0.2*J22+0.1*K22+0.1*L22)</f>
        <v/>
      </c>
      <c r="T22">
        <f>IF(P22="P",IFNA(VLOOKUP(B22,Pitcher_RoleAdj!$A:$B,2,FALSE),0),IFNA(VLOOKUP(B22,Hitter_PrimaryAdj!$A:$B,2,FALSE),0))</f>
        <v/>
      </c>
      <c r="U22">
        <f>IFNA(VLOOKUP(IF(C22="","(none)",C22),SecondaryAdj!$A:$B,2,FALSE),0)</f>
        <v/>
      </c>
      <c r="V22">
        <f>IF(P22="P",0.7780+0.1628*S22+0.2957*Q22-0.1912*R22-0.1512*IF(D22="S",1,0)+0.1600*IF(E22="L",1,0)+0.0091*H22+0.0124*I22+0.0017*J22+T22+U22,-0.8294+0.1849*S22+0.1750*Q22-0.2969*R22+0.6924*IF(D22="S",1,0)+0.0457*IF(E22="L",1,0)+T22+U22)</f>
        <v/>
      </c>
      <c r="W22">
        <f>MAX(0,MIN(16,ROUND(V22,0)))</f>
        <v/>
      </c>
      <c r="X22">
        <f>IFNA(VLOOKUP(W22,Grade_Scale!$A:$B,2,FALSE),"F")</f>
        <v/>
      </c>
      <c r="Z22">
        <f>IF(Y22="","",W22-IFNA(VLOOKUP(Y22,Grade_Scale!$D:$E,2,FALSE),""))</f>
        <v/>
      </c>
    </row>
    <row r="23">
      <c r="P23">
        <f>IF(OR(B23="SP",B23="RP",B23="CP",B23="SP/RP"),"P","H")</f>
        <v/>
      </c>
      <c r="Q23">
        <f>IF(F23="",0,IFNA(VLOOKUP(F23,Trait_Polarity!$A:$C,2,FALSE),0))+IF(G23="",0,IFNA(VLOOKUP(G23,Trait_Polarity!$A:$C,2,FALSE),0))</f>
        <v/>
      </c>
      <c r="R23">
        <f>IF(F23="",0,IFNA(VLOOKUP(F23,Trait_Polarity!$A:$C,3,FALSE),0))+IF(G23="",0,IFNA(VLOOKUP(G23,Trait_Polarity!$A:$C,3,FALSE),0))</f>
        <v/>
      </c>
      <c r="S23">
        <f>IF(P23="P",(M23+N23+O23)/3,0.3*H23+0.3*I23+0.2*J23+0.1*K23+0.1*L23)</f>
        <v/>
      </c>
      <c r="T23">
        <f>IF(P23="P",IFNA(VLOOKUP(B23,Pitcher_RoleAdj!$A:$B,2,FALSE),0),IFNA(VLOOKUP(B23,Hitter_PrimaryAdj!$A:$B,2,FALSE),0))</f>
        <v/>
      </c>
      <c r="U23">
        <f>IFNA(VLOOKUP(IF(C23="","(none)",C23),SecondaryAdj!$A:$B,2,FALSE),0)</f>
        <v/>
      </c>
      <c r="V23">
        <f>IF(P23="P",0.7780+0.1628*S23+0.2957*Q23-0.1912*R23-0.1512*IF(D23="S",1,0)+0.1600*IF(E23="L",1,0)+0.0091*H23+0.0124*I23+0.0017*J23+T23+U23,-0.8294+0.1849*S23+0.1750*Q23-0.2969*R23+0.6924*IF(D23="S",1,0)+0.0457*IF(E23="L",1,0)+T23+U23)</f>
        <v/>
      </c>
      <c r="W23">
        <f>MAX(0,MIN(16,ROUND(V23,0)))</f>
        <v/>
      </c>
      <c r="X23">
        <f>IFNA(VLOOKUP(W23,Grade_Scale!$A:$B,2,FALSE),"F")</f>
        <v/>
      </c>
      <c r="Z23">
        <f>IF(Y23="","",W23-IFNA(VLOOKUP(Y23,Grade_Scale!$D:$E,2,FALSE),""))</f>
        <v/>
      </c>
    </row>
    <row r="24">
      <c r="P24">
        <f>IF(OR(B24="SP",B24="RP",B24="CP",B24="SP/RP"),"P","H")</f>
        <v/>
      </c>
      <c r="Q24">
        <f>IF(F24="",0,IFNA(VLOOKUP(F24,Trait_Polarity!$A:$C,2,FALSE),0))+IF(G24="",0,IFNA(VLOOKUP(G24,Trait_Polarity!$A:$C,2,FALSE),0))</f>
        <v/>
      </c>
      <c r="R24">
        <f>IF(F24="",0,IFNA(VLOOKUP(F24,Trait_Polarity!$A:$C,3,FALSE),0))+IF(G24="",0,IFNA(VLOOKUP(G24,Trait_Polarity!$A:$C,3,FALSE),0))</f>
        <v/>
      </c>
      <c r="S24">
        <f>IF(P24="P",(M24+N24+O24)/3,0.3*H24+0.3*I24+0.2*J24+0.1*K24+0.1*L24)</f>
        <v/>
      </c>
      <c r="T24">
        <f>IF(P24="P",IFNA(VLOOKUP(B24,Pitcher_RoleAdj!$A:$B,2,FALSE),0),IFNA(VLOOKUP(B24,Hitter_PrimaryAdj!$A:$B,2,FALSE),0))</f>
        <v/>
      </c>
      <c r="U24">
        <f>IFNA(VLOOKUP(IF(C24="","(none)",C24),SecondaryAdj!$A:$B,2,FALSE),0)</f>
        <v/>
      </c>
      <c r="V24">
        <f>IF(P24="P",0.7780+0.1628*S24+0.2957*Q24-0.1912*R24-0.1512*IF(D24="S",1,0)+0.1600*IF(E24="L",1,0)+0.0091*H24+0.0124*I24+0.0017*J24+T24+U24,-0.8294+0.1849*S24+0.1750*Q24-0.2969*R24+0.6924*IF(D24="S",1,0)+0.0457*IF(E24="L",1,0)+T24+U24)</f>
        <v/>
      </c>
      <c r="W24">
        <f>MAX(0,MIN(16,ROUND(V24,0)))</f>
        <v/>
      </c>
      <c r="X24">
        <f>IFNA(VLOOKUP(W24,Grade_Scale!$A:$B,2,FALSE),"F")</f>
        <v/>
      </c>
      <c r="Z24">
        <f>IF(Y24="","",W24-IFNA(VLOOKUP(Y24,Grade_Scale!$D:$E,2,FALSE),""))</f>
        <v/>
      </c>
    </row>
    <row r="25">
      <c r="P25">
        <f>IF(OR(B25="SP",B25="RP",B25="CP",B25="SP/RP"),"P","H")</f>
        <v/>
      </c>
      <c r="Q25">
        <f>IF(F25="",0,IFNA(VLOOKUP(F25,Trait_Polarity!$A:$C,2,FALSE),0))+IF(G25="",0,IFNA(VLOOKUP(G25,Trait_Polarity!$A:$C,2,FALSE),0))</f>
        <v/>
      </c>
      <c r="R25">
        <f>IF(F25="",0,IFNA(VLOOKUP(F25,Trait_Polarity!$A:$C,3,FALSE),0))+IF(G25="",0,IFNA(VLOOKUP(G25,Trait_Polarity!$A:$C,3,FALSE),0))</f>
        <v/>
      </c>
      <c r="S25">
        <f>IF(P25="P",(M25+N25+O25)/3,0.3*H25+0.3*I25+0.2*J25+0.1*K25+0.1*L25)</f>
        <v/>
      </c>
      <c r="T25">
        <f>IF(P25="P",IFNA(VLOOKUP(B25,Pitcher_RoleAdj!$A:$B,2,FALSE),0),IFNA(VLOOKUP(B25,Hitter_PrimaryAdj!$A:$B,2,FALSE),0))</f>
        <v/>
      </c>
      <c r="U25">
        <f>IFNA(VLOOKUP(IF(C25="","(none)",C25),SecondaryAdj!$A:$B,2,FALSE),0)</f>
        <v/>
      </c>
      <c r="V25">
        <f>IF(P25="P",0.7780+0.1628*S25+0.2957*Q25-0.1912*R25-0.1512*IF(D25="S",1,0)+0.1600*IF(E25="L",1,0)+0.0091*H25+0.0124*I25+0.0017*J25+T25+U25,-0.8294+0.1849*S25+0.1750*Q25-0.2969*R25+0.6924*IF(D25="S",1,0)+0.0457*IF(E25="L",1,0)+T25+U25)</f>
        <v/>
      </c>
      <c r="W25">
        <f>MAX(0,MIN(16,ROUND(V25,0)))</f>
        <v/>
      </c>
      <c r="X25">
        <f>IFNA(VLOOKUP(W25,Grade_Scale!$A:$B,2,FALSE),"F")</f>
        <v/>
      </c>
      <c r="Z25">
        <f>IF(Y25="","",W25-IFNA(VLOOKUP(Y25,Grade_Scale!$D:$E,2,FALSE),""))</f>
        <v/>
      </c>
    </row>
    <row r="26">
      <c r="P26">
        <f>IF(OR(B26="SP",B26="RP",B26="CP",B26="SP/RP"),"P","H")</f>
        <v/>
      </c>
      <c r="Q26">
        <f>IF(F26="",0,IFNA(VLOOKUP(F26,Trait_Polarity!$A:$C,2,FALSE),0))+IF(G26="",0,IFNA(VLOOKUP(G26,Trait_Polarity!$A:$C,2,FALSE),0))</f>
        <v/>
      </c>
      <c r="R26">
        <f>IF(F26="",0,IFNA(VLOOKUP(F26,Trait_Polarity!$A:$C,3,FALSE),0))+IF(G26="",0,IFNA(VLOOKUP(G26,Trait_Polarity!$A:$C,3,FALSE),0))</f>
        <v/>
      </c>
      <c r="S26">
        <f>IF(P26="P",(M26+N26+O26)/3,0.3*H26+0.3*I26+0.2*J26+0.1*K26+0.1*L26)</f>
        <v/>
      </c>
      <c r="T26">
        <f>IF(P26="P",IFNA(VLOOKUP(B26,Pitcher_RoleAdj!$A:$B,2,FALSE),0),IFNA(VLOOKUP(B26,Hitter_PrimaryAdj!$A:$B,2,FALSE),0))</f>
        <v/>
      </c>
      <c r="U26">
        <f>IFNA(VLOOKUP(IF(C26="","(none)",C26),SecondaryAdj!$A:$B,2,FALSE),0)</f>
        <v/>
      </c>
      <c r="V26">
        <f>IF(P26="P",0.7780+0.1628*S26+0.2957*Q26-0.1912*R26-0.1512*IF(D26="S",1,0)+0.1600*IF(E26="L",1,0)+0.0091*H26+0.0124*I26+0.0017*J26+T26+U26,-0.8294+0.1849*S26+0.1750*Q26-0.2969*R26+0.6924*IF(D26="S",1,0)+0.0457*IF(E26="L",1,0)+T26+U26)</f>
        <v/>
      </c>
      <c r="W26">
        <f>MAX(0,MIN(16,ROUND(V26,0)))</f>
        <v/>
      </c>
      <c r="X26">
        <f>IFNA(VLOOKUP(W26,Grade_Scale!$A:$B,2,FALSE),"F")</f>
        <v/>
      </c>
      <c r="Z26">
        <f>IF(Y26="","",W26-IFNA(VLOOKUP(Y26,Grade_Scale!$D:$E,2,FALSE),""))</f>
        <v/>
      </c>
    </row>
    <row r="27">
      <c r="P27">
        <f>IF(OR(B27="SP",B27="RP",B27="CP",B27="SP/RP"),"P","H")</f>
        <v/>
      </c>
      <c r="Q27">
        <f>IF(F27="",0,IFNA(VLOOKUP(F27,Trait_Polarity!$A:$C,2,FALSE),0))+IF(G27="",0,IFNA(VLOOKUP(G27,Trait_Polarity!$A:$C,2,FALSE),0))</f>
        <v/>
      </c>
      <c r="R27">
        <f>IF(F27="",0,IFNA(VLOOKUP(F27,Trait_Polarity!$A:$C,3,FALSE),0))+IF(G27="",0,IFNA(VLOOKUP(G27,Trait_Polarity!$A:$C,3,FALSE),0))</f>
        <v/>
      </c>
      <c r="S27">
        <f>IF(P27="P",(M27+N27+O27)/3,0.3*H27+0.3*I27+0.2*J27+0.1*K27+0.1*L27)</f>
        <v/>
      </c>
      <c r="T27">
        <f>IF(P27="P",IFNA(VLOOKUP(B27,Pitcher_RoleAdj!$A:$B,2,FALSE),0),IFNA(VLOOKUP(B27,Hitter_PrimaryAdj!$A:$B,2,FALSE),0))</f>
        <v/>
      </c>
      <c r="U27">
        <f>IFNA(VLOOKUP(IF(C27="","(none)",C27),SecondaryAdj!$A:$B,2,FALSE),0)</f>
        <v/>
      </c>
      <c r="V27">
        <f>IF(P27="P",0.7780+0.1628*S27+0.2957*Q27-0.1912*R27-0.1512*IF(D27="S",1,0)+0.1600*IF(E27="L",1,0)+0.0091*H27+0.0124*I27+0.0017*J27+T27+U27,-0.8294+0.1849*S27+0.1750*Q27-0.2969*R27+0.6924*IF(D27="S",1,0)+0.0457*IF(E27="L",1,0)+T27+U27)</f>
        <v/>
      </c>
      <c r="W27">
        <f>MAX(0,MIN(16,ROUND(V27,0)))</f>
        <v/>
      </c>
      <c r="X27">
        <f>IFNA(VLOOKUP(W27,Grade_Scale!$A:$B,2,FALSE),"F")</f>
        <v/>
      </c>
      <c r="Z27">
        <f>IF(Y27="","",W27-IFNA(VLOOKUP(Y27,Grade_Scale!$D:$E,2,FALSE),""))</f>
        <v/>
      </c>
    </row>
    <row r="28">
      <c r="P28">
        <f>IF(OR(B28="SP",B28="RP",B28="CP",B28="SP/RP"),"P","H")</f>
        <v/>
      </c>
      <c r="Q28">
        <f>IF(F28="",0,IFNA(VLOOKUP(F28,Trait_Polarity!$A:$C,2,FALSE),0))+IF(G28="",0,IFNA(VLOOKUP(G28,Trait_Polarity!$A:$C,2,FALSE),0))</f>
        <v/>
      </c>
      <c r="R28">
        <f>IF(F28="",0,IFNA(VLOOKUP(F28,Trait_Polarity!$A:$C,3,FALSE),0))+IF(G28="",0,IFNA(VLOOKUP(G28,Trait_Polarity!$A:$C,3,FALSE),0))</f>
        <v/>
      </c>
      <c r="S28">
        <f>IF(P28="P",(M28+N28+O28)/3,0.3*H28+0.3*I28+0.2*J28+0.1*K28+0.1*L28)</f>
        <v/>
      </c>
      <c r="T28">
        <f>IF(P28="P",IFNA(VLOOKUP(B28,Pitcher_RoleAdj!$A:$B,2,FALSE),0),IFNA(VLOOKUP(B28,Hitter_PrimaryAdj!$A:$B,2,FALSE),0))</f>
        <v/>
      </c>
      <c r="U28">
        <f>IFNA(VLOOKUP(IF(C28="","(none)",C28),SecondaryAdj!$A:$B,2,FALSE),0)</f>
        <v/>
      </c>
      <c r="V28">
        <f>IF(P28="P",0.7780+0.1628*S28+0.2957*Q28-0.1912*R28-0.1512*IF(D28="S",1,0)+0.1600*IF(E28="L",1,0)+0.0091*H28+0.0124*I28+0.0017*J28+T28+U28,-0.8294+0.1849*S28+0.1750*Q28-0.2969*R28+0.6924*IF(D28="S",1,0)+0.0457*IF(E28="L",1,0)+T28+U28)</f>
        <v/>
      </c>
      <c r="W28">
        <f>MAX(0,MIN(16,ROUND(V28,0)))</f>
        <v/>
      </c>
      <c r="X28">
        <f>IFNA(VLOOKUP(W28,Grade_Scale!$A:$B,2,FALSE),"F")</f>
        <v/>
      </c>
      <c r="Z28">
        <f>IF(Y28="","",W28-IFNA(VLOOKUP(Y28,Grade_Scale!$D:$E,2,FALSE),""))</f>
        <v/>
      </c>
    </row>
    <row r="29">
      <c r="P29">
        <f>IF(OR(B29="SP",B29="RP",B29="CP",B29="SP/RP"),"P","H")</f>
        <v/>
      </c>
      <c r="Q29">
        <f>IF(F29="",0,IFNA(VLOOKUP(F29,Trait_Polarity!$A:$C,2,FALSE),0))+IF(G29="",0,IFNA(VLOOKUP(G29,Trait_Polarity!$A:$C,2,FALSE),0))</f>
        <v/>
      </c>
      <c r="R29">
        <f>IF(F29="",0,IFNA(VLOOKUP(F29,Trait_Polarity!$A:$C,3,FALSE),0))+IF(G29="",0,IFNA(VLOOKUP(G29,Trait_Polarity!$A:$C,3,FALSE),0))</f>
        <v/>
      </c>
      <c r="S29">
        <f>IF(P29="P",(M29+N29+O29)/3,0.3*H29+0.3*I29+0.2*J29+0.1*K29+0.1*L29)</f>
        <v/>
      </c>
      <c r="T29">
        <f>IF(P29="P",IFNA(VLOOKUP(B29,Pitcher_RoleAdj!$A:$B,2,FALSE),0),IFNA(VLOOKUP(B29,Hitter_PrimaryAdj!$A:$B,2,FALSE),0))</f>
        <v/>
      </c>
      <c r="U29">
        <f>IFNA(VLOOKUP(IF(C29="","(none)",C29),SecondaryAdj!$A:$B,2,FALSE),0)</f>
        <v/>
      </c>
      <c r="V29">
        <f>IF(P29="P",0.7780+0.1628*S29+0.2957*Q29-0.1912*R29-0.1512*IF(D29="S",1,0)+0.1600*IF(E29="L",1,0)+0.0091*H29+0.0124*I29+0.0017*J29+T29+U29,-0.8294+0.1849*S29+0.1750*Q29-0.2969*R29+0.6924*IF(D29="S",1,0)+0.0457*IF(E29="L",1,0)+T29+U29)</f>
        <v/>
      </c>
      <c r="W29">
        <f>MAX(0,MIN(16,ROUND(V29,0)))</f>
        <v/>
      </c>
      <c r="X29">
        <f>IFNA(VLOOKUP(W29,Grade_Scale!$A:$B,2,FALSE),"F")</f>
        <v/>
      </c>
      <c r="Z29">
        <f>IF(Y29="","",W29-IFNA(VLOOKUP(Y29,Grade_Scale!$D:$E,2,FALSE),""))</f>
        <v/>
      </c>
    </row>
    <row r="30">
      <c r="P30">
        <f>IF(OR(B30="SP",B30="RP",B30="CP",B30="SP/RP"),"P","H")</f>
        <v/>
      </c>
      <c r="Q30">
        <f>IF(F30="",0,IFNA(VLOOKUP(F30,Trait_Polarity!$A:$C,2,FALSE),0))+IF(G30="",0,IFNA(VLOOKUP(G30,Trait_Polarity!$A:$C,2,FALSE),0))</f>
        <v/>
      </c>
      <c r="R30">
        <f>IF(F30="",0,IFNA(VLOOKUP(F30,Trait_Polarity!$A:$C,3,FALSE),0))+IF(G30="",0,IFNA(VLOOKUP(G30,Trait_Polarity!$A:$C,3,FALSE),0))</f>
        <v/>
      </c>
      <c r="S30">
        <f>IF(P30="P",(M30+N30+O30)/3,0.3*H30+0.3*I30+0.2*J30+0.1*K30+0.1*L30)</f>
        <v/>
      </c>
      <c r="T30">
        <f>IF(P30="P",IFNA(VLOOKUP(B30,Pitcher_RoleAdj!$A:$B,2,FALSE),0),IFNA(VLOOKUP(B30,Hitter_PrimaryAdj!$A:$B,2,FALSE),0))</f>
        <v/>
      </c>
      <c r="U30">
        <f>IFNA(VLOOKUP(IF(C30="","(none)",C30),SecondaryAdj!$A:$B,2,FALSE),0)</f>
        <v/>
      </c>
      <c r="V30">
        <f>IF(P30="P",0.7780+0.1628*S30+0.2957*Q30-0.1912*R30-0.1512*IF(D30="S",1,0)+0.1600*IF(E30="L",1,0)+0.0091*H30+0.0124*I30+0.0017*J30+T30+U30,-0.8294+0.1849*S30+0.1750*Q30-0.2969*R30+0.6924*IF(D30="S",1,0)+0.0457*IF(E30="L",1,0)+T30+U30)</f>
        <v/>
      </c>
      <c r="W30">
        <f>MAX(0,MIN(16,ROUND(V30,0)))</f>
        <v/>
      </c>
      <c r="X30">
        <f>IFNA(VLOOKUP(W30,Grade_Scale!$A:$B,2,FALSE),"F")</f>
        <v/>
      </c>
      <c r="Z30">
        <f>IF(Y30="","",W30-IFNA(VLOOKUP(Y30,Grade_Scale!$D:$E,2,FALSE),""))</f>
        <v/>
      </c>
    </row>
    <row r="31">
      <c r="P31">
        <f>IF(OR(B31="SP",B31="RP",B31="CP",B31="SP/RP"),"P","H")</f>
        <v/>
      </c>
      <c r="Q31">
        <f>IF(F31="",0,IFNA(VLOOKUP(F31,Trait_Polarity!$A:$C,2,FALSE),0))+IF(G31="",0,IFNA(VLOOKUP(G31,Trait_Polarity!$A:$C,2,FALSE),0))</f>
        <v/>
      </c>
      <c r="R31">
        <f>IF(F31="",0,IFNA(VLOOKUP(F31,Trait_Polarity!$A:$C,3,FALSE),0))+IF(G31="",0,IFNA(VLOOKUP(G31,Trait_Polarity!$A:$C,3,FALSE),0))</f>
        <v/>
      </c>
      <c r="S31">
        <f>IF(P31="P",(M31+N31+O31)/3,0.3*H31+0.3*I31+0.2*J31+0.1*K31+0.1*L31)</f>
        <v/>
      </c>
      <c r="T31">
        <f>IF(P31="P",IFNA(VLOOKUP(B31,Pitcher_RoleAdj!$A:$B,2,FALSE),0),IFNA(VLOOKUP(B31,Hitter_PrimaryAdj!$A:$B,2,FALSE),0))</f>
        <v/>
      </c>
      <c r="U31">
        <f>IFNA(VLOOKUP(IF(C31="","(none)",C31),SecondaryAdj!$A:$B,2,FALSE),0)</f>
        <v/>
      </c>
      <c r="V31">
        <f>IF(P31="P",0.7780+0.1628*S31+0.2957*Q31-0.1912*R31-0.1512*IF(D31="S",1,0)+0.1600*IF(E31="L",1,0)+0.0091*H31+0.0124*I31+0.0017*J31+T31+U31,-0.8294+0.1849*S31+0.1750*Q31-0.2969*R31+0.6924*IF(D31="S",1,0)+0.0457*IF(E31="L",1,0)+T31+U31)</f>
        <v/>
      </c>
      <c r="W31">
        <f>MAX(0,MIN(16,ROUND(V31,0)))</f>
        <v/>
      </c>
      <c r="X31">
        <f>IFNA(VLOOKUP(W31,Grade_Scale!$A:$B,2,FALSE),"F")</f>
        <v/>
      </c>
      <c r="Z31">
        <f>IF(Y31="","",W31-IFNA(VLOOKUP(Y31,Grade_Scale!$D:$E,2,FALSE),""))</f>
        <v/>
      </c>
    </row>
    <row r="32">
      <c r="P32">
        <f>IF(OR(B32="SP",B32="RP",B32="CP",B32="SP/RP"),"P","H")</f>
        <v/>
      </c>
      <c r="Q32">
        <f>IF(F32="",0,IFNA(VLOOKUP(F32,Trait_Polarity!$A:$C,2,FALSE),0))+IF(G32="",0,IFNA(VLOOKUP(G32,Trait_Polarity!$A:$C,2,FALSE),0))</f>
        <v/>
      </c>
      <c r="R32">
        <f>IF(F32="",0,IFNA(VLOOKUP(F32,Trait_Polarity!$A:$C,3,FALSE),0))+IF(G32="",0,IFNA(VLOOKUP(G32,Trait_Polarity!$A:$C,3,FALSE),0))</f>
        <v/>
      </c>
      <c r="S32">
        <f>IF(P32="P",(M32+N32+O32)/3,0.3*H32+0.3*I32+0.2*J32+0.1*K32+0.1*L32)</f>
        <v/>
      </c>
      <c r="T32">
        <f>IF(P32="P",IFNA(VLOOKUP(B32,Pitcher_RoleAdj!$A:$B,2,FALSE),0),IFNA(VLOOKUP(B32,Hitter_PrimaryAdj!$A:$B,2,FALSE),0))</f>
        <v/>
      </c>
      <c r="U32">
        <f>IFNA(VLOOKUP(IF(C32="","(none)",C32),SecondaryAdj!$A:$B,2,FALSE),0)</f>
        <v/>
      </c>
      <c r="V32">
        <f>IF(P32="P",0.7780+0.1628*S32+0.2957*Q32-0.1912*R32-0.1512*IF(D32="S",1,0)+0.1600*IF(E32="L",1,0)+0.0091*H32+0.0124*I32+0.0017*J32+T32+U32,-0.8294+0.1849*S32+0.1750*Q32-0.2969*R32+0.6924*IF(D32="S",1,0)+0.0457*IF(E32="L",1,0)+T32+U32)</f>
        <v/>
      </c>
      <c r="W32">
        <f>MAX(0,MIN(16,ROUND(V32,0)))</f>
        <v/>
      </c>
      <c r="X32">
        <f>IFNA(VLOOKUP(W32,Grade_Scale!$A:$B,2,FALSE),"F")</f>
        <v/>
      </c>
      <c r="Z32">
        <f>IF(Y32="","",W32-IFNA(VLOOKUP(Y32,Grade_Scale!$D:$E,2,FALSE),""))</f>
        <v/>
      </c>
    </row>
    <row r="33">
      <c r="P33">
        <f>IF(OR(B33="SP",B33="RP",B33="CP",B33="SP/RP"),"P","H")</f>
        <v/>
      </c>
      <c r="Q33">
        <f>IF(F33="",0,IFNA(VLOOKUP(F33,Trait_Polarity!$A:$C,2,FALSE),0))+IF(G33="",0,IFNA(VLOOKUP(G33,Trait_Polarity!$A:$C,2,FALSE),0))</f>
        <v/>
      </c>
      <c r="R33">
        <f>IF(F33="",0,IFNA(VLOOKUP(F33,Trait_Polarity!$A:$C,3,FALSE),0))+IF(G33="",0,IFNA(VLOOKUP(G33,Trait_Polarity!$A:$C,3,FALSE),0))</f>
        <v/>
      </c>
      <c r="S33">
        <f>IF(P33="P",(M33+N33+O33)/3,0.3*H33+0.3*I33+0.2*J33+0.1*K33+0.1*L33)</f>
        <v/>
      </c>
      <c r="T33">
        <f>IF(P33="P",IFNA(VLOOKUP(B33,Pitcher_RoleAdj!$A:$B,2,FALSE),0),IFNA(VLOOKUP(B33,Hitter_PrimaryAdj!$A:$B,2,FALSE),0))</f>
        <v/>
      </c>
      <c r="U33">
        <f>IFNA(VLOOKUP(IF(C33="","(none)",C33),SecondaryAdj!$A:$B,2,FALSE),0)</f>
        <v/>
      </c>
      <c r="V33">
        <f>IF(P33="P",0.7780+0.1628*S33+0.2957*Q33-0.1912*R33-0.1512*IF(D33="S",1,0)+0.1600*IF(E33="L",1,0)+0.0091*H33+0.0124*I33+0.0017*J33+T33+U33,-0.8294+0.1849*S33+0.1750*Q33-0.2969*R33+0.6924*IF(D33="S",1,0)+0.0457*IF(E33="L",1,0)+T33+U33)</f>
        <v/>
      </c>
      <c r="W33">
        <f>MAX(0,MIN(16,ROUND(V33,0)))</f>
        <v/>
      </c>
      <c r="X33">
        <f>IFNA(VLOOKUP(W33,Grade_Scale!$A:$B,2,FALSE),"F")</f>
        <v/>
      </c>
      <c r="Z33">
        <f>IF(Y33="","",W33-IFNA(VLOOKUP(Y33,Grade_Scale!$D:$E,2,FALSE),""))</f>
        <v/>
      </c>
    </row>
    <row r="34">
      <c r="P34">
        <f>IF(OR(B34="SP",B34="RP",B34="CP",B34="SP/RP"),"P","H")</f>
        <v/>
      </c>
      <c r="Q34">
        <f>IF(F34="",0,IFNA(VLOOKUP(F34,Trait_Polarity!$A:$C,2,FALSE),0))+IF(G34="",0,IFNA(VLOOKUP(G34,Trait_Polarity!$A:$C,2,FALSE),0))</f>
        <v/>
      </c>
      <c r="R34">
        <f>IF(F34="",0,IFNA(VLOOKUP(F34,Trait_Polarity!$A:$C,3,FALSE),0))+IF(G34="",0,IFNA(VLOOKUP(G34,Trait_Polarity!$A:$C,3,FALSE),0))</f>
        <v/>
      </c>
      <c r="S34">
        <f>IF(P34="P",(M34+N34+O34)/3,0.3*H34+0.3*I34+0.2*J34+0.1*K34+0.1*L34)</f>
        <v/>
      </c>
      <c r="T34">
        <f>IF(P34="P",IFNA(VLOOKUP(B34,Pitcher_RoleAdj!$A:$B,2,FALSE),0),IFNA(VLOOKUP(B34,Hitter_PrimaryAdj!$A:$B,2,FALSE),0))</f>
        <v/>
      </c>
      <c r="U34">
        <f>IFNA(VLOOKUP(IF(C34="","(none)",C34),SecondaryAdj!$A:$B,2,FALSE),0)</f>
        <v/>
      </c>
      <c r="V34">
        <f>IF(P34="P",0.7780+0.1628*S34+0.2957*Q34-0.1912*R34-0.1512*IF(D34="S",1,0)+0.1600*IF(E34="L",1,0)+0.0091*H34+0.0124*I34+0.0017*J34+T34+U34,-0.8294+0.1849*S34+0.1750*Q34-0.2969*R34+0.6924*IF(D34="S",1,0)+0.0457*IF(E34="L",1,0)+T34+U34)</f>
        <v/>
      </c>
      <c r="W34">
        <f>MAX(0,MIN(16,ROUND(V34,0)))</f>
        <v/>
      </c>
      <c r="X34">
        <f>IFNA(VLOOKUP(W34,Grade_Scale!$A:$B,2,FALSE),"F")</f>
        <v/>
      </c>
      <c r="Z34">
        <f>IF(Y34="","",W34-IFNA(VLOOKUP(Y34,Grade_Scale!$D:$E,2,FALSE),""))</f>
        <v/>
      </c>
    </row>
    <row r="35">
      <c r="P35">
        <f>IF(OR(B35="SP",B35="RP",B35="CP",B35="SP/RP"),"P","H")</f>
        <v/>
      </c>
      <c r="Q35">
        <f>IF(F35="",0,IFNA(VLOOKUP(F35,Trait_Polarity!$A:$C,2,FALSE),0))+IF(G35="",0,IFNA(VLOOKUP(G35,Trait_Polarity!$A:$C,2,FALSE),0))</f>
        <v/>
      </c>
      <c r="R35">
        <f>IF(F35="",0,IFNA(VLOOKUP(F35,Trait_Polarity!$A:$C,3,FALSE),0))+IF(G35="",0,IFNA(VLOOKUP(G35,Trait_Polarity!$A:$C,3,FALSE),0))</f>
        <v/>
      </c>
      <c r="S35">
        <f>IF(P35="P",(M35+N35+O35)/3,0.3*H35+0.3*I35+0.2*J35+0.1*K35+0.1*L35)</f>
        <v/>
      </c>
      <c r="T35">
        <f>IF(P35="P",IFNA(VLOOKUP(B35,Pitcher_RoleAdj!$A:$B,2,FALSE),0),IFNA(VLOOKUP(B35,Hitter_PrimaryAdj!$A:$B,2,FALSE),0))</f>
        <v/>
      </c>
      <c r="U35">
        <f>IFNA(VLOOKUP(IF(C35="","(none)",C35),SecondaryAdj!$A:$B,2,FALSE),0)</f>
        <v/>
      </c>
      <c r="V35">
        <f>IF(P35="P",0.7780+0.1628*S35+0.2957*Q35-0.1912*R35-0.1512*IF(D35="S",1,0)+0.1600*IF(E35="L",1,0)+0.0091*H35+0.0124*I35+0.0017*J35+T35+U35,-0.8294+0.1849*S35+0.1750*Q35-0.2969*R35+0.6924*IF(D35="S",1,0)+0.0457*IF(E35="L",1,0)+T35+U35)</f>
        <v/>
      </c>
      <c r="W35">
        <f>MAX(0,MIN(16,ROUND(V35,0)))</f>
        <v/>
      </c>
      <c r="X35">
        <f>IFNA(VLOOKUP(W35,Grade_Scale!$A:$B,2,FALSE),"F")</f>
        <v/>
      </c>
      <c r="Z35">
        <f>IF(Y35="","",W35-IFNA(VLOOKUP(Y35,Grade_Scale!$D:$E,2,FALSE),""))</f>
        <v/>
      </c>
    </row>
    <row r="36">
      <c r="P36">
        <f>IF(OR(B36="SP",B36="RP",B36="CP",B36="SP/RP"),"P","H")</f>
        <v/>
      </c>
      <c r="Q36">
        <f>IF(F36="",0,IFNA(VLOOKUP(F36,Trait_Polarity!$A:$C,2,FALSE),0))+IF(G36="",0,IFNA(VLOOKUP(G36,Trait_Polarity!$A:$C,2,FALSE),0))</f>
        <v/>
      </c>
      <c r="R36">
        <f>IF(F36="",0,IFNA(VLOOKUP(F36,Trait_Polarity!$A:$C,3,FALSE),0))+IF(G36="",0,IFNA(VLOOKUP(G36,Trait_Polarity!$A:$C,3,FALSE),0))</f>
        <v/>
      </c>
      <c r="S36">
        <f>IF(P36="P",(M36+N36+O36)/3,0.3*H36+0.3*I36+0.2*J36+0.1*K36+0.1*L36)</f>
        <v/>
      </c>
      <c r="T36">
        <f>IF(P36="P",IFNA(VLOOKUP(B36,Pitcher_RoleAdj!$A:$B,2,FALSE),0),IFNA(VLOOKUP(B36,Hitter_PrimaryAdj!$A:$B,2,FALSE),0))</f>
        <v/>
      </c>
      <c r="U36">
        <f>IFNA(VLOOKUP(IF(C36="","(none)",C36),SecondaryAdj!$A:$B,2,FALSE),0)</f>
        <v/>
      </c>
      <c r="V36">
        <f>IF(P36="P",0.7780+0.1628*S36+0.2957*Q36-0.1912*R36-0.1512*IF(D36="S",1,0)+0.1600*IF(E36="L",1,0)+0.0091*H36+0.0124*I36+0.0017*J36+T36+U36,-0.8294+0.1849*S36+0.1750*Q36-0.2969*R36+0.6924*IF(D36="S",1,0)+0.0457*IF(E36="L",1,0)+T36+U36)</f>
        <v/>
      </c>
      <c r="W36">
        <f>MAX(0,MIN(16,ROUND(V36,0)))</f>
        <v/>
      </c>
      <c r="X36">
        <f>IFNA(VLOOKUP(W36,Grade_Scale!$A:$B,2,FALSE),"F")</f>
        <v/>
      </c>
      <c r="Z36">
        <f>IF(Y36="","",W36-IFNA(VLOOKUP(Y36,Grade_Scale!$D:$E,2,FALSE),""))</f>
        <v/>
      </c>
    </row>
    <row r="37">
      <c r="P37">
        <f>IF(OR(B37="SP",B37="RP",B37="CP",B37="SP/RP"),"P","H")</f>
        <v/>
      </c>
      <c r="Q37">
        <f>IF(F37="",0,IFNA(VLOOKUP(F37,Trait_Polarity!$A:$C,2,FALSE),0))+IF(G37="",0,IFNA(VLOOKUP(G37,Trait_Polarity!$A:$C,2,FALSE),0))</f>
        <v/>
      </c>
      <c r="R37">
        <f>IF(F37="",0,IFNA(VLOOKUP(F37,Trait_Polarity!$A:$C,3,FALSE),0))+IF(G37="",0,IFNA(VLOOKUP(G37,Trait_Polarity!$A:$C,3,FALSE),0))</f>
        <v/>
      </c>
      <c r="S37">
        <f>IF(P37="P",(M37+N37+O37)/3,0.3*H37+0.3*I37+0.2*J37+0.1*K37+0.1*L37)</f>
        <v/>
      </c>
      <c r="T37">
        <f>IF(P37="P",IFNA(VLOOKUP(B37,Pitcher_RoleAdj!$A:$B,2,FALSE),0),IFNA(VLOOKUP(B37,Hitter_PrimaryAdj!$A:$B,2,FALSE),0))</f>
        <v/>
      </c>
      <c r="U37">
        <f>IFNA(VLOOKUP(IF(C37="","(none)",C37),SecondaryAdj!$A:$B,2,FALSE),0)</f>
        <v/>
      </c>
      <c r="V37">
        <f>IF(P37="P",0.7780+0.1628*S37+0.2957*Q37-0.1912*R37-0.1512*IF(D37="S",1,0)+0.1600*IF(E37="L",1,0)+0.0091*H37+0.0124*I37+0.0017*J37+T37+U37,-0.8294+0.1849*S37+0.1750*Q37-0.2969*R37+0.6924*IF(D37="S",1,0)+0.0457*IF(E37="L",1,0)+T37+U37)</f>
        <v/>
      </c>
      <c r="W37">
        <f>MAX(0,MIN(16,ROUND(V37,0)))</f>
        <v/>
      </c>
      <c r="X37">
        <f>IFNA(VLOOKUP(W37,Grade_Scale!$A:$B,2,FALSE),"F")</f>
        <v/>
      </c>
      <c r="Z37">
        <f>IF(Y37="","",W37-IFNA(VLOOKUP(Y37,Grade_Scale!$D:$E,2,FALSE),""))</f>
        <v/>
      </c>
    </row>
    <row r="38">
      <c r="P38">
        <f>IF(OR(B38="SP",B38="RP",B38="CP",B38="SP/RP"),"P","H")</f>
        <v/>
      </c>
      <c r="Q38">
        <f>IF(F38="",0,IFNA(VLOOKUP(F38,Trait_Polarity!$A:$C,2,FALSE),0))+IF(G38="",0,IFNA(VLOOKUP(G38,Trait_Polarity!$A:$C,2,FALSE),0))</f>
        <v/>
      </c>
      <c r="R38">
        <f>IF(F38="",0,IFNA(VLOOKUP(F38,Trait_Polarity!$A:$C,3,FALSE),0))+IF(G38="",0,IFNA(VLOOKUP(G38,Trait_Polarity!$A:$C,3,FALSE),0))</f>
        <v/>
      </c>
      <c r="S38">
        <f>IF(P38="P",(M38+N38+O38)/3,0.3*H38+0.3*I38+0.2*J38+0.1*K38+0.1*L38)</f>
        <v/>
      </c>
      <c r="T38">
        <f>IF(P38="P",IFNA(VLOOKUP(B38,Pitcher_RoleAdj!$A:$B,2,FALSE),0),IFNA(VLOOKUP(B38,Hitter_PrimaryAdj!$A:$B,2,FALSE),0))</f>
        <v/>
      </c>
      <c r="U38">
        <f>IFNA(VLOOKUP(IF(C38="","(none)",C38),SecondaryAdj!$A:$B,2,FALSE),0)</f>
        <v/>
      </c>
      <c r="V38">
        <f>IF(P38="P",0.7780+0.1628*S38+0.2957*Q38-0.1912*R38-0.1512*IF(D38="S",1,0)+0.1600*IF(E38="L",1,0)+0.0091*H38+0.0124*I38+0.0017*J38+T38+U38,-0.8294+0.1849*S38+0.1750*Q38-0.2969*R38+0.6924*IF(D38="S",1,0)+0.0457*IF(E38="L",1,0)+T38+U38)</f>
        <v/>
      </c>
      <c r="W38">
        <f>MAX(0,MIN(16,ROUND(V38,0)))</f>
        <v/>
      </c>
      <c r="X38">
        <f>IFNA(VLOOKUP(W38,Grade_Scale!$A:$B,2,FALSE),"F")</f>
        <v/>
      </c>
      <c r="Z38">
        <f>IF(Y38="","",W38-IFNA(VLOOKUP(Y38,Grade_Scale!$D:$E,2,FALSE),""))</f>
        <v/>
      </c>
    </row>
    <row r="39">
      <c r="P39">
        <f>IF(OR(B39="SP",B39="RP",B39="CP",B39="SP/RP"),"P","H")</f>
        <v/>
      </c>
      <c r="Q39">
        <f>IF(F39="",0,IFNA(VLOOKUP(F39,Trait_Polarity!$A:$C,2,FALSE),0))+IF(G39="",0,IFNA(VLOOKUP(G39,Trait_Polarity!$A:$C,2,FALSE),0))</f>
        <v/>
      </c>
      <c r="R39">
        <f>IF(F39="",0,IFNA(VLOOKUP(F39,Trait_Polarity!$A:$C,3,FALSE),0))+IF(G39="",0,IFNA(VLOOKUP(G39,Trait_Polarity!$A:$C,3,FALSE),0))</f>
        <v/>
      </c>
      <c r="S39">
        <f>IF(P39="P",(M39+N39+O39)/3,0.3*H39+0.3*I39+0.2*J39+0.1*K39+0.1*L39)</f>
        <v/>
      </c>
      <c r="T39">
        <f>IF(P39="P",IFNA(VLOOKUP(B39,Pitcher_RoleAdj!$A:$B,2,FALSE),0),IFNA(VLOOKUP(B39,Hitter_PrimaryAdj!$A:$B,2,FALSE),0))</f>
        <v/>
      </c>
      <c r="U39">
        <f>IFNA(VLOOKUP(IF(C39="","(none)",C39),SecondaryAdj!$A:$B,2,FALSE),0)</f>
        <v/>
      </c>
      <c r="V39">
        <f>IF(P39="P",0.7780+0.1628*S39+0.2957*Q39-0.1912*R39-0.1512*IF(D39="S",1,0)+0.1600*IF(E39="L",1,0)+0.0091*H39+0.0124*I39+0.0017*J39+T39+U39,-0.8294+0.1849*S39+0.1750*Q39-0.2969*R39+0.6924*IF(D39="S",1,0)+0.0457*IF(E39="L",1,0)+T39+U39)</f>
        <v/>
      </c>
      <c r="W39">
        <f>MAX(0,MIN(16,ROUND(V39,0)))</f>
        <v/>
      </c>
      <c r="X39">
        <f>IFNA(VLOOKUP(W39,Grade_Scale!$A:$B,2,FALSE),"F")</f>
        <v/>
      </c>
      <c r="Z39">
        <f>IF(Y39="","",W39-IFNA(VLOOKUP(Y39,Grade_Scale!$D:$E,2,FALSE),""))</f>
        <v/>
      </c>
    </row>
    <row r="40">
      <c r="P40">
        <f>IF(OR(B40="SP",B40="RP",B40="CP",B40="SP/RP"),"P","H")</f>
        <v/>
      </c>
      <c r="Q40">
        <f>IF(F40="",0,IFNA(VLOOKUP(F40,Trait_Polarity!$A:$C,2,FALSE),0))+IF(G40="",0,IFNA(VLOOKUP(G40,Trait_Polarity!$A:$C,2,FALSE),0))</f>
        <v/>
      </c>
      <c r="R40">
        <f>IF(F40="",0,IFNA(VLOOKUP(F40,Trait_Polarity!$A:$C,3,FALSE),0))+IF(G40="",0,IFNA(VLOOKUP(G40,Trait_Polarity!$A:$C,3,FALSE),0))</f>
        <v/>
      </c>
      <c r="S40">
        <f>IF(P40="P",(M40+N40+O40)/3,0.3*H40+0.3*I40+0.2*J40+0.1*K40+0.1*L40)</f>
        <v/>
      </c>
      <c r="T40">
        <f>IF(P40="P",IFNA(VLOOKUP(B40,Pitcher_RoleAdj!$A:$B,2,FALSE),0),IFNA(VLOOKUP(B40,Hitter_PrimaryAdj!$A:$B,2,FALSE),0))</f>
        <v/>
      </c>
      <c r="U40">
        <f>IFNA(VLOOKUP(IF(C40="","(none)",C40),SecondaryAdj!$A:$B,2,FALSE),0)</f>
        <v/>
      </c>
      <c r="V40">
        <f>IF(P40="P",0.7780+0.1628*S40+0.2957*Q40-0.1912*R40-0.1512*IF(D40="S",1,0)+0.1600*IF(E40="L",1,0)+0.0091*H40+0.0124*I40+0.0017*J40+T40+U40,-0.8294+0.1849*S40+0.1750*Q40-0.2969*R40+0.6924*IF(D40="S",1,0)+0.0457*IF(E40="L",1,0)+T40+U40)</f>
        <v/>
      </c>
      <c r="W40">
        <f>MAX(0,MIN(16,ROUND(V40,0)))</f>
        <v/>
      </c>
      <c r="X40">
        <f>IFNA(VLOOKUP(W40,Grade_Scale!$A:$B,2,FALSE),"F")</f>
        <v/>
      </c>
      <c r="Z40">
        <f>IF(Y40="","",W40-IFNA(VLOOKUP(Y40,Grade_Scale!$D:$E,2,FALSE),""))</f>
        <v/>
      </c>
    </row>
    <row r="41">
      <c r="P41">
        <f>IF(OR(B41="SP",B41="RP",B41="CP",B41="SP/RP"),"P","H")</f>
        <v/>
      </c>
      <c r="Q41">
        <f>IF(F41="",0,IFNA(VLOOKUP(F41,Trait_Polarity!$A:$C,2,FALSE),0))+IF(G41="",0,IFNA(VLOOKUP(G41,Trait_Polarity!$A:$C,2,FALSE),0))</f>
        <v/>
      </c>
      <c r="R41">
        <f>IF(F41="",0,IFNA(VLOOKUP(F41,Trait_Polarity!$A:$C,3,FALSE),0))+IF(G41="",0,IFNA(VLOOKUP(G41,Trait_Polarity!$A:$C,3,FALSE),0))</f>
        <v/>
      </c>
      <c r="S41">
        <f>IF(P41="P",(M41+N41+O41)/3,0.3*H41+0.3*I41+0.2*J41+0.1*K41+0.1*L41)</f>
        <v/>
      </c>
      <c r="T41">
        <f>IF(P41="P",IFNA(VLOOKUP(B41,Pitcher_RoleAdj!$A:$B,2,FALSE),0),IFNA(VLOOKUP(B41,Hitter_PrimaryAdj!$A:$B,2,FALSE),0))</f>
        <v/>
      </c>
      <c r="U41">
        <f>IFNA(VLOOKUP(IF(C41="","(none)",C41),SecondaryAdj!$A:$B,2,FALSE),0)</f>
        <v/>
      </c>
      <c r="V41">
        <f>IF(P41="P",0.7780+0.1628*S41+0.2957*Q41-0.1912*R41-0.1512*IF(D41="S",1,0)+0.1600*IF(E41="L",1,0)+0.0091*H41+0.0124*I41+0.0017*J41+T41+U41,-0.8294+0.1849*S41+0.1750*Q41-0.2969*R41+0.6924*IF(D41="S",1,0)+0.0457*IF(E41="L",1,0)+T41+U41)</f>
        <v/>
      </c>
      <c r="W41">
        <f>MAX(0,MIN(16,ROUND(V41,0)))</f>
        <v/>
      </c>
      <c r="X41">
        <f>IFNA(VLOOKUP(W41,Grade_Scale!$A:$B,2,FALSE),"F")</f>
        <v/>
      </c>
      <c r="Z41">
        <f>IF(Y41="","",W41-IFNA(VLOOKUP(Y41,Grade_Scale!$D:$E,2,FALSE),""))</f>
        <v/>
      </c>
    </row>
    <row r="42">
      <c r="P42">
        <f>IF(OR(B42="SP",B42="RP",B42="CP",B42="SP/RP"),"P","H")</f>
        <v/>
      </c>
      <c r="Q42">
        <f>IF(F42="",0,IFNA(VLOOKUP(F42,Trait_Polarity!$A:$C,2,FALSE),0))+IF(G42="",0,IFNA(VLOOKUP(G42,Trait_Polarity!$A:$C,2,FALSE),0))</f>
        <v/>
      </c>
      <c r="R42">
        <f>IF(F42="",0,IFNA(VLOOKUP(F42,Trait_Polarity!$A:$C,3,FALSE),0))+IF(G42="",0,IFNA(VLOOKUP(G42,Trait_Polarity!$A:$C,3,FALSE),0))</f>
        <v/>
      </c>
      <c r="S42">
        <f>IF(P42="P",(M42+N42+O42)/3,0.3*H42+0.3*I42+0.2*J42+0.1*K42+0.1*L42)</f>
        <v/>
      </c>
      <c r="T42">
        <f>IF(P42="P",IFNA(VLOOKUP(B42,Pitcher_RoleAdj!$A:$B,2,FALSE),0),IFNA(VLOOKUP(B42,Hitter_PrimaryAdj!$A:$B,2,FALSE),0))</f>
        <v/>
      </c>
      <c r="U42">
        <f>IFNA(VLOOKUP(IF(C42="","(none)",C42),SecondaryAdj!$A:$B,2,FALSE),0)</f>
        <v/>
      </c>
      <c r="V42">
        <f>IF(P42="P",0.7780+0.1628*S42+0.2957*Q42-0.1912*R42-0.1512*IF(D42="S",1,0)+0.1600*IF(E42="L",1,0)+0.0091*H42+0.0124*I42+0.0017*J42+T42+U42,-0.8294+0.1849*S42+0.1750*Q42-0.2969*R42+0.6924*IF(D42="S",1,0)+0.0457*IF(E42="L",1,0)+T42+U42)</f>
        <v/>
      </c>
      <c r="W42">
        <f>MAX(0,MIN(16,ROUND(V42,0)))</f>
        <v/>
      </c>
      <c r="X42">
        <f>IFNA(VLOOKUP(W42,Grade_Scale!$A:$B,2,FALSE),"F")</f>
        <v/>
      </c>
      <c r="Z42">
        <f>IF(Y42="","",W42-IFNA(VLOOKUP(Y42,Grade_Scale!$D:$E,2,FALSE),""))</f>
        <v/>
      </c>
    </row>
    <row r="43">
      <c r="P43">
        <f>IF(OR(B43="SP",B43="RP",B43="CP",B43="SP/RP"),"P","H")</f>
        <v/>
      </c>
      <c r="Q43">
        <f>IF(F43="",0,IFNA(VLOOKUP(F43,Trait_Polarity!$A:$C,2,FALSE),0))+IF(G43="",0,IFNA(VLOOKUP(G43,Trait_Polarity!$A:$C,2,FALSE),0))</f>
        <v/>
      </c>
      <c r="R43">
        <f>IF(F43="",0,IFNA(VLOOKUP(F43,Trait_Polarity!$A:$C,3,FALSE),0))+IF(G43="",0,IFNA(VLOOKUP(G43,Trait_Polarity!$A:$C,3,FALSE),0))</f>
        <v/>
      </c>
      <c r="S43">
        <f>IF(P43="P",(M43+N43+O43)/3,0.3*H43+0.3*I43+0.2*J43+0.1*K43+0.1*L43)</f>
        <v/>
      </c>
      <c r="T43">
        <f>IF(P43="P",IFNA(VLOOKUP(B43,Pitcher_RoleAdj!$A:$B,2,FALSE),0),IFNA(VLOOKUP(B43,Hitter_PrimaryAdj!$A:$B,2,FALSE),0))</f>
        <v/>
      </c>
      <c r="U43">
        <f>IFNA(VLOOKUP(IF(C43="","(none)",C43),SecondaryAdj!$A:$B,2,FALSE),0)</f>
        <v/>
      </c>
      <c r="V43">
        <f>IF(P43="P",0.7780+0.1628*S43+0.2957*Q43-0.1912*R43-0.1512*IF(D43="S",1,0)+0.1600*IF(E43="L",1,0)+0.0091*H43+0.0124*I43+0.0017*J43+T43+U43,-0.8294+0.1849*S43+0.1750*Q43-0.2969*R43+0.6924*IF(D43="S",1,0)+0.0457*IF(E43="L",1,0)+T43+U43)</f>
        <v/>
      </c>
      <c r="W43">
        <f>MAX(0,MIN(16,ROUND(V43,0)))</f>
        <v/>
      </c>
      <c r="X43">
        <f>IFNA(VLOOKUP(W43,Grade_Scale!$A:$B,2,FALSE),"F")</f>
        <v/>
      </c>
      <c r="Z43">
        <f>IF(Y43="","",W43-IFNA(VLOOKUP(Y43,Grade_Scale!$D:$E,2,FALSE),""))</f>
        <v/>
      </c>
    </row>
    <row r="44">
      <c r="P44">
        <f>IF(OR(B44="SP",B44="RP",B44="CP",B44="SP/RP"),"P","H")</f>
        <v/>
      </c>
      <c r="Q44">
        <f>IF(F44="",0,IFNA(VLOOKUP(F44,Trait_Polarity!$A:$C,2,FALSE),0))+IF(G44="",0,IFNA(VLOOKUP(G44,Trait_Polarity!$A:$C,2,FALSE),0))</f>
        <v/>
      </c>
      <c r="R44">
        <f>IF(F44="",0,IFNA(VLOOKUP(F44,Trait_Polarity!$A:$C,3,FALSE),0))+IF(G44="",0,IFNA(VLOOKUP(G44,Trait_Polarity!$A:$C,3,FALSE),0))</f>
        <v/>
      </c>
      <c r="S44">
        <f>IF(P44="P",(M44+N44+O44)/3,0.3*H44+0.3*I44+0.2*J44+0.1*K44+0.1*L44)</f>
        <v/>
      </c>
      <c r="T44">
        <f>IF(P44="P",IFNA(VLOOKUP(B44,Pitcher_RoleAdj!$A:$B,2,FALSE),0),IFNA(VLOOKUP(B44,Hitter_PrimaryAdj!$A:$B,2,FALSE),0))</f>
        <v/>
      </c>
      <c r="U44">
        <f>IFNA(VLOOKUP(IF(C44="","(none)",C44),SecondaryAdj!$A:$B,2,FALSE),0)</f>
        <v/>
      </c>
      <c r="V44">
        <f>IF(P44="P",0.7780+0.1628*S44+0.2957*Q44-0.1912*R44-0.1512*IF(D44="S",1,0)+0.1600*IF(E44="L",1,0)+0.0091*H44+0.0124*I44+0.0017*J44+T44+U44,-0.8294+0.1849*S44+0.1750*Q44-0.2969*R44+0.6924*IF(D44="S",1,0)+0.0457*IF(E44="L",1,0)+T44+U44)</f>
        <v/>
      </c>
      <c r="W44">
        <f>MAX(0,MIN(16,ROUND(V44,0)))</f>
        <v/>
      </c>
      <c r="X44">
        <f>IFNA(VLOOKUP(W44,Grade_Scale!$A:$B,2,FALSE),"F")</f>
        <v/>
      </c>
      <c r="Z44">
        <f>IF(Y44="","",W44-IFNA(VLOOKUP(Y44,Grade_Scale!$D:$E,2,FALSE),""))</f>
        <v/>
      </c>
    </row>
    <row r="45">
      <c r="P45">
        <f>IF(OR(B45="SP",B45="RP",B45="CP",B45="SP/RP"),"P","H")</f>
        <v/>
      </c>
      <c r="Q45">
        <f>IF(F45="",0,IFNA(VLOOKUP(F45,Trait_Polarity!$A:$C,2,FALSE),0))+IF(G45="",0,IFNA(VLOOKUP(G45,Trait_Polarity!$A:$C,2,FALSE),0))</f>
        <v/>
      </c>
      <c r="R45">
        <f>IF(F45="",0,IFNA(VLOOKUP(F45,Trait_Polarity!$A:$C,3,FALSE),0))+IF(G45="",0,IFNA(VLOOKUP(G45,Trait_Polarity!$A:$C,3,FALSE),0))</f>
        <v/>
      </c>
      <c r="S45">
        <f>IF(P45="P",(M45+N45+O45)/3,0.3*H45+0.3*I45+0.2*J45+0.1*K45+0.1*L45)</f>
        <v/>
      </c>
      <c r="T45">
        <f>IF(P45="P",IFNA(VLOOKUP(B45,Pitcher_RoleAdj!$A:$B,2,FALSE),0),IFNA(VLOOKUP(B45,Hitter_PrimaryAdj!$A:$B,2,FALSE),0))</f>
        <v/>
      </c>
      <c r="U45">
        <f>IFNA(VLOOKUP(IF(C45="","(none)",C45),SecondaryAdj!$A:$B,2,FALSE),0)</f>
        <v/>
      </c>
      <c r="V45">
        <f>IF(P45="P",0.7780+0.1628*S45+0.2957*Q45-0.1912*R45-0.1512*IF(D45="S",1,0)+0.1600*IF(E45="L",1,0)+0.0091*H45+0.0124*I45+0.0017*J45+T45+U45,-0.8294+0.1849*S45+0.1750*Q45-0.2969*R45+0.6924*IF(D45="S",1,0)+0.0457*IF(E45="L",1,0)+T45+U45)</f>
        <v/>
      </c>
      <c r="W45">
        <f>MAX(0,MIN(16,ROUND(V45,0)))</f>
        <v/>
      </c>
      <c r="X45">
        <f>IFNA(VLOOKUP(W45,Grade_Scale!$A:$B,2,FALSE),"F")</f>
        <v/>
      </c>
      <c r="Z45">
        <f>IF(Y45="","",W45-IFNA(VLOOKUP(Y45,Grade_Scale!$D:$E,2,FALSE),""))</f>
        <v/>
      </c>
    </row>
    <row r="46">
      <c r="P46">
        <f>IF(OR(B46="SP",B46="RP",B46="CP",B46="SP/RP"),"P","H")</f>
        <v/>
      </c>
      <c r="Q46">
        <f>IF(F46="",0,IFNA(VLOOKUP(F46,Trait_Polarity!$A:$C,2,FALSE),0))+IF(G46="",0,IFNA(VLOOKUP(G46,Trait_Polarity!$A:$C,2,FALSE),0))</f>
        <v/>
      </c>
      <c r="R46">
        <f>IF(F46="",0,IFNA(VLOOKUP(F46,Trait_Polarity!$A:$C,3,FALSE),0))+IF(G46="",0,IFNA(VLOOKUP(G46,Trait_Polarity!$A:$C,3,FALSE),0))</f>
        <v/>
      </c>
      <c r="S46">
        <f>IF(P46="P",(M46+N46+O46)/3,0.3*H46+0.3*I46+0.2*J46+0.1*K46+0.1*L46)</f>
        <v/>
      </c>
      <c r="T46">
        <f>IF(P46="P",IFNA(VLOOKUP(B46,Pitcher_RoleAdj!$A:$B,2,FALSE),0),IFNA(VLOOKUP(B46,Hitter_PrimaryAdj!$A:$B,2,FALSE),0))</f>
        <v/>
      </c>
      <c r="U46">
        <f>IFNA(VLOOKUP(IF(C46="","(none)",C46),SecondaryAdj!$A:$B,2,FALSE),0)</f>
        <v/>
      </c>
      <c r="V46">
        <f>IF(P46="P",0.7780+0.1628*S46+0.2957*Q46-0.1912*R46-0.1512*IF(D46="S",1,0)+0.1600*IF(E46="L",1,0)+0.0091*H46+0.0124*I46+0.0017*J46+T46+U46,-0.8294+0.1849*S46+0.1750*Q46-0.2969*R46+0.6924*IF(D46="S",1,0)+0.0457*IF(E46="L",1,0)+T46+U46)</f>
        <v/>
      </c>
      <c r="W46">
        <f>MAX(0,MIN(16,ROUND(V46,0)))</f>
        <v/>
      </c>
      <c r="X46">
        <f>IFNA(VLOOKUP(W46,Grade_Scale!$A:$B,2,FALSE),"F")</f>
        <v/>
      </c>
      <c r="Z46">
        <f>IF(Y46="","",W46-IFNA(VLOOKUP(Y46,Grade_Scale!$D:$E,2,FALSE),""))</f>
        <v/>
      </c>
    </row>
    <row r="47">
      <c r="P47">
        <f>IF(OR(B47="SP",B47="RP",B47="CP",B47="SP/RP"),"P","H")</f>
        <v/>
      </c>
      <c r="Q47">
        <f>IF(F47="",0,IFNA(VLOOKUP(F47,Trait_Polarity!$A:$C,2,FALSE),0))+IF(G47="",0,IFNA(VLOOKUP(G47,Trait_Polarity!$A:$C,2,FALSE),0))</f>
        <v/>
      </c>
      <c r="R47">
        <f>IF(F47="",0,IFNA(VLOOKUP(F47,Trait_Polarity!$A:$C,3,FALSE),0))+IF(G47="",0,IFNA(VLOOKUP(G47,Trait_Polarity!$A:$C,3,FALSE),0))</f>
        <v/>
      </c>
      <c r="S47">
        <f>IF(P47="P",(M47+N47+O47)/3,0.3*H47+0.3*I47+0.2*J47+0.1*K47+0.1*L47)</f>
        <v/>
      </c>
      <c r="T47">
        <f>IF(P47="P",IFNA(VLOOKUP(B47,Pitcher_RoleAdj!$A:$B,2,FALSE),0),IFNA(VLOOKUP(B47,Hitter_PrimaryAdj!$A:$B,2,FALSE),0))</f>
        <v/>
      </c>
      <c r="U47">
        <f>IFNA(VLOOKUP(IF(C47="","(none)",C47),SecondaryAdj!$A:$B,2,FALSE),0)</f>
        <v/>
      </c>
      <c r="V47">
        <f>IF(P47="P",0.7780+0.1628*S47+0.2957*Q47-0.1912*R47-0.1512*IF(D47="S",1,0)+0.1600*IF(E47="L",1,0)+0.0091*H47+0.0124*I47+0.0017*J47+T47+U47,-0.8294+0.1849*S47+0.1750*Q47-0.2969*R47+0.6924*IF(D47="S",1,0)+0.0457*IF(E47="L",1,0)+T47+U47)</f>
        <v/>
      </c>
      <c r="W47">
        <f>MAX(0,MIN(16,ROUND(V47,0)))</f>
        <v/>
      </c>
      <c r="X47">
        <f>IFNA(VLOOKUP(W47,Grade_Scale!$A:$B,2,FALSE),"F")</f>
        <v/>
      </c>
      <c r="Z47">
        <f>IF(Y47="","",W47-IFNA(VLOOKUP(Y47,Grade_Scale!$D:$E,2,FALSE),""))</f>
        <v/>
      </c>
    </row>
    <row r="48">
      <c r="P48">
        <f>IF(OR(B48="SP",B48="RP",B48="CP",B48="SP/RP"),"P","H")</f>
        <v/>
      </c>
      <c r="Q48">
        <f>IF(F48="",0,IFNA(VLOOKUP(F48,Trait_Polarity!$A:$C,2,FALSE),0))+IF(G48="",0,IFNA(VLOOKUP(G48,Trait_Polarity!$A:$C,2,FALSE),0))</f>
        <v/>
      </c>
      <c r="R48">
        <f>IF(F48="",0,IFNA(VLOOKUP(F48,Trait_Polarity!$A:$C,3,FALSE),0))+IF(G48="",0,IFNA(VLOOKUP(G48,Trait_Polarity!$A:$C,3,FALSE),0))</f>
        <v/>
      </c>
      <c r="S48">
        <f>IF(P48="P",(M48+N48+O48)/3,0.3*H48+0.3*I48+0.2*J48+0.1*K48+0.1*L48)</f>
        <v/>
      </c>
      <c r="T48">
        <f>IF(P48="P",IFNA(VLOOKUP(B48,Pitcher_RoleAdj!$A:$B,2,FALSE),0),IFNA(VLOOKUP(B48,Hitter_PrimaryAdj!$A:$B,2,FALSE),0))</f>
        <v/>
      </c>
      <c r="U48">
        <f>IFNA(VLOOKUP(IF(C48="","(none)",C48),SecondaryAdj!$A:$B,2,FALSE),0)</f>
        <v/>
      </c>
      <c r="V48">
        <f>IF(P48="P",0.7780+0.1628*S48+0.2957*Q48-0.1912*R48-0.1512*IF(D48="S",1,0)+0.1600*IF(E48="L",1,0)+0.0091*H48+0.0124*I48+0.0017*J48+T48+U48,-0.8294+0.1849*S48+0.1750*Q48-0.2969*R48+0.6924*IF(D48="S",1,0)+0.0457*IF(E48="L",1,0)+T48+U48)</f>
        <v/>
      </c>
      <c r="W48">
        <f>MAX(0,MIN(16,ROUND(V48,0)))</f>
        <v/>
      </c>
      <c r="X48">
        <f>IFNA(VLOOKUP(W48,Grade_Scale!$A:$B,2,FALSE),"F")</f>
        <v/>
      </c>
      <c r="Z48">
        <f>IF(Y48="","",W48-IFNA(VLOOKUP(Y48,Grade_Scale!$D:$E,2,FALSE),""))</f>
        <v/>
      </c>
    </row>
    <row r="49">
      <c r="P49">
        <f>IF(OR(B49="SP",B49="RP",B49="CP",B49="SP/RP"),"P","H")</f>
        <v/>
      </c>
      <c r="Q49">
        <f>IF(F49="",0,IFNA(VLOOKUP(F49,Trait_Polarity!$A:$C,2,FALSE),0))+IF(G49="",0,IFNA(VLOOKUP(G49,Trait_Polarity!$A:$C,2,FALSE),0))</f>
        <v/>
      </c>
      <c r="R49">
        <f>IF(F49="",0,IFNA(VLOOKUP(F49,Trait_Polarity!$A:$C,3,FALSE),0))+IF(G49="",0,IFNA(VLOOKUP(G49,Trait_Polarity!$A:$C,3,FALSE),0))</f>
        <v/>
      </c>
      <c r="S49">
        <f>IF(P49="P",(M49+N49+O49)/3,0.3*H49+0.3*I49+0.2*J49+0.1*K49+0.1*L49)</f>
        <v/>
      </c>
      <c r="T49">
        <f>IF(P49="P",IFNA(VLOOKUP(B49,Pitcher_RoleAdj!$A:$B,2,FALSE),0),IFNA(VLOOKUP(B49,Hitter_PrimaryAdj!$A:$B,2,FALSE),0))</f>
        <v/>
      </c>
      <c r="U49">
        <f>IFNA(VLOOKUP(IF(C49="","(none)",C49),SecondaryAdj!$A:$B,2,FALSE),0)</f>
        <v/>
      </c>
      <c r="V49">
        <f>IF(P49="P",0.7780+0.1628*S49+0.2957*Q49-0.1912*R49-0.1512*IF(D49="S",1,0)+0.1600*IF(E49="L",1,0)+0.0091*H49+0.0124*I49+0.0017*J49+T49+U49,-0.8294+0.1849*S49+0.1750*Q49-0.2969*R49+0.6924*IF(D49="S",1,0)+0.0457*IF(E49="L",1,0)+T49+U49)</f>
        <v/>
      </c>
      <c r="W49">
        <f>MAX(0,MIN(16,ROUND(V49,0)))</f>
        <v/>
      </c>
      <c r="X49">
        <f>IFNA(VLOOKUP(W49,Grade_Scale!$A:$B,2,FALSE),"F")</f>
        <v/>
      </c>
      <c r="Z49">
        <f>IF(Y49="","",W49-IFNA(VLOOKUP(Y49,Grade_Scale!$D:$E,2,FALSE),""))</f>
        <v/>
      </c>
    </row>
    <row r="50">
      <c r="P50">
        <f>IF(OR(B50="SP",B50="RP",B50="CP",B50="SP/RP"),"P","H")</f>
        <v/>
      </c>
      <c r="Q50">
        <f>IF(F50="",0,IFNA(VLOOKUP(F50,Trait_Polarity!$A:$C,2,FALSE),0))+IF(G50="",0,IFNA(VLOOKUP(G50,Trait_Polarity!$A:$C,2,FALSE),0))</f>
        <v/>
      </c>
      <c r="R50">
        <f>IF(F50="",0,IFNA(VLOOKUP(F50,Trait_Polarity!$A:$C,3,FALSE),0))+IF(G50="",0,IFNA(VLOOKUP(G50,Trait_Polarity!$A:$C,3,FALSE),0))</f>
        <v/>
      </c>
      <c r="S50">
        <f>IF(P50="P",(M50+N50+O50)/3,0.3*H50+0.3*I50+0.2*J50+0.1*K50+0.1*L50)</f>
        <v/>
      </c>
      <c r="T50">
        <f>IF(P50="P",IFNA(VLOOKUP(B50,Pitcher_RoleAdj!$A:$B,2,FALSE),0),IFNA(VLOOKUP(B50,Hitter_PrimaryAdj!$A:$B,2,FALSE),0))</f>
        <v/>
      </c>
      <c r="U50">
        <f>IFNA(VLOOKUP(IF(C50="","(none)",C50),SecondaryAdj!$A:$B,2,FALSE),0)</f>
        <v/>
      </c>
      <c r="V50">
        <f>IF(P50="P",0.7780+0.1628*S50+0.2957*Q50-0.1912*R50-0.1512*IF(D50="S",1,0)+0.1600*IF(E50="L",1,0)+0.0091*H50+0.0124*I50+0.0017*J50+T50+U50,-0.8294+0.1849*S50+0.1750*Q50-0.2969*R50+0.6924*IF(D50="S",1,0)+0.0457*IF(E50="L",1,0)+T50+U50)</f>
        <v/>
      </c>
      <c r="W50">
        <f>MAX(0,MIN(16,ROUND(V50,0)))</f>
        <v/>
      </c>
      <c r="X50">
        <f>IFNA(VLOOKUP(W50,Grade_Scale!$A:$B,2,FALSE),"F")</f>
        <v/>
      </c>
      <c r="Z50">
        <f>IF(Y50="","",W50-IFNA(VLOOKUP(Y50,Grade_Scale!$D:$E,2,FALSE),""))</f>
        <v/>
      </c>
    </row>
    <row r="51">
      <c r="P51">
        <f>IF(OR(B51="SP",B51="RP",B51="CP",B51="SP/RP"),"P","H")</f>
        <v/>
      </c>
      <c r="Q51">
        <f>IF(F51="",0,IFNA(VLOOKUP(F51,Trait_Polarity!$A:$C,2,FALSE),0))+IF(G51="",0,IFNA(VLOOKUP(G51,Trait_Polarity!$A:$C,2,FALSE),0))</f>
        <v/>
      </c>
      <c r="R51">
        <f>IF(F51="",0,IFNA(VLOOKUP(F51,Trait_Polarity!$A:$C,3,FALSE),0))+IF(G51="",0,IFNA(VLOOKUP(G51,Trait_Polarity!$A:$C,3,FALSE),0))</f>
        <v/>
      </c>
      <c r="S51">
        <f>IF(P51="P",(M51+N51+O51)/3,0.3*H51+0.3*I51+0.2*J51+0.1*K51+0.1*L51)</f>
        <v/>
      </c>
      <c r="T51">
        <f>IF(P51="P",IFNA(VLOOKUP(B51,Pitcher_RoleAdj!$A:$B,2,FALSE),0),IFNA(VLOOKUP(B51,Hitter_PrimaryAdj!$A:$B,2,FALSE),0))</f>
        <v/>
      </c>
      <c r="U51">
        <f>IFNA(VLOOKUP(IF(C51="","(none)",C51),SecondaryAdj!$A:$B,2,FALSE),0)</f>
        <v/>
      </c>
      <c r="V51">
        <f>IF(P51="P",0.7780+0.1628*S51+0.2957*Q51-0.1912*R51-0.1512*IF(D51="S",1,0)+0.1600*IF(E51="L",1,0)+0.0091*H51+0.0124*I51+0.0017*J51+T51+U51,-0.8294+0.1849*S51+0.1750*Q51-0.2969*R51+0.6924*IF(D51="S",1,0)+0.0457*IF(E51="L",1,0)+T51+U51)</f>
        <v/>
      </c>
      <c r="W51">
        <f>MAX(0,MIN(16,ROUND(V51,0)))</f>
        <v/>
      </c>
      <c r="X51">
        <f>IFNA(VLOOKUP(W51,Grade_Scale!$A:$B,2,FALSE),"F")</f>
        <v/>
      </c>
      <c r="Z51">
        <f>IF(Y51="","",W51-IFNA(VLOOKUP(Y51,Grade_Scale!$D:$E,2,FALSE),""))</f>
        <v/>
      </c>
    </row>
    <row r="52">
      <c r="P52">
        <f>IF(OR(B52="SP",B52="RP",B52="CP",B52="SP/RP"),"P","H")</f>
        <v/>
      </c>
      <c r="Q52">
        <f>IF(F52="",0,IFNA(VLOOKUP(F52,Trait_Polarity!$A:$C,2,FALSE),0))+IF(G52="",0,IFNA(VLOOKUP(G52,Trait_Polarity!$A:$C,2,FALSE),0))</f>
        <v/>
      </c>
      <c r="R52">
        <f>IF(F52="",0,IFNA(VLOOKUP(F52,Trait_Polarity!$A:$C,3,FALSE),0))+IF(G52="",0,IFNA(VLOOKUP(G52,Trait_Polarity!$A:$C,3,FALSE),0))</f>
        <v/>
      </c>
      <c r="S52">
        <f>IF(P52="P",(M52+N52+O52)/3,0.3*H52+0.3*I52+0.2*J52+0.1*K52+0.1*L52)</f>
        <v/>
      </c>
      <c r="T52">
        <f>IF(P52="P",IFNA(VLOOKUP(B52,Pitcher_RoleAdj!$A:$B,2,FALSE),0),IFNA(VLOOKUP(B52,Hitter_PrimaryAdj!$A:$B,2,FALSE),0))</f>
        <v/>
      </c>
      <c r="U52">
        <f>IFNA(VLOOKUP(IF(C52="","(none)",C52),SecondaryAdj!$A:$B,2,FALSE),0)</f>
        <v/>
      </c>
      <c r="V52">
        <f>IF(P52="P",0.7780+0.1628*S52+0.2957*Q52-0.1912*R52-0.1512*IF(D52="S",1,0)+0.1600*IF(E52="L",1,0)+0.0091*H52+0.0124*I52+0.0017*J52+T52+U52,-0.8294+0.1849*S52+0.1750*Q52-0.2969*R52+0.6924*IF(D52="S",1,0)+0.0457*IF(E52="L",1,0)+T52+U52)</f>
        <v/>
      </c>
      <c r="W52">
        <f>MAX(0,MIN(16,ROUND(V52,0)))</f>
        <v/>
      </c>
      <c r="X52">
        <f>IFNA(VLOOKUP(W52,Grade_Scale!$A:$B,2,FALSE),"F")</f>
        <v/>
      </c>
      <c r="Z52">
        <f>IF(Y52="","",W52-IFNA(VLOOKUP(Y52,Grade_Scale!$D:$E,2,FALSE),""))</f>
        <v/>
      </c>
    </row>
    <row r="53">
      <c r="P53">
        <f>IF(OR(B53="SP",B53="RP",B53="CP",B53="SP/RP"),"P","H")</f>
        <v/>
      </c>
      <c r="Q53">
        <f>IF(F53="",0,IFNA(VLOOKUP(F53,Trait_Polarity!$A:$C,2,FALSE),0))+IF(G53="",0,IFNA(VLOOKUP(G53,Trait_Polarity!$A:$C,2,FALSE),0))</f>
        <v/>
      </c>
      <c r="R53">
        <f>IF(F53="",0,IFNA(VLOOKUP(F53,Trait_Polarity!$A:$C,3,FALSE),0))+IF(G53="",0,IFNA(VLOOKUP(G53,Trait_Polarity!$A:$C,3,FALSE),0))</f>
        <v/>
      </c>
      <c r="S53">
        <f>IF(P53="P",(M53+N53+O53)/3,0.3*H53+0.3*I53+0.2*J53+0.1*K53+0.1*L53)</f>
        <v/>
      </c>
      <c r="T53">
        <f>IF(P53="P",IFNA(VLOOKUP(B53,Pitcher_RoleAdj!$A:$B,2,FALSE),0),IFNA(VLOOKUP(B53,Hitter_PrimaryAdj!$A:$B,2,FALSE),0))</f>
        <v/>
      </c>
      <c r="U53">
        <f>IFNA(VLOOKUP(IF(C53="","(none)",C53),SecondaryAdj!$A:$B,2,FALSE),0)</f>
        <v/>
      </c>
      <c r="V53">
        <f>IF(P53="P",0.7780+0.1628*S53+0.2957*Q53-0.1912*R53-0.1512*IF(D53="S",1,0)+0.1600*IF(E53="L",1,0)+0.0091*H53+0.0124*I53+0.0017*J53+T53+U53,-0.8294+0.1849*S53+0.1750*Q53-0.2969*R53+0.6924*IF(D53="S",1,0)+0.0457*IF(E53="L",1,0)+T53+U53)</f>
        <v/>
      </c>
      <c r="W53">
        <f>MAX(0,MIN(16,ROUND(V53,0)))</f>
        <v/>
      </c>
      <c r="X53">
        <f>IFNA(VLOOKUP(W53,Grade_Scale!$A:$B,2,FALSE),"F")</f>
        <v/>
      </c>
      <c r="Z53">
        <f>IF(Y53="","",W53-IFNA(VLOOKUP(Y53,Grade_Scale!$D:$E,2,FALSE),""))</f>
        <v/>
      </c>
    </row>
    <row r="54">
      <c r="P54">
        <f>IF(OR(B54="SP",B54="RP",B54="CP",B54="SP/RP"),"P","H")</f>
        <v/>
      </c>
      <c r="Q54">
        <f>IF(F54="",0,IFNA(VLOOKUP(F54,Trait_Polarity!$A:$C,2,FALSE),0))+IF(G54="",0,IFNA(VLOOKUP(G54,Trait_Polarity!$A:$C,2,FALSE),0))</f>
        <v/>
      </c>
      <c r="R54">
        <f>IF(F54="",0,IFNA(VLOOKUP(F54,Trait_Polarity!$A:$C,3,FALSE),0))+IF(G54="",0,IFNA(VLOOKUP(G54,Trait_Polarity!$A:$C,3,FALSE),0))</f>
        <v/>
      </c>
      <c r="S54">
        <f>IF(P54="P",(M54+N54+O54)/3,0.3*H54+0.3*I54+0.2*J54+0.1*K54+0.1*L54)</f>
        <v/>
      </c>
      <c r="T54">
        <f>IF(P54="P",IFNA(VLOOKUP(B54,Pitcher_RoleAdj!$A:$B,2,FALSE),0),IFNA(VLOOKUP(B54,Hitter_PrimaryAdj!$A:$B,2,FALSE),0))</f>
        <v/>
      </c>
      <c r="U54">
        <f>IFNA(VLOOKUP(IF(C54="","(none)",C54),SecondaryAdj!$A:$B,2,FALSE),0)</f>
        <v/>
      </c>
      <c r="V54">
        <f>IF(P54="P",0.7780+0.1628*S54+0.2957*Q54-0.1912*R54-0.1512*IF(D54="S",1,0)+0.1600*IF(E54="L",1,0)+0.0091*H54+0.0124*I54+0.0017*J54+T54+U54,-0.8294+0.1849*S54+0.1750*Q54-0.2969*R54+0.6924*IF(D54="S",1,0)+0.0457*IF(E54="L",1,0)+T54+U54)</f>
        <v/>
      </c>
      <c r="W54">
        <f>MAX(0,MIN(16,ROUND(V54,0)))</f>
        <v/>
      </c>
      <c r="X54">
        <f>IFNA(VLOOKUP(W54,Grade_Scale!$A:$B,2,FALSE),"F")</f>
        <v/>
      </c>
      <c r="Z54">
        <f>IF(Y54="","",W54-IFNA(VLOOKUP(Y54,Grade_Scale!$D:$E,2,FALSE),""))</f>
        <v/>
      </c>
    </row>
    <row r="55">
      <c r="P55">
        <f>IF(OR(B55="SP",B55="RP",B55="CP",B55="SP/RP"),"P","H")</f>
        <v/>
      </c>
      <c r="Q55">
        <f>IF(F55="",0,IFNA(VLOOKUP(F55,Trait_Polarity!$A:$C,2,FALSE),0))+IF(G55="",0,IFNA(VLOOKUP(G55,Trait_Polarity!$A:$C,2,FALSE),0))</f>
        <v/>
      </c>
      <c r="R55">
        <f>IF(F55="",0,IFNA(VLOOKUP(F55,Trait_Polarity!$A:$C,3,FALSE),0))+IF(G55="",0,IFNA(VLOOKUP(G55,Trait_Polarity!$A:$C,3,FALSE),0))</f>
        <v/>
      </c>
      <c r="S55">
        <f>IF(P55="P",(M55+N55+O55)/3,0.3*H55+0.3*I55+0.2*J55+0.1*K55+0.1*L55)</f>
        <v/>
      </c>
      <c r="T55">
        <f>IF(P55="P",IFNA(VLOOKUP(B55,Pitcher_RoleAdj!$A:$B,2,FALSE),0),IFNA(VLOOKUP(B55,Hitter_PrimaryAdj!$A:$B,2,FALSE),0))</f>
        <v/>
      </c>
      <c r="U55">
        <f>IFNA(VLOOKUP(IF(C55="","(none)",C55),SecondaryAdj!$A:$B,2,FALSE),0)</f>
        <v/>
      </c>
      <c r="V55">
        <f>IF(P55="P",0.7780+0.1628*S55+0.2957*Q55-0.1912*R55-0.1512*IF(D55="S",1,0)+0.1600*IF(E55="L",1,0)+0.0091*H55+0.0124*I55+0.0017*J55+T55+U55,-0.8294+0.1849*S55+0.1750*Q55-0.2969*R55+0.6924*IF(D55="S",1,0)+0.0457*IF(E55="L",1,0)+T55+U55)</f>
        <v/>
      </c>
      <c r="W55">
        <f>MAX(0,MIN(16,ROUND(V55,0)))</f>
        <v/>
      </c>
      <c r="X55">
        <f>IFNA(VLOOKUP(W55,Grade_Scale!$A:$B,2,FALSE),"F")</f>
        <v/>
      </c>
      <c r="Z55">
        <f>IF(Y55="","",W55-IFNA(VLOOKUP(Y55,Grade_Scale!$D:$E,2,FALSE),""))</f>
        <v/>
      </c>
    </row>
    <row r="56">
      <c r="P56">
        <f>IF(OR(B56="SP",B56="RP",B56="CP",B56="SP/RP"),"P","H")</f>
        <v/>
      </c>
      <c r="Q56">
        <f>IF(F56="",0,IFNA(VLOOKUP(F56,Trait_Polarity!$A:$C,2,FALSE),0))+IF(G56="",0,IFNA(VLOOKUP(G56,Trait_Polarity!$A:$C,2,FALSE),0))</f>
        <v/>
      </c>
      <c r="R56">
        <f>IF(F56="",0,IFNA(VLOOKUP(F56,Trait_Polarity!$A:$C,3,FALSE),0))+IF(G56="",0,IFNA(VLOOKUP(G56,Trait_Polarity!$A:$C,3,FALSE),0))</f>
        <v/>
      </c>
      <c r="S56">
        <f>IF(P56="P",(M56+N56+O56)/3,0.3*H56+0.3*I56+0.2*J56+0.1*K56+0.1*L56)</f>
        <v/>
      </c>
      <c r="T56">
        <f>IF(P56="P",IFNA(VLOOKUP(B56,Pitcher_RoleAdj!$A:$B,2,FALSE),0),IFNA(VLOOKUP(B56,Hitter_PrimaryAdj!$A:$B,2,FALSE),0))</f>
        <v/>
      </c>
      <c r="U56">
        <f>IFNA(VLOOKUP(IF(C56="","(none)",C56),SecondaryAdj!$A:$B,2,FALSE),0)</f>
        <v/>
      </c>
      <c r="V56">
        <f>IF(P56="P",0.7780+0.1628*S56+0.2957*Q56-0.1912*R56-0.1512*IF(D56="S",1,0)+0.1600*IF(E56="L",1,0)+0.0091*H56+0.0124*I56+0.0017*J56+T56+U56,-0.8294+0.1849*S56+0.1750*Q56-0.2969*R56+0.6924*IF(D56="S",1,0)+0.0457*IF(E56="L",1,0)+T56+U56)</f>
        <v/>
      </c>
      <c r="W56">
        <f>MAX(0,MIN(16,ROUND(V56,0)))</f>
        <v/>
      </c>
      <c r="X56">
        <f>IFNA(VLOOKUP(W56,Grade_Scale!$A:$B,2,FALSE),"F")</f>
        <v/>
      </c>
      <c r="Z56">
        <f>IF(Y56="","",W56-IFNA(VLOOKUP(Y56,Grade_Scale!$D:$E,2,FALSE),""))</f>
        <v/>
      </c>
    </row>
    <row r="57">
      <c r="P57">
        <f>IF(OR(B57="SP",B57="RP",B57="CP",B57="SP/RP"),"P","H")</f>
        <v/>
      </c>
      <c r="Q57">
        <f>IF(F57="",0,IFNA(VLOOKUP(F57,Trait_Polarity!$A:$C,2,FALSE),0))+IF(G57="",0,IFNA(VLOOKUP(G57,Trait_Polarity!$A:$C,2,FALSE),0))</f>
        <v/>
      </c>
      <c r="R57">
        <f>IF(F57="",0,IFNA(VLOOKUP(F57,Trait_Polarity!$A:$C,3,FALSE),0))+IF(G57="",0,IFNA(VLOOKUP(G57,Trait_Polarity!$A:$C,3,FALSE),0))</f>
        <v/>
      </c>
      <c r="S57">
        <f>IF(P57="P",(M57+N57+O57)/3,0.3*H57+0.3*I57+0.2*J57+0.1*K57+0.1*L57)</f>
        <v/>
      </c>
      <c r="T57">
        <f>IF(P57="P",IFNA(VLOOKUP(B57,Pitcher_RoleAdj!$A:$B,2,FALSE),0),IFNA(VLOOKUP(B57,Hitter_PrimaryAdj!$A:$B,2,FALSE),0))</f>
        <v/>
      </c>
      <c r="U57">
        <f>IFNA(VLOOKUP(IF(C57="","(none)",C57),SecondaryAdj!$A:$B,2,FALSE),0)</f>
        <v/>
      </c>
      <c r="V57">
        <f>IF(P57="P",0.7780+0.1628*S57+0.2957*Q57-0.1912*R57-0.1512*IF(D57="S",1,0)+0.1600*IF(E57="L",1,0)+0.0091*H57+0.0124*I57+0.0017*J57+T57+U57,-0.8294+0.1849*S57+0.1750*Q57-0.2969*R57+0.6924*IF(D57="S",1,0)+0.0457*IF(E57="L",1,0)+T57+U57)</f>
        <v/>
      </c>
      <c r="W57">
        <f>MAX(0,MIN(16,ROUND(V57,0)))</f>
        <v/>
      </c>
      <c r="X57">
        <f>IFNA(VLOOKUP(W57,Grade_Scale!$A:$B,2,FALSE),"F")</f>
        <v/>
      </c>
      <c r="Z57">
        <f>IF(Y57="","",W57-IFNA(VLOOKUP(Y57,Grade_Scale!$D:$E,2,FALSE),""))</f>
        <v/>
      </c>
    </row>
    <row r="58">
      <c r="P58">
        <f>IF(OR(B58="SP",B58="RP",B58="CP",B58="SP/RP"),"P","H")</f>
        <v/>
      </c>
      <c r="Q58">
        <f>IF(F58="",0,IFNA(VLOOKUP(F58,Trait_Polarity!$A:$C,2,FALSE),0))+IF(G58="",0,IFNA(VLOOKUP(G58,Trait_Polarity!$A:$C,2,FALSE),0))</f>
        <v/>
      </c>
      <c r="R58">
        <f>IF(F58="",0,IFNA(VLOOKUP(F58,Trait_Polarity!$A:$C,3,FALSE),0))+IF(G58="",0,IFNA(VLOOKUP(G58,Trait_Polarity!$A:$C,3,FALSE),0))</f>
        <v/>
      </c>
      <c r="S58">
        <f>IF(P58="P",(M58+N58+O58)/3,0.3*H58+0.3*I58+0.2*J58+0.1*K58+0.1*L58)</f>
        <v/>
      </c>
      <c r="T58">
        <f>IF(P58="P",IFNA(VLOOKUP(B58,Pitcher_RoleAdj!$A:$B,2,FALSE),0),IFNA(VLOOKUP(B58,Hitter_PrimaryAdj!$A:$B,2,FALSE),0))</f>
        <v/>
      </c>
      <c r="U58">
        <f>IFNA(VLOOKUP(IF(C58="","(none)",C58),SecondaryAdj!$A:$B,2,FALSE),0)</f>
        <v/>
      </c>
      <c r="V58">
        <f>IF(P58="P",0.7780+0.1628*S58+0.2957*Q58-0.1912*R58-0.1512*IF(D58="S",1,0)+0.1600*IF(E58="L",1,0)+0.0091*H58+0.0124*I58+0.0017*J58+T58+U58,-0.8294+0.1849*S58+0.1750*Q58-0.2969*R58+0.6924*IF(D58="S",1,0)+0.0457*IF(E58="L",1,0)+T58+U58)</f>
        <v/>
      </c>
      <c r="W58">
        <f>MAX(0,MIN(16,ROUND(V58,0)))</f>
        <v/>
      </c>
      <c r="X58">
        <f>IFNA(VLOOKUP(W58,Grade_Scale!$A:$B,2,FALSE),"F")</f>
        <v/>
      </c>
      <c r="Z58">
        <f>IF(Y58="","",W58-IFNA(VLOOKUP(Y58,Grade_Scale!$D:$E,2,FALSE),""))</f>
        <v/>
      </c>
    </row>
    <row r="59">
      <c r="P59">
        <f>IF(OR(B59="SP",B59="RP",B59="CP",B59="SP/RP"),"P","H")</f>
        <v/>
      </c>
      <c r="Q59">
        <f>IF(F59="",0,IFNA(VLOOKUP(F59,Trait_Polarity!$A:$C,2,FALSE),0))+IF(G59="",0,IFNA(VLOOKUP(G59,Trait_Polarity!$A:$C,2,FALSE),0))</f>
        <v/>
      </c>
      <c r="R59">
        <f>IF(F59="",0,IFNA(VLOOKUP(F59,Trait_Polarity!$A:$C,3,FALSE),0))+IF(G59="",0,IFNA(VLOOKUP(G59,Trait_Polarity!$A:$C,3,FALSE),0))</f>
        <v/>
      </c>
      <c r="S59">
        <f>IF(P59="P",(M59+N59+O59)/3,0.3*H59+0.3*I59+0.2*J59+0.1*K59+0.1*L59)</f>
        <v/>
      </c>
      <c r="T59">
        <f>IF(P59="P",IFNA(VLOOKUP(B59,Pitcher_RoleAdj!$A:$B,2,FALSE),0),IFNA(VLOOKUP(B59,Hitter_PrimaryAdj!$A:$B,2,FALSE),0))</f>
        <v/>
      </c>
      <c r="U59">
        <f>IFNA(VLOOKUP(IF(C59="","(none)",C59),SecondaryAdj!$A:$B,2,FALSE),0)</f>
        <v/>
      </c>
      <c r="V59">
        <f>IF(P59="P",0.7780+0.1628*S59+0.2957*Q59-0.1912*R59-0.1512*IF(D59="S",1,0)+0.1600*IF(E59="L",1,0)+0.0091*H59+0.0124*I59+0.0017*J59+T59+U59,-0.8294+0.1849*S59+0.1750*Q59-0.2969*R59+0.6924*IF(D59="S",1,0)+0.0457*IF(E59="L",1,0)+T59+U59)</f>
        <v/>
      </c>
      <c r="W59">
        <f>MAX(0,MIN(16,ROUND(V59,0)))</f>
        <v/>
      </c>
      <c r="X59">
        <f>IFNA(VLOOKUP(W59,Grade_Scale!$A:$B,2,FALSE),"F")</f>
        <v/>
      </c>
      <c r="Z59">
        <f>IF(Y59="","",W59-IFNA(VLOOKUP(Y59,Grade_Scale!$D:$E,2,FALSE),""))</f>
        <v/>
      </c>
    </row>
    <row r="60">
      <c r="P60">
        <f>IF(OR(B60="SP",B60="RP",B60="CP",B60="SP/RP"),"P","H")</f>
        <v/>
      </c>
      <c r="Q60">
        <f>IF(F60="",0,IFNA(VLOOKUP(F60,Trait_Polarity!$A:$C,2,FALSE),0))+IF(G60="",0,IFNA(VLOOKUP(G60,Trait_Polarity!$A:$C,2,FALSE),0))</f>
        <v/>
      </c>
      <c r="R60">
        <f>IF(F60="",0,IFNA(VLOOKUP(F60,Trait_Polarity!$A:$C,3,FALSE),0))+IF(G60="",0,IFNA(VLOOKUP(G60,Trait_Polarity!$A:$C,3,FALSE),0))</f>
        <v/>
      </c>
      <c r="S60">
        <f>IF(P60="P",(M60+N60+O60)/3,0.3*H60+0.3*I60+0.2*J60+0.1*K60+0.1*L60)</f>
        <v/>
      </c>
      <c r="T60">
        <f>IF(P60="P",IFNA(VLOOKUP(B60,Pitcher_RoleAdj!$A:$B,2,FALSE),0),IFNA(VLOOKUP(B60,Hitter_PrimaryAdj!$A:$B,2,FALSE),0))</f>
        <v/>
      </c>
      <c r="U60">
        <f>IFNA(VLOOKUP(IF(C60="","(none)",C60),SecondaryAdj!$A:$B,2,FALSE),0)</f>
        <v/>
      </c>
      <c r="V60">
        <f>IF(P60="P",0.7780+0.1628*S60+0.2957*Q60-0.1912*R60-0.1512*IF(D60="S",1,0)+0.1600*IF(E60="L",1,0)+0.0091*H60+0.0124*I60+0.0017*J60+T60+U60,-0.8294+0.1849*S60+0.1750*Q60-0.2969*R60+0.6924*IF(D60="S",1,0)+0.0457*IF(E60="L",1,0)+T60+U60)</f>
        <v/>
      </c>
      <c r="W60">
        <f>MAX(0,MIN(16,ROUND(V60,0)))</f>
        <v/>
      </c>
      <c r="X60">
        <f>IFNA(VLOOKUP(W60,Grade_Scale!$A:$B,2,FALSE),"F")</f>
        <v/>
      </c>
      <c r="Z60">
        <f>IF(Y60="","",W60-IFNA(VLOOKUP(Y60,Grade_Scale!$D:$E,2,FALSE),""))</f>
        <v/>
      </c>
    </row>
    <row r="61">
      <c r="P61">
        <f>IF(OR(B61="SP",B61="RP",B61="CP",B61="SP/RP"),"P","H")</f>
        <v/>
      </c>
      <c r="Q61">
        <f>IF(F61="",0,IFNA(VLOOKUP(F61,Trait_Polarity!$A:$C,2,FALSE),0))+IF(G61="",0,IFNA(VLOOKUP(G61,Trait_Polarity!$A:$C,2,FALSE),0))</f>
        <v/>
      </c>
      <c r="R61">
        <f>IF(F61="",0,IFNA(VLOOKUP(F61,Trait_Polarity!$A:$C,3,FALSE),0))+IF(G61="",0,IFNA(VLOOKUP(G61,Trait_Polarity!$A:$C,3,FALSE),0))</f>
        <v/>
      </c>
      <c r="S61">
        <f>IF(P61="P",(M61+N61+O61)/3,0.3*H61+0.3*I61+0.2*J61+0.1*K61+0.1*L61)</f>
        <v/>
      </c>
      <c r="T61">
        <f>IF(P61="P",IFNA(VLOOKUP(B61,Pitcher_RoleAdj!$A:$B,2,FALSE),0),IFNA(VLOOKUP(B61,Hitter_PrimaryAdj!$A:$B,2,FALSE),0))</f>
        <v/>
      </c>
      <c r="U61">
        <f>IFNA(VLOOKUP(IF(C61="","(none)",C61),SecondaryAdj!$A:$B,2,FALSE),0)</f>
        <v/>
      </c>
      <c r="V61">
        <f>IF(P61="P",0.7780+0.1628*S61+0.2957*Q61-0.1912*R61-0.1512*IF(D61="S",1,0)+0.1600*IF(E61="L",1,0)+0.0091*H61+0.0124*I61+0.0017*J61+T61+U61,-0.8294+0.1849*S61+0.1750*Q61-0.2969*R61+0.6924*IF(D61="S",1,0)+0.0457*IF(E61="L",1,0)+T61+U61)</f>
        <v/>
      </c>
      <c r="W61">
        <f>MAX(0,MIN(16,ROUND(V61,0)))</f>
        <v/>
      </c>
      <c r="X61">
        <f>IFNA(VLOOKUP(W61,Grade_Scale!$A:$B,2,FALSE),"F")</f>
        <v/>
      </c>
      <c r="Z61">
        <f>IF(Y61="","",W61-IFNA(VLOOKUP(Y61,Grade_Scale!$D:$E,2,FALSE),""))</f>
        <v/>
      </c>
    </row>
    <row r="62">
      <c r="P62">
        <f>IF(OR(B62="SP",B62="RP",B62="CP",B62="SP/RP"),"P","H")</f>
        <v/>
      </c>
      <c r="Q62">
        <f>IF(F62="",0,IFNA(VLOOKUP(F62,Trait_Polarity!$A:$C,2,FALSE),0))+IF(G62="",0,IFNA(VLOOKUP(G62,Trait_Polarity!$A:$C,2,FALSE),0))</f>
        <v/>
      </c>
      <c r="R62">
        <f>IF(F62="",0,IFNA(VLOOKUP(F62,Trait_Polarity!$A:$C,3,FALSE),0))+IF(G62="",0,IFNA(VLOOKUP(G62,Trait_Polarity!$A:$C,3,FALSE),0))</f>
        <v/>
      </c>
      <c r="S62">
        <f>IF(P62="P",(M62+N62+O62)/3,0.3*H62+0.3*I62+0.2*J62+0.1*K62+0.1*L62)</f>
        <v/>
      </c>
      <c r="T62">
        <f>IF(P62="P",IFNA(VLOOKUP(B62,Pitcher_RoleAdj!$A:$B,2,FALSE),0),IFNA(VLOOKUP(B62,Hitter_PrimaryAdj!$A:$B,2,FALSE),0))</f>
        <v/>
      </c>
      <c r="U62">
        <f>IFNA(VLOOKUP(IF(C62="","(none)",C62),SecondaryAdj!$A:$B,2,FALSE),0)</f>
        <v/>
      </c>
      <c r="V62">
        <f>IF(P62="P",0.7780+0.1628*S62+0.2957*Q62-0.1912*R62-0.1512*IF(D62="S",1,0)+0.1600*IF(E62="L",1,0)+0.0091*H62+0.0124*I62+0.0017*J62+T62+U62,-0.8294+0.1849*S62+0.1750*Q62-0.2969*R62+0.6924*IF(D62="S",1,0)+0.0457*IF(E62="L",1,0)+T62+U62)</f>
        <v/>
      </c>
      <c r="W62">
        <f>MAX(0,MIN(16,ROUND(V62,0)))</f>
        <v/>
      </c>
      <c r="X62">
        <f>IFNA(VLOOKUP(W62,Grade_Scale!$A:$B,2,FALSE),"F")</f>
        <v/>
      </c>
      <c r="Z62">
        <f>IF(Y62="","",W62-IFNA(VLOOKUP(Y62,Grade_Scale!$D:$E,2,FALSE),""))</f>
        <v/>
      </c>
    </row>
    <row r="63">
      <c r="P63">
        <f>IF(OR(B63="SP",B63="RP",B63="CP",B63="SP/RP"),"P","H")</f>
        <v/>
      </c>
      <c r="Q63">
        <f>IF(F63="",0,IFNA(VLOOKUP(F63,Trait_Polarity!$A:$C,2,FALSE),0))+IF(G63="",0,IFNA(VLOOKUP(G63,Trait_Polarity!$A:$C,2,FALSE),0))</f>
        <v/>
      </c>
      <c r="R63">
        <f>IF(F63="",0,IFNA(VLOOKUP(F63,Trait_Polarity!$A:$C,3,FALSE),0))+IF(G63="",0,IFNA(VLOOKUP(G63,Trait_Polarity!$A:$C,3,FALSE),0))</f>
        <v/>
      </c>
      <c r="S63">
        <f>IF(P63="P",(M63+N63+O63)/3,0.3*H63+0.3*I63+0.2*J63+0.1*K63+0.1*L63)</f>
        <v/>
      </c>
      <c r="T63">
        <f>IF(P63="P",IFNA(VLOOKUP(B63,Pitcher_RoleAdj!$A:$B,2,FALSE),0),IFNA(VLOOKUP(B63,Hitter_PrimaryAdj!$A:$B,2,FALSE),0))</f>
        <v/>
      </c>
      <c r="U63">
        <f>IFNA(VLOOKUP(IF(C63="","(none)",C63),SecondaryAdj!$A:$B,2,FALSE),0)</f>
        <v/>
      </c>
      <c r="V63">
        <f>IF(P63="P",0.7780+0.1628*S63+0.2957*Q63-0.1912*R63-0.1512*IF(D63="S",1,0)+0.1600*IF(E63="L",1,0)+0.0091*H63+0.0124*I63+0.0017*J63+T63+U63,-0.8294+0.1849*S63+0.1750*Q63-0.2969*R63+0.6924*IF(D63="S",1,0)+0.0457*IF(E63="L",1,0)+T63+U63)</f>
        <v/>
      </c>
      <c r="W63">
        <f>MAX(0,MIN(16,ROUND(V63,0)))</f>
        <v/>
      </c>
      <c r="X63">
        <f>IFNA(VLOOKUP(W63,Grade_Scale!$A:$B,2,FALSE),"F")</f>
        <v/>
      </c>
      <c r="Z63">
        <f>IF(Y63="","",W63-IFNA(VLOOKUP(Y63,Grade_Scale!$D:$E,2,FALSE),""))</f>
        <v/>
      </c>
    </row>
    <row r="64">
      <c r="P64">
        <f>IF(OR(B64="SP",B64="RP",B64="CP",B64="SP/RP"),"P","H")</f>
        <v/>
      </c>
      <c r="Q64">
        <f>IF(F64="",0,IFNA(VLOOKUP(F64,Trait_Polarity!$A:$C,2,FALSE),0))+IF(G64="",0,IFNA(VLOOKUP(G64,Trait_Polarity!$A:$C,2,FALSE),0))</f>
        <v/>
      </c>
      <c r="R64">
        <f>IF(F64="",0,IFNA(VLOOKUP(F64,Trait_Polarity!$A:$C,3,FALSE),0))+IF(G64="",0,IFNA(VLOOKUP(G64,Trait_Polarity!$A:$C,3,FALSE),0))</f>
        <v/>
      </c>
      <c r="S64">
        <f>IF(P64="P",(M64+N64+O64)/3,0.3*H64+0.3*I64+0.2*J64+0.1*K64+0.1*L64)</f>
        <v/>
      </c>
      <c r="T64">
        <f>IF(P64="P",IFNA(VLOOKUP(B64,Pitcher_RoleAdj!$A:$B,2,FALSE),0),IFNA(VLOOKUP(B64,Hitter_PrimaryAdj!$A:$B,2,FALSE),0))</f>
        <v/>
      </c>
      <c r="U64">
        <f>IFNA(VLOOKUP(IF(C64="","(none)",C64),SecondaryAdj!$A:$B,2,FALSE),0)</f>
        <v/>
      </c>
      <c r="V64">
        <f>IF(P64="P",0.7780+0.1628*S64+0.2957*Q64-0.1912*R64-0.1512*IF(D64="S",1,0)+0.1600*IF(E64="L",1,0)+0.0091*H64+0.0124*I64+0.0017*J64+T64+U64,-0.8294+0.1849*S64+0.1750*Q64-0.2969*R64+0.6924*IF(D64="S",1,0)+0.0457*IF(E64="L",1,0)+T64+U64)</f>
        <v/>
      </c>
      <c r="W64">
        <f>MAX(0,MIN(16,ROUND(V64,0)))</f>
        <v/>
      </c>
      <c r="X64">
        <f>IFNA(VLOOKUP(W64,Grade_Scale!$A:$B,2,FALSE),"F")</f>
        <v/>
      </c>
      <c r="Z64">
        <f>IF(Y64="","",W64-IFNA(VLOOKUP(Y64,Grade_Scale!$D:$E,2,FALSE),""))</f>
        <v/>
      </c>
    </row>
    <row r="65">
      <c r="P65">
        <f>IF(OR(B65="SP",B65="RP",B65="CP",B65="SP/RP"),"P","H")</f>
        <v/>
      </c>
      <c r="Q65">
        <f>IF(F65="",0,IFNA(VLOOKUP(F65,Trait_Polarity!$A:$C,2,FALSE),0))+IF(G65="",0,IFNA(VLOOKUP(G65,Trait_Polarity!$A:$C,2,FALSE),0))</f>
        <v/>
      </c>
      <c r="R65">
        <f>IF(F65="",0,IFNA(VLOOKUP(F65,Trait_Polarity!$A:$C,3,FALSE),0))+IF(G65="",0,IFNA(VLOOKUP(G65,Trait_Polarity!$A:$C,3,FALSE),0))</f>
        <v/>
      </c>
      <c r="S65">
        <f>IF(P65="P",(M65+N65+O65)/3,0.3*H65+0.3*I65+0.2*J65+0.1*K65+0.1*L65)</f>
        <v/>
      </c>
      <c r="T65">
        <f>IF(P65="P",IFNA(VLOOKUP(B65,Pitcher_RoleAdj!$A:$B,2,FALSE),0),IFNA(VLOOKUP(B65,Hitter_PrimaryAdj!$A:$B,2,FALSE),0))</f>
        <v/>
      </c>
      <c r="U65">
        <f>IFNA(VLOOKUP(IF(C65="","(none)",C65),SecondaryAdj!$A:$B,2,FALSE),0)</f>
        <v/>
      </c>
      <c r="V65">
        <f>IF(P65="P",0.7780+0.1628*S65+0.2957*Q65-0.1912*R65-0.1512*IF(D65="S",1,0)+0.1600*IF(E65="L",1,0)+0.0091*H65+0.0124*I65+0.0017*J65+T65+U65,-0.8294+0.1849*S65+0.1750*Q65-0.2969*R65+0.6924*IF(D65="S",1,0)+0.0457*IF(E65="L",1,0)+T65+U65)</f>
        <v/>
      </c>
      <c r="W65">
        <f>MAX(0,MIN(16,ROUND(V65,0)))</f>
        <v/>
      </c>
      <c r="X65">
        <f>IFNA(VLOOKUP(W65,Grade_Scale!$A:$B,2,FALSE),"F")</f>
        <v/>
      </c>
      <c r="Z65">
        <f>IF(Y65="","",W65-IFNA(VLOOKUP(Y65,Grade_Scale!$D:$E,2,FALSE),""))</f>
        <v/>
      </c>
    </row>
    <row r="66">
      <c r="P66">
        <f>IF(OR(B66="SP",B66="RP",B66="CP",B66="SP/RP"),"P","H")</f>
        <v/>
      </c>
      <c r="Q66">
        <f>IF(F66="",0,IFNA(VLOOKUP(F66,Trait_Polarity!$A:$C,2,FALSE),0))+IF(G66="",0,IFNA(VLOOKUP(G66,Trait_Polarity!$A:$C,2,FALSE),0))</f>
        <v/>
      </c>
      <c r="R66">
        <f>IF(F66="",0,IFNA(VLOOKUP(F66,Trait_Polarity!$A:$C,3,FALSE),0))+IF(G66="",0,IFNA(VLOOKUP(G66,Trait_Polarity!$A:$C,3,FALSE),0))</f>
        <v/>
      </c>
      <c r="S66">
        <f>IF(P66="P",(M66+N66+O66)/3,0.3*H66+0.3*I66+0.2*J66+0.1*K66+0.1*L66)</f>
        <v/>
      </c>
      <c r="T66">
        <f>IF(P66="P",IFNA(VLOOKUP(B66,Pitcher_RoleAdj!$A:$B,2,FALSE),0),IFNA(VLOOKUP(B66,Hitter_PrimaryAdj!$A:$B,2,FALSE),0))</f>
        <v/>
      </c>
      <c r="U66">
        <f>IFNA(VLOOKUP(IF(C66="","(none)",C66),SecondaryAdj!$A:$B,2,FALSE),0)</f>
        <v/>
      </c>
      <c r="V66">
        <f>IF(P66="P",0.7780+0.1628*S66+0.2957*Q66-0.1912*R66-0.1512*IF(D66="S",1,0)+0.1600*IF(E66="L",1,0)+0.0091*H66+0.0124*I66+0.0017*J66+T66+U66,-0.8294+0.1849*S66+0.1750*Q66-0.2969*R66+0.6924*IF(D66="S",1,0)+0.0457*IF(E66="L",1,0)+T66+U66)</f>
        <v/>
      </c>
      <c r="W66">
        <f>MAX(0,MIN(16,ROUND(V66,0)))</f>
        <v/>
      </c>
      <c r="X66">
        <f>IFNA(VLOOKUP(W66,Grade_Scale!$A:$B,2,FALSE),"F")</f>
        <v/>
      </c>
      <c r="Z66">
        <f>IF(Y66="","",W66-IFNA(VLOOKUP(Y66,Grade_Scale!$D:$E,2,FALSE),""))</f>
        <v/>
      </c>
    </row>
    <row r="67">
      <c r="P67">
        <f>IF(OR(B67="SP",B67="RP",B67="CP",B67="SP/RP"),"P","H")</f>
        <v/>
      </c>
      <c r="Q67">
        <f>IF(F67="",0,IFNA(VLOOKUP(F67,Trait_Polarity!$A:$C,2,FALSE),0))+IF(G67="",0,IFNA(VLOOKUP(G67,Trait_Polarity!$A:$C,2,FALSE),0))</f>
        <v/>
      </c>
      <c r="R67">
        <f>IF(F67="",0,IFNA(VLOOKUP(F67,Trait_Polarity!$A:$C,3,FALSE),0))+IF(G67="",0,IFNA(VLOOKUP(G67,Trait_Polarity!$A:$C,3,FALSE),0))</f>
        <v/>
      </c>
      <c r="S67">
        <f>IF(P67="P",(M67+N67+O67)/3,0.3*H67+0.3*I67+0.2*J67+0.1*K67+0.1*L67)</f>
        <v/>
      </c>
      <c r="T67">
        <f>IF(P67="P",IFNA(VLOOKUP(B67,Pitcher_RoleAdj!$A:$B,2,FALSE),0),IFNA(VLOOKUP(B67,Hitter_PrimaryAdj!$A:$B,2,FALSE),0))</f>
        <v/>
      </c>
      <c r="U67">
        <f>IFNA(VLOOKUP(IF(C67="","(none)",C67),SecondaryAdj!$A:$B,2,FALSE),0)</f>
        <v/>
      </c>
      <c r="V67">
        <f>IF(P67="P",0.7780+0.1628*S67+0.2957*Q67-0.1912*R67-0.1512*IF(D67="S",1,0)+0.1600*IF(E67="L",1,0)+0.0091*H67+0.0124*I67+0.0017*J67+T67+U67,-0.8294+0.1849*S67+0.1750*Q67-0.2969*R67+0.6924*IF(D67="S",1,0)+0.0457*IF(E67="L",1,0)+T67+U67)</f>
        <v/>
      </c>
      <c r="W67">
        <f>MAX(0,MIN(16,ROUND(V67,0)))</f>
        <v/>
      </c>
      <c r="X67">
        <f>IFNA(VLOOKUP(W67,Grade_Scale!$A:$B,2,FALSE),"F")</f>
        <v/>
      </c>
      <c r="Z67">
        <f>IF(Y67="","",W67-IFNA(VLOOKUP(Y67,Grade_Scale!$D:$E,2,FALSE),""))</f>
        <v/>
      </c>
    </row>
    <row r="68">
      <c r="P68">
        <f>IF(OR(B68="SP",B68="RP",B68="CP",B68="SP/RP"),"P","H")</f>
        <v/>
      </c>
      <c r="Q68">
        <f>IF(F68="",0,IFNA(VLOOKUP(F68,Trait_Polarity!$A:$C,2,FALSE),0))+IF(G68="",0,IFNA(VLOOKUP(G68,Trait_Polarity!$A:$C,2,FALSE),0))</f>
        <v/>
      </c>
      <c r="R68">
        <f>IF(F68="",0,IFNA(VLOOKUP(F68,Trait_Polarity!$A:$C,3,FALSE),0))+IF(G68="",0,IFNA(VLOOKUP(G68,Trait_Polarity!$A:$C,3,FALSE),0))</f>
        <v/>
      </c>
      <c r="S68">
        <f>IF(P68="P",(M68+N68+O68)/3,0.3*H68+0.3*I68+0.2*J68+0.1*K68+0.1*L68)</f>
        <v/>
      </c>
      <c r="T68">
        <f>IF(P68="P",IFNA(VLOOKUP(B68,Pitcher_RoleAdj!$A:$B,2,FALSE),0),IFNA(VLOOKUP(B68,Hitter_PrimaryAdj!$A:$B,2,FALSE),0))</f>
        <v/>
      </c>
      <c r="U68">
        <f>IFNA(VLOOKUP(IF(C68="","(none)",C68),SecondaryAdj!$A:$B,2,FALSE),0)</f>
        <v/>
      </c>
      <c r="V68">
        <f>IF(P68="P",0.7780+0.1628*S68+0.2957*Q68-0.1912*R68-0.1512*IF(D68="S",1,0)+0.1600*IF(E68="L",1,0)+0.0091*H68+0.0124*I68+0.0017*J68+T68+U68,-0.8294+0.1849*S68+0.1750*Q68-0.2969*R68+0.6924*IF(D68="S",1,0)+0.0457*IF(E68="L",1,0)+T68+U68)</f>
        <v/>
      </c>
      <c r="W68">
        <f>MAX(0,MIN(16,ROUND(V68,0)))</f>
        <v/>
      </c>
      <c r="X68">
        <f>IFNA(VLOOKUP(W68,Grade_Scale!$A:$B,2,FALSE),"F")</f>
        <v/>
      </c>
      <c r="Z68">
        <f>IF(Y68="","",W68-IFNA(VLOOKUP(Y68,Grade_Scale!$D:$E,2,FALSE),""))</f>
        <v/>
      </c>
    </row>
    <row r="69">
      <c r="P69">
        <f>IF(OR(B69="SP",B69="RP",B69="CP",B69="SP/RP"),"P","H")</f>
        <v/>
      </c>
      <c r="Q69">
        <f>IF(F69="",0,IFNA(VLOOKUP(F69,Trait_Polarity!$A:$C,2,FALSE),0))+IF(G69="",0,IFNA(VLOOKUP(G69,Trait_Polarity!$A:$C,2,FALSE),0))</f>
        <v/>
      </c>
      <c r="R69">
        <f>IF(F69="",0,IFNA(VLOOKUP(F69,Trait_Polarity!$A:$C,3,FALSE),0))+IF(G69="",0,IFNA(VLOOKUP(G69,Trait_Polarity!$A:$C,3,FALSE),0))</f>
        <v/>
      </c>
      <c r="S69">
        <f>IF(P69="P",(M69+N69+O69)/3,0.3*H69+0.3*I69+0.2*J69+0.1*K69+0.1*L69)</f>
        <v/>
      </c>
      <c r="T69">
        <f>IF(P69="P",IFNA(VLOOKUP(B69,Pitcher_RoleAdj!$A:$B,2,FALSE),0),IFNA(VLOOKUP(B69,Hitter_PrimaryAdj!$A:$B,2,FALSE),0))</f>
        <v/>
      </c>
      <c r="U69">
        <f>IFNA(VLOOKUP(IF(C69="","(none)",C69),SecondaryAdj!$A:$B,2,FALSE),0)</f>
        <v/>
      </c>
      <c r="V69">
        <f>IF(P69="P",0.7780+0.1628*S69+0.2957*Q69-0.1912*R69-0.1512*IF(D69="S",1,0)+0.1600*IF(E69="L",1,0)+0.0091*H69+0.0124*I69+0.0017*J69+T69+U69,-0.8294+0.1849*S69+0.1750*Q69-0.2969*R69+0.6924*IF(D69="S",1,0)+0.0457*IF(E69="L",1,0)+T69+U69)</f>
        <v/>
      </c>
      <c r="W69">
        <f>MAX(0,MIN(16,ROUND(V69,0)))</f>
        <v/>
      </c>
      <c r="X69">
        <f>IFNA(VLOOKUP(W69,Grade_Scale!$A:$B,2,FALSE),"F")</f>
        <v/>
      </c>
      <c r="Z69">
        <f>IF(Y69="","",W69-IFNA(VLOOKUP(Y69,Grade_Scale!$D:$E,2,FALSE),""))</f>
        <v/>
      </c>
    </row>
    <row r="70">
      <c r="P70">
        <f>IF(OR(B70="SP",B70="RP",B70="CP",B70="SP/RP"),"P","H")</f>
        <v/>
      </c>
      <c r="Q70">
        <f>IF(F70="",0,IFNA(VLOOKUP(F70,Trait_Polarity!$A:$C,2,FALSE),0))+IF(G70="",0,IFNA(VLOOKUP(G70,Trait_Polarity!$A:$C,2,FALSE),0))</f>
        <v/>
      </c>
      <c r="R70">
        <f>IF(F70="",0,IFNA(VLOOKUP(F70,Trait_Polarity!$A:$C,3,FALSE),0))+IF(G70="",0,IFNA(VLOOKUP(G70,Trait_Polarity!$A:$C,3,FALSE),0))</f>
        <v/>
      </c>
      <c r="S70">
        <f>IF(P70="P",(M70+N70+O70)/3,0.3*H70+0.3*I70+0.2*J70+0.1*K70+0.1*L70)</f>
        <v/>
      </c>
      <c r="T70">
        <f>IF(P70="P",IFNA(VLOOKUP(B70,Pitcher_RoleAdj!$A:$B,2,FALSE),0),IFNA(VLOOKUP(B70,Hitter_PrimaryAdj!$A:$B,2,FALSE),0))</f>
        <v/>
      </c>
      <c r="U70">
        <f>IFNA(VLOOKUP(IF(C70="","(none)",C70),SecondaryAdj!$A:$B,2,FALSE),0)</f>
        <v/>
      </c>
      <c r="V70">
        <f>IF(P70="P",0.7780+0.1628*S70+0.2957*Q70-0.1912*R70-0.1512*IF(D70="S",1,0)+0.1600*IF(E70="L",1,0)+0.0091*H70+0.0124*I70+0.0017*J70+T70+U70,-0.8294+0.1849*S70+0.1750*Q70-0.2969*R70+0.6924*IF(D70="S",1,0)+0.0457*IF(E70="L",1,0)+T70+U70)</f>
        <v/>
      </c>
      <c r="W70">
        <f>MAX(0,MIN(16,ROUND(V70,0)))</f>
        <v/>
      </c>
      <c r="X70">
        <f>IFNA(VLOOKUP(W70,Grade_Scale!$A:$B,2,FALSE),"F")</f>
        <v/>
      </c>
      <c r="Z70">
        <f>IF(Y70="","",W70-IFNA(VLOOKUP(Y70,Grade_Scale!$D:$E,2,FALSE),""))</f>
        <v/>
      </c>
    </row>
    <row r="71">
      <c r="P71">
        <f>IF(OR(B71="SP",B71="RP",B71="CP",B71="SP/RP"),"P","H")</f>
        <v/>
      </c>
      <c r="Q71">
        <f>IF(F71="",0,IFNA(VLOOKUP(F71,Trait_Polarity!$A:$C,2,FALSE),0))+IF(G71="",0,IFNA(VLOOKUP(G71,Trait_Polarity!$A:$C,2,FALSE),0))</f>
        <v/>
      </c>
      <c r="R71">
        <f>IF(F71="",0,IFNA(VLOOKUP(F71,Trait_Polarity!$A:$C,3,FALSE),0))+IF(G71="",0,IFNA(VLOOKUP(G71,Trait_Polarity!$A:$C,3,FALSE),0))</f>
        <v/>
      </c>
      <c r="S71">
        <f>IF(P71="P",(M71+N71+O71)/3,0.3*H71+0.3*I71+0.2*J71+0.1*K71+0.1*L71)</f>
        <v/>
      </c>
      <c r="T71">
        <f>IF(P71="P",IFNA(VLOOKUP(B71,Pitcher_RoleAdj!$A:$B,2,FALSE),0),IFNA(VLOOKUP(B71,Hitter_PrimaryAdj!$A:$B,2,FALSE),0))</f>
        <v/>
      </c>
      <c r="U71">
        <f>IFNA(VLOOKUP(IF(C71="","(none)",C71),SecondaryAdj!$A:$B,2,FALSE),0)</f>
        <v/>
      </c>
      <c r="V71">
        <f>IF(P71="P",0.7780+0.1628*S71+0.2957*Q71-0.1912*R71-0.1512*IF(D71="S",1,0)+0.1600*IF(E71="L",1,0)+0.0091*H71+0.0124*I71+0.0017*J71+T71+U71,-0.8294+0.1849*S71+0.1750*Q71-0.2969*R71+0.6924*IF(D71="S",1,0)+0.0457*IF(E71="L",1,0)+T71+U71)</f>
        <v/>
      </c>
      <c r="W71">
        <f>MAX(0,MIN(16,ROUND(V71,0)))</f>
        <v/>
      </c>
      <c r="X71">
        <f>IFNA(VLOOKUP(W71,Grade_Scale!$A:$B,2,FALSE),"F")</f>
        <v/>
      </c>
      <c r="Z71">
        <f>IF(Y71="","",W71-IFNA(VLOOKUP(Y71,Grade_Scale!$D:$E,2,FALSE),""))</f>
        <v/>
      </c>
    </row>
    <row r="72">
      <c r="P72">
        <f>IF(OR(B72="SP",B72="RP",B72="CP",B72="SP/RP"),"P","H")</f>
        <v/>
      </c>
      <c r="Q72">
        <f>IF(F72="",0,IFNA(VLOOKUP(F72,Trait_Polarity!$A:$C,2,FALSE),0))+IF(G72="",0,IFNA(VLOOKUP(G72,Trait_Polarity!$A:$C,2,FALSE),0))</f>
        <v/>
      </c>
      <c r="R72">
        <f>IF(F72="",0,IFNA(VLOOKUP(F72,Trait_Polarity!$A:$C,3,FALSE),0))+IF(G72="",0,IFNA(VLOOKUP(G72,Trait_Polarity!$A:$C,3,FALSE),0))</f>
        <v/>
      </c>
      <c r="S72">
        <f>IF(P72="P",(M72+N72+O72)/3,0.3*H72+0.3*I72+0.2*J72+0.1*K72+0.1*L72)</f>
        <v/>
      </c>
      <c r="T72">
        <f>IF(P72="P",IFNA(VLOOKUP(B72,Pitcher_RoleAdj!$A:$B,2,FALSE),0),IFNA(VLOOKUP(B72,Hitter_PrimaryAdj!$A:$B,2,FALSE),0))</f>
        <v/>
      </c>
      <c r="U72">
        <f>IFNA(VLOOKUP(IF(C72="","(none)",C72),SecondaryAdj!$A:$B,2,FALSE),0)</f>
        <v/>
      </c>
      <c r="V72">
        <f>IF(P72="P",0.7780+0.1628*S72+0.2957*Q72-0.1912*R72-0.1512*IF(D72="S",1,0)+0.1600*IF(E72="L",1,0)+0.0091*H72+0.0124*I72+0.0017*J72+T72+U72,-0.8294+0.1849*S72+0.1750*Q72-0.2969*R72+0.6924*IF(D72="S",1,0)+0.0457*IF(E72="L",1,0)+T72+U72)</f>
        <v/>
      </c>
      <c r="W72">
        <f>MAX(0,MIN(16,ROUND(V72,0)))</f>
        <v/>
      </c>
      <c r="X72">
        <f>IFNA(VLOOKUP(W72,Grade_Scale!$A:$B,2,FALSE),"F")</f>
        <v/>
      </c>
      <c r="Z72">
        <f>IF(Y72="","",W72-IFNA(VLOOKUP(Y72,Grade_Scale!$D:$E,2,FALSE),""))</f>
        <v/>
      </c>
    </row>
    <row r="73">
      <c r="P73">
        <f>IF(OR(B73="SP",B73="RP",B73="CP",B73="SP/RP"),"P","H")</f>
        <v/>
      </c>
      <c r="Q73">
        <f>IF(F73="",0,IFNA(VLOOKUP(F73,Trait_Polarity!$A:$C,2,FALSE),0))+IF(G73="",0,IFNA(VLOOKUP(G73,Trait_Polarity!$A:$C,2,FALSE),0))</f>
        <v/>
      </c>
      <c r="R73">
        <f>IF(F73="",0,IFNA(VLOOKUP(F73,Trait_Polarity!$A:$C,3,FALSE),0))+IF(G73="",0,IFNA(VLOOKUP(G73,Trait_Polarity!$A:$C,3,FALSE),0))</f>
        <v/>
      </c>
      <c r="S73">
        <f>IF(P73="P",(M73+N73+O73)/3,0.3*H73+0.3*I73+0.2*J73+0.1*K73+0.1*L73)</f>
        <v/>
      </c>
      <c r="T73">
        <f>IF(P73="P",IFNA(VLOOKUP(B73,Pitcher_RoleAdj!$A:$B,2,FALSE),0),IFNA(VLOOKUP(B73,Hitter_PrimaryAdj!$A:$B,2,FALSE),0))</f>
        <v/>
      </c>
      <c r="U73">
        <f>IFNA(VLOOKUP(IF(C73="","(none)",C73),SecondaryAdj!$A:$B,2,FALSE),0)</f>
        <v/>
      </c>
      <c r="V73">
        <f>IF(P73="P",0.7780+0.1628*S73+0.2957*Q73-0.1912*R73-0.1512*IF(D73="S",1,0)+0.1600*IF(E73="L",1,0)+0.0091*H73+0.0124*I73+0.0017*J73+T73+U73,-0.8294+0.1849*S73+0.1750*Q73-0.2969*R73+0.6924*IF(D73="S",1,0)+0.0457*IF(E73="L",1,0)+T73+U73)</f>
        <v/>
      </c>
      <c r="W73">
        <f>MAX(0,MIN(16,ROUND(V73,0)))</f>
        <v/>
      </c>
      <c r="X73">
        <f>IFNA(VLOOKUP(W73,Grade_Scale!$A:$B,2,FALSE),"F")</f>
        <v/>
      </c>
      <c r="Z73">
        <f>IF(Y73="","",W73-IFNA(VLOOKUP(Y73,Grade_Scale!$D:$E,2,FALSE),""))</f>
        <v/>
      </c>
    </row>
    <row r="74">
      <c r="P74">
        <f>IF(OR(B74="SP",B74="RP",B74="CP",B74="SP/RP"),"P","H")</f>
        <v/>
      </c>
      <c r="Q74">
        <f>IF(F74="",0,IFNA(VLOOKUP(F74,Trait_Polarity!$A:$C,2,FALSE),0))+IF(G74="",0,IFNA(VLOOKUP(G74,Trait_Polarity!$A:$C,2,FALSE),0))</f>
        <v/>
      </c>
      <c r="R74">
        <f>IF(F74="",0,IFNA(VLOOKUP(F74,Trait_Polarity!$A:$C,3,FALSE),0))+IF(G74="",0,IFNA(VLOOKUP(G74,Trait_Polarity!$A:$C,3,FALSE),0))</f>
        <v/>
      </c>
      <c r="S74">
        <f>IF(P74="P",(M74+N74+O74)/3,0.3*H74+0.3*I74+0.2*J74+0.1*K74+0.1*L74)</f>
        <v/>
      </c>
      <c r="T74">
        <f>IF(P74="P",IFNA(VLOOKUP(B74,Pitcher_RoleAdj!$A:$B,2,FALSE),0),IFNA(VLOOKUP(B74,Hitter_PrimaryAdj!$A:$B,2,FALSE),0))</f>
        <v/>
      </c>
      <c r="U74">
        <f>IFNA(VLOOKUP(IF(C74="","(none)",C74),SecondaryAdj!$A:$B,2,FALSE),0)</f>
        <v/>
      </c>
      <c r="V74">
        <f>IF(P74="P",0.7780+0.1628*S74+0.2957*Q74-0.1912*R74-0.1512*IF(D74="S",1,0)+0.1600*IF(E74="L",1,0)+0.0091*H74+0.0124*I74+0.0017*J74+T74+U74,-0.8294+0.1849*S74+0.1750*Q74-0.2969*R74+0.6924*IF(D74="S",1,0)+0.0457*IF(E74="L",1,0)+T74+U74)</f>
        <v/>
      </c>
      <c r="W74">
        <f>MAX(0,MIN(16,ROUND(V74,0)))</f>
        <v/>
      </c>
      <c r="X74">
        <f>IFNA(VLOOKUP(W74,Grade_Scale!$A:$B,2,FALSE),"F")</f>
        <v/>
      </c>
      <c r="Z74">
        <f>IF(Y74="","",W74-IFNA(VLOOKUP(Y74,Grade_Scale!$D:$E,2,FALSE),""))</f>
        <v/>
      </c>
    </row>
    <row r="75">
      <c r="P75">
        <f>IF(OR(B75="SP",B75="RP",B75="CP",B75="SP/RP"),"P","H")</f>
        <v/>
      </c>
      <c r="Q75">
        <f>IF(F75="",0,IFNA(VLOOKUP(F75,Trait_Polarity!$A:$C,2,FALSE),0))+IF(G75="",0,IFNA(VLOOKUP(G75,Trait_Polarity!$A:$C,2,FALSE),0))</f>
        <v/>
      </c>
      <c r="R75">
        <f>IF(F75="",0,IFNA(VLOOKUP(F75,Trait_Polarity!$A:$C,3,FALSE),0))+IF(G75="",0,IFNA(VLOOKUP(G75,Trait_Polarity!$A:$C,3,FALSE),0))</f>
        <v/>
      </c>
      <c r="S75">
        <f>IF(P75="P",(M75+N75+O75)/3,0.3*H75+0.3*I75+0.2*J75+0.1*K75+0.1*L75)</f>
        <v/>
      </c>
      <c r="T75">
        <f>IF(P75="P",IFNA(VLOOKUP(B75,Pitcher_RoleAdj!$A:$B,2,FALSE),0),IFNA(VLOOKUP(B75,Hitter_PrimaryAdj!$A:$B,2,FALSE),0))</f>
        <v/>
      </c>
      <c r="U75">
        <f>IFNA(VLOOKUP(IF(C75="","(none)",C75),SecondaryAdj!$A:$B,2,FALSE),0)</f>
        <v/>
      </c>
      <c r="V75">
        <f>IF(P75="P",0.7780+0.1628*S75+0.2957*Q75-0.1912*R75-0.1512*IF(D75="S",1,0)+0.1600*IF(E75="L",1,0)+0.0091*H75+0.0124*I75+0.0017*J75+T75+U75,-0.8294+0.1849*S75+0.1750*Q75-0.2969*R75+0.6924*IF(D75="S",1,0)+0.0457*IF(E75="L",1,0)+T75+U75)</f>
        <v/>
      </c>
      <c r="W75">
        <f>MAX(0,MIN(16,ROUND(V75,0)))</f>
        <v/>
      </c>
      <c r="X75">
        <f>IFNA(VLOOKUP(W75,Grade_Scale!$A:$B,2,FALSE),"F")</f>
        <v/>
      </c>
      <c r="Z75">
        <f>IF(Y75="","",W75-IFNA(VLOOKUP(Y75,Grade_Scale!$D:$E,2,FALSE),""))</f>
        <v/>
      </c>
    </row>
    <row r="76">
      <c r="P76">
        <f>IF(OR(B76="SP",B76="RP",B76="CP",B76="SP/RP"),"P","H")</f>
        <v/>
      </c>
      <c r="Q76">
        <f>IF(F76="",0,IFNA(VLOOKUP(F76,Trait_Polarity!$A:$C,2,FALSE),0))+IF(G76="",0,IFNA(VLOOKUP(G76,Trait_Polarity!$A:$C,2,FALSE),0))</f>
        <v/>
      </c>
      <c r="R76">
        <f>IF(F76="",0,IFNA(VLOOKUP(F76,Trait_Polarity!$A:$C,3,FALSE),0))+IF(G76="",0,IFNA(VLOOKUP(G76,Trait_Polarity!$A:$C,3,FALSE),0))</f>
        <v/>
      </c>
      <c r="S76">
        <f>IF(P76="P",(M76+N76+O76)/3,0.3*H76+0.3*I76+0.2*J76+0.1*K76+0.1*L76)</f>
        <v/>
      </c>
      <c r="T76">
        <f>IF(P76="P",IFNA(VLOOKUP(B76,Pitcher_RoleAdj!$A:$B,2,FALSE),0),IFNA(VLOOKUP(B76,Hitter_PrimaryAdj!$A:$B,2,FALSE),0))</f>
        <v/>
      </c>
      <c r="U76">
        <f>IFNA(VLOOKUP(IF(C76="","(none)",C76),SecondaryAdj!$A:$B,2,FALSE),0)</f>
        <v/>
      </c>
      <c r="V76">
        <f>IF(P76="P",0.7780+0.1628*S76+0.2957*Q76-0.1912*R76-0.1512*IF(D76="S",1,0)+0.1600*IF(E76="L",1,0)+0.0091*H76+0.0124*I76+0.0017*J76+T76+U76,-0.8294+0.1849*S76+0.1750*Q76-0.2969*R76+0.6924*IF(D76="S",1,0)+0.0457*IF(E76="L",1,0)+T76+U76)</f>
        <v/>
      </c>
      <c r="W76">
        <f>MAX(0,MIN(16,ROUND(V76,0)))</f>
        <v/>
      </c>
      <c r="X76">
        <f>IFNA(VLOOKUP(W76,Grade_Scale!$A:$B,2,FALSE),"F")</f>
        <v/>
      </c>
      <c r="Z76">
        <f>IF(Y76="","",W76-IFNA(VLOOKUP(Y76,Grade_Scale!$D:$E,2,FALSE),""))</f>
        <v/>
      </c>
    </row>
    <row r="77">
      <c r="P77">
        <f>IF(OR(B77="SP",B77="RP",B77="CP",B77="SP/RP"),"P","H")</f>
        <v/>
      </c>
      <c r="Q77">
        <f>IF(F77="",0,IFNA(VLOOKUP(F77,Trait_Polarity!$A:$C,2,FALSE),0))+IF(G77="",0,IFNA(VLOOKUP(G77,Trait_Polarity!$A:$C,2,FALSE),0))</f>
        <v/>
      </c>
      <c r="R77">
        <f>IF(F77="",0,IFNA(VLOOKUP(F77,Trait_Polarity!$A:$C,3,FALSE),0))+IF(G77="",0,IFNA(VLOOKUP(G77,Trait_Polarity!$A:$C,3,FALSE),0))</f>
        <v/>
      </c>
      <c r="S77">
        <f>IF(P77="P",(M77+N77+O77)/3,0.3*H77+0.3*I77+0.2*J77+0.1*K77+0.1*L77)</f>
        <v/>
      </c>
      <c r="T77">
        <f>IF(P77="P",IFNA(VLOOKUP(B77,Pitcher_RoleAdj!$A:$B,2,FALSE),0),IFNA(VLOOKUP(B77,Hitter_PrimaryAdj!$A:$B,2,FALSE),0))</f>
        <v/>
      </c>
      <c r="U77">
        <f>IFNA(VLOOKUP(IF(C77="","(none)",C77),SecondaryAdj!$A:$B,2,FALSE),0)</f>
        <v/>
      </c>
      <c r="V77">
        <f>IF(P77="P",0.7780+0.1628*S77+0.2957*Q77-0.1912*R77-0.1512*IF(D77="S",1,0)+0.1600*IF(E77="L",1,0)+0.0091*H77+0.0124*I77+0.0017*J77+T77+U77,-0.8294+0.1849*S77+0.1750*Q77-0.2969*R77+0.6924*IF(D77="S",1,0)+0.0457*IF(E77="L",1,0)+T77+U77)</f>
        <v/>
      </c>
      <c r="W77">
        <f>MAX(0,MIN(16,ROUND(V77,0)))</f>
        <v/>
      </c>
      <c r="X77">
        <f>IFNA(VLOOKUP(W77,Grade_Scale!$A:$B,2,FALSE),"F")</f>
        <v/>
      </c>
      <c r="Z77">
        <f>IF(Y77="","",W77-IFNA(VLOOKUP(Y77,Grade_Scale!$D:$E,2,FALSE),""))</f>
        <v/>
      </c>
    </row>
    <row r="78">
      <c r="P78">
        <f>IF(OR(B78="SP",B78="RP",B78="CP",B78="SP/RP"),"P","H")</f>
        <v/>
      </c>
      <c r="Q78">
        <f>IF(F78="",0,IFNA(VLOOKUP(F78,Trait_Polarity!$A:$C,2,FALSE),0))+IF(G78="",0,IFNA(VLOOKUP(G78,Trait_Polarity!$A:$C,2,FALSE),0))</f>
        <v/>
      </c>
      <c r="R78">
        <f>IF(F78="",0,IFNA(VLOOKUP(F78,Trait_Polarity!$A:$C,3,FALSE),0))+IF(G78="",0,IFNA(VLOOKUP(G78,Trait_Polarity!$A:$C,3,FALSE),0))</f>
        <v/>
      </c>
      <c r="S78">
        <f>IF(P78="P",(M78+N78+O78)/3,0.3*H78+0.3*I78+0.2*J78+0.1*K78+0.1*L78)</f>
        <v/>
      </c>
      <c r="T78">
        <f>IF(P78="P",IFNA(VLOOKUP(B78,Pitcher_RoleAdj!$A:$B,2,FALSE),0),IFNA(VLOOKUP(B78,Hitter_PrimaryAdj!$A:$B,2,FALSE),0))</f>
        <v/>
      </c>
      <c r="U78">
        <f>IFNA(VLOOKUP(IF(C78="","(none)",C78),SecondaryAdj!$A:$B,2,FALSE),0)</f>
        <v/>
      </c>
      <c r="V78">
        <f>IF(P78="P",0.7780+0.1628*S78+0.2957*Q78-0.1912*R78-0.1512*IF(D78="S",1,0)+0.1600*IF(E78="L",1,0)+0.0091*H78+0.0124*I78+0.0017*J78+T78+U78,-0.8294+0.1849*S78+0.1750*Q78-0.2969*R78+0.6924*IF(D78="S",1,0)+0.0457*IF(E78="L",1,0)+T78+U78)</f>
        <v/>
      </c>
      <c r="W78">
        <f>MAX(0,MIN(16,ROUND(V78,0)))</f>
        <v/>
      </c>
      <c r="X78">
        <f>IFNA(VLOOKUP(W78,Grade_Scale!$A:$B,2,FALSE),"F")</f>
        <v/>
      </c>
      <c r="Z78">
        <f>IF(Y78="","",W78-IFNA(VLOOKUP(Y78,Grade_Scale!$D:$E,2,FALSE),""))</f>
        <v/>
      </c>
    </row>
    <row r="79">
      <c r="P79">
        <f>IF(OR(B79="SP",B79="RP",B79="CP",B79="SP/RP"),"P","H")</f>
        <v/>
      </c>
      <c r="Q79">
        <f>IF(F79="",0,IFNA(VLOOKUP(F79,Trait_Polarity!$A:$C,2,FALSE),0))+IF(G79="",0,IFNA(VLOOKUP(G79,Trait_Polarity!$A:$C,2,FALSE),0))</f>
        <v/>
      </c>
      <c r="R79">
        <f>IF(F79="",0,IFNA(VLOOKUP(F79,Trait_Polarity!$A:$C,3,FALSE),0))+IF(G79="",0,IFNA(VLOOKUP(G79,Trait_Polarity!$A:$C,3,FALSE),0))</f>
        <v/>
      </c>
      <c r="S79">
        <f>IF(P79="P",(M79+N79+O79)/3,0.3*H79+0.3*I79+0.2*J79+0.1*K79+0.1*L79)</f>
        <v/>
      </c>
      <c r="T79">
        <f>IF(P79="P",IFNA(VLOOKUP(B79,Pitcher_RoleAdj!$A:$B,2,FALSE),0),IFNA(VLOOKUP(B79,Hitter_PrimaryAdj!$A:$B,2,FALSE),0))</f>
        <v/>
      </c>
      <c r="U79">
        <f>IFNA(VLOOKUP(IF(C79="","(none)",C79),SecondaryAdj!$A:$B,2,FALSE),0)</f>
        <v/>
      </c>
      <c r="V79">
        <f>IF(P79="P",0.7780+0.1628*S79+0.2957*Q79-0.1912*R79-0.1512*IF(D79="S",1,0)+0.1600*IF(E79="L",1,0)+0.0091*H79+0.0124*I79+0.0017*J79+T79+U79,-0.8294+0.1849*S79+0.1750*Q79-0.2969*R79+0.6924*IF(D79="S",1,0)+0.0457*IF(E79="L",1,0)+T79+U79)</f>
        <v/>
      </c>
      <c r="W79">
        <f>MAX(0,MIN(16,ROUND(V79,0)))</f>
        <v/>
      </c>
      <c r="X79">
        <f>IFNA(VLOOKUP(W79,Grade_Scale!$A:$B,2,FALSE),"F")</f>
        <v/>
      </c>
      <c r="Z79">
        <f>IF(Y79="","",W79-IFNA(VLOOKUP(Y79,Grade_Scale!$D:$E,2,FALSE),""))</f>
        <v/>
      </c>
    </row>
    <row r="80">
      <c r="P80">
        <f>IF(OR(B80="SP",B80="RP",B80="CP",B80="SP/RP"),"P","H")</f>
        <v/>
      </c>
      <c r="Q80">
        <f>IF(F80="",0,IFNA(VLOOKUP(F80,Trait_Polarity!$A:$C,2,FALSE),0))+IF(G80="",0,IFNA(VLOOKUP(G80,Trait_Polarity!$A:$C,2,FALSE),0))</f>
        <v/>
      </c>
      <c r="R80">
        <f>IF(F80="",0,IFNA(VLOOKUP(F80,Trait_Polarity!$A:$C,3,FALSE),0))+IF(G80="",0,IFNA(VLOOKUP(G80,Trait_Polarity!$A:$C,3,FALSE),0))</f>
        <v/>
      </c>
      <c r="S80">
        <f>IF(P80="P",(M80+N80+O80)/3,0.3*H80+0.3*I80+0.2*J80+0.1*K80+0.1*L80)</f>
        <v/>
      </c>
      <c r="T80">
        <f>IF(P80="P",IFNA(VLOOKUP(B80,Pitcher_RoleAdj!$A:$B,2,FALSE),0),IFNA(VLOOKUP(B80,Hitter_PrimaryAdj!$A:$B,2,FALSE),0))</f>
        <v/>
      </c>
      <c r="U80">
        <f>IFNA(VLOOKUP(IF(C80="","(none)",C80),SecondaryAdj!$A:$B,2,FALSE),0)</f>
        <v/>
      </c>
      <c r="V80">
        <f>IF(P80="P",0.7780+0.1628*S80+0.2957*Q80-0.1912*R80-0.1512*IF(D80="S",1,0)+0.1600*IF(E80="L",1,0)+0.0091*H80+0.0124*I80+0.0017*J80+T80+U80,-0.8294+0.1849*S80+0.1750*Q80-0.2969*R80+0.6924*IF(D80="S",1,0)+0.0457*IF(E80="L",1,0)+T80+U80)</f>
        <v/>
      </c>
      <c r="W80">
        <f>MAX(0,MIN(16,ROUND(V80,0)))</f>
        <v/>
      </c>
      <c r="X80">
        <f>IFNA(VLOOKUP(W80,Grade_Scale!$A:$B,2,FALSE),"F")</f>
        <v/>
      </c>
      <c r="Z80">
        <f>IF(Y80="","",W80-IFNA(VLOOKUP(Y80,Grade_Scale!$D:$E,2,FALSE),""))</f>
        <v/>
      </c>
    </row>
    <row r="81">
      <c r="P81">
        <f>IF(OR(B81="SP",B81="RP",B81="CP",B81="SP/RP"),"P","H")</f>
        <v/>
      </c>
      <c r="Q81">
        <f>IF(F81="",0,IFNA(VLOOKUP(F81,Trait_Polarity!$A:$C,2,FALSE),0))+IF(G81="",0,IFNA(VLOOKUP(G81,Trait_Polarity!$A:$C,2,FALSE),0))</f>
        <v/>
      </c>
      <c r="R81">
        <f>IF(F81="",0,IFNA(VLOOKUP(F81,Trait_Polarity!$A:$C,3,FALSE),0))+IF(G81="",0,IFNA(VLOOKUP(G81,Trait_Polarity!$A:$C,3,FALSE),0))</f>
        <v/>
      </c>
      <c r="S81">
        <f>IF(P81="P",(M81+N81+O81)/3,0.3*H81+0.3*I81+0.2*J81+0.1*K81+0.1*L81)</f>
        <v/>
      </c>
      <c r="T81">
        <f>IF(P81="P",IFNA(VLOOKUP(B81,Pitcher_RoleAdj!$A:$B,2,FALSE),0),IFNA(VLOOKUP(B81,Hitter_PrimaryAdj!$A:$B,2,FALSE),0))</f>
        <v/>
      </c>
      <c r="U81">
        <f>IFNA(VLOOKUP(IF(C81="","(none)",C81),SecondaryAdj!$A:$B,2,FALSE),0)</f>
        <v/>
      </c>
      <c r="V81">
        <f>IF(P81="P",0.7780+0.1628*S81+0.2957*Q81-0.1912*R81-0.1512*IF(D81="S",1,0)+0.1600*IF(E81="L",1,0)+0.0091*H81+0.0124*I81+0.0017*J81+T81+U81,-0.8294+0.1849*S81+0.1750*Q81-0.2969*R81+0.6924*IF(D81="S",1,0)+0.0457*IF(E81="L",1,0)+T81+U81)</f>
        <v/>
      </c>
      <c r="W81">
        <f>MAX(0,MIN(16,ROUND(V81,0)))</f>
        <v/>
      </c>
      <c r="X81">
        <f>IFNA(VLOOKUP(W81,Grade_Scale!$A:$B,2,FALSE),"F")</f>
        <v/>
      </c>
      <c r="Z81">
        <f>IF(Y81="","",W81-IFNA(VLOOKUP(Y81,Grade_Scale!$D:$E,2,FALSE),""))</f>
        <v/>
      </c>
    </row>
    <row r="82">
      <c r="P82">
        <f>IF(OR(B82="SP",B82="RP",B82="CP",B82="SP/RP"),"P","H")</f>
        <v/>
      </c>
      <c r="Q82">
        <f>IF(F82="",0,IFNA(VLOOKUP(F82,Trait_Polarity!$A:$C,2,FALSE),0))+IF(G82="",0,IFNA(VLOOKUP(G82,Trait_Polarity!$A:$C,2,FALSE),0))</f>
        <v/>
      </c>
      <c r="R82">
        <f>IF(F82="",0,IFNA(VLOOKUP(F82,Trait_Polarity!$A:$C,3,FALSE),0))+IF(G82="",0,IFNA(VLOOKUP(G82,Trait_Polarity!$A:$C,3,FALSE),0))</f>
        <v/>
      </c>
      <c r="S82">
        <f>IF(P82="P",(M82+N82+O82)/3,0.3*H82+0.3*I82+0.2*J82+0.1*K82+0.1*L82)</f>
        <v/>
      </c>
      <c r="T82">
        <f>IF(P82="P",IFNA(VLOOKUP(B82,Pitcher_RoleAdj!$A:$B,2,FALSE),0),IFNA(VLOOKUP(B82,Hitter_PrimaryAdj!$A:$B,2,FALSE),0))</f>
        <v/>
      </c>
      <c r="U82">
        <f>IFNA(VLOOKUP(IF(C82="","(none)",C82),SecondaryAdj!$A:$B,2,FALSE),0)</f>
        <v/>
      </c>
      <c r="V82">
        <f>IF(P82="P",0.7780+0.1628*S82+0.2957*Q82-0.1912*R82-0.1512*IF(D82="S",1,0)+0.1600*IF(E82="L",1,0)+0.0091*H82+0.0124*I82+0.0017*J82+T82+U82,-0.8294+0.1849*S82+0.1750*Q82-0.2969*R82+0.6924*IF(D82="S",1,0)+0.0457*IF(E82="L",1,0)+T82+U82)</f>
        <v/>
      </c>
      <c r="W82">
        <f>MAX(0,MIN(16,ROUND(V82,0)))</f>
        <v/>
      </c>
      <c r="X82">
        <f>IFNA(VLOOKUP(W82,Grade_Scale!$A:$B,2,FALSE),"F")</f>
        <v/>
      </c>
      <c r="Z82">
        <f>IF(Y82="","",W82-IFNA(VLOOKUP(Y82,Grade_Scale!$D:$E,2,FALSE),""))</f>
        <v/>
      </c>
    </row>
    <row r="83">
      <c r="P83">
        <f>IF(OR(B83="SP",B83="RP",B83="CP",B83="SP/RP"),"P","H")</f>
        <v/>
      </c>
      <c r="Q83">
        <f>IF(F83="",0,IFNA(VLOOKUP(F83,Trait_Polarity!$A:$C,2,FALSE),0))+IF(G83="",0,IFNA(VLOOKUP(G83,Trait_Polarity!$A:$C,2,FALSE),0))</f>
        <v/>
      </c>
      <c r="R83">
        <f>IF(F83="",0,IFNA(VLOOKUP(F83,Trait_Polarity!$A:$C,3,FALSE),0))+IF(G83="",0,IFNA(VLOOKUP(G83,Trait_Polarity!$A:$C,3,FALSE),0))</f>
        <v/>
      </c>
      <c r="S83">
        <f>IF(P83="P",(M83+N83+O83)/3,0.3*H83+0.3*I83+0.2*J83+0.1*K83+0.1*L83)</f>
        <v/>
      </c>
      <c r="T83">
        <f>IF(P83="P",IFNA(VLOOKUP(B83,Pitcher_RoleAdj!$A:$B,2,FALSE),0),IFNA(VLOOKUP(B83,Hitter_PrimaryAdj!$A:$B,2,FALSE),0))</f>
        <v/>
      </c>
      <c r="U83">
        <f>IFNA(VLOOKUP(IF(C83="","(none)",C83),SecondaryAdj!$A:$B,2,FALSE),0)</f>
        <v/>
      </c>
      <c r="V83">
        <f>IF(P83="P",0.7780+0.1628*S83+0.2957*Q83-0.1912*R83-0.1512*IF(D83="S",1,0)+0.1600*IF(E83="L",1,0)+0.0091*H83+0.0124*I83+0.0017*J83+T83+U83,-0.8294+0.1849*S83+0.1750*Q83-0.2969*R83+0.6924*IF(D83="S",1,0)+0.0457*IF(E83="L",1,0)+T83+U83)</f>
        <v/>
      </c>
      <c r="W83">
        <f>MAX(0,MIN(16,ROUND(V83,0)))</f>
        <v/>
      </c>
      <c r="X83">
        <f>IFNA(VLOOKUP(W83,Grade_Scale!$A:$B,2,FALSE),"F")</f>
        <v/>
      </c>
      <c r="Z83">
        <f>IF(Y83="","",W83-IFNA(VLOOKUP(Y83,Grade_Scale!$D:$E,2,FALSE),""))</f>
        <v/>
      </c>
    </row>
    <row r="84">
      <c r="P84">
        <f>IF(OR(B84="SP",B84="RP",B84="CP",B84="SP/RP"),"P","H")</f>
        <v/>
      </c>
      <c r="Q84">
        <f>IF(F84="",0,IFNA(VLOOKUP(F84,Trait_Polarity!$A:$C,2,FALSE),0))+IF(G84="",0,IFNA(VLOOKUP(G84,Trait_Polarity!$A:$C,2,FALSE),0))</f>
        <v/>
      </c>
      <c r="R84">
        <f>IF(F84="",0,IFNA(VLOOKUP(F84,Trait_Polarity!$A:$C,3,FALSE),0))+IF(G84="",0,IFNA(VLOOKUP(G84,Trait_Polarity!$A:$C,3,FALSE),0))</f>
        <v/>
      </c>
      <c r="S84">
        <f>IF(P84="P",(M84+N84+O84)/3,0.3*H84+0.3*I84+0.2*J84+0.1*K84+0.1*L84)</f>
        <v/>
      </c>
      <c r="T84">
        <f>IF(P84="P",IFNA(VLOOKUP(B84,Pitcher_RoleAdj!$A:$B,2,FALSE),0),IFNA(VLOOKUP(B84,Hitter_PrimaryAdj!$A:$B,2,FALSE),0))</f>
        <v/>
      </c>
      <c r="U84">
        <f>IFNA(VLOOKUP(IF(C84="","(none)",C84),SecondaryAdj!$A:$B,2,FALSE),0)</f>
        <v/>
      </c>
      <c r="V84">
        <f>IF(P84="P",0.7780+0.1628*S84+0.2957*Q84-0.1912*R84-0.1512*IF(D84="S",1,0)+0.1600*IF(E84="L",1,0)+0.0091*H84+0.0124*I84+0.0017*J84+T84+U84,-0.8294+0.1849*S84+0.1750*Q84-0.2969*R84+0.6924*IF(D84="S",1,0)+0.0457*IF(E84="L",1,0)+T84+U84)</f>
        <v/>
      </c>
      <c r="W84">
        <f>MAX(0,MIN(16,ROUND(V84,0)))</f>
        <v/>
      </c>
      <c r="X84">
        <f>IFNA(VLOOKUP(W84,Grade_Scale!$A:$B,2,FALSE),"F")</f>
        <v/>
      </c>
      <c r="Z84">
        <f>IF(Y84="","",W84-IFNA(VLOOKUP(Y84,Grade_Scale!$D:$E,2,FALSE),""))</f>
        <v/>
      </c>
    </row>
    <row r="85">
      <c r="P85">
        <f>IF(OR(B85="SP",B85="RP",B85="CP",B85="SP/RP"),"P","H")</f>
        <v/>
      </c>
      <c r="Q85">
        <f>IF(F85="",0,IFNA(VLOOKUP(F85,Trait_Polarity!$A:$C,2,FALSE),0))+IF(G85="",0,IFNA(VLOOKUP(G85,Trait_Polarity!$A:$C,2,FALSE),0))</f>
        <v/>
      </c>
      <c r="R85">
        <f>IF(F85="",0,IFNA(VLOOKUP(F85,Trait_Polarity!$A:$C,3,FALSE),0))+IF(G85="",0,IFNA(VLOOKUP(G85,Trait_Polarity!$A:$C,3,FALSE),0))</f>
        <v/>
      </c>
      <c r="S85">
        <f>IF(P85="P",(M85+N85+O85)/3,0.3*H85+0.3*I85+0.2*J85+0.1*K85+0.1*L85)</f>
        <v/>
      </c>
      <c r="T85">
        <f>IF(P85="P",IFNA(VLOOKUP(B85,Pitcher_RoleAdj!$A:$B,2,FALSE),0),IFNA(VLOOKUP(B85,Hitter_PrimaryAdj!$A:$B,2,FALSE),0))</f>
        <v/>
      </c>
      <c r="U85">
        <f>IFNA(VLOOKUP(IF(C85="","(none)",C85),SecondaryAdj!$A:$B,2,FALSE),0)</f>
        <v/>
      </c>
      <c r="V85">
        <f>IF(P85="P",0.7780+0.1628*S85+0.2957*Q85-0.1912*R85-0.1512*IF(D85="S",1,0)+0.1600*IF(E85="L",1,0)+0.0091*H85+0.0124*I85+0.0017*J85+T85+U85,-0.8294+0.1849*S85+0.1750*Q85-0.2969*R85+0.6924*IF(D85="S",1,0)+0.0457*IF(E85="L",1,0)+T85+U85)</f>
        <v/>
      </c>
      <c r="W85">
        <f>MAX(0,MIN(16,ROUND(V85,0)))</f>
        <v/>
      </c>
      <c r="X85">
        <f>IFNA(VLOOKUP(W85,Grade_Scale!$A:$B,2,FALSE),"F")</f>
        <v/>
      </c>
      <c r="Z85">
        <f>IF(Y85="","",W85-IFNA(VLOOKUP(Y85,Grade_Scale!$D:$E,2,FALSE),""))</f>
        <v/>
      </c>
    </row>
    <row r="86">
      <c r="P86">
        <f>IF(OR(B86="SP",B86="RP",B86="CP",B86="SP/RP"),"P","H")</f>
        <v/>
      </c>
      <c r="Q86">
        <f>IF(F86="",0,IFNA(VLOOKUP(F86,Trait_Polarity!$A:$C,2,FALSE),0))+IF(G86="",0,IFNA(VLOOKUP(G86,Trait_Polarity!$A:$C,2,FALSE),0))</f>
        <v/>
      </c>
      <c r="R86">
        <f>IF(F86="",0,IFNA(VLOOKUP(F86,Trait_Polarity!$A:$C,3,FALSE),0))+IF(G86="",0,IFNA(VLOOKUP(G86,Trait_Polarity!$A:$C,3,FALSE),0))</f>
        <v/>
      </c>
      <c r="S86">
        <f>IF(P86="P",(M86+N86+O86)/3,0.3*H86+0.3*I86+0.2*J86+0.1*K86+0.1*L86)</f>
        <v/>
      </c>
      <c r="T86">
        <f>IF(P86="P",IFNA(VLOOKUP(B86,Pitcher_RoleAdj!$A:$B,2,FALSE),0),IFNA(VLOOKUP(B86,Hitter_PrimaryAdj!$A:$B,2,FALSE),0))</f>
        <v/>
      </c>
      <c r="U86">
        <f>IFNA(VLOOKUP(IF(C86="","(none)",C86),SecondaryAdj!$A:$B,2,FALSE),0)</f>
        <v/>
      </c>
      <c r="V86">
        <f>IF(P86="P",0.7780+0.1628*S86+0.2957*Q86-0.1912*R86-0.1512*IF(D86="S",1,0)+0.1600*IF(E86="L",1,0)+0.0091*H86+0.0124*I86+0.0017*J86+T86+U86,-0.8294+0.1849*S86+0.1750*Q86-0.2969*R86+0.6924*IF(D86="S",1,0)+0.0457*IF(E86="L",1,0)+T86+U86)</f>
        <v/>
      </c>
      <c r="W86">
        <f>MAX(0,MIN(16,ROUND(V86,0)))</f>
        <v/>
      </c>
      <c r="X86">
        <f>IFNA(VLOOKUP(W86,Grade_Scale!$A:$B,2,FALSE),"F")</f>
        <v/>
      </c>
      <c r="Z86">
        <f>IF(Y86="","",W86-IFNA(VLOOKUP(Y86,Grade_Scale!$D:$E,2,FALSE),""))</f>
        <v/>
      </c>
    </row>
    <row r="87">
      <c r="P87">
        <f>IF(OR(B87="SP",B87="RP",B87="CP",B87="SP/RP"),"P","H")</f>
        <v/>
      </c>
      <c r="Q87">
        <f>IF(F87="",0,IFNA(VLOOKUP(F87,Trait_Polarity!$A:$C,2,FALSE),0))+IF(G87="",0,IFNA(VLOOKUP(G87,Trait_Polarity!$A:$C,2,FALSE),0))</f>
        <v/>
      </c>
      <c r="R87">
        <f>IF(F87="",0,IFNA(VLOOKUP(F87,Trait_Polarity!$A:$C,3,FALSE),0))+IF(G87="",0,IFNA(VLOOKUP(G87,Trait_Polarity!$A:$C,3,FALSE),0))</f>
        <v/>
      </c>
      <c r="S87">
        <f>IF(P87="P",(M87+N87+O87)/3,0.3*H87+0.3*I87+0.2*J87+0.1*K87+0.1*L87)</f>
        <v/>
      </c>
      <c r="T87">
        <f>IF(P87="P",IFNA(VLOOKUP(B87,Pitcher_RoleAdj!$A:$B,2,FALSE),0),IFNA(VLOOKUP(B87,Hitter_PrimaryAdj!$A:$B,2,FALSE),0))</f>
        <v/>
      </c>
      <c r="U87">
        <f>IFNA(VLOOKUP(IF(C87="","(none)",C87),SecondaryAdj!$A:$B,2,FALSE),0)</f>
        <v/>
      </c>
      <c r="V87">
        <f>IF(P87="P",0.7780+0.1628*S87+0.2957*Q87-0.1912*R87-0.1512*IF(D87="S",1,0)+0.1600*IF(E87="L",1,0)+0.0091*H87+0.0124*I87+0.0017*J87+T87+U87,-0.8294+0.1849*S87+0.1750*Q87-0.2969*R87+0.6924*IF(D87="S",1,0)+0.0457*IF(E87="L",1,0)+T87+U87)</f>
        <v/>
      </c>
      <c r="W87">
        <f>MAX(0,MIN(16,ROUND(V87,0)))</f>
        <v/>
      </c>
      <c r="X87">
        <f>IFNA(VLOOKUP(W87,Grade_Scale!$A:$B,2,FALSE),"F")</f>
        <v/>
      </c>
      <c r="Z87">
        <f>IF(Y87="","",W87-IFNA(VLOOKUP(Y87,Grade_Scale!$D:$E,2,FALSE),""))</f>
        <v/>
      </c>
    </row>
    <row r="88">
      <c r="P88">
        <f>IF(OR(B88="SP",B88="RP",B88="CP",B88="SP/RP"),"P","H")</f>
        <v/>
      </c>
      <c r="Q88">
        <f>IF(F88="",0,IFNA(VLOOKUP(F88,Trait_Polarity!$A:$C,2,FALSE),0))+IF(G88="",0,IFNA(VLOOKUP(G88,Trait_Polarity!$A:$C,2,FALSE),0))</f>
        <v/>
      </c>
      <c r="R88">
        <f>IF(F88="",0,IFNA(VLOOKUP(F88,Trait_Polarity!$A:$C,3,FALSE),0))+IF(G88="",0,IFNA(VLOOKUP(G88,Trait_Polarity!$A:$C,3,FALSE),0))</f>
        <v/>
      </c>
      <c r="S88">
        <f>IF(P88="P",(M88+N88+O88)/3,0.3*H88+0.3*I88+0.2*J88+0.1*K88+0.1*L88)</f>
        <v/>
      </c>
      <c r="T88">
        <f>IF(P88="P",IFNA(VLOOKUP(B88,Pitcher_RoleAdj!$A:$B,2,FALSE),0),IFNA(VLOOKUP(B88,Hitter_PrimaryAdj!$A:$B,2,FALSE),0))</f>
        <v/>
      </c>
      <c r="U88">
        <f>IFNA(VLOOKUP(IF(C88="","(none)",C88),SecondaryAdj!$A:$B,2,FALSE),0)</f>
        <v/>
      </c>
      <c r="V88">
        <f>IF(P88="P",0.7780+0.1628*S88+0.2957*Q88-0.1912*R88-0.1512*IF(D88="S",1,0)+0.1600*IF(E88="L",1,0)+0.0091*H88+0.0124*I88+0.0017*J88+T88+U88,-0.8294+0.1849*S88+0.1750*Q88-0.2969*R88+0.6924*IF(D88="S",1,0)+0.0457*IF(E88="L",1,0)+T88+U88)</f>
        <v/>
      </c>
      <c r="W88">
        <f>MAX(0,MIN(16,ROUND(V88,0)))</f>
        <v/>
      </c>
      <c r="X88">
        <f>IFNA(VLOOKUP(W88,Grade_Scale!$A:$B,2,FALSE),"F")</f>
        <v/>
      </c>
      <c r="Z88">
        <f>IF(Y88="","",W88-IFNA(VLOOKUP(Y88,Grade_Scale!$D:$E,2,FALSE),""))</f>
        <v/>
      </c>
    </row>
    <row r="89">
      <c r="P89">
        <f>IF(OR(B89="SP",B89="RP",B89="CP",B89="SP/RP"),"P","H")</f>
        <v/>
      </c>
      <c r="Q89">
        <f>IF(F89="",0,IFNA(VLOOKUP(F89,Trait_Polarity!$A:$C,2,FALSE),0))+IF(G89="",0,IFNA(VLOOKUP(G89,Trait_Polarity!$A:$C,2,FALSE),0))</f>
        <v/>
      </c>
      <c r="R89">
        <f>IF(F89="",0,IFNA(VLOOKUP(F89,Trait_Polarity!$A:$C,3,FALSE),0))+IF(G89="",0,IFNA(VLOOKUP(G89,Trait_Polarity!$A:$C,3,FALSE),0))</f>
        <v/>
      </c>
      <c r="S89">
        <f>IF(P89="P",(M89+N89+O89)/3,0.3*H89+0.3*I89+0.2*J89+0.1*K89+0.1*L89)</f>
        <v/>
      </c>
      <c r="T89">
        <f>IF(P89="P",IFNA(VLOOKUP(B89,Pitcher_RoleAdj!$A:$B,2,FALSE),0),IFNA(VLOOKUP(B89,Hitter_PrimaryAdj!$A:$B,2,FALSE),0))</f>
        <v/>
      </c>
      <c r="U89">
        <f>IFNA(VLOOKUP(IF(C89="","(none)",C89),SecondaryAdj!$A:$B,2,FALSE),0)</f>
        <v/>
      </c>
      <c r="V89">
        <f>IF(P89="P",0.7780+0.1628*S89+0.2957*Q89-0.1912*R89-0.1512*IF(D89="S",1,0)+0.1600*IF(E89="L",1,0)+0.0091*H89+0.0124*I89+0.0017*J89+T89+U89,-0.8294+0.1849*S89+0.1750*Q89-0.2969*R89+0.6924*IF(D89="S",1,0)+0.0457*IF(E89="L",1,0)+T89+U89)</f>
        <v/>
      </c>
      <c r="W89">
        <f>MAX(0,MIN(16,ROUND(V89,0)))</f>
        <v/>
      </c>
      <c r="X89">
        <f>IFNA(VLOOKUP(W89,Grade_Scale!$A:$B,2,FALSE),"F")</f>
        <v/>
      </c>
      <c r="Z89">
        <f>IF(Y89="","",W89-IFNA(VLOOKUP(Y89,Grade_Scale!$D:$E,2,FALSE),""))</f>
        <v/>
      </c>
    </row>
    <row r="90">
      <c r="P90">
        <f>IF(OR(B90="SP",B90="RP",B90="CP",B90="SP/RP"),"P","H")</f>
        <v/>
      </c>
      <c r="Q90">
        <f>IF(F90="",0,IFNA(VLOOKUP(F90,Trait_Polarity!$A:$C,2,FALSE),0))+IF(G90="",0,IFNA(VLOOKUP(G90,Trait_Polarity!$A:$C,2,FALSE),0))</f>
        <v/>
      </c>
      <c r="R90">
        <f>IF(F90="",0,IFNA(VLOOKUP(F90,Trait_Polarity!$A:$C,3,FALSE),0))+IF(G90="",0,IFNA(VLOOKUP(G90,Trait_Polarity!$A:$C,3,FALSE),0))</f>
        <v/>
      </c>
      <c r="S90">
        <f>IF(P90="P",(M90+N90+O90)/3,0.3*H90+0.3*I90+0.2*J90+0.1*K90+0.1*L90)</f>
        <v/>
      </c>
      <c r="T90">
        <f>IF(P90="P",IFNA(VLOOKUP(B90,Pitcher_RoleAdj!$A:$B,2,FALSE),0),IFNA(VLOOKUP(B90,Hitter_PrimaryAdj!$A:$B,2,FALSE),0))</f>
        <v/>
      </c>
      <c r="U90">
        <f>IFNA(VLOOKUP(IF(C90="","(none)",C90),SecondaryAdj!$A:$B,2,FALSE),0)</f>
        <v/>
      </c>
      <c r="V90">
        <f>IF(P90="P",0.7780+0.1628*S90+0.2957*Q90-0.1912*R90-0.1512*IF(D90="S",1,0)+0.1600*IF(E90="L",1,0)+0.0091*H90+0.0124*I90+0.0017*J90+T90+U90,-0.8294+0.1849*S90+0.1750*Q90-0.2969*R90+0.6924*IF(D90="S",1,0)+0.0457*IF(E90="L",1,0)+T90+U90)</f>
        <v/>
      </c>
      <c r="W90">
        <f>MAX(0,MIN(16,ROUND(V90,0)))</f>
        <v/>
      </c>
      <c r="X90">
        <f>IFNA(VLOOKUP(W90,Grade_Scale!$A:$B,2,FALSE),"F")</f>
        <v/>
      </c>
      <c r="Z90">
        <f>IF(Y90="","",W90-IFNA(VLOOKUP(Y90,Grade_Scale!$D:$E,2,FALSE),""))</f>
        <v/>
      </c>
    </row>
    <row r="91">
      <c r="P91">
        <f>IF(OR(B91="SP",B91="RP",B91="CP",B91="SP/RP"),"P","H")</f>
        <v/>
      </c>
      <c r="Q91">
        <f>IF(F91="",0,IFNA(VLOOKUP(F91,Trait_Polarity!$A:$C,2,FALSE),0))+IF(G91="",0,IFNA(VLOOKUP(G91,Trait_Polarity!$A:$C,2,FALSE),0))</f>
        <v/>
      </c>
      <c r="R91">
        <f>IF(F91="",0,IFNA(VLOOKUP(F91,Trait_Polarity!$A:$C,3,FALSE),0))+IF(G91="",0,IFNA(VLOOKUP(G91,Trait_Polarity!$A:$C,3,FALSE),0))</f>
        <v/>
      </c>
      <c r="S91">
        <f>IF(P91="P",(M91+N91+O91)/3,0.3*H91+0.3*I91+0.2*J91+0.1*K91+0.1*L91)</f>
        <v/>
      </c>
      <c r="T91">
        <f>IF(P91="P",IFNA(VLOOKUP(B91,Pitcher_RoleAdj!$A:$B,2,FALSE),0),IFNA(VLOOKUP(B91,Hitter_PrimaryAdj!$A:$B,2,FALSE),0))</f>
        <v/>
      </c>
      <c r="U91">
        <f>IFNA(VLOOKUP(IF(C91="","(none)",C91),SecondaryAdj!$A:$B,2,FALSE),0)</f>
        <v/>
      </c>
      <c r="V91">
        <f>IF(P91="P",0.7780+0.1628*S91+0.2957*Q91-0.1912*R91-0.1512*IF(D91="S",1,0)+0.1600*IF(E91="L",1,0)+0.0091*H91+0.0124*I91+0.0017*J91+T91+U91,-0.8294+0.1849*S91+0.1750*Q91-0.2969*R91+0.6924*IF(D91="S",1,0)+0.0457*IF(E91="L",1,0)+T91+U91)</f>
        <v/>
      </c>
      <c r="W91">
        <f>MAX(0,MIN(16,ROUND(V91,0)))</f>
        <v/>
      </c>
      <c r="X91">
        <f>IFNA(VLOOKUP(W91,Grade_Scale!$A:$B,2,FALSE),"F")</f>
        <v/>
      </c>
      <c r="Z91">
        <f>IF(Y91="","",W91-IFNA(VLOOKUP(Y91,Grade_Scale!$D:$E,2,FALSE),""))</f>
        <v/>
      </c>
    </row>
    <row r="92">
      <c r="P92">
        <f>IF(OR(B92="SP",B92="RP",B92="CP",B92="SP/RP"),"P","H")</f>
        <v/>
      </c>
      <c r="Q92">
        <f>IF(F92="",0,IFNA(VLOOKUP(F92,Trait_Polarity!$A:$C,2,FALSE),0))+IF(G92="",0,IFNA(VLOOKUP(G92,Trait_Polarity!$A:$C,2,FALSE),0))</f>
        <v/>
      </c>
      <c r="R92">
        <f>IF(F92="",0,IFNA(VLOOKUP(F92,Trait_Polarity!$A:$C,3,FALSE),0))+IF(G92="",0,IFNA(VLOOKUP(G92,Trait_Polarity!$A:$C,3,FALSE),0))</f>
        <v/>
      </c>
      <c r="S92">
        <f>IF(P92="P",(M92+N92+O92)/3,0.3*H92+0.3*I92+0.2*J92+0.1*K92+0.1*L92)</f>
        <v/>
      </c>
      <c r="T92">
        <f>IF(P92="P",IFNA(VLOOKUP(B92,Pitcher_RoleAdj!$A:$B,2,FALSE),0),IFNA(VLOOKUP(B92,Hitter_PrimaryAdj!$A:$B,2,FALSE),0))</f>
        <v/>
      </c>
      <c r="U92">
        <f>IFNA(VLOOKUP(IF(C92="","(none)",C92),SecondaryAdj!$A:$B,2,FALSE),0)</f>
        <v/>
      </c>
      <c r="V92">
        <f>IF(P92="P",0.7780+0.1628*S92+0.2957*Q92-0.1912*R92-0.1512*IF(D92="S",1,0)+0.1600*IF(E92="L",1,0)+0.0091*H92+0.0124*I92+0.0017*J92+T92+U92,-0.8294+0.1849*S92+0.1750*Q92-0.2969*R92+0.6924*IF(D92="S",1,0)+0.0457*IF(E92="L",1,0)+T92+U92)</f>
        <v/>
      </c>
      <c r="W92">
        <f>MAX(0,MIN(16,ROUND(V92,0)))</f>
        <v/>
      </c>
      <c r="X92">
        <f>IFNA(VLOOKUP(W92,Grade_Scale!$A:$B,2,FALSE),"F")</f>
        <v/>
      </c>
      <c r="Z92">
        <f>IF(Y92="","",W92-IFNA(VLOOKUP(Y92,Grade_Scale!$D:$E,2,FALSE),""))</f>
        <v/>
      </c>
    </row>
    <row r="93">
      <c r="P93">
        <f>IF(OR(B93="SP",B93="RP",B93="CP",B93="SP/RP"),"P","H")</f>
        <v/>
      </c>
      <c r="Q93">
        <f>IF(F93="",0,IFNA(VLOOKUP(F93,Trait_Polarity!$A:$C,2,FALSE),0))+IF(G93="",0,IFNA(VLOOKUP(G93,Trait_Polarity!$A:$C,2,FALSE),0))</f>
        <v/>
      </c>
      <c r="R93">
        <f>IF(F93="",0,IFNA(VLOOKUP(F93,Trait_Polarity!$A:$C,3,FALSE),0))+IF(G93="",0,IFNA(VLOOKUP(G93,Trait_Polarity!$A:$C,3,FALSE),0))</f>
        <v/>
      </c>
      <c r="S93">
        <f>IF(P93="P",(M93+N93+O93)/3,0.3*H93+0.3*I93+0.2*J93+0.1*K93+0.1*L93)</f>
        <v/>
      </c>
      <c r="T93">
        <f>IF(P93="P",IFNA(VLOOKUP(B93,Pitcher_RoleAdj!$A:$B,2,FALSE),0),IFNA(VLOOKUP(B93,Hitter_PrimaryAdj!$A:$B,2,FALSE),0))</f>
        <v/>
      </c>
      <c r="U93">
        <f>IFNA(VLOOKUP(IF(C93="","(none)",C93),SecondaryAdj!$A:$B,2,FALSE),0)</f>
        <v/>
      </c>
      <c r="V93">
        <f>IF(P93="P",0.7780+0.1628*S93+0.2957*Q93-0.1912*R93-0.1512*IF(D93="S",1,0)+0.1600*IF(E93="L",1,0)+0.0091*H93+0.0124*I93+0.0017*J93+T93+U93,-0.8294+0.1849*S93+0.1750*Q93-0.2969*R93+0.6924*IF(D93="S",1,0)+0.0457*IF(E93="L",1,0)+T93+U93)</f>
        <v/>
      </c>
      <c r="W93">
        <f>MAX(0,MIN(16,ROUND(V93,0)))</f>
        <v/>
      </c>
      <c r="X93">
        <f>IFNA(VLOOKUP(W93,Grade_Scale!$A:$B,2,FALSE),"F")</f>
        <v/>
      </c>
      <c r="Z93">
        <f>IF(Y93="","",W93-IFNA(VLOOKUP(Y93,Grade_Scale!$D:$E,2,FALSE),""))</f>
        <v/>
      </c>
    </row>
    <row r="94">
      <c r="P94">
        <f>IF(OR(B94="SP",B94="RP",B94="CP",B94="SP/RP"),"P","H")</f>
        <v/>
      </c>
      <c r="Q94">
        <f>IF(F94="",0,IFNA(VLOOKUP(F94,Trait_Polarity!$A:$C,2,FALSE),0))+IF(G94="",0,IFNA(VLOOKUP(G94,Trait_Polarity!$A:$C,2,FALSE),0))</f>
        <v/>
      </c>
      <c r="R94">
        <f>IF(F94="",0,IFNA(VLOOKUP(F94,Trait_Polarity!$A:$C,3,FALSE),0))+IF(G94="",0,IFNA(VLOOKUP(G94,Trait_Polarity!$A:$C,3,FALSE),0))</f>
        <v/>
      </c>
      <c r="S94">
        <f>IF(P94="P",(M94+N94+O94)/3,0.3*H94+0.3*I94+0.2*J94+0.1*K94+0.1*L94)</f>
        <v/>
      </c>
      <c r="T94">
        <f>IF(P94="P",IFNA(VLOOKUP(B94,Pitcher_RoleAdj!$A:$B,2,FALSE),0),IFNA(VLOOKUP(B94,Hitter_PrimaryAdj!$A:$B,2,FALSE),0))</f>
        <v/>
      </c>
      <c r="U94">
        <f>IFNA(VLOOKUP(IF(C94="","(none)",C94),SecondaryAdj!$A:$B,2,FALSE),0)</f>
        <v/>
      </c>
      <c r="V94">
        <f>IF(P94="P",0.7780+0.1628*S94+0.2957*Q94-0.1912*R94-0.1512*IF(D94="S",1,0)+0.1600*IF(E94="L",1,0)+0.0091*H94+0.0124*I94+0.0017*J94+T94+U94,-0.8294+0.1849*S94+0.1750*Q94-0.2969*R94+0.6924*IF(D94="S",1,0)+0.0457*IF(E94="L",1,0)+T94+U94)</f>
        <v/>
      </c>
      <c r="W94">
        <f>MAX(0,MIN(16,ROUND(V94,0)))</f>
        <v/>
      </c>
      <c r="X94">
        <f>IFNA(VLOOKUP(W94,Grade_Scale!$A:$B,2,FALSE),"F")</f>
        <v/>
      </c>
      <c r="Z94">
        <f>IF(Y94="","",W94-IFNA(VLOOKUP(Y94,Grade_Scale!$D:$E,2,FALSE),""))</f>
        <v/>
      </c>
    </row>
    <row r="95">
      <c r="P95">
        <f>IF(OR(B95="SP",B95="RP",B95="CP",B95="SP/RP"),"P","H")</f>
        <v/>
      </c>
      <c r="Q95">
        <f>IF(F95="",0,IFNA(VLOOKUP(F95,Trait_Polarity!$A:$C,2,FALSE),0))+IF(G95="",0,IFNA(VLOOKUP(G95,Trait_Polarity!$A:$C,2,FALSE),0))</f>
        <v/>
      </c>
      <c r="R95">
        <f>IF(F95="",0,IFNA(VLOOKUP(F95,Trait_Polarity!$A:$C,3,FALSE),0))+IF(G95="",0,IFNA(VLOOKUP(G95,Trait_Polarity!$A:$C,3,FALSE),0))</f>
        <v/>
      </c>
      <c r="S95">
        <f>IF(P95="P",(M95+N95+O95)/3,0.3*H95+0.3*I95+0.2*J95+0.1*K95+0.1*L95)</f>
        <v/>
      </c>
      <c r="T95">
        <f>IF(P95="P",IFNA(VLOOKUP(B95,Pitcher_RoleAdj!$A:$B,2,FALSE),0),IFNA(VLOOKUP(B95,Hitter_PrimaryAdj!$A:$B,2,FALSE),0))</f>
        <v/>
      </c>
      <c r="U95">
        <f>IFNA(VLOOKUP(IF(C95="","(none)",C95),SecondaryAdj!$A:$B,2,FALSE),0)</f>
        <v/>
      </c>
      <c r="V95">
        <f>IF(P95="P",0.7780+0.1628*S95+0.2957*Q95-0.1912*R95-0.1512*IF(D95="S",1,0)+0.1600*IF(E95="L",1,0)+0.0091*H95+0.0124*I95+0.0017*J95+T95+U95,-0.8294+0.1849*S95+0.1750*Q95-0.2969*R95+0.6924*IF(D95="S",1,0)+0.0457*IF(E95="L",1,0)+T95+U95)</f>
        <v/>
      </c>
      <c r="W95">
        <f>MAX(0,MIN(16,ROUND(V95,0)))</f>
        <v/>
      </c>
      <c r="X95">
        <f>IFNA(VLOOKUP(W95,Grade_Scale!$A:$B,2,FALSE),"F")</f>
        <v/>
      </c>
      <c r="Z95">
        <f>IF(Y95="","",W95-IFNA(VLOOKUP(Y95,Grade_Scale!$D:$E,2,FALSE),""))</f>
        <v/>
      </c>
    </row>
    <row r="96">
      <c r="P96">
        <f>IF(OR(B96="SP",B96="RP",B96="CP",B96="SP/RP"),"P","H")</f>
        <v/>
      </c>
      <c r="Q96">
        <f>IF(F96="",0,IFNA(VLOOKUP(F96,Trait_Polarity!$A:$C,2,FALSE),0))+IF(G96="",0,IFNA(VLOOKUP(G96,Trait_Polarity!$A:$C,2,FALSE),0))</f>
        <v/>
      </c>
      <c r="R96">
        <f>IF(F96="",0,IFNA(VLOOKUP(F96,Trait_Polarity!$A:$C,3,FALSE),0))+IF(G96="",0,IFNA(VLOOKUP(G96,Trait_Polarity!$A:$C,3,FALSE),0))</f>
        <v/>
      </c>
      <c r="S96">
        <f>IF(P96="P",(M96+N96+O96)/3,0.3*H96+0.3*I96+0.2*J96+0.1*K96+0.1*L96)</f>
        <v/>
      </c>
      <c r="T96">
        <f>IF(P96="P",IFNA(VLOOKUP(B96,Pitcher_RoleAdj!$A:$B,2,FALSE),0),IFNA(VLOOKUP(B96,Hitter_PrimaryAdj!$A:$B,2,FALSE),0))</f>
        <v/>
      </c>
      <c r="U96">
        <f>IFNA(VLOOKUP(IF(C96="","(none)",C96),SecondaryAdj!$A:$B,2,FALSE),0)</f>
        <v/>
      </c>
      <c r="V96">
        <f>IF(P96="P",0.7780+0.1628*S96+0.2957*Q96-0.1912*R96-0.1512*IF(D96="S",1,0)+0.1600*IF(E96="L",1,0)+0.0091*H96+0.0124*I96+0.0017*J96+T96+U96,-0.8294+0.1849*S96+0.1750*Q96-0.2969*R96+0.6924*IF(D96="S",1,0)+0.0457*IF(E96="L",1,0)+T96+U96)</f>
        <v/>
      </c>
      <c r="W96">
        <f>MAX(0,MIN(16,ROUND(V96,0)))</f>
        <v/>
      </c>
      <c r="X96">
        <f>IFNA(VLOOKUP(W96,Grade_Scale!$A:$B,2,FALSE),"F")</f>
        <v/>
      </c>
      <c r="Z96">
        <f>IF(Y96="","",W96-IFNA(VLOOKUP(Y96,Grade_Scale!$D:$E,2,FALSE),""))</f>
        <v/>
      </c>
    </row>
    <row r="97">
      <c r="P97">
        <f>IF(OR(B97="SP",B97="RP",B97="CP",B97="SP/RP"),"P","H")</f>
        <v/>
      </c>
      <c r="Q97">
        <f>IF(F97="",0,IFNA(VLOOKUP(F97,Trait_Polarity!$A:$C,2,FALSE),0))+IF(G97="",0,IFNA(VLOOKUP(G97,Trait_Polarity!$A:$C,2,FALSE),0))</f>
        <v/>
      </c>
      <c r="R97">
        <f>IF(F97="",0,IFNA(VLOOKUP(F97,Trait_Polarity!$A:$C,3,FALSE),0))+IF(G97="",0,IFNA(VLOOKUP(G97,Trait_Polarity!$A:$C,3,FALSE),0))</f>
        <v/>
      </c>
      <c r="S97">
        <f>IF(P97="P",(M97+N97+O97)/3,0.3*H97+0.3*I97+0.2*J97+0.1*K97+0.1*L97)</f>
        <v/>
      </c>
      <c r="T97">
        <f>IF(P97="P",IFNA(VLOOKUP(B97,Pitcher_RoleAdj!$A:$B,2,FALSE),0),IFNA(VLOOKUP(B97,Hitter_PrimaryAdj!$A:$B,2,FALSE),0))</f>
        <v/>
      </c>
      <c r="U97">
        <f>IFNA(VLOOKUP(IF(C97="","(none)",C97),SecondaryAdj!$A:$B,2,FALSE),0)</f>
        <v/>
      </c>
      <c r="V97">
        <f>IF(P97="P",0.7780+0.1628*S97+0.2957*Q97-0.1912*R97-0.1512*IF(D97="S",1,0)+0.1600*IF(E97="L",1,0)+0.0091*H97+0.0124*I97+0.0017*J97+T97+U97,-0.8294+0.1849*S97+0.1750*Q97-0.2969*R97+0.6924*IF(D97="S",1,0)+0.0457*IF(E97="L",1,0)+T97+U97)</f>
        <v/>
      </c>
      <c r="W97">
        <f>MAX(0,MIN(16,ROUND(V97,0)))</f>
        <v/>
      </c>
      <c r="X97">
        <f>IFNA(VLOOKUP(W97,Grade_Scale!$A:$B,2,FALSE),"F")</f>
        <v/>
      </c>
      <c r="Z97">
        <f>IF(Y97="","",W97-IFNA(VLOOKUP(Y97,Grade_Scale!$D:$E,2,FALSE),""))</f>
        <v/>
      </c>
    </row>
    <row r="98">
      <c r="P98">
        <f>IF(OR(B98="SP",B98="RP",B98="CP",B98="SP/RP"),"P","H")</f>
        <v/>
      </c>
      <c r="Q98">
        <f>IF(F98="",0,IFNA(VLOOKUP(F98,Trait_Polarity!$A:$C,2,FALSE),0))+IF(G98="",0,IFNA(VLOOKUP(G98,Trait_Polarity!$A:$C,2,FALSE),0))</f>
        <v/>
      </c>
      <c r="R98">
        <f>IF(F98="",0,IFNA(VLOOKUP(F98,Trait_Polarity!$A:$C,3,FALSE),0))+IF(G98="",0,IFNA(VLOOKUP(G98,Trait_Polarity!$A:$C,3,FALSE),0))</f>
        <v/>
      </c>
      <c r="S98">
        <f>IF(P98="P",(M98+N98+O98)/3,0.3*H98+0.3*I98+0.2*J98+0.1*K98+0.1*L98)</f>
        <v/>
      </c>
      <c r="T98">
        <f>IF(P98="P",IFNA(VLOOKUP(B98,Pitcher_RoleAdj!$A:$B,2,FALSE),0),IFNA(VLOOKUP(B98,Hitter_PrimaryAdj!$A:$B,2,FALSE),0))</f>
        <v/>
      </c>
      <c r="U98">
        <f>IFNA(VLOOKUP(IF(C98="","(none)",C98),SecondaryAdj!$A:$B,2,FALSE),0)</f>
        <v/>
      </c>
      <c r="V98">
        <f>IF(P98="P",0.7780+0.1628*S98+0.2957*Q98-0.1912*R98-0.1512*IF(D98="S",1,0)+0.1600*IF(E98="L",1,0)+0.0091*H98+0.0124*I98+0.0017*J98+T98+U98,-0.8294+0.1849*S98+0.1750*Q98-0.2969*R98+0.6924*IF(D98="S",1,0)+0.0457*IF(E98="L",1,0)+T98+U98)</f>
        <v/>
      </c>
      <c r="W98">
        <f>MAX(0,MIN(16,ROUND(V98,0)))</f>
        <v/>
      </c>
      <c r="X98">
        <f>IFNA(VLOOKUP(W98,Grade_Scale!$A:$B,2,FALSE),"F")</f>
        <v/>
      </c>
      <c r="Z98">
        <f>IF(Y98="","",W98-IFNA(VLOOKUP(Y98,Grade_Scale!$D:$E,2,FALSE),""))</f>
        <v/>
      </c>
    </row>
    <row r="99">
      <c r="P99">
        <f>IF(OR(B99="SP",B99="RP",B99="CP",B99="SP/RP"),"P","H")</f>
        <v/>
      </c>
      <c r="Q99">
        <f>IF(F99="",0,IFNA(VLOOKUP(F99,Trait_Polarity!$A:$C,2,FALSE),0))+IF(G99="",0,IFNA(VLOOKUP(G99,Trait_Polarity!$A:$C,2,FALSE),0))</f>
        <v/>
      </c>
      <c r="R99">
        <f>IF(F99="",0,IFNA(VLOOKUP(F99,Trait_Polarity!$A:$C,3,FALSE),0))+IF(G99="",0,IFNA(VLOOKUP(G99,Trait_Polarity!$A:$C,3,FALSE),0))</f>
        <v/>
      </c>
      <c r="S99">
        <f>IF(P99="P",(M99+N99+O99)/3,0.3*H99+0.3*I99+0.2*J99+0.1*K99+0.1*L99)</f>
        <v/>
      </c>
      <c r="T99">
        <f>IF(P99="P",IFNA(VLOOKUP(B99,Pitcher_RoleAdj!$A:$B,2,FALSE),0),IFNA(VLOOKUP(B99,Hitter_PrimaryAdj!$A:$B,2,FALSE),0))</f>
        <v/>
      </c>
      <c r="U99">
        <f>IFNA(VLOOKUP(IF(C99="","(none)",C99),SecondaryAdj!$A:$B,2,FALSE),0)</f>
        <v/>
      </c>
      <c r="V99">
        <f>IF(P99="P",0.7780+0.1628*S99+0.2957*Q99-0.1912*R99-0.1512*IF(D99="S",1,0)+0.1600*IF(E99="L",1,0)+0.0091*H99+0.0124*I99+0.0017*J99+T99+U99,-0.8294+0.1849*S99+0.1750*Q99-0.2969*R99+0.6924*IF(D99="S",1,0)+0.0457*IF(E99="L",1,0)+T99+U99)</f>
        <v/>
      </c>
      <c r="W99">
        <f>MAX(0,MIN(16,ROUND(V99,0)))</f>
        <v/>
      </c>
      <c r="X99">
        <f>IFNA(VLOOKUP(W99,Grade_Scale!$A:$B,2,FALSE),"F")</f>
        <v/>
      </c>
      <c r="Z99">
        <f>IF(Y99="","",W99-IFNA(VLOOKUP(Y99,Grade_Scale!$D:$E,2,FALSE),""))</f>
        <v/>
      </c>
    </row>
    <row r="100">
      <c r="P100">
        <f>IF(OR(B100="SP",B100="RP",B100="CP",B100="SP/RP"),"P","H")</f>
        <v/>
      </c>
      <c r="Q100">
        <f>IF(F100="",0,IFNA(VLOOKUP(F100,Trait_Polarity!$A:$C,2,FALSE),0))+IF(G100="",0,IFNA(VLOOKUP(G100,Trait_Polarity!$A:$C,2,FALSE),0))</f>
        <v/>
      </c>
      <c r="R100">
        <f>IF(F100="",0,IFNA(VLOOKUP(F100,Trait_Polarity!$A:$C,3,FALSE),0))+IF(G100="",0,IFNA(VLOOKUP(G100,Trait_Polarity!$A:$C,3,FALSE),0))</f>
        <v/>
      </c>
      <c r="S100">
        <f>IF(P100="P",(M100+N100+O100)/3,0.3*H100+0.3*I100+0.2*J100+0.1*K100+0.1*L100)</f>
        <v/>
      </c>
      <c r="T100">
        <f>IF(P100="P",IFNA(VLOOKUP(B100,Pitcher_RoleAdj!$A:$B,2,FALSE),0),IFNA(VLOOKUP(B100,Hitter_PrimaryAdj!$A:$B,2,FALSE),0))</f>
        <v/>
      </c>
      <c r="U100">
        <f>IFNA(VLOOKUP(IF(C100="","(none)",C100),SecondaryAdj!$A:$B,2,FALSE),0)</f>
        <v/>
      </c>
      <c r="V100">
        <f>IF(P100="P",0.7780+0.1628*S100+0.2957*Q100-0.1912*R100-0.1512*IF(D100="S",1,0)+0.1600*IF(E100="L",1,0)+0.0091*H100+0.0124*I100+0.0017*J100+T100+U100,-0.8294+0.1849*S100+0.1750*Q100-0.2969*R100+0.6924*IF(D100="S",1,0)+0.0457*IF(E100="L",1,0)+T100+U100)</f>
        <v/>
      </c>
      <c r="W100">
        <f>MAX(0,MIN(16,ROUND(V100,0)))</f>
        <v/>
      </c>
      <c r="X100">
        <f>IFNA(VLOOKUP(W100,Grade_Scale!$A:$B,2,FALSE),"F")</f>
        <v/>
      </c>
      <c r="Z100">
        <f>IF(Y100="","",W100-IFNA(VLOOKUP(Y100,Grade_Scale!$D:$E,2,FALSE),""))</f>
        <v/>
      </c>
    </row>
    <row r="101">
      <c r="P101">
        <f>IF(OR(B101="SP",B101="RP",B101="CP",B101="SP/RP"),"P","H")</f>
        <v/>
      </c>
      <c r="Q101">
        <f>IF(F101="",0,IFNA(VLOOKUP(F101,Trait_Polarity!$A:$C,2,FALSE),0))+IF(G101="",0,IFNA(VLOOKUP(G101,Trait_Polarity!$A:$C,2,FALSE),0))</f>
        <v/>
      </c>
      <c r="R101">
        <f>IF(F101="",0,IFNA(VLOOKUP(F101,Trait_Polarity!$A:$C,3,FALSE),0))+IF(G101="",0,IFNA(VLOOKUP(G101,Trait_Polarity!$A:$C,3,FALSE),0))</f>
        <v/>
      </c>
      <c r="S101">
        <f>IF(P101="P",(M101+N101+O101)/3,0.3*H101+0.3*I101+0.2*J101+0.1*K101+0.1*L101)</f>
        <v/>
      </c>
      <c r="T101">
        <f>IF(P101="P",IFNA(VLOOKUP(B101,Pitcher_RoleAdj!$A:$B,2,FALSE),0),IFNA(VLOOKUP(B101,Hitter_PrimaryAdj!$A:$B,2,FALSE),0))</f>
        <v/>
      </c>
      <c r="U101">
        <f>IFNA(VLOOKUP(IF(C101="","(none)",C101),SecondaryAdj!$A:$B,2,FALSE),0)</f>
        <v/>
      </c>
      <c r="V101">
        <f>IF(P101="P",0.7780+0.1628*S101+0.2957*Q101-0.1912*R101-0.1512*IF(D101="S",1,0)+0.1600*IF(E101="L",1,0)+0.0091*H101+0.0124*I101+0.0017*J101+T101+U101,-0.8294+0.1849*S101+0.1750*Q101-0.2969*R101+0.6924*IF(D101="S",1,0)+0.0457*IF(E101="L",1,0)+T101+U101)</f>
        <v/>
      </c>
      <c r="W101">
        <f>MAX(0,MIN(16,ROUND(V101,0)))</f>
        <v/>
      </c>
      <c r="X101">
        <f>IFNA(VLOOKUP(W101,Grade_Scale!$A:$B,2,FALSE),"F")</f>
        <v/>
      </c>
      <c r="Z101">
        <f>IF(Y101="","",W101-IFNA(VLOOKUP(Y101,Grade_Scale!$D:$E,2,FALSE),""))</f>
        <v/>
      </c>
    </row>
    <row r="102">
      <c r="P102">
        <f>IF(OR(B102="SP",B102="RP",B102="CP",B102="SP/RP"),"P","H")</f>
        <v/>
      </c>
      <c r="Q102">
        <f>IF(F102="",0,IFNA(VLOOKUP(F102,Trait_Polarity!$A:$C,2,FALSE),0))+IF(G102="",0,IFNA(VLOOKUP(G102,Trait_Polarity!$A:$C,2,FALSE),0))</f>
        <v/>
      </c>
      <c r="R102">
        <f>IF(F102="",0,IFNA(VLOOKUP(F102,Trait_Polarity!$A:$C,3,FALSE),0))+IF(G102="",0,IFNA(VLOOKUP(G102,Trait_Polarity!$A:$C,3,FALSE),0))</f>
        <v/>
      </c>
      <c r="S102">
        <f>IF(P102="P",(M102+N102+O102)/3,0.3*H102+0.3*I102+0.2*J102+0.1*K102+0.1*L102)</f>
        <v/>
      </c>
      <c r="T102">
        <f>IF(P102="P",IFNA(VLOOKUP(B102,Pitcher_RoleAdj!$A:$B,2,FALSE),0),IFNA(VLOOKUP(B102,Hitter_PrimaryAdj!$A:$B,2,FALSE),0))</f>
        <v/>
      </c>
      <c r="U102">
        <f>IFNA(VLOOKUP(IF(C102="","(none)",C102),SecondaryAdj!$A:$B,2,FALSE),0)</f>
        <v/>
      </c>
      <c r="V102">
        <f>IF(P102="P",0.7780+0.1628*S102+0.2957*Q102-0.1912*R102-0.1512*IF(D102="S",1,0)+0.1600*IF(E102="L",1,0)+0.0091*H102+0.0124*I102+0.0017*J102+T102+U102,-0.8294+0.1849*S102+0.1750*Q102-0.2969*R102+0.6924*IF(D102="S",1,0)+0.0457*IF(E102="L",1,0)+T102+U102)</f>
        <v/>
      </c>
      <c r="W102">
        <f>MAX(0,MIN(16,ROUND(V102,0)))</f>
        <v/>
      </c>
      <c r="X102">
        <f>IFNA(VLOOKUP(W102,Grade_Scale!$A:$B,2,FALSE),"F")</f>
        <v/>
      </c>
      <c r="Z102">
        <f>IF(Y102="","",W102-IFNA(VLOOKUP(Y102,Grade_Scale!$D:$E,2,FALSE),""))</f>
        <v/>
      </c>
    </row>
    <row r="103">
      <c r="P103">
        <f>IF(OR(B103="SP",B103="RP",B103="CP",B103="SP/RP"),"P","H")</f>
        <v/>
      </c>
      <c r="Q103">
        <f>IF(F103="",0,IFNA(VLOOKUP(F103,Trait_Polarity!$A:$C,2,FALSE),0))+IF(G103="",0,IFNA(VLOOKUP(G103,Trait_Polarity!$A:$C,2,FALSE),0))</f>
        <v/>
      </c>
      <c r="R103">
        <f>IF(F103="",0,IFNA(VLOOKUP(F103,Trait_Polarity!$A:$C,3,FALSE),0))+IF(G103="",0,IFNA(VLOOKUP(G103,Trait_Polarity!$A:$C,3,FALSE),0))</f>
        <v/>
      </c>
      <c r="S103">
        <f>IF(P103="P",(M103+N103+O103)/3,0.3*H103+0.3*I103+0.2*J103+0.1*K103+0.1*L103)</f>
        <v/>
      </c>
      <c r="T103">
        <f>IF(P103="P",IFNA(VLOOKUP(B103,Pitcher_RoleAdj!$A:$B,2,FALSE),0),IFNA(VLOOKUP(B103,Hitter_PrimaryAdj!$A:$B,2,FALSE),0))</f>
        <v/>
      </c>
      <c r="U103">
        <f>IFNA(VLOOKUP(IF(C103="","(none)",C103),SecondaryAdj!$A:$B,2,FALSE),0)</f>
        <v/>
      </c>
      <c r="V103">
        <f>IF(P103="P",0.7780+0.1628*S103+0.2957*Q103-0.1912*R103-0.1512*IF(D103="S",1,0)+0.1600*IF(E103="L",1,0)+0.0091*H103+0.0124*I103+0.0017*J103+T103+U103,-0.8294+0.1849*S103+0.1750*Q103-0.2969*R103+0.6924*IF(D103="S",1,0)+0.0457*IF(E103="L",1,0)+T103+U103)</f>
        <v/>
      </c>
      <c r="W103">
        <f>MAX(0,MIN(16,ROUND(V103,0)))</f>
        <v/>
      </c>
      <c r="X103">
        <f>IFNA(VLOOKUP(W103,Grade_Scale!$A:$B,2,FALSE),"F")</f>
        <v/>
      </c>
      <c r="Z103">
        <f>IF(Y103="","",W103-IFNA(VLOOKUP(Y103,Grade_Scale!$D:$E,2,FALSE),""))</f>
        <v/>
      </c>
    </row>
    <row r="104">
      <c r="P104">
        <f>IF(OR(B104="SP",B104="RP",B104="CP",B104="SP/RP"),"P","H")</f>
        <v/>
      </c>
      <c r="Q104">
        <f>IF(F104="",0,IFNA(VLOOKUP(F104,Trait_Polarity!$A:$C,2,FALSE),0))+IF(G104="",0,IFNA(VLOOKUP(G104,Trait_Polarity!$A:$C,2,FALSE),0))</f>
        <v/>
      </c>
      <c r="R104">
        <f>IF(F104="",0,IFNA(VLOOKUP(F104,Trait_Polarity!$A:$C,3,FALSE),0))+IF(G104="",0,IFNA(VLOOKUP(G104,Trait_Polarity!$A:$C,3,FALSE),0))</f>
        <v/>
      </c>
      <c r="S104">
        <f>IF(P104="P",(M104+N104+O104)/3,0.3*H104+0.3*I104+0.2*J104+0.1*K104+0.1*L104)</f>
        <v/>
      </c>
      <c r="T104">
        <f>IF(P104="P",IFNA(VLOOKUP(B104,Pitcher_RoleAdj!$A:$B,2,FALSE),0),IFNA(VLOOKUP(B104,Hitter_PrimaryAdj!$A:$B,2,FALSE),0))</f>
        <v/>
      </c>
      <c r="U104">
        <f>IFNA(VLOOKUP(IF(C104="","(none)",C104),SecondaryAdj!$A:$B,2,FALSE),0)</f>
        <v/>
      </c>
      <c r="V104">
        <f>IF(P104="P",0.7780+0.1628*S104+0.2957*Q104-0.1912*R104-0.1512*IF(D104="S",1,0)+0.1600*IF(E104="L",1,0)+0.0091*H104+0.0124*I104+0.0017*J104+T104+U104,-0.8294+0.1849*S104+0.1750*Q104-0.2969*R104+0.6924*IF(D104="S",1,0)+0.0457*IF(E104="L",1,0)+T104+U104)</f>
        <v/>
      </c>
      <c r="W104">
        <f>MAX(0,MIN(16,ROUND(V104,0)))</f>
        <v/>
      </c>
      <c r="X104">
        <f>IFNA(VLOOKUP(W104,Grade_Scale!$A:$B,2,FALSE),"F")</f>
        <v/>
      </c>
      <c r="Z104">
        <f>IF(Y104="","",W104-IFNA(VLOOKUP(Y104,Grade_Scale!$D:$E,2,FALSE),""))</f>
        <v/>
      </c>
    </row>
    <row r="105">
      <c r="P105">
        <f>IF(OR(B105="SP",B105="RP",B105="CP",B105="SP/RP"),"P","H")</f>
        <v/>
      </c>
      <c r="Q105">
        <f>IF(F105="",0,IFNA(VLOOKUP(F105,Trait_Polarity!$A:$C,2,FALSE),0))+IF(G105="",0,IFNA(VLOOKUP(G105,Trait_Polarity!$A:$C,2,FALSE),0))</f>
        <v/>
      </c>
      <c r="R105">
        <f>IF(F105="",0,IFNA(VLOOKUP(F105,Trait_Polarity!$A:$C,3,FALSE),0))+IF(G105="",0,IFNA(VLOOKUP(G105,Trait_Polarity!$A:$C,3,FALSE),0))</f>
        <v/>
      </c>
      <c r="S105">
        <f>IF(P105="P",(M105+N105+O105)/3,0.3*H105+0.3*I105+0.2*J105+0.1*K105+0.1*L105)</f>
        <v/>
      </c>
      <c r="T105">
        <f>IF(P105="P",IFNA(VLOOKUP(B105,Pitcher_RoleAdj!$A:$B,2,FALSE),0),IFNA(VLOOKUP(B105,Hitter_PrimaryAdj!$A:$B,2,FALSE),0))</f>
        <v/>
      </c>
      <c r="U105">
        <f>IFNA(VLOOKUP(IF(C105="","(none)",C105),SecondaryAdj!$A:$B,2,FALSE),0)</f>
        <v/>
      </c>
      <c r="V105">
        <f>IF(P105="P",0.7780+0.1628*S105+0.2957*Q105-0.1912*R105-0.1512*IF(D105="S",1,0)+0.1600*IF(E105="L",1,0)+0.0091*H105+0.0124*I105+0.0017*J105+T105+U105,-0.8294+0.1849*S105+0.1750*Q105-0.2969*R105+0.6924*IF(D105="S",1,0)+0.0457*IF(E105="L",1,0)+T105+U105)</f>
        <v/>
      </c>
      <c r="W105">
        <f>MAX(0,MIN(16,ROUND(V105,0)))</f>
        <v/>
      </c>
      <c r="X105">
        <f>IFNA(VLOOKUP(W105,Grade_Scale!$A:$B,2,FALSE),"F")</f>
        <v/>
      </c>
      <c r="Z105">
        <f>IF(Y105="","",W105-IFNA(VLOOKUP(Y105,Grade_Scale!$D:$E,2,FALSE),""))</f>
        <v/>
      </c>
    </row>
    <row r="106">
      <c r="P106">
        <f>IF(OR(B106="SP",B106="RP",B106="CP",B106="SP/RP"),"P","H")</f>
        <v/>
      </c>
      <c r="Q106">
        <f>IF(F106="",0,IFNA(VLOOKUP(F106,Trait_Polarity!$A:$C,2,FALSE),0))+IF(G106="",0,IFNA(VLOOKUP(G106,Trait_Polarity!$A:$C,2,FALSE),0))</f>
        <v/>
      </c>
      <c r="R106">
        <f>IF(F106="",0,IFNA(VLOOKUP(F106,Trait_Polarity!$A:$C,3,FALSE),0))+IF(G106="",0,IFNA(VLOOKUP(G106,Trait_Polarity!$A:$C,3,FALSE),0))</f>
        <v/>
      </c>
      <c r="S106">
        <f>IF(P106="P",(M106+N106+O106)/3,0.3*H106+0.3*I106+0.2*J106+0.1*K106+0.1*L106)</f>
        <v/>
      </c>
      <c r="T106">
        <f>IF(P106="P",IFNA(VLOOKUP(B106,Pitcher_RoleAdj!$A:$B,2,FALSE),0),IFNA(VLOOKUP(B106,Hitter_PrimaryAdj!$A:$B,2,FALSE),0))</f>
        <v/>
      </c>
      <c r="U106">
        <f>IFNA(VLOOKUP(IF(C106="","(none)",C106),SecondaryAdj!$A:$B,2,FALSE),0)</f>
        <v/>
      </c>
      <c r="V106">
        <f>IF(P106="P",0.7780+0.1628*S106+0.2957*Q106-0.1912*R106-0.1512*IF(D106="S",1,0)+0.1600*IF(E106="L",1,0)+0.0091*H106+0.0124*I106+0.0017*J106+T106+U106,-0.8294+0.1849*S106+0.1750*Q106-0.2969*R106+0.6924*IF(D106="S",1,0)+0.0457*IF(E106="L",1,0)+T106+U106)</f>
        <v/>
      </c>
      <c r="W106">
        <f>MAX(0,MIN(16,ROUND(V106,0)))</f>
        <v/>
      </c>
      <c r="X106">
        <f>IFNA(VLOOKUP(W106,Grade_Scale!$A:$B,2,FALSE),"F")</f>
        <v/>
      </c>
      <c r="Z106">
        <f>IF(Y106="","",W106-IFNA(VLOOKUP(Y106,Grade_Scale!$D:$E,2,FALSE),""))</f>
        <v/>
      </c>
    </row>
    <row r="107">
      <c r="P107">
        <f>IF(OR(B107="SP",B107="RP",B107="CP",B107="SP/RP"),"P","H")</f>
        <v/>
      </c>
      <c r="Q107">
        <f>IF(F107="",0,IFNA(VLOOKUP(F107,Trait_Polarity!$A:$C,2,FALSE),0))+IF(G107="",0,IFNA(VLOOKUP(G107,Trait_Polarity!$A:$C,2,FALSE),0))</f>
        <v/>
      </c>
      <c r="R107">
        <f>IF(F107="",0,IFNA(VLOOKUP(F107,Trait_Polarity!$A:$C,3,FALSE),0))+IF(G107="",0,IFNA(VLOOKUP(G107,Trait_Polarity!$A:$C,3,FALSE),0))</f>
        <v/>
      </c>
      <c r="S107">
        <f>IF(P107="P",(M107+N107+O107)/3,0.3*H107+0.3*I107+0.2*J107+0.1*K107+0.1*L107)</f>
        <v/>
      </c>
      <c r="T107">
        <f>IF(P107="P",IFNA(VLOOKUP(B107,Pitcher_RoleAdj!$A:$B,2,FALSE),0),IFNA(VLOOKUP(B107,Hitter_PrimaryAdj!$A:$B,2,FALSE),0))</f>
        <v/>
      </c>
      <c r="U107">
        <f>IFNA(VLOOKUP(IF(C107="","(none)",C107),SecondaryAdj!$A:$B,2,FALSE),0)</f>
        <v/>
      </c>
      <c r="V107">
        <f>IF(P107="P",0.7780+0.1628*S107+0.2957*Q107-0.1912*R107-0.1512*IF(D107="S",1,0)+0.1600*IF(E107="L",1,0)+0.0091*H107+0.0124*I107+0.0017*J107+T107+U107,-0.8294+0.1849*S107+0.1750*Q107-0.2969*R107+0.6924*IF(D107="S",1,0)+0.0457*IF(E107="L",1,0)+T107+U107)</f>
        <v/>
      </c>
      <c r="W107">
        <f>MAX(0,MIN(16,ROUND(V107,0)))</f>
        <v/>
      </c>
      <c r="X107">
        <f>IFNA(VLOOKUP(W107,Grade_Scale!$A:$B,2,FALSE),"F")</f>
        <v/>
      </c>
      <c r="Z107">
        <f>IF(Y107="","",W107-IFNA(VLOOKUP(Y107,Grade_Scale!$D:$E,2,FALSE),""))</f>
        <v/>
      </c>
    </row>
    <row r="108">
      <c r="P108">
        <f>IF(OR(B108="SP",B108="RP",B108="CP",B108="SP/RP"),"P","H")</f>
        <v/>
      </c>
      <c r="Q108">
        <f>IF(F108="",0,IFNA(VLOOKUP(F108,Trait_Polarity!$A:$C,2,FALSE),0))+IF(G108="",0,IFNA(VLOOKUP(G108,Trait_Polarity!$A:$C,2,FALSE),0))</f>
        <v/>
      </c>
      <c r="R108">
        <f>IF(F108="",0,IFNA(VLOOKUP(F108,Trait_Polarity!$A:$C,3,FALSE),0))+IF(G108="",0,IFNA(VLOOKUP(G108,Trait_Polarity!$A:$C,3,FALSE),0))</f>
        <v/>
      </c>
      <c r="S108">
        <f>IF(P108="P",(M108+N108+O108)/3,0.3*H108+0.3*I108+0.2*J108+0.1*K108+0.1*L108)</f>
        <v/>
      </c>
      <c r="T108">
        <f>IF(P108="P",IFNA(VLOOKUP(B108,Pitcher_RoleAdj!$A:$B,2,FALSE),0),IFNA(VLOOKUP(B108,Hitter_PrimaryAdj!$A:$B,2,FALSE),0))</f>
        <v/>
      </c>
      <c r="U108">
        <f>IFNA(VLOOKUP(IF(C108="","(none)",C108),SecondaryAdj!$A:$B,2,FALSE),0)</f>
        <v/>
      </c>
      <c r="V108">
        <f>IF(P108="P",0.7780+0.1628*S108+0.2957*Q108-0.1912*R108-0.1512*IF(D108="S",1,0)+0.1600*IF(E108="L",1,0)+0.0091*H108+0.0124*I108+0.0017*J108+T108+U108,-0.8294+0.1849*S108+0.1750*Q108-0.2969*R108+0.6924*IF(D108="S",1,0)+0.0457*IF(E108="L",1,0)+T108+U108)</f>
        <v/>
      </c>
      <c r="W108">
        <f>MAX(0,MIN(16,ROUND(V108,0)))</f>
        <v/>
      </c>
      <c r="X108">
        <f>IFNA(VLOOKUP(W108,Grade_Scale!$A:$B,2,FALSE),"F")</f>
        <v/>
      </c>
      <c r="Z108">
        <f>IF(Y108="","",W108-IFNA(VLOOKUP(Y108,Grade_Scale!$D:$E,2,FALSE),""))</f>
        <v/>
      </c>
    </row>
    <row r="109">
      <c r="P109">
        <f>IF(OR(B109="SP",B109="RP",B109="CP",B109="SP/RP"),"P","H")</f>
        <v/>
      </c>
      <c r="Q109">
        <f>IF(F109="",0,IFNA(VLOOKUP(F109,Trait_Polarity!$A:$C,2,FALSE),0))+IF(G109="",0,IFNA(VLOOKUP(G109,Trait_Polarity!$A:$C,2,FALSE),0))</f>
        <v/>
      </c>
      <c r="R109">
        <f>IF(F109="",0,IFNA(VLOOKUP(F109,Trait_Polarity!$A:$C,3,FALSE),0))+IF(G109="",0,IFNA(VLOOKUP(G109,Trait_Polarity!$A:$C,3,FALSE),0))</f>
        <v/>
      </c>
      <c r="S109">
        <f>IF(P109="P",(M109+N109+O109)/3,0.3*H109+0.3*I109+0.2*J109+0.1*K109+0.1*L109)</f>
        <v/>
      </c>
      <c r="T109">
        <f>IF(P109="P",IFNA(VLOOKUP(B109,Pitcher_RoleAdj!$A:$B,2,FALSE),0),IFNA(VLOOKUP(B109,Hitter_PrimaryAdj!$A:$B,2,FALSE),0))</f>
        <v/>
      </c>
      <c r="U109">
        <f>IFNA(VLOOKUP(IF(C109="","(none)",C109),SecondaryAdj!$A:$B,2,FALSE),0)</f>
        <v/>
      </c>
      <c r="V109">
        <f>IF(P109="P",0.7780+0.1628*S109+0.2957*Q109-0.1912*R109-0.1512*IF(D109="S",1,0)+0.1600*IF(E109="L",1,0)+0.0091*H109+0.0124*I109+0.0017*J109+T109+U109,-0.8294+0.1849*S109+0.1750*Q109-0.2969*R109+0.6924*IF(D109="S",1,0)+0.0457*IF(E109="L",1,0)+T109+U109)</f>
        <v/>
      </c>
      <c r="W109">
        <f>MAX(0,MIN(16,ROUND(V109,0)))</f>
        <v/>
      </c>
      <c r="X109">
        <f>IFNA(VLOOKUP(W109,Grade_Scale!$A:$B,2,FALSE),"F")</f>
        <v/>
      </c>
      <c r="Z109">
        <f>IF(Y109="","",W109-IFNA(VLOOKUP(Y109,Grade_Scale!$D:$E,2,FALSE),""))</f>
        <v/>
      </c>
    </row>
    <row r="110">
      <c r="P110">
        <f>IF(OR(B110="SP",B110="RP",B110="CP",B110="SP/RP"),"P","H")</f>
        <v/>
      </c>
      <c r="Q110">
        <f>IF(F110="",0,IFNA(VLOOKUP(F110,Trait_Polarity!$A:$C,2,FALSE),0))+IF(G110="",0,IFNA(VLOOKUP(G110,Trait_Polarity!$A:$C,2,FALSE),0))</f>
        <v/>
      </c>
      <c r="R110">
        <f>IF(F110="",0,IFNA(VLOOKUP(F110,Trait_Polarity!$A:$C,3,FALSE),0))+IF(G110="",0,IFNA(VLOOKUP(G110,Trait_Polarity!$A:$C,3,FALSE),0))</f>
        <v/>
      </c>
      <c r="S110">
        <f>IF(P110="P",(M110+N110+O110)/3,0.3*H110+0.3*I110+0.2*J110+0.1*K110+0.1*L110)</f>
        <v/>
      </c>
      <c r="T110">
        <f>IF(P110="P",IFNA(VLOOKUP(B110,Pitcher_RoleAdj!$A:$B,2,FALSE),0),IFNA(VLOOKUP(B110,Hitter_PrimaryAdj!$A:$B,2,FALSE),0))</f>
        <v/>
      </c>
      <c r="U110">
        <f>IFNA(VLOOKUP(IF(C110="","(none)",C110),SecondaryAdj!$A:$B,2,FALSE),0)</f>
        <v/>
      </c>
      <c r="V110">
        <f>IF(P110="P",0.7780+0.1628*S110+0.2957*Q110-0.1912*R110-0.1512*IF(D110="S",1,0)+0.1600*IF(E110="L",1,0)+0.0091*H110+0.0124*I110+0.0017*J110+T110+U110,-0.8294+0.1849*S110+0.1750*Q110-0.2969*R110+0.6924*IF(D110="S",1,0)+0.0457*IF(E110="L",1,0)+T110+U110)</f>
        <v/>
      </c>
      <c r="W110">
        <f>MAX(0,MIN(16,ROUND(V110,0)))</f>
        <v/>
      </c>
      <c r="X110">
        <f>IFNA(VLOOKUP(W110,Grade_Scale!$A:$B,2,FALSE),"F")</f>
        <v/>
      </c>
      <c r="Z110">
        <f>IF(Y110="","",W110-IFNA(VLOOKUP(Y110,Grade_Scale!$D:$E,2,FALSE),""))</f>
        <v/>
      </c>
    </row>
    <row r="111">
      <c r="P111">
        <f>IF(OR(B111="SP",B111="RP",B111="CP",B111="SP/RP"),"P","H")</f>
        <v/>
      </c>
      <c r="Q111">
        <f>IF(F111="",0,IFNA(VLOOKUP(F111,Trait_Polarity!$A:$C,2,FALSE),0))+IF(G111="",0,IFNA(VLOOKUP(G111,Trait_Polarity!$A:$C,2,FALSE),0))</f>
        <v/>
      </c>
      <c r="R111">
        <f>IF(F111="",0,IFNA(VLOOKUP(F111,Trait_Polarity!$A:$C,3,FALSE),0))+IF(G111="",0,IFNA(VLOOKUP(G111,Trait_Polarity!$A:$C,3,FALSE),0))</f>
        <v/>
      </c>
      <c r="S111">
        <f>IF(P111="P",(M111+N111+O111)/3,0.3*H111+0.3*I111+0.2*J111+0.1*K111+0.1*L111)</f>
        <v/>
      </c>
      <c r="T111">
        <f>IF(P111="P",IFNA(VLOOKUP(B111,Pitcher_RoleAdj!$A:$B,2,FALSE),0),IFNA(VLOOKUP(B111,Hitter_PrimaryAdj!$A:$B,2,FALSE),0))</f>
        <v/>
      </c>
      <c r="U111">
        <f>IFNA(VLOOKUP(IF(C111="","(none)",C111),SecondaryAdj!$A:$B,2,FALSE),0)</f>
        <v/>
      </c>
      <c r="V111">
        <f>IF(P111="P",0.7780+0.1628*S111+0.2957*Q111-0.1912*R111-0.1512*IF(D111="S",1,0)+0.1600*IF(E111="L",1,0)+0.0091*H111+0.0124*I111+0.0017*J111+T111+U111,-0.8294+0.1849*S111+0.1750*Q111-0.2969*R111+0.6924*IF(D111="S",1,0)+0.0457*IF(E111="L",1,0)+T111+U111)</f>
        <v/>
      </c>
      <c r="W111">
        <f>MAX(0,MIN(16,ROUND(V111,0)))</f>
        <v/>
      </c>
      <c r="X111">
        <f>IFNA(VLOOKUP(W111,Grade_Scale!$A:$B,2,FALSE),"F")</f>
        <v/>
      </c>
      <c r="Z111">
        <f>IF(Y111="","",W111-IFNA(VLOOKUP(Y111,Grade_Scale!$D:$E,2,FALSE),""))</f>
        <v/>
      </c>
    </row>
    <row r="112">
      <c r="P112">
        <f>IF(OR(B112="SP",B112="RP",B112="CP",B112="SP/RP"),"P","H")</f>
        <v/>
      </c>
      <c r="Q112">
        <f>IF(F112="",0,IFNA(VLOOKUP(F112,Trait_Polarity!$A:$C,2,FALSE),0))+IF(G112="",0,IFNA(VLOOKUP(G112,Trait_Polarity!$A:$C,2,FALSE),0))</f>
        <v/>
      </c>
      <c r="R112">
        <f>IF(F112="",0,IFNA(VLOOKUP(F112,Trait_Polarity!$A:$C,3,FALSE),0))+IF(G112="",0,IFNA(VLOOKUP(G112,Trait_Polarity!$A:$C,3,FALSE),0))</f>
        <v/>
      </c>
      <c r="S112">
        <f>IF(P112="P",(M112+N112+O112)/3,0.3*H112+0.3*I112+0.2*J112+0.1*K112+0.1*L112)</f>
        <v/>
      </c>
      <c r="T112">
        <f>IF(P112="P",IFNA(VLOOKUP(B112,Pitcher_RoleAdj!$A:$B,2,FALSE),0),IFNA(VLOOKUP(B112,Hitter_PrimaryAdj!$A:$B,2,FALSE),0))</f>
        <v/>
      </c>
      <c r="U112">
        <f>IFNA(VLOOKUP(IF(C112="","(none)",C112),SecondaryAdj!$A:$B,2,FALSE),0)</f>
        <v/>
      </c>
      <c r="V112">
        <f>IF(P112="P",0.7780+0.1628*S112+0.2957*Q112-0.1912*R112-0.1512*IF(D112="S",1,0)+0.1600*IF(E112="L",1,0)+0.0091*H112+0.0124*I112+0.0017*J112+T112+U112,-0.8294+0.1849*S112+0.1750*Q112-0.2969*R112+0.6924*IF(D112="S",1,0)+0.0457*IF(E112="L",1,0)+T112+U112)</f>
        <v/>
      </c>
      <c r="W112">
        <f>MAX(0,MIN(16,ROUND(V112,0)))</f>
        <v/>
      </c>
      <c r="X112">
        <f>IFNA(VLOOKUP(W112,Grade_Scale!$A:$B,2,FALSE),"F")</f>
        <v/>
      </c>
      <c r="Z112">
        <f>IF(Y112="","",W112-IFNA(VLOOKUP(Y112,Grade_Scale!$D:$E,2,FALSE),""))</f>
        <v/>
      </c>
    </row>
    <row r="113">
      <c r="P113">
        <f>IF(OR(B113="SP",B113="RP",B113="CP",B113="SP/RP"),"P","H")</f>
        <v/>
      </c>
      <c r="Q113">
        <f>IF(F113="",0,IFNA(VLOOKUP(F113,Trait_Polarity!$A:$C,2,FALSE),0))+IF(G113="",0,IFNA(VLOOKUP(G113,Trait_Polarity!$A:$C,2,FALSE),0))</f>
        <v/>
      </c>
      <c r="R113">
        <f>IF(F113="",0,IFNA(VLOOKUP(F113,Trait_Polarity!$A:$C,3,FALSE),0))+IF(G113="",0,IFNA(VLOOKUP(G113,Trait_Polarity!$A:$C,3,FALSE),0))</f>
        <v/>
      </c>
      <c r="S113">
        <f>IF(P113="P",(M113+N113+O113)/3,0.3*H113+0.3*I113+0.2*J113+0.1*K113+0.1*L113)</f>
        <v/>
      </c>
      <c r="T113">
        <f>IF(P113="P",IFNA(VLOOKUP(B113,Pitcher_RoleAdj!$A:$B,2,FALSE),0),IFNA(VLOOKUP(B113,Hitter_PrimaryAdj!$A:$B,2,FALSE),0))</f>
        <v/>
      </c>
      <c r="U113">
        <f>IFNA(VLOOKUP(IF(C113="","(none)",C113),SecondaryAdj!$A:$B,2,FALSE),0)</f>
        <v/>
      </c>
      <c r="V113">
        <f>IF(P113="P",0.7780+0.1628*S113+0.2957*Q113-0.1912*R113-0.1512*IF(D113="S",1,0)+0.1600*IF(E113="L",1,0)+0.0091*H113+0.0124*I113+0.0017*J113+T113+U113,-0.8294+0.1849*S113+0.1750*Q113-0.2969*R113+0.6924*IF(D113="S",1,0)+0.0457*IF(E113="L",1,0)+T113+U113)</f>
        <v/>
      </c>
      <c r="W113">
        <f>MAX(0,MIN(16,ROUND(V113,0)))</f>
        <v/>
      </c>
      <c r="X113">
        <f>IFNA(VLOOKUP(W113,Grade_Scale!$A:$B,2,FALSE),"F")</f>
        <v/>
      </c>
      <c r="Z113">
        <f>IF(Y113="","",W113-IFNA(VLOOKUP(Y113,Grade_Scale!$D:$E,2,FALSE),""))</f>
        <v/>
      </c>
    </row>
    <row r="114">
      <c r="P114">
        <f>IF(OR(B114="SP",B114="RP",B114="CP",B114="SP/RP"),"P","H")</f>
        <v/>
      </c>
      <c r="Q114">
        <f>IF(F114="",0,IFNA(VLOOKUP(F114,Trait_Polarity!$A:$C,2,FALSE),0))+IF(G114="",0,IFNA(VLOOKUP(G114,Trait_Polarity!$A:$C,2,FALSE),0))</f>
        <v/>
      </c>
      <c r="R114">
        <f>IF(F114="",0,IFNA(VLOOKUP(F114,Trait_Polarity!$A:$C,3,FALSE),0))+IF(G114="",0,IFNA(VLOOKUP(G114,Trait_Polarity!$A:$C,3,FALSE),0))</f>
        <v/>
      </c>
      <c r="S114">
        <f>IF(P114="P",(M114+N114+O114)/3,0.3*H114+0.3*I114+0.2*J114+0.1*K114+0.1*L114)</f>
        <v/>
      </c>
      <c r="T114">
        <f>IF(P114="P",IFNA(VLOOKUP(B114,Pitcher_RoleAdj!$A:$B,2,FALSE),0),IFNA(VLOOKUP(B114,Hitter_PrimaryAdj!$A:$B,2,FALSE),0))</f>
        <v/>
      </c>
      <c r="U114">
        <f>IFNA(VLOOKUP(IF(C114="","(none)",C114),SecondaryAdj!$A:$B,2,FALSE),0)</f>
        <v/>
      </c>
      <c r="V114">
        <f>IF(P114="P",0.7780+0.1628*S114+0.2957*Q114-0.1912*R114-0.1512*IF(D114="S",1,0)+0.1600*IF(E114="L",1,0)+0.0091*H114+0.0124*I114+0.0017*J114+T114+U114,-0.8294+0.1849*S114+0.1750*Q114-0.2969*R114+0.6924*IF(D114="S",1,0)+0.0457*IF(E114="L",1,0)+T114+U114)</f>
        <v/>
      </c>
      <c r="W114">
        <f>MAX(0,MIN(16,ROUND(V114,0)))</f>
        <v/>
      </c>
      <c r="X114">
        <f>IFNA(VLOOKUP(W114,Grade_Scale!$A:$B,2,FALSE),"F")</f>
        <v/>
      </c>
      <c r="Z114">
        <f>IF(Y114="","",W114-IFNA(VLOOKUP(Y114,Grade_Scale!$D:$E,2,FALSE),""))</f>
        <v/>
      </c>
    </row>
    <row r="115">
      <c r="P115">
        <f>IF(OR(B115="SP",B115="RP",B115="CP",B115="SP/RP"),"P","H")</f>
        <v/>
      </c>
      <c r="Q115">
        <f>IF(F115="",0,IFNA(VLOOKUP(F115,Trait_Polarity!$A:$C,2,FALSE),0))+IF(G115="",0,IFNA(VLOOKUP(G115,Trait_Polarity!$A:$C,2,FALSE),0))</f>
        <v/>
      </c>
      <c r="R115">
        <f>IF(F115="",0,IFNA(VLOOKUP(F115,Trait_Polarity!$A:$C,3,FALSE),0))+IF(G115="",0,IFNA(VLOOKUP(G115,Trait_Polarity!$A:$C,3,FALSE),0))</f>
        <v/>
      </c>
      <c r="S115">
        <f>IF(P115="P",(M115+N115+O115)/3,0.3*H115+0.3*I115+0.2*J115+0.1*K115+0.1*L115)</f>
        <v/>
      </c>
      <c r="T115">
        <f>IF(P115="P",IFNA(VLOOKUP(B115,Pitcher_RoleAdj!$A:$B,2,FALSE),0),IFNA(VLOOKUP(B115,Hitter_PrimaryAdj!$A:$B,2,FALSE),0))</f>
        <v/>
      </c>
      <c r="U115">
        <f>IFNA(VLOOKUP(IF(C115="","(none)",C115),SecondaryAdj!$A:$B,2,FALSE),0)</f>
        <v/>
      </c>
      <c r="V115">
        <f>IF(P115="P",0.7780+0.1628*S115+0.2957*Q115-0.1912*R115-0.1512*IF(D115="S",1,0)+0.1600*IF(E115="L",1,0)+0.0091*H115+0.0124*I115+0.0017*J115+T115+U115,-0.8294+0.1849*S115+0.1750*Q115-0.2969*R115+0.6924*IF(D115="S",1,0)+0.0457*IF(E115="L",1,0)+T115+U115)</f>
        <v/>
      </c>
      <c r="W115">
        <f>MAX(0,MIN(16,ROUND(V115,0)))</f>
        <v/>
      </c>
      <c r="X115">
        <f>IFNA(VLOOKUP(W115,Grade_Scale!$A:$B,2,FALSE),"F")</f>
        <v/>
      </c>
      <c r="Z115">
        <f>IF(Y115="","",W115-IFNA(VLOOKUP(Y115,Grade_Scale!$D:$E,2,FALSE),""))</f>
        <v/>
      </c>
    </row>
    <row r="116">
      <c r="P116">
        <f>IF(OR(B116="SP",B116="RP",B116="CP",B116="SP/RP"),"P","H")</f>
        <v/>
      </c>
      <c r="Q116">
        <f>IF(F116="",0,IFNA(VLOOKUP(F116,Trait_Polarity!$A:$C,2,FALSE),0))+IF(G116="",0,IFNA(VLOOKUP(G116,Trait_Polarity!$A:$C,2,FALSE),0))</f>
        <v/>
      </c>
      <c r="R116">
        <f>IF(F116="",0,IFNA(VLOOKUP(F116,Trait_Polarity!$A:$C,3,FALSE),0))+IF(G116="",0,IFNA(VLOOKUP(G116,Trait_Polarity!$A:$C,3,FALSE),0))</f>
        <v/>
      </c>
      <c r="S116">
        <f>IF(P116="P",(M116+N116+O116)/3,0.3*H116+0.3*I116+0.2*J116+0.1*K116+0.1*L116)</f>
        <v/>
      </c>
      <c r="T116">
        <f>IF(P116="P",IFNA(VLOOKUP(B116,Pitcher_RoleAdj!$A:$B,2,FALSE),0),IFNA(VLOOKUP(B116,Hitter_PrimaryAdj!$A:$B,2,FALSE),0))</f>
        <v/>
      </c>
      <c r="U116">
        <f>IFNA(VLOOKUP(IF(C116="","(none)",C116),SecondaryAdj!$A:$B,2,FALSE),0)</f>
        <v/>
      </c>
      <c r="V116">
        <f>IF(P116="P",0.7780+0.1628*S116+0.2957*Q116-0.1912*R116-0.1512*IF(D116="S",1,0)+0.1600*IF(E116="L",1,0)+0.0091*H116+0.0124*I116+0.0017*J116+T116+U116,-0.8294+0.1849*S116+0.1750*Q116-0.2969*R116+0.6924*IF(D116="S",1,0)+0.0457*IF(E116="L",1,0)+T116+U116)</f>
        <v/>
      </c>
      <c r="W116">
        <f>MAX(0,MIN(16,ROUND(V116,0)))</f>
        <v/>
      </c>
      <c r="X116">
        <f>IFNA(VLOOKUP(W116,Grade_Scale!$A:$B,2,FALSE),"F")</f>
        <v/>
      </c>
      <c r="Z116">
        <f>IF(Y116="","",W116-IFNA(VLOOKUP(Y116,Grade_Scale!$D:$E,2,FALSE),""))</f>
        <v/>
      </c>
    </row>
    <row r="117">
      <c r="P117">
        <f>IF(OR(B117="SP",B117="RP",B117="CP",B117="SP/RP"),"P","H")</f>
        <v/>
      </c>
      <c r="Q117">
        <f>IF(F117="",0,IFNA(VLOOKUP(F117,Trait_Polarity!$A:$C,2,FALSE),0))+IF(G117="",0,IFNA(VLOOKUP(G117,Trait_Polarity!$A:$C,2,FALSE),0))</f>
        <v/>
      </c>
      <c r="R117">
        <f>IF(F117="",0,IFNA(VLOOKUP(F117,Trait_Polarity!$A:$C,3,FALSE),0))+IF(G117="",0,IFNA(VLOOKUP(G117,Trait_Polarity!$A:$C,3,FALSE),0))</f>
        <v/>
      </c>
      <c r="S117">
        <f>IF(P117="P",(M117+N117+O117)/3,0.3*H117+0.3*I117+0.2*J117+0.1*K117+0.1*L117)</f>
        <v/>
      </c>
      <c r="T117">
        <f>IF(P117="P",IFNA(VLOOKUP(B117,Pitcher_RoleAdj!$A:$B,2,FALSE),0),IFNA(VLOOKUP(B117,Hitter_PrimaryAdj!$A:$B,2,FALSE),0))</f>
        <v/>
      </c>
      <c r="U117">
        <f>IFNA(VLOOKUP(IF(C117="","(none)",C117),SecondaryAdj!$A:$B,2,FALSE),0)</f>
        <v/>
      </c>
      <c r="V117">
        <f>IF(P117="P",0.7780+0.1628*S117+0.2957*Q117-0.1912*R117-0.1512*IF(D117="S",1,0)+0.1600*IF(E117="L",1,0)+0.0091*H117+0.0124*I117+0.0017*J117+T117+U117,-0.8294+0.1849*S117+0.1750*Q117-0.2969*R117+0.6924*IF(D117="S",1,0)+0.0457*IF(E117="L",1,0)+T117+U117)</f>
        <v/>
      </c>
      <c r="W117">
        <f>MAX(0,MIN(16,ROUND(V117,0)))</f>
        <v/>
      </c>
      <c r="X117">
        <f>IFNA(VLOOKUP(W117,Grade_Scale!$A:$B,2,FALSE),"F")</f>
        <v/>
      </c>
      <c r="Z117">
        <f>IF(Y117="","",W117-IFNA(VLOOKUP(Y117,Grade_Scale!$D:$E,2,FALSE),""))</f>
        <v/>
      </c>
    </row>
    <row r="118">
      <c r="P118">
        <f>IF(OR(B118="SP",B118="RP",B118="CP",B118="SP/RP"),"P","H")</f>
        <v/>
      </c>
      <c r="Q118">
        <f>IF(F118="",0,IFNA(VLOOKUP(F118,Trait_Polarity!$A:$C,2,FALSE),0))+IF(G118="",0,IFNA(VLOOKUP(G118,Trait_Polarity!$A:$C,2,FALSE),0))</f>
        <v/>
      </c>
      <c r="R118">
        <f>IF(F118="",0,IFNA(VLOOKUP(F118,Trait_Polarity!$A:$C,3,FALSE),0))+IF(G118="",0,IFNA(VLOOKUP(G118,Trait_Polarity!$A:$C,3,FALSE),0))</f>
        <v/>
      </c>
      <c r="S118">
        <f>IF(P118="P",(M118+N118+O118)/3,0.3*H118+0.3*I118+0.2*J118+0.1*K118+0.1*L118)</f>
        <v/>
      </c>
      <c r="T118">
        <f>IF(P118="P",IFNA(VLOOKUP(B118,Pitcher_RoleAdj!$A:$B,2,FALSE),0),IFNA(VLOOKUP(B118,Hitter_PrimaryAdj!$A:$B,2,FALSE),0))</f>
        <v/>
      </c>
      <c r="U118">
        <f>IFNA(VLOOKUP(IF(C118="","(none)",C118),SecondaryAdj!$A:$B,2,FALSE),0)</f>
        <v/>
      </c>
      <c r="V118">
        <f>IF(P118="P",0.7780+0.1628*S118+0.2957*Q118-0.1912*R118-0.1512*IF(D118="S",1,0)+0.1600*IF(E118="L",1,0)+0.0091*H118+0.0124*I118+0.0017*J118+T118+U118,-0.8294+0.1849*S118+0.1750*Q118-0.2969*R118+0.6924*IF(D118="S",1,0)+0.0457*IF(E118="L",1,0)+T118+U118)</f>
        <v/>
      </c>
      <c r="W118">
        <f>MAX(0,MIN(16,ROUND(V118,0)))</f>
        <v/>
      </c>
      <c r="X118">
        <f>IFNA(VLOOKUP(W118,Grade_Scale!$A:$B,2,FALSE),"F")</f>
        <v/>
      </c>
      <c r="Z118">
        <f>IF(Y118="","",W118-IFNA(VLOOKUP(Y118,Grade_Scale!$D:$E,2,FALSE),""))</f>
        <v/>
      </c>
    </row>
    <row r="119">
      <c r="P119">
        <f>IF(OR(B119="SP",B119="RP",B119="CP",B119="SP/RP"),"P","H")</f>
        <v/>
      </c>
      <c r="Q119">
        <f>IF(F119="",0,IFNA(VLOOKUP(F119,Trait_Polarity!$A:$C,2,FALSE),0))+IF(G119="",0,IFNA(VLOOKUP(G119,Trait_Polarity!$A:$C,2,FALSE),0))</f>
        <v/>
      </c>
      <c r="R119">
        <f>IF(F119="",0,IFNA(VLOOKUP(F119,Trait_Polarity!$A:$C,3,FALSE),0))+IF(G119="",0,IFNA(VLOOKUP(G119,Trait_Polarity!$A:$C,3,FALSE),0))</f>
        <v/>
      </c>
      <c r="S119">
        <f>IF(P119="P",(M119+N119+O119)/3,0.3*H119+0.3*I119+0.2*J119+0.1*K119+0.1*L119)</f>
        <v/>
      </c>
      <c r="T119">
        <f>IF(P119="P",IFNA(VLOOKUP(B119,Pitcher_RoleAdj!$A:$B,2,FALSE),0),IFNA(VLOOKUP(B119,Hitter_PrimaryAdj!$A:$B,2,FALSE),0))</f>
        <v/>
      </c>
      <c r="U119">
        <f>IFNA(VLOOKUP(IF(C119="","(none)",C119),SecondaryAdj!$A:$B,2,FALSE),0)</f>
        <v/>
      </c>
      <c r="V119">
        <f>IF(P119="P",0.7780+0.1628*S119+0.2957*Q119-0.1912*R119-0.1512*IF(D119="S",1,0)+0.1600*IF(E119="L",1,0)+0.0091*H119+0.0124*I119+0.0017*J119+T119+U119,-0.8294+0.1849*S119+0.1750*Q119-0.2969*R119+0.6924*IF(D119="S",1,0)+0.0457*IF(E119="L",1,0)+T119+U119)</f>
        <v/>
      </c>
      <c r="W119">
        <f>MAX(0,MIN(16,ROUND(V119,0)))</f>
        <v/>
      </c>
      <c r="X119">
        <f>IFNA(VLOOKUP(W119,Grade_Scale!$A:$B,2,FALSE),"F")</f>
        <v/>
      </c>
      <c r="Z119">
        <f>IF(Y119="","",W119-IFNA(VLOOKUP(Y119,Grade_Scale!$D:$E,2,FALSE),""))</f>
        <v/>
      </c>
    </row>
    <row r="120">
      <c r="P120">
        <f>IF(OR(B120="SP",B120="RP",B120="CP",B120="SP/RP"),"P","H")</f>
        <v/>
      </c>
      <c r="Q120">
        <f>IF(F120="",0,IFNA(VLOOKUP(F120,Trait_Polarity!$A:$C,2,FALSE),0))+IF(G120="",0,IFNA(VLOOKUP(G120,Trait_Polarity!$A:$C,2,FALSE),0))</f>
        <v/>
      </c>
      <c r="R120">
        <f>IF(F120="",0,IFNA(VLOOKUP(F120,Trait_Polarity!$A:$C,3,FALSE),0))+IF(G120="",0,IFNA(VLOOKUP(G120,Trait_Polarity!$A:$C,3,FALSE),0))</f>
        <v/>
      </c>
      <c r="S120">
        <f>IF(P120="P",(M120+N120+O120)/3,0.3*H120+0.3*I120+0.2*J120+0.1*K120+0.1*L120)</f>
        <v/>
      </c>
      <c r="T120">
        <f>IF(P120="P",IFNA(VLOOKUP(B120,Pitcher_RoleAdj!$A:$B,2,FALSE),0),IFNA(VLOOKUP(B120,Hitter_PrimaryAdj!$A:$B,2,FALSE),0))</f>
        <v/>
      </c>
      <c r="U120">
        <f>IFNA(VLOOKUP(IF(C120="","(none)",C120),SecondaryAdj!$A:$B,2,FALSE),0)</f>
        <v/>
      </c>
      <c r="V120">
        <f>IF(P120="P",0.7780+0.1628*S120+0.2957*Q120-0.1912*R120-0.1512*IF(D120="S",1,0)+0.1600*IF(E120="L",1,0)+0.0091*H120+0.0124*I120+0.0017*J120+T120+U120,-0.8294+0.1849*S120+0.1750*Q120-0.2969*R120+0.6924*IF(D120="S",1,0)+0.0457*IF(E120="L",1,0)+T120+U120)</f>
        <v/>
      </c>
      <c r="W120">
        <f>MAX(0,MIN(16,ROUND(V120,0)))</f>
        <v/>
      </c>
      <c r="X120">
        <f>IFNA(VLOOKUP(W120,Grade_Scale!$A:$B,2,FALSE),"F")</f>
        <v/>
      </c>
      <c r="Z120">
        <f>IF(Y120="","",W120-IFNA(VLOOKUP(Y120,Grade_Scale!$D:$E,2,FALSE),""))</f>
        <v/>
      </c>
    </row>
    <row r="121">
      <c r="P121">
        <f>IF(OR(B121="SP",B121="RP",B121="CP",B121="SP/RP"),"P","H")</f>
        <v/>
      </c>
      <c r="Q121">
        <f>IF(F121="",0,IFNA(VLOOKUP(F121,Trait_Polarity!$A:$C,2,FALSE),0))+IF(G121="",0,IFNA(VLOOKUP(G121,Trait_Polarity!$A:$C,2,FALSE),0))</f>
        <v/>
      </c>
      <c r="R121">
        <f>IF(F121="",0,IFNA(VLOOKUP(F121,Trait_Polarity!$A:$C,3,FALSE),0))+IF(G121="",0,IFNA(VLOOKUP(G121,Trait_Polarity!$A:$C,3,FALSE),0))</f>
        <v/>
      </c>
      <c r="S121">
        <f>IF(P121="P",(M121+N121+O121)/3,0.3*H121+0.3*I121+0.2*J121+0.1*K121+0.1*L121)</f>
        <v/>
      </c>
      <c r="T121">
        <f>IF(P121="P",IFNA(VLOOKUP(B121,Pitcher_RoleAdj!$A:$B,2,FALSE),0),IFNA(VLOOKUP(B121,Hitter_PrimaryAdj!$A:$B,2,FALSE),0))</f>
        <v/>
      </c>
      <c r="U121">
        <f>IFNA(VLOOKUP(IF(C121="","(none)",C121),SecondaryAdj!$A:$B,2,FALSE),0)</f>
        <v/>
      </c>
      <c r="V121">
        <f>IF(P121="P",0.7780+0.1628*S121+0.2957*Q121-0.1912*R121-0.1512*IF(D121="S",1,0)+0.1600*IF(E121="L",1,0)+0.0091*H121+0.0124*I121+0.0017*J121+T121+U121,-0.8294+0.1849*S121+0.1750*Q121-0.2969*R121+0.6924*IF(D121="S",1,0)+0.0457*IF(E121="L",1,0)+T121+U121)</f>
        <v/>
      </c>
      <c r="W121">
        <f>MAX(0,MIN(16,ROUND(V121,0)))</f>
        <v/>
      </c>
      <c r="X121">
        <f>IFNA(VLOOKUP(W121,Grade_Scale!$A:$B,2,FALSE),"F")</f>
        <v/>
      </c>
      <c r="Z121">
        <f>IF(Y121="","",W121-IFNA(VLOOKUP(Y121,Grade_Scale!$D:$E,2,FALSE),""))</f>
        <v/>
      </c>
    </row>
    <row r="122">
      <c r="P122">
        <f>IF(OR(B122="SP",B122="RP",B122="CP",B122="SP/RP"),"P","H")</f>
        <v/>
      </c>
      <c r="Q122">
        <f>IF(F122="",0,IFNA(VLOOKUP(F122,Trait_Polarity!$A:$C,2,FALSE),0))+IF(G122="",0,IFNA(VLOOKUP(G122,Trait_Polarity!$A:$C,2,FALSE),0))</f>
        <v/>
      </c>
      <c r="R122">
        <f>IF(F122="",0,IFNA(VLOOKUP(F122,Trait_Polarity!$A:$C,3,FALSE),0))+IF(G122="",0,IFNA(VLOOKUP(G122,Trait_Polarity!$A:$C,3,FALSE),0))</f>
        <v/>
      </c>
      <c r="S122">
        <f>IF(P122="P",(M122+N122+O122)/3,0.3*H122+0.3*I122+0.2*J122+0.1*K122+0.1*L122)</f>
        <v/>
      </c>
      <c r="T122">
        <f>IF(P122="P",IFNA(VLOOKUP(B122,Pitcher_RoleAdj!$A:$B,2,FALSE),0),IFNA(VLOOKUP(B122,Hitter_PrimaryAdj!$A:$B,2,FALSE),0))</f>
        <v/>
      </c>
      <c r="U122">
        <f>IFNA(VLOOKUP(IF(C122="","(none)",C122),SecondaryAdj!$A:$B,2,FALSE),0)</f>
        <v/>
      </c>
      <c r="V122">
        <f>IF(P122="P",0.7780+0.1628*S122+0.2957*Q122-0.1912*R122-0.1512*IF(D122="S",1,0)+0.1600*IF(E122="L",1,0)+0.0091*H122+0.0124*I122+0.0017*J122+T122+U122,-0.8294+0.1849*S122+0.1750*Q122-0.2969*R122+0.6924*IF(D122="S",1,0)+0.0457*IF(E122="L",1,0)+T122+U122)</f>
        <v/>
      </c>
      <c r="W122">
        <f>MAX(0,MIN(16,ROUND(V122,0)))</f>
        <v/>
      </c>
      <c r="X122">
        <f>IFNA(VLOOKUP(W122,Grade_Scale!$A:$B,2,FALSE),"F")</f>
        <v/>
      </c>
      <c r="Z122">
        <f>IF(Y122="","",W122-IFNA(VLOOKUP(Y122,Grade_Scale!$D:$E,2,FALSE),""))</f>
        <v/>
      </c>
    </row>
    <row r="123">
      <c r="P123">
        <f>IF(OR(B123="SP",B123="RP",B123="CP",B123="SP/RP"),"P","H")</f>
        <v/>
      </c>
      <c r="Q123">
        <f>IF(F123="",0,IFNA(VLOOKUP(F123,Trait_Polarity!$A:$C,2,FALSE),0))+IF(G123="",0,IFNA(VLOOKUP(G123,Trait_Polarity!$A:$C,2,FALSE),0))</f>
        <v/>
      </c>
      <c r="R123">
        <f>IF(F123="",0,IFNA(VLOOKUP(F123,Trait_Polarity!$A:$C,3,FALSE),0))+IF(G123="",0,IFNA(VLOOKUP(G123,Trait_Polarity!$A:$C,3,FALSE),0))</f>
        <v/>
      </c>
      <c r="S123">
        <f>IF(P123="P",(M123+N123+O123)/3,0.3*H123+0.3*I123+0.2*J123+0.1*K123+0.1*L123)</f>
        <v/>
      </c>
      <c r="T123">
        <f>IF(P123="P",IFNA(VLOOKUP(B123,Pitcher_RoleAdj!$A:$B,2,FALSE),0),IFNA(VLOOKUP(B123,Hitter_PrimaryAdj!$A:$B,2,FALSE),0))</f>
        <v/>
      </c>
      <c r="U123">
        <f>IFNA(VLOOKUP(IF(C123="","(none)",C123),SecondaryAdj!$A:$B,2,FALSE),0)</f>
        <v/>
      </c>
      <c r="V123">
        <f>IF(P123="P",0.7780+0.1628*S123+0.2957*Q123-0.1912*R123-0.1512*IF(D123="S",1,0)+0.1600*IF(E123="L",1,0)+0.0091*H123+0.0124*I123+0.0017*J123+T123+U123,-0.8294+0.1849*S123+0.1750*Q123-0.2969*R123+0.6924*IF(D123="S",1,0)+0.0457*IF(E123="L",1,0)+T123+U123)</f>
        <v/>
      </c>
      <c r="W123">
        <f>MAX(0,MIN(16,ROUND(V123,0)))</f>
        <v/>
      </c>
      <c r="X123">
        <f>IFNA(VLOOKUP(W123,Grade_Scale!$A:$B,2,FALSE),"F")</f>
        <v/>
      </c>
      <c r="Z123">
        <f>IF(Y123="","",W123-IFNA(VLOOKUP(Y123,Grade_Scale!$D:$E,2,FALSE),""))</f>
        <v/>
      </c>
    </row>
    <row r="124">
      <c r="P124">
        <f>IF(OR(B124="SP",B124="RP",B124="CP",B124="SP/RP"),"P","H")</f>
        <v/>
      </c>
      <c r="Q124">
        <f>IF(F124="",0,IFNA(VLOOKUP(F124,Trait_Polarity!$A:$C,2,FALSE),0))+IF(G124="",0,IFNA(VLOOKUP(G124,Trait_Polarity!$A:$C,2,FALSE),0))</f>
        <v/>
      </c>
      <c r="R124">
        <f>IF(F124="",0,IFNA(VLOOKUP(F124,Trait_Polarity!$A:$C,3,FALSE),0))+IF(G124="",0,IFNA(VLOOKUP(G124,Trait_Polarity!$A:$C,3,FALSE),0))</f>
        <v/>
      </c>
      <c r="S124">
        <f>IF(P124="P",(M124+N124+O124)/3,0.3*H124+0.3*I124+0.2*J124+0.1*K124+0.1*L124)</f>
        <v/>
      </c>
      <c r="T124">
        <f>IF(P124="P",IFNA(VLOOKUP(B124,Pitcher_RoleAdj!$A:$B,2,FALSE),0),IFNA(VLOOKUP(B124,Hitter_PrimaryAdj!$A:$B,2,FALSE),0))</f>
        <v/>
      </c>
      <c r="U124">
        <f>IFNA(VLOOKUP(IF(C124="","(none)",C124),SecondaryAdj!$A:$B,2,FALSE),0)</f>
        <v/>
      </c>
      <c r="V124">
        <f>IF(P124="P",0.7780+0.1628*S124+0.2957*Q124-0.1912*R124-0.1512*IF(D124="S",1,0)+0.1600*IF(E124="L",1,0)+0.0091*H124+0.0124*I124+0.0017*J124+T124+U124,-0.8294+0.1849*S124+0.1750*Q124-0.2969*R124+0.6924*IF(D124="S",1,0)+0.0457*IF(E124="L",1,0)+T124+U124)</f>
        <v/>
      </c>
      <c r="W124">
        <f>MAX(0,MIN(16,ROUND(V124,0)))</f>
        <v/>
      </c>
      <c r="X124">
        <f>IFNA(VLOOKUP(W124,Grade_Scale!$A:$B,2,FALSE),"F")</f>
        <v/>
      </c>
      <c r="Z124">
        <f>IF(Y124="","",W124-IFNA(VLOOKUP(Y124,Grade_Scale!$D:$E,2,FALSE),""))</f>
        <v/>
      </c>
    </row>
    <row r="125">
      <c r="P125">
        <f>IF(OR(B125="SP",B125="RP",B125="CP",B125="SP/RP"),"P","H")</f>
        <v/>
      </c>
      <c r="Q125">
        <f>IF(F125="",0,IFNA(VLOOKUP(F125,Trait_Polarity!$A:$C,2,FALSE),0))+IF(G125="",0,IFNA(VLOOKUP(G125,Trait_Polarity!$A:$C,2,FALSE),0))</f>
        <v/>
      </c>
      <c r="R125">
        <f>IF(F125="",0,IFNA(VLOOKUP(F125,Trait_Polarity!$A:$C,3,FALSE),0))+IF(G125="",0,IFNA(VLOOKUP(G125,Trait_Polarity!$A:$C,3,FALSE),0))</f>
        <v/>
      </c>
      <c r="S125">
        <f>IF(P125="P",(M125+N125+O125)/3,0.3*H125+0.3*I125+0.2*J125+0.1*K125+0.1*L125)</f>
        <v/>
      </c>
      <c r="T125">
        <f>IF(P125="P",IFNA(VLOOKUP(B125,Pitcher_RoleAdj!$A:$B,2,FALSE),0),IFNA(VLOOKUP(B125,Hitter_PrimaryAdj!$A:$B,2,FALSE),0))</f>
        <v/>
      </c>
      <c r="U125">
        <f>IFNA(VLOOKUP(IF(C125="","(none)",C125),SecondaryAdj!$A:$B,2,FALSE),0)</f>
        <v/>
      </c>
      <c r="V125">
        <f>IF(P125="P",0.7780+0.1628*S125+0.2957*Q125-0.1912*R125-0.1512*IF(D125="S",1,0)+0.1600*IF(E125="L",1,0)+0.0091*H125+0.0124*I125+0.0017*J125+T125+U125,-0.8294+0.1849*S125+0.1750*Q125-0.2969*R125+0.6924*IF(D125="S",1,0)+0.0457*IF(E125="L",1,0)+T125+U125)</f>
        <v/>
      </c>
      <c r="W125">
        <f>MAX(0,MIN(16,ROUND(V125,0)))</f>
        <v/>
      </c>
      <c r="X125">
        <f>IFNA(VLOOKUP(W125,Grade_Scale!$A:$B,2,FALSE),"F")</f>
        <v/>
      </c>
      <c r="Z125">
        <f>IF(Y125="","",W125-IFNA(VLOOKUP(Y125,Grade_Scale!$D:$E,2,FALSE),""))</f>
        <v/>
      </c>
    </row>
    <row r="126">
      <c r="P126">
        <f>IF(OR(B126="SP",B126="RP",B126="CP",B126="SP/RP"),"P","H")</f>
        <v/>
      </c>
      <c r="Q126">
        <f>IF(F126="",0,IFNA(VLOOKUP(F126,Trait_Polarity!$A:$C,2,FALSE),0))+IF(G126="",0,IFNA(VLOOKUP(G126,Trait_Polarity!$A:$C,2,FALSE),0))</f>
        <v/>
      </c>
      <c r="R126">
        <f>IF(F126="",0,IFNA(VLOOKUP(F126,Trait_Polarity!$A:$C,3,FALSE),0))+IF(G126="",0,IFNA(VLOOKUP(G126,Trait_Polarity!$A:$C,3,FALSE),0))</f>
        <v/>
      </c>
      <c r="S126">
        <f>IF(P126="P",(M126+N126+O126)/3,0.3*H126+0.3*I126+0.2*J126+0.1*K126+0.1*L126)</f>
        <v/>
      </c>
      <c r="T126">
        <f>IF(P126="P",IFNA(VLOOKUP(B126,Pitcher_RoleAdj!$A:$B,2,FALSE),0),IFNA(VLOOKUP(B126,Hitter_PrimaryAdj!$A:$B,2,FALSE),0))</f>
        <v/>
      </c>
      <c r="U126">
        <f>IFNA(VLOOKUP(IF(C126="","(none)",C126),SecondaryAdj!$A:$B,2,FALSE),0)</f>
        <v/>
      </c>
      <c r="V126">
        <f>IF(P126="P",0.7780+0.1628*S126+0.2957*Q126-0.1912*R126-0.1512*IF(D126="S",1,0)+0.1600*IF(E126="L",1,0)+0.0091*H126+0.0124*I126+0.0017*J126+T126+U126,-0.8294+0.1849*S126+0.1750*Q126-0.2969*R126+0.6924*IF(D126="S",1,0)+0.0457*IF(E126="L",1,0)+T126+U126)</f>
        <v/>
      </c>
      <c r="W126">
        <f>MAX(0,MIN(16,ROUND(V126,0)))</f>
        <v/>
      </c>
      <c r="X126">
        <f>IFNA(VLOOKUP(W126,Grade_Scale!$A:$B,2,FALSE),"F")</f>
        <v/>
      </c>
      <c r="Z126">
        <f>IF(Y126="","",W126-IFNA(VLOOKUP(Y126,Grade_Scale!$D:$E,2,FALSE),""))</f>
        <v/>
      </c>
    </row>
    <row r="127">
      <c r="P127">
        <f>IF(OR(B127="SP",B127="RP",B127="CP",B127="SP/RP"),"P","H")</f>
        <v/>
      </c>
      <c r="Q127">
        <f>IF(F127="",0,IFNA(VLOOKUP(F127,Trait_Polarity!$A:$C,2,FALSE),0))+IF(G127="",0,IFNA(VLOOKUP(G127,Trait_Polarity!$A:$C,2,FALSE),0))</f>
        <v/>
      </c>
      <c r="R127">
        <f>IF(F127="",0,IFNA(VLOOKUP(F127,Trait_Polarity!$A:$C,3,FALSE),0))+IF(G127="",0,IFNA(VLOOKUP(G127,Trait_Polarity!$A:$C,3,FALSE),0))</f>
        <v/>
      </c>
      <c r="S127">
        <f>IF(P127="P",(M127+N127+O127)/3,0.3*H127+0.3*I127+0.2*J127+0.1*K127+0.1*L127)</f>
        <v/>
      </c>
      <c r="T127">
        <f>IF(P127="P",IFNA(VLOOKUP(B127,Pitcher_RoleAdj!$A:$B,2,FALSE),0),IFNA(VLOOKUP(B127,Hitter_PrimaryAdj!$A:$B,2,FALSE),0))</f>
        <v/>
      </c>
      <c r="U127">
        <f>IFNA(VLOOKUP(IF(C127="","(none)",C127),SecondaryAdj!$A:$B,2,FALSE),0)</f>
        <v/>
      </c>
      <c r="V127">
        <f>IF(P127="P",0.7780+0.1628*S127+0.2957*Q127-0.1912*R127-0.1512*IF(D127="S",1,0)+0.1600*IF(E127="L",1,0)+0.0091*H127+0.0124*I127+0.0017*J127+T127+U127,-0.8294+0.1849*S127+0.1750*Q127-0.2969*R127+0.6924*IF(D127="S",1,0)+0.0457*IF(E127="L",1,0)+T127+U127)</f>
        <v/>
      </c>
      <c r="W127">
        <f>MAX(0,MIN(16,ROUND(V127,0)))</f>
        <v/>
      </c>
      <c r="X127">
        <f>IFNA(VLOOKUP(W127,Grade_Scale!$A:$B,2,FALSE),"F")</f>
        <v/>
      </c>
      <c r="Z127">
        <f>IF(Y127="","",W127-IFNA(VLOOKUP(Y127,Grade_Scale!$D:$E,2,FALSE),""))</f>
        <v/>
      </c>
    </row>
    <row r="128">
      <c r="P128">
        <f>IF(OR(B128="SP",B128="RP",B128="CP",B128="SP/RP"),"P","H")</f>
        <v/>
      </c>
      <c r="Q128">
        <f>IF(F128="",0,IFNA(VLOOKUP(F128,Trait_Polarity!$A:$C,2,FALSE),0))+IF(G128="",0,IFNA(VLOOKUP(G128,Trait_Polarity!$A:$C,2,FALSE),0))</f>
        <v/>
      </c>
      <c r="R128">
        <f>IF(F128="",0,IFNA(VLOOKUP(F128,Trait_Polarity!$A:$C,3,FALSE),0))+IF(G128="",0,IFNA(VLOOKUP(G128,Trait_Polarity!$A:$C,3,FALSE),0))</f>
        <v/>
      </c>
      <c r="S128">
        <f>IF(P128="P",(M128+N128+O128)/3,0.3*H128+0.3*I128+0.2*J128+0.1*K128+0.1*L128)</f>
        <v/>
      </c>
      <c r="T128">
        <f>IF(P128="P",IFNA(VLOOKUP(B128,Pitcher_RoleAdj!$A:$B,2,FALSE),0),IFNA(VLOOKUP(B128,Hitter_PrimaryAdj!$A:$B,2,FALSE),0))</f>
        <v/>
      </c>
      <c r="U128">
        <f>IFNA(VLOOKUP(IF(C128="","(none)",C128),SecondaryAdj!$A:$B,2,FALSE),0)</f>
        <v/>
      </c>
      <c r="V128">
        <f>IF(P128="P",0.7780+0.1628*S128+0.2957*Q128-0.1912*R128-0.1512*IF(D128="S",1,0)+0.1600*IF(E128="L",1,0)+0.0091*H128+0.0124*I128+0.0017*J128+T128+U128,-0.8294+0.1849*S128+0.1750*Q128-0.2969*R128+0.6924*IF(D128="S",1,0)+0.0457*IF(E128="L",1,0)+T128+U128)</f>
        <v/>
      </c>
      <c r="W128">
        <f>MAX(0,MIN(16,ROUND(V128,0)))</f>
        <v/>
      </c>
      <c r="X128">
        <f>IFNA(VLOOKUP(W128,Grade_Scale!$A:$B,2,FALSE),"F")</f>
        <v/>
      </c>
      <c r="Z128">
        <f>IF(Y128="","",W128-IFNA(VLOOKUP(Y128,Grade_Scale!$D:$E,2,FALSE),""))</f>
        <v/>
      </c>
    </row>
    <row r="129">
      <c r="P129">
        <f>IF(OR(B129="SP",B129="RP",B129="CP",B129="SP/RP"),"P","H")</f>
        <v/>
      </c>
      <c r="Q129">
        <f>IF(F129="",0,IFNA(VLOOKUP(F129,Trait_Polarity!$A:$C,2,FALSE),0))+IF(G129="",0,IFNA(VLOOKUP(G129,Trait_Polarity!$A:$C,2,FALSE),0))</f>
        <v/>
      </c>
      <c r="R129">
        <f>IF(F129="",0,IFNA(VLOOKUP(F129,Trait_Polarity!$A:$C,3,FALSE),0))+IF(G129="",0,IFNA(VLOOKUP(G129,Trait_Polarity!$A:$C,3,FALSE),0))</f>
        <v/>
      </c>
      <c r="S129">
        <f>IF(P129="P",(M129+N129+O129)/3,0.3*H129+0.3*I129+0.2*J129+0.1*K129+0.1*L129)</f>
        <v/>
      </c>
      <c r="T129">
        <f>IF(P129="P",IFNA(VLOOKUP(B129,Pitcher_RoleAdj!$A:$B,2,FALSE),0),IFNA(VLOOKUP(B129,Hitter_PrimaryAdj!$A:$B,2,FALSE),0))</f>
        <v/>
      </c>
      <c r="U129">
        <f>IFNA(VLOOKUP(IF(C129="","(none)",C129),SecondaryAdj!$A:$B,2,FALSE),0)</f>
        <v/>
      </c>
      <c r="V129">
        <f>IF(P129="P",0.7780+0.1628*S129+0.2957*Q129-0.1912*R129-0.1512*IF(D129="S",1,0)+0.1600*IF(E129="L",1,0)+0.0091*H129+0.0124*I129+0.0017*J129+T129+U129,-0.8294+0.1849*S129+0.1750*Q129-0.2969*R129+0.6924*IF(D129="S",1,0)+0.0457*IF(E129="L",1,0)+T129+U129)</f>
        <v/>
      </c>
      <c r="W129">
        <f>MAX(0,MIN(16,ROUND(V129,0)))</f>
        <v/>
      </c>
      <c r="X129">
        <f>IFNA(VLOOKUP(W129,Grade_Scale!$A:$B,2,FALSE),"F")</f>
        <v/>
      </c>
      <c r="Z129">
        <f>IF(Y129="","",W129-IFNA(VLOOKUP(Y129,Grade_Scale!$D:$E,2,FALSE),""))</f>
        <v/>
      </c>
    </row>
    <row r="130">
      <c r="P130">
        <f>IF(OR(B130="SP",B130="RP",B130="CP",B130="SP/RP"),"P","H")</f>
        <v/>
      </c>
      <c r="Q130">
        <f>IF(F130="",0,IFNA(VLOOKUP(F130,Trait_Polarity!$A:$C,2,FALSE),0))+IF(G130="",0,IFNA(VLOOKUP(G130,Trait_Polarity!$A:$C,2,FALSE),0))</f>
        <v/>
      </c>
      <c r="R130">
        <f>IF(F130="",0,IFNA(VLOOKUP(F130,Trait_Polarity!$A:$C,3,FALSE),0))+IF(G130="",0,IFNA(VLOOKUP(G130,Trait_Polarity!$A:$C,3,FALSE),0))</f>
        <v/>
      </c>
      <c r="S130">
        <f>IF(P130="P",(M130+N130+O130)/3,0.3*H130+0.3*I130+0.2*J130+0.1*K130+0.1*L130)</f>
        <v/>
      </c>
      <c r="T130">
        <f>IF(P130="P",IFNA(VLOOKUP(B130,Pitcher_RoleAdj!$A:$B,2,FALSE),0),IFNA(VLOOKUP(B130,Hitter_PrimaryAdj!$A:$B,2,FALSE),0))</f>
        <v/>
      </c>
      <c r="U130">
        <f>IFNA(VLOOKUP(IF(C130="","(none)",C130),SecondaryAdj!$A:$B,2,FALSE),0)</f>
        <v/>
      </c>
      <c r="V130">
        <f>IF(P130="P",0.7780+0.1628*S130+0.2957*Q130-0.1912*R130-0.1512*IF(D130="S",1,0)+0.1600*IF(E130="L",1,0)+0.0091*H130+0.0124*I130+0.0017*J130+T130+U130,-0.8294+0.1849*S130+0.1750*Q130-0.2969*R130+0.6924*IF(D130="S",1,0)+0.0457*IF(E130="L",1,0)+T130+U130)</f>
        <v/>
      </c>
      <c r="W130">
        <f>MAX(0,MIN(16,ROUND(V130,0)))</f>
        <v/>
      </c>
      <c r="X130">
        <f>IFNA(VLOOKUP(W130,Grade_Scale!$A:$B,2,FALSE),"F")</f>
        <v/>
      </c>
      <c r="Z130">
        <f>IF(Y130="","",W130-IFNA(VLOOKUP(Y130,Grade_Scale!$D:$E,2,FALSE),""))</f>
        <v/>
      </c>
    </row>
    <row r="131">
      <c r="P131">
        <f>IF(OR(B131="SP",B131="RP",B131="CP",B131="SP/RP"),"P","H")</f>
        <v/>
      </c>
      <c r="Q131">
        <f>IF(F131="",0,IFNA(VLOOKUP(F131,Trait_Polarity!$A:$C,2,FALSE),0))+IF(G131="",0,IFNA(VLOOKUP(G131,Trait_Polarity!$A:$C,2,FALSE),0))</f>
        <v/>
      </c>
      <c r="R131">
        <f>IF(F131="",0,IFNA(VLOOKUP(F131,Trait_Polarity!$A:$C,3,FALSE),0))+IF(G131="",0,IFNA(VLOOKUP(G131,Trait_Polarity!$A:$C,3,FALSE),0))</f>
        <v/>
      </c>
      <c r="S131">
        <f>IF(P131="P",(M131+N131+O131)/3,0.3*H131+0.3*I131+0.2*J131+0.1*K131+0.1*L131)</f>
        <v/>
      </c>
      <c r="T131">
        <f>IF(P131="P",IFNA(VLOOKUP(B131,Pitcher_RoleAdj!$A:$B,2,FALSE),0),IFNA(VLOOKUP(B131,Hitter_PrimaryAdj!$A:$B,2,FALSE),0))</f>
        <v/>
      </c>
      <c r="U131">
        <f>IFNA(VLOOKUP(IF(C131="","(none)",C131),SecondaryAdj!$A:$B,2,FALSE),0)</f>
        <v/>
      </c>
      <c r="V131">
        <f>IF(P131="P",0.7780+0.1628*S131+0.2957*Q131-0.1912*R131-0.1512*IF(D131="S",1,0)+0.1600*IF(E131="L",1,0)+0.0091*H131+0.0124*I131+0.0017*J131+T131+U131,-0.8294+0.1849*S131+0.1750*Q131-0.2969*R131+0.6924*IF(D131="S",1,0)+0.0457*IF(E131="L",1,0)+T131+U131)</f>
        <v/>
      </c>
      <c r="W131">
        <f>MAX(0,MIN(16,ROUND(V131,0)))</f>
        <v/>
      </c>
      <c r="X131">
        <f>IFNA(VLOOKUP(W131,Grade_Scale!$A:$B,2,FALSE),"F")</f>
        <v/>
      </c>
      <c r="Z131">
        <f>IF(Y131="","",W131-IFNA(VLOOKUP(Y131,Grade_Scale!$D:$E,2,FALSE),""))</f>
        <v/>
      </c>
    </row>
    <row r="132">
      <c r="P132">
        <f>IF(OR(B132="SP",B132="RP",B132="CP",B132="SP/RP"),"P","H")</f>
        <v/>
      </c>
      <c r="Q132">
        <f>IF(F132="",0,IFNA(VLOOKUP(F132,Trait_Polarity!$A:$C,2,FALSE),0))+IF(G132="",0,IFNA(VLOOKUP(G132,Trait_Polarity!$A:$C,2,FALSE),0))</f>
        <v/>
      </c>
      <c r="R132">
        <f>IF(F132="",0,IFNA(VLOOKUP(F132,Trait_Polarity!$A:$C,3,FALSE),0))+IF(G132="",0,IFNA(VLOOKUP(G132,Trait_Polarity!$A:$C,3,FALSE),0))</f>
        <v/>
      </c>
      <c r="S132">
        <f>IF(P132="P",(M132+N132+O132)/3,0.3*H132+0.3*I132+0.2*J132+0.1*K132+0.1*L132)</f>
        <v/>
      </c>
      <c r="T132">
        <f>IF(P132="P",IFNA(VLOOKUP(B132,Pitcher_RoleAdj!$A:$B,2,FALSE),0),IFNA(VLOOKUP(B132,Hitter_PrimaryAdj!$A:$B,2,FALSE),0))</f>
        <v/>
      </c>
      <c r="U132">
        <f>IFNA(VLOOKUP(IF(C132="","(none)",C132),SecondaryAdj!$A:$B,2,FALSE),0)</f>
        <v/>
      </c>
      <c r="V132">
        <f>IF(P132="P",0.7780+0.1628*S132+0.2957*Q132-0.1912*R132-0.1512*IF(D132="S",1,0)+0.1600*IF(E132="L",1,0)+0.0091*H132+0.0124*I132+0.0017*J132+T132+U132,-0.8294+0.1849*S132+0.1750*Q132-0.2969*R132+0.6924*IF(D132="S",1,0)+0.0457*IF(E132="L",1,0)+T132+U132)</f>
        <v/>
      </c>
      <c r="W132">
        <f>MAX(0,MIN(16,ROUND(V132,0)))</f>
        <v/>
      </c>
      <c r="X132">
        <f>IFNA(VLOOKUP(W132,Grade_Scale!$A:$B,2,FALSE),"F")</f>
        <v/>
      </c>
      <c r="Z132">
        <f>IF(Y132="","",W132-IFNA(VLOOKUP(Y132,Grade_Scale!$D:$E,2,FALSE),""))</f>
        <v/>
      </c>
    </row>
    <row r="133">
      <c r="P133">
        <f>IF(OR(B133="SP",B133="RP",B133="CP",B133="SP/RP"),"P","H")</f>
        <v/>
      </c>
      <c r="Q133">
        <f>IF(F133="",0,IFNA(VLOOKUP(F133,Trait_Polarity!$A:$C,2,FALSE),0))+IF(G133="",0,IFNA(VLOOKUP(G133,Trait_Polarity!$A:$C,2,FALSE),0))</f>
        <v/>
      </c>
      <c r="R133">
        <f>IF(F133="",0,IFNA(VLOOKUP(F133,Trait_Polarity!$A:$C,3,FALSE),0))+IF(G133="",0,IFNA(VLOOKUP(G133,Trait_Polarity!$A:$C,3,FALSE),0))</f>
        <v/>
      </c>
      <c r="S133">
        <f>IF(P133="P",(M133+N133+O133)/3,0.3*H133+0.3*I133+0.2*J133+0.1*K133+0.1*L133)</f>
        <v/>
      </c>
      <c r="T133">
        <f>IF(P133="P",IFNA(VLOOKUP(B133,Pitcher_RoleAdj!$A:$B,2,FALSE),0),IFNA(VLOOKUP(B133,Hitter_PrimaryAdj!$A:$B,2,FALSE),0))</f>
        <v/>
      </c>
      <c r="U133">
        <f>IFNA(VLOOKUP(IF(C133="","(none)",C133),SecondaryAdj!$A:$B,2,FALSE),0)</f>
        <v/>
      </c>
      <c r="V133">
        <f>IF(P133="P",0.7780+0.1628*S133+0.2957*Q133-0.1912*R133-0.1512*IF(D133="S",1,0)+0.1600*IF(E133="L",1,0)+0.0091*H133+0.0124*I133+0.0017*J133+T133+U133,-0.8294+0.1849*S133+0.1750*Q133-0.2969*R133+0.6924*IF(D133="S",1,0)+0.0457*IF(E133="L",1,0)+T133+U133)</f>
        <v/>
      </c>
      <c r="W133">
        <f>MAX(0,MIN(16,ROUND(V133,0)))</f>
        <v/>
      </c>
      <c r="X133">
        <f>IFNA(VLOOKUP(W133,Grade_Scale!$A:$B,2,FALSE),"F")</f>
        <v/>
      </c>
      <c r="Z133">
        <f>IF(Y133="","",W133-IFNA(VLOOKUP(Y133,Grade_Scale!$D:$E,2,FALSE),""))</f>
        <v/>
      </c>
    </row>
    <row r="134">
      <c r="P134">
        <f>IF(OR(B134="SP",B134="RP",B134="CP",B134="SP/RP"),"P","H")</f>
        <v/>
      </c>
      <c r="Q134">
        <f>IF(F134="",0,IFNA(VLOOKUP(F134,Trait_Polarity!$A:$C,2,FALSE),0))+IF(G134="",0,IFNA(VLOOKUP(G134,Trait_Polarity!$A:$C,2,FALSE),0))</f>
        <v/>
      </c>
      <c r="R134">
        <f>IF(F134="",0,IFNA(VLOOKUP(F134,Trait_Polarity!$A:$C,3,FALSE),0))+IF(G134="",0,IFNA(VLOOKUP(G134,Trait_Polarity!$A:$C,3,FALSE),0))</f>
        <v/>
      </c>
      <c r="S134">
        <f>IF(P134="P",(M134+N134+O134)/3,0.3*H134+0.3*I134+0.2*J134+0.1*K134+0.1*L134)</f>
        <v/>
      </c>
      <c r="T134">
        <f>IF(P134="P",IFNA(VLOOKUP(B134,Pitcher_RoleAdj!$A:$B,2,FALSE),0),IFNA(VLOOKUP(B134,Hitter_PrimaryAdj!$A:$B,2,FALSE),0))</f>
        <v/>
      </c>
      <c r="U134">
        <f>IFNA(VLOOKUP(IF(C134="","(none)",C134),SecondaryAdj!$A:$B,2,FALSE),0)</f>
        <v/>
      </c>
      <c r="V134">
        <f>IF(P134="P",0.7780+0.1628*S134+0.2957*Q134-0.1912*R134-0.1512*IF(D134="S",1,0)+0.1600*IF(E134="L",1,0)+0.0091*H134+0.0124*I134+0.0017*J134+T134+U134,-0.8294+0.1849*S134+0.1750*Q134-0.2969*R134+0.6924*IF(D134="S",1,0)+0.0457*IF(E134="L",1,0)+T134+U134)</f>
        <v/>
      </c>
      <c r="W134">
        <f>MAX(0,MIN(16,ROUND(V134,0)))</f>
        <v/>
      </c>
      <c r="X134">
        <f>IFNA(VLOOKUP(W134,Grade_Scale!$A:$B,2,FALSE),"F")</f>
        <v/>
      </c>
      <c r="Z134">
        <f>IF(Y134="","",W134-IFNA(VLOOKUP(Y134,Grade_Scale!$D:$E,2,FALSE),""))</f>
        <v/>
      </c>
    </row>
    <row r="135">
      <c r="P135">
        <f>IF(OR(B135="SP",B135="RP",B135="CP",B135="SP/RP"),"P","H")</f>
        <v/>
      </c>
      <c r="Q135">
        <f>IF(F135="",0,IFNA(VLOOKUP(F135,Trait_Polarity!$A:$C,2,FALSE),0))+IF(G135="",0,IFNA(VLOOKUP(G135,Trait_Polarity!$A:$C,2,FALSE),0))</f>
        <v/>
      </c>
      <c r="R135">
        <f>IF(F135="",0,IFNA(VLOOKUP(F135,Trait_Polarity!$A:$C,3,FALSE),0))+IF(G135="",0,IFNA(VLOOKUP(G135,Trait_Polarity!$A:$C,3,FALSE),0))</f>
        <v/>
      </c>
      <c r="S135">
        <f>IF(P135="P",(M135+N135+O135)/3,0.3*H135+0.3*I135+0.2*J135+0.1*K135+0.1*L135)</f>
        <v/>
      </c>
      <c r="T135">
        <f>IF(P135="P",IFNA(VLOOKUP(B135,Pitcher_RoleAdj!$A:$B,2,FALSE),0),IFNA(VLOOKUP(B135,Hitter_PrimaryAdj!$A:$B,2,FALSE),0))</f>
        <v/>
      </c>
      <c r="U135">
        <f>IFNA(VLOOKUP(IF(C135="","(none)",C135),SecondaryAdj!$A:$B,2,FALSE),0)</f>
        <v/>
      </c>
      <c r="V135">
        <f>IF(P135="P",0.7780+0.1628*S135+0.2957*Q135-0.1912*R135-0.1512*IF(D135="S",1,0)+0.1600*IF(E135="L",1,0)+0.0091*H135+0.0124*I135+0.0017*J135+T135+U135,-0.8294+0.1849*S135+0.1750*Q135-0.2969*R135+0.6924*IF(D135="S",1,0)+0.0457*IF(E135="L",1,0)+T135+U135)</f>
        <v/>
      </c>
      <c r="W135">
        <f>MAX(0,MIN(16,ROUND(V135,0)))</f>
        <v/>
      </c>
      <c r="X135">
        <f>IFNA(VLOOKUP(W135,Grade_Scale!$A:$B,2,FALSE),"F")</f>
        <v/>
      </c>
      <c r="Z135">
        <f>IF(Y135="","",W135-IFNA(VLOOKUP(Y135,Grade_Scale!$D:$E,2,FALSE),""))</f>
        <v/>
      </c>
    </row>
    <row r="136">
      <c r="P136">
        <f>IF(OR(B136="SP",B136="RP",B136="CP",B136="SP/RP"),"P","H")</f>
        <v/>
      </c>
      <c r="Q136">
        <f>IF(F136="",0,IFNA(VLOOKUP(F136,Trait_Polarity!$A:$C,2,FALSE),0))+IF(G136="",0,IFNA(VLOOKUP(G136,Trait_Polarity!$A:$C,2,FALSE),0))</f>
        <v/>
      </c>
      <c r="R136">
        <f>IF(F136="",0,IFNA(VLOOKUP(F136,Trait_Polarity!$A:$C,3,FALSE),0))+IF(G136="",0,IFNA(VLOOKUP(G136,Trait_Polarity!$A:$C,3,FALSE),0))</f>
        <v/>
      </c>
      <c r="S136">
        <f>IF(P136="P",(M136+N136+O136)/3,0.3*H136+0.3*I136+0.2*J136+0.1*K136+0.1*L136)</f>
        <v/>
      </c>
      <c r="T136">
        <f>IF(P136="P",IFNA(VLOOKUP(B136,Pitcher_RoleAdj!$A:$B,2,FALSE),0),IFNA(VLOOKUP(B136,Hitter_PrimaryAdj!$A:$B,2,FALSE),0))</f>
        <v/>
      </c>
      <c r="U136">
        <f>IFNA(VLOOKUP(IF(C136="","(none)",C136),SecondaryAdj!$A:$B,2,FALSE),0)</f>
        <v/>
      </c>
      <c r="V136">
        <f>IF(P136="P",0.7780+0.1628*S136+0.2957*Q136-0.1912*R136-0.1512*IF(D136="S",1,0)+0.1600*IF(E136="L",1,0)+0.0091*H136+0.0124*I136+0.0017*J136+T136+U136,-0.8294+0.1849*S136+0.1750*Q136-0.2969*R136+0.6924*IF(D136="S",1,0)+0.0457*IF(E136="L",1,0)+T136+U136)</f>
        <v/>
      </c>
      <c r="W136">
        <f>MAX(0,MIN(16,ROUND(V136,0)))</f>
        <v/>
      </c>
      <c r="X136">
        <f>IFNA(VLOOKUP(W136,Grade_Scale!$A:$B,2,FALSE),"F")</f>
        <v/>
      </c>
      <c r="Z136">
        <f>IF(Y136="","",W136-IFNA(VLOOKUP(Y136,Grade_Scale!$D:$E,2,FALSE),""))</f>
        <v/>
      </c>
    </row>
    <row r="137">
      <c r="P137">
        <f>IF(OR(B137="SP",B137="RP",B137="CP",B137="SP/RP"),"P","H")</f>
        <v/>
      </c>
      <c r="Q137">
        <f>IF(F137="",0,IFNA(VLOOKUP(F137,Trait_Polarity!$A:$C,2,FALSE),0))+IF(G137="",0,IFNA(VLOOKUP(G137,Trait_Polarity!$A:$C,2,FALSE),0))</f>
        <v/>
      </c>
      <c r="R137">
        <f>IF(F137="",0,IFNA(VLOOKUP(F137,Trait_Polarity!$A:$C,3,FALSE),0))+IF(G137="",0,IFNA(VLOOKUP(G137,Trait_Polarity!$A:$C,3,FALSE),0))</f>
        <v/>
      </c>
      <c r="S137">
        <f>IF(P137="P",(M137+N137+O137)/3,0.3*H137+0.3*I137+0.2*J137+0.1*K137+0.1*L137)</f>
        <v/>
      </c>
      <c r="T137">
        <f>IF(P137="P",IFNA(VLOOKUP(B137,Pitcher_RoleAdj!$A:$B,2,FALSE),0),IFNA(VLOOKUP(B137,Hitter_PrimaryAdj!$A:$B,2,FALSE),0))</f>
        <v/>
      </c>
      <c r="U137">
        <f>IFNA(VLOOKUP(IF(C137="","(none)",C137),SecondaryAdj!$A:$B,2,FALSE),0)</f>
        <v/>
      </c>
      <c r="V137">
        <f>IF(P137="P",0.7780+0.1628*S137+0.2957*Q137-0.1912*R137-0.1512*IF(D137="S",1,0)+0.1600*IF(E137="L",1,0)+0.0091*H137+0.0124*I137+0.0017*J137+T137+U137,-0.8294+0.1849*S137+0.1750*Q137-0.2969*R137+0.6924*IF(D137="S",1,0)+0.0457*IF(E137="L",1,0)+T137+U137)</f>
        <v/>
      </c>
      <c r="W137">
        <f>MAX(0,MIN(16,ROUND(V137,0)))</f>
        <v/>
      </c>
      <c r="X137">
        <f>IFNA(VLOOKUP(W137,Grade_Scale!$A:$B,2,FALSE),"F")</f>
        <v/>
      </c>
      <c r="Z137">
        <f>IF(Y137="","",W137-IFNA(VLOOKUP(Y137,Grade_Scale!$D:$E,2,FALSE),""))</f>
        <v/>
      </c>
    </row>
    <row r="138">
      <c r="P138">
        <f>IF(OR(B138="SP",B138="RP",B138="CP",B138="SP/RP"),"P","H")</f>
        <v/>
      </c>
      <c r="Q138">
        <f>IF(F138="",0,IFNA(VLOOKUP(F138,Trait_Polarity!$A:$C,2,FALSE),0))+IF(G138="",0,IFNA(VLOOKUP(G138,Trait_Polarity!$A:$C,2,FALSE),0))</f>
        <v/>
      </c>
      <c r="R138">
        <f>IF(F138="",0,IFNA(VLOOKUP(F138,Trait_Polarity!$A:$C,3,FALSE),0))+IF(G138="",0,IFNA(VLOOKUP(G138,Trait_Polarity!$A:$C,3,FALSE),0))</f>
        <v/>
      </c>
      <c r="S138">
        <f>IF(P138="P",(M138+N138+O138)/3,0.3*H138+0.3*I138+0.2*J138+0.1*K138+0.1*L138)</f>
        <v/>
      </c>
      <c r="T138">
        <f>IF(P138="P",IFNA(VLOOKUP(B138,Pitcher_RoleAdj!$A:$B,2,FALSE),0),IFNA(VLOOKUP(B138,Hitter_PrimaryAdj!$A:$B,2,FALSE),0))</f>
        <v/>
      </c>
      <c r="U138">
        <f>IFNA(VLOOKUP(IF(C138="","(none)",C138),SecondaryAdj!$A:$B,2,FALSE),0)</f>
        <v/>
      </c>
      <c r="V138">
        <f>IF(P138="P",0.7780+0.1628*S138+0.2957*Q138-0.1912*R138-0.1512*IF(D138="S",1,0)+0.1600*IF(E138="L",1,0)+0.0091*H138+0.0124*I138+0.0017*J138+T138+U138,-0.8294+0.1849*S138+0.1750*Q138-0.2969*R138+0.6924*IF(D138="S",1,0)+0.0457*IF(E138="L",1,0)+T138+U138)</f>
        <v/>
      </c>
      <c r="W138">
        <f>MAX(0,MIN(16,ROUND(V138,0)))</f>
        <v/>
      </c>
      <c r="X138">
        <f>IFNA(VLOOKUP(W138,Grade_Scale!$A:$B,2,FALSE),"F")</f>
        <v/>
      </c>
      <c r="Z138">
        <f>IF(Y138="","",W138-IFNA(VLOOKUP(Y138,Grade_Scale!$D:$E,2,FALSE),""))</f>
        <v/>
      </c>
    </row>
    <row r="139">
      <c r="P139">
        <f>IF(OR(B139="SP",B139="RP",B139="CP",B139="SP/RP"),"P","H")</f>
        <v/>
      </c>
      <c r="Q139">
        <f>IF(F139="",0,IFNA(VLOOKUP(F139,Trait_Polarity!$A:$C,2,FALSE),0))+IF(G139="",0,IFNA(VLOOKUP(G139,Trait_Polarity!$A:$C,2,FALSE),0))</f>
        <v/>
      </c>
      <c r="R139">
        <f>IF(F139="",0,IFNA(VLOOKUP(F139,Trait_Polarity!$A:$C,3,FALSE),0))+IF(G139="",0,IFNA(VLOOKUP(G139,Trait_Polarity!$A:$C,3,FALSE),0))</f>
        <v/>
      </c>
      <c r="S139">
        <f>IF(P139="P",(M139+N139+O139)/3,0.3*H139+0.3*I139+0.2*J139+0.1*K139+0.1*L139)</f>
        <v/>
      </c>
      <c r="T139">
        <f>IF(P139="P",IFNA(VLOOKUP(B139,Pitcher_RoleAdj!$A:$B,2,FALSE),0),IFNA(VLOOKUP(B139,Hitter_PrimaryAdj!$A:$B,2,FALSE),0))</f>
        <v/>
      </c>
      <c r="U139">
        <f>IFNA(VLOOKUP(IF(C139="","(none)",C139),SecondaryAdj!$A:$B,2,FALSE),0)</f>
        <v/>
      </c>
      <c r="V139">
        <f>IF(P139="P",0.7780+0.1628*S139+0.2957*Q139-0.1912*R139-0.1512*IF(D139="S",1,0)+0.1600*IF(E139="L",1,0)+0.0091*H139+0.0124*I139+0.0017*J139+T139+U139,-0.8294+0.1849*S139+0.1750*Q139-0.2969*R139+0.6924*IF(D139="S",1,0)+0.0457*IF(E139="L",1,0)+T139+U139)</f>
        <v/>
      </c>
      <c r="W139">
        <f>MAX(0,MIN(16,ROUND(V139,0)))</f>
        <v/>
      </c>
      <c r="X139">
        <f>IFNA(VLOOKUP(W139,Grade_Scale!$A:$B,2,FALSE),"F")</f>
        <v/>
      </c>
      <c r="Z139">
        <f>IF(Y139="","",W139-IFNA(VLOOKUP(Y139,Grade_Scale!$D:$E,2,FALSE),""))</f>
        <v/>
      </c>
    </row>
    <row r="140">
      <c r="P140">
        <f>IF(OR(B140="SP",B140="RP",B140="CP",B140="SP/RP"),"P","H")</f>
        <v/>
      </c>
      <c r="Q140">
        <f>IF(F140="",0,IFNA(VLOOKUP(F140,Trait_Polarity!$A:$C,2,FALSE),0))+IF(G140="",0,IFNA(VLOOKUP(G140,Trait_Polarity!$A:$C,2,FALSE),0))</f>
        <v/>
      </c>
      <c r="R140">
        <f>IF(F140="",0,IFNA(VLOOKUP(F140,Trait_Polarity!$A:$C,3,FALSE),0))+IF(G140="",0,IFNA(VLOOKUP(G140,Trait_Polarity!$A:$C,3,FALSE),0))</f>
        <v/>
      </c>
      <c r="S140">
        <f>IF(P140="P",(M140+N140+O140)/3,0.3*H140+0.3*I140+0.2*J140+0.1*K140+0.1*L140)</f>
        <v/>
      </c>
      <c r="T140">
        <f>IF(P140="P",IFNA(VLOOKUP(B140,Pitcher_RoleAdj!$A:$B,2,FALSE),0),IFNA(VLOOKUP(B140,Hitter_PrimaryAdj!$A:$B,2,FALSE),0))</f>
        <v/>
      </c>
      <c r="U140">
        <f>IFNA(VLOOKUP(IF(C140="","(none)",C140),SecondaryAdj!$A:$B,2,FALSE),0)</f>
        <v/>
      </c>
      <c r="V140">
        <f>IF(P140="P",0.7780+0.1628*S140+0.2957*Q140-0.1912*R140-0.1512*IF(D140="S",1,0)+0.1600*IF(E140="L",1,0)+0.0091*H140+0.0124*I140+0.0017*J140+T140+U140,-0.8294+0.1849*S140+0.1750*Q140-0.2969*R140+0.6924*IF(D140="S",1,0)+0.0457*IF(E140="L",1,0)+T140+U140)</f>
        <v/>
      </c>
      <c r="W140">
        <f>MAX(0,MIN(16,ROUND(V140,0)))</f>
        <v/>
      </c>
      <c r="X140">
        <f>IFNA(VLOOKUP(W140,Grade_Scale!$A:$B,2,FALSE),"F")</f>
        <v/>
      </c>
      <c r="Z140">
        <f>IF(Y140="","",W140-IFNA(VLOOKUP(Y140,Grade_Scale!$D:$E,2,FALSE),""))</f>
        <v/>
      </c>
    </row>
    <row r="141">
      <c r="P141">
        <f>IF(OR(B141="SP",B141="RP",B141="CP",B141="SP/RP"),"P","H")</f>
        <v/>
      </c>
      <c r="Q141">
        <f>IF(F141="",0,IFNA(VLOOKUP(F141,Trait_Polarity!$A:$C,2,FALSE),0))+IF(G141="",0,IFNA(VLOOKUP(G141,Trait_Polarity!$A:$C,2,FALSE),0))</f>
        <v/>
      </c>
      <c r="R141">
        <f>IF(F141="",0,IFNA(VLOOKUP(F141,Trait_Polarity!$A:$C,3,FALSE),0))+IF(G141="",0,IFNA(VLOOKUP(G141,Trait_Polarity!$A:$C,3,FALSE),0))</f>
        <v/>
      </c>
      <c r="S141">
        <f>IF(P141="P",(M141+N141+O141)/3,0.3*H141+0.3*I141+0.2*J141+0.1*K141+0.1*L141)</f>
        <v/>
      </c>
      <c r="T141">
        <f>IF(P141="P",IFNA(VLOOKUP(B141,Pitcher_RoleAdj!$A:$B,2,FALSE),0),IFNA(VLOOKUP(B141,Hitter_PrimaryAdj!$A:$B,2,FALSE),0))</f>
        <v/>
      </c>
      <c r="U141">
        <f>IFNA(VLOOKUP(IF(C141="","(none)",C141),SecondaryAdj!$A:$B,2,FALSE),0)</f>
        <v/>
      </c>
      <c r="V141">
        <f>IF(P141="P",0.7780+0.1628*S141+0.2957*Q141-0.1912*R141-0.1512*IF(D141="S",1,0)+0.1600*IF(E141="L",1,0)+0.0091*H141+0.0124*I141+0.0017*J141+T141+U141,-0.8294+0.1849*S141+0.1750*Q141-0.2969*R141+0.6924*IF(D141="S",1,0)+0.0457*IF(E141="L",1,0)+T141+U141)</f>
        <v/>
      </c>
      <c r="W141">
        <f>MAX(0,MIN(16,ROUND(V141,0)))</f>
        <v/>
      </c>
      <c r="X141">
        <f>IFNA(VLOOKUP(W141,Grade_Scale!$A:$B,2,FALSE),"F")</f>
        <v/>
      </c>
      <c r="Z141">
        <f>IF(Y141="","",W141-IFNA(VLOOKUP(Y141,Grade_Scale!$D:$E,2,FALSE),""))</f>
        <v/>
      </c>
    </row>
    <row r="142">
      <c r="P142">
        <f>IF(OR(B142="SP",B142="RP",B142="CP",B142="SP/RP"),"P","H")</f>
        <v/>
      </c>
      <c r="Q142">
        <f>IF(F142="",0,IFNA(VLOOKUP(F142,Trait_Polarity!$A:$C,2,FALSE),0))+IF(G142="",0,IFNA(VLOOKUP(G142,Trait_Polarity!$A:$C,2,FALSE),0))</f>
        <v/>
      </c>
      <c r="R142">
        <f>IF(F142="",0,IFNA(VLOOKUP(F142,Trait_Polarity!$A:$C,3,FALSE),0))+IF(G142="",0,IFNA(VLOOKUP(G142,Trait_Polarity!$A:$C,3,FALSE),0))</f>
        <v/>
      </c>
      <c r="S142">
        <f>IF(P142="P",(M142+N142+O142)/3,0.3*H142+0.3*I142+0.2*J142+0.1*K142+0.1*L142)</f>
        <v/>
      </c>
      <c r="T142">
        <f>IF(P142="P",IFNA(VLOOKUP(B142,Pitcher_RoleAdj!$A:$B,2,FALSE),0),IFNA(VLOOKUP(B142,Hitter_PrimaryAdj!$A:$B,2,FALSE),0))</f>
        <v/>
      </c>
      <c r="U142">
        <f>IFNA(VLOOKUP(IF(C142="","(none)",C142),SecondaryAdj!$A:$B,2,FALSE),0)</f>
        <v/>
      </c>
      <c r="V142">
        <f>IF(P142="P",0.7780+0.1628*S142+0.2957*Q142-0.1912*R142-0.1512*IF(D142="S",1,0)+0.1600*IF(E142="L",1,0)+0.0091*H142+0.0124*I142+0.0017*J142+T142+U142,-0.8294+0.1849*S142+0.1750*Q142-0.2969*R142+0.6924*IF(D142="S",1,0)+0.0457*IF(E142="L",1,0)+T142+U142)</f>
        <v/>
      </c>
      <c r="W142">
        <f>MAX(0,MIN(16,ROUND(V142,0)))</f>
        <v/>
      </c>
      <c r="X142">
        <f>IFNA(VLOOKUP(W142,Grade_Scale!$A:$B,2,FALSE),"F")</f>
        <v/>
      </c>
      <c r="Z142">
        <f>IF(Y142="","",W142-IFNA(VLOOKUP(Y142,Grade_Scale!$D:$E,2,FALSE),""))</f>
        <v/>
      </c>
    </row>
    <row r="143">
      <c r="P143">
        <f>IF(OR(B143="SP",B143="RP",B143="CP",B143="SP/RP"),"P","H")</f>
        <v/>
      </c>
      <c r="Q143">
        <f>IF(F143="",0,IFNA(VLOOKUP(F143,Trait_Polarity!$A:$C,2,FALSE),0))+IF(G143="",0,IFNA(VLOOKUP(G143,Trait_Polarity!$A:$C,2,FALSE),0))</f>
        <v/>
      </c>
      <c r="R143">
        <f>IF(F143="",0,IFNA(VLOOKUP(F143,Trait_Polarity!$A:$C,3,FALSE),0))+IF(G143="",0,IFNA(VLOOKUP(G143,Trait_Polarity!$A:$C,3,FALSE),0))</f>
        <v/>
      </c>
      <c r="S143">
        <f>IF(P143="P",(M143+N143+O143)/3,0.3*H143+0.3*I143+0.2*J143+0.1*K143+0.1*L143)</f>
        <v/>
      </c>
      <c r="T143">
        <f>IF(P143="P",IFNA(VLOOKUP(B143,Pitcher_RoleAdj!$A:$B,2,FALSE),0),IFNA(VLOOKUP(B143,Hitter_PrimaryAdj!$A:$B,2,FALSE),0))</f>
        <v/>
      </c>
      <c r="U143">
        <f>IFNA(VLOOKUP(IF(C143="","(none)",C143),SecondaryAdj!$A:$B,2,FALSE),0)</f>
        <v/>
      </c>
      <c r="V143">
        <f>IF(P143="P",0.7780+0.1628*S143+0.2957*Q143-0.1912*R143-0.1512*IF(D143="S",1,0)+0.1600*IF(E143="L",1,0)+0.0091*H143+0.0124*I143+0.0017*J143+T143+U143,-0.8294+0.1849*S143+0.1750*Q143-0.2969*R143+0.6924*IF(D143="S",1,0)+0.0457*IF(E143="L",1,0)+T143+U143)</f>
        <v/>
      </c>
      <c r="W143">
        <f>MAX(0,MIN(16,ROUND(V143,0)))</f>
        <v/>
      </c>
      <c r="X143">
        <f>IFNA(VLOOKUP(W143,Grade_Scale!$A:$B,2,FALSE),"F")</f>
        <v/>
      </c>
      <c r="Z143">
        <f>IF(Y143="","",W143-IFNA(VLOOKUP(Y143,Grade_Scale!$D:$E,2,FALSE),""))</f>
        <v/>
      </c>
    </row>
    <row r="144">
      <c r="P144">
        <f>IF(OR(B144="SP",B144="RP",B144="CP",B144="SP/RP"),"P","H")</f>
        <v/>
      </c>
      <c r="Q144">
        <f>IF(F144="",0,IFNA(VLOOKUP(F144,Trait_Polarity!$A:$C,2,FALSE),0))+IF(G144="",0,IFNA(VLOOKUP(G144,Trait_Polarity!$A:$C,2,FALSE),0))</f>
        <v/>
      </c>
      <c r="R144">
        <f>IF(F144="",0,IFNA(VLOOKUP(F144,Trait_Polarity!$A:$C,3,FALSE),0))+IF(G144="",0,IFNA(VLOOKUP(G144,Trait_Polarity!$A:$C,3,FALSE),0))</f>
        <v/>
      </c>
      <c r="S144">
        <f>IF(P144="P",(M144+N144+O144)/3,0.3*H144+0.3*I144+0.2*J144+0.1*K144+0.1*L144)</f>
        <v/>
      </c>
      <c r="T144">
        <f>IF(P144="P",IFNA(VLOOKUP(B144,Pitcher_RoleAdj!$A:$B,2,FALSE),0),IFNA(VLOOKUP(B144,Hitter_PrimaryAdj!$A:$B,2,FALSE),0))</f>
        <v/>
      </c>
      <c r="U144">
        <f>IFNA(VLOOKUP(IF(C144="","(none)",C144),SecondaryAdj!$A:$B,2,FALSE),0)</f>
        <v/>
      </c>
      <c r="V144">
        <f>IF(P144="P",0.7780+0.1628*S144+0.2957*Q144-0.1912*R144-0.1512*IF(D144="S",1,0)+0.1600*IF(E144="L",1,0)+0.0091*H144+0.0124*I144+0.0017*J144+T144+U144,-0.8294+0.1849*S144+0.1750*Q144-0.2969*R144+0.6924*IF(D144="S",1,0)+0.0457*IF(E144="L",1,0)+T144+U144)</f>
        <v/>
      </c>
      <c r="W144">
        <f>MAX(0,MIN(16,ROUND(V144,0)))</f>
        <v/>
      </c>
      <c r="X144">
        <f>IFNA(VLOOKUP(W144,Grade_Scale!$A:$B,2,FALSE),"F")</f>
        <v/>
      </c>
      <c r="Z144">
        <f>IF(Y144="","",W144-IFNA(VLOOKUP(Y144,Grade_Scale!$D:$E,2,FALSE),""))</f>
        <v/>
      </c>
    </row>
    <row r="145">
      <c r="P145">
        <f>IF(OR(B145="SP",B145="RP",B145="CP",B145="SP/RP"),"P","H")</f>
        <v/>
      </c>
      <c r="Q145">
        <f>IF(F145="",0,IFNA(VLOOKUP(F145,Trait_Polarity!$A:$C,2,FALSE),0))+IF(G145="",0,IFNA(VLOOKUP(G145,Trait_Polarity!$A:$C,2,FALSE),0))</f>
        <v/>
      </c>
      <c r="R145">
        <f>IF(F145="",0,IFNA(VLOOKUP(F145,Trait_Polarity!$A:$C,3,FALSE),0))+IF(G145="",0,IFNA(VLOOKUP(G145,Trait_Polarity!$A:$C,3,FALSE),0))</f>
        <v/>
      </c>
      <c r="S145">
        <f>IF(P145="P",(M145+N145+O145)/3,0.3*H145+0.3*I145+0.2*J145+0.1*K145+0.1*L145)</f>
        <v/>
      </c>
      <c r="T145">
        <f>IF(P145="P",IFNA(VLOOKUP(B145,Pitcher_RoleAdj!$A:$B,2,FALSE),0),IFNA(VLOOKUP(B145,Hitter_PrimaryAdj!$A:$B,2,FALSE),0))</f>
        <v/>
      </c>
      <c r="U145">
        <f>IFNA(VLOOKUP(IF(C145="","(none)",C145),SecondaryAdj!$A:$B,2,FALSE),0)</f>
        <v/>
      </c>
      <c r="V145">
        <f>IF(P145="P",0.7780+0.1628*S145+0.2957*Q145-0.1912*R145-0.1512*IF(D145="S",1,0)+0.1600*IF(E145="L",1,0)+0.0091*H145+0.0124*I145+0.0017*J145+T145+U145,-0.8294+0.1849*S145+0.1750*Q145-0.2969*R145+0.6924*IF(D145="S",1,0)+0.0457*IF(E145="L",1,0)+T145+U145)</f>
        <v/>
      </c>
      <c r="W145">
        <f>MAX(0,MIN(16,ROUND(V145,0)))</f>
        <v/>
      </c>
      <c r="X145">
        <f>IFNA(VLOOKUP(W145,Grade_Scale!$A:$B,2,FALSE),"F")</f>
        <v/>
      </c>
      <c r="Z145">
        <f>IF(Y145="","",W145-IFNA(VLOOKUP(Y145,Grade_Scale!$D:$E,2,FALSE),""))</f>
        <v/>
      </c>
    </row>
    <row r="146">
      <c r="P146">
        <f>IF(OR(B146="SP",B146="RP",B146="CP",B146="SP/RP"),"P","H")</f>
        <v/>
      </c>
      <c r="Q146">
        <f>IF(F146="",0,IFNA(VLOOKUP(F146,Trait_Polarity!$A:$C,2,FALSE),0))+IF(G146="",0,IFNA(VLOOKUP(G146,Trait_Polarity!$A:$C,2,FALSE),0))</f>
        <v/>
      </c>
      <c r="R146">
        <f>IF(F146="",0,IFNA(VLOOKUP(F146,Trait_Polarity!$A:$C,3,FALSE),0))+IF(G146="",0,IFNA(VLOOKUP(G146,Trait_Polarity!$A:$C,3,FALSE),0))</f>
        <v/>
      </c>
      <c r="S146">
        <f>IF(P146="P",(M146+N146+O146)/3,0.3*H146+0.3*I146+0.2*J146+0.1*K146+0.1*L146)</f>
        <v/>
      </c>
      <c r="T146">
        <f>IF(P146="P",IFNA(VLOOKUP(B146,Pitcher_RoleAdj!$A:$B,2,FALSE),0),IFNA(VLOOKUP(B146,Hitter_PrimaryAdj!$A:$B,2,FALSE),0))</f>
        <v/>
      </c>
      <c r="U146">
        <f>IFNA(VLOOKUP(IF(C146="","(none)",C146),SecondaryAdj!$A:$B,2,FALSE),0)</f>
        <v/>
      </c>
      <c r="V146">
        <f>IF(P146="P",0.7780+0.1628*S146+0.2957*Q146-0.1912*R146-0.1512*IF(D146="S",1,0)+0.1600*IF(E146="L",1,0)+0.0091*H146+0.0124*I146+0.0017*J146+T146+U146,-0.8294+0.1849*S146+0.1750*Q146-0.2969*R146+0.6924*IF(D146="S",1,0)+0.0457*IF(E146="L",1,0)+T146+U146)</f>
        <v/>
      </c>
      <c r="W146">
        <f>MAX(0,MIN(16,ROUND(V146,0)))</f>
        <v/>
      </c>
      <c r="X146">
        <f>IFNA(VLOOKUP(W146,Grade_Scale!$A:$B,2,FALSE),"F")</f>
        <v/>
      </c>
      <c r="Z146">
        <f>IF(Y146="","",W146-IFNA(VLOOKUP(Y146,Grade_Scale!$D:$E,2,FALSE),""))</f>
        <v/>
      </c>
    </row>
    <row r="147">
      <c r="P147">
        <f>IF(OR(B147="SP",B147="RP",B147="CP",B147="SP/RP"),"P","H")</f>
        <v/>
      </c>
      <c r="Q147">
        <f>IF(F147="",0,IFNA(VLOOKUP(F147,Trait_Polarity!$A:$C,2,FALSE),0))+IF(G147="",0,IFNA(VLOOKUP(G147,Trait_Polarity!$A:$C,2,FALSE),0))</f>
        <v/>
      </c>
      <c r="R147">
        <f>IF(F147="",0,IFNA(VLOOKUP(F147,Trait_Polarity!$A:$C,3,FALSE),0))+IF(G147="",0,IFNA(VLOOKUP(G147,Trait_Polarity!$A:$C,3,FALSE),0))</f>
        <v/>
      </c>
      <c r="S147">
        <f>IF(P147="P",(M147+N147+O147)/3,0.3*H147+0.3*I147+0.2*J147+0.1*K147+0.1*L147)</f>
        <v/>
      </c>
      <c r="T147">
        <f>IF(P147="P",IFNA(VLOOKUP(B147,Pitcher_RoleAdj!$A:$B,2,FALSE),0),IFNA(VLOOKUP(B147,Hitter_PrimaryAdj!$A:$B,2,FALSE),0))</f>
        <v/>
      </c>
      <c r="U147">
        <f>IFNA(VLOOKUP(IF(C147="","(none)",C147),SecondaryAdj!$A:$B,2,FALSE),0)</f>
        <v/>
      </c>
      <c r="V147">
        <f>IF(P147="P",0.7780+0.1628*S147+0.2957*Q147-0.1912*R147-0.1512*IF(D147="S",1,0)+0.1600*IF(E147="L",1,0)+0.0091*H147+0.0124*I147+0.0017*J147+T147+U147,-0.8294+0.1849*S147+0.1750*Q147-0.2969*R147+0.6924*IF(D147="S",1,0)+0.0457*IF(E147="L",1,0)+T147+U147)</f>
        <v/>
      </c>
      <c r="W147">
        <f>MAX(0,MIN(16,ROUND(V147,0)))</f>
        <v/>
      </c>
      <c r="X147">
        <f>IFNA(VLOOKUP(W147,Grade_Scale!$A:$B,2,FALSE),"F")</f>
        <v/>
      </c>
      <c r="Z147">
        <f>IF(Y147="","",W147-IFNA(VLOOKUP(Y147,Grade_Scale!$D:$E,2,FALSE),""))</f>
        <v/>
      </c>
    </row>
    <row r="148">
      <c r="P148">
        <f>IF(OR(B148="SP",B148="RP",B148="CP",B148="SP/RP"),"P","H")</f>
        <v/>
      </c>
      <c r="Q148">
        <f>IF(F148="",0,IFNA(VLOOKUP(F148,Trait_Polarity!$A:$C,2,FALSE),0))+IF(G148="",0,IFNA(VLOOKUP(G148,Trait_Polarity!$A:$C,2,FALSE),0))</f>
        <v/>
      </c>
      <c r="R148">
        <f>IF(F148="",0,IFNA(VLOOKUP(F148,Trait_Polarity!$A:$C,3,FALSE),0))+IF(G148="",0,IFNA(VLOOKUP(G148,Trait_Polarity!$A:$C,3,FALSE),0))</f>
        <v/>
      </c>
      <c r="S148">
        <f>IF(P148="P",(M148+N148+O148)/3,0.3*H148+0.3*I148+0.2*J148+0.1*K148+0.1*L148)</f>
        <v/>
      </c>
      <c r="T148">
        <f>IF(P148="P",IFNA(VLOOKUP(B148,Pitcher_RoleAdj!$A:$B,2,FALSE),0),IFNA(VLOOKUP(B148,Hitter_PrimaryAdj!$A:$B,2,FALSE),0))</f>
        <v/>
      </c>
      <c r="U148">
        <f>IFNA(VLOOKUP(IF(C148="","(none)",C148),SecondaryAdj!$A:$B,2,FALSE),0)</f>
        <v/>
      </c>
      <c r="V148">
        <f>IF(P148="P",0.7780+0.1628*S148+0.2957*Q148-0.1912*R148-0.1512*IF(D148="S",1,0)+0.1600*IF(E148="L",1,0)+0.0091*H148+0.0124*I148+0.0017*J148+T148+U148,-0.8294+0.1849*S148+0.1750*Q148-0.2969*R148+0.6924*IF(D148="S",1,0)+0.0457*IF(E148="L",1,0)+T148+U148)</f>
        <v/>
      </c>
      <c r="W148">
        <f>MAX(0,MIN(16,ROUND(V148,0)))</f>
        <v/>
      </c>
      <c r="X148">
        <f>IFNA(VLOOKUP(W148,Grade_Scale!$A:$B,2,FALSE),"F")</f>
        <v/>
      </c>
      <c r="Z148">
        <f>IF(Y148="","",W148-IFNA(VLOOKUP(Y148,Grade_Scale!$D:$E,2,FALSE),""))</f>
        <v/>
      </c>
    </row>
    <row r="149">
      <c r="P149">
        <f>IF(OR(B149="SP",B149="RP",B149="CP",B149="SP/RP"),"P","H")</f>
        <v/>
      </c>
      <c r="Q149">
        <f>IF(F149="",0,IFNA(VLOOKUP(F149,Trait_Polarity!$A:$C,2,FALSE),0))+IF(G149="",0,IFNA(VLOOKUP(G149,Trait_Polarity!$A:$C,2,FALSE),0))</f>
        <v/>
      </c>
      <c r="R149">
        <f>IF(F149="",0,IFNA(VLOOKUP(F149,Trait_Polarity!$A:$C,3,FALSE),0))+IF(G149="",0,IFNA(VLOOKUP(G149,Trait_Polarity!$A:$C,3,FALSE),0))</f>
        <v/>
      </c>
      <c r="S149">
        <f>IF(P149="P",(M149+N149+O149)/3,0.3*H149+0.3*I149+0.2*J149+0.1*K149+0.1*L149)</f>
        <v/>
      </c>
      <c r="T149">
        <f>IF(P149="P",IFNA(VLOOKUP(B149,Pitcher_RoleAdj!$A:$B,2,FALSE),0),IFNA(VLOOKUP(B149,Hitter_PrimaryAdj!$A:$B,2,FALSE),0))</f>
        <v/>
      </c>
      <c r="U149">
        <f>IFNA(VLOOKUP(IF(C149="","(none)",C149),SecondaryAdj!$A:$B,2,FALSE),0)</f>
        <v/>
      </c>
      <c r="V149">
        <f>IF(P149="P",0.7780+0.1628*S149+0.2957*Q149-0.1912*R149-0.1512*IF(D149="S",1,0)+0.1600*IF(E149="L",1,0)+0.0091*H149+0.0124*I149+0.0017*J149+T149+U149,-0.8294+0.1849*S149+0.1750*Q149-0.2969*R149+0.6924*IF(D149="S",1,0)+0.0457*IF(E149="L",1,0)+T149+U149)</f>
        <v/>
      </c>
      <c r="W149">
        <f>MAX(0,MIN(16,ROUND(V149,0)))</f>
        <v/>
      </c>
      <c r="X149">
        <f>IFNA(VLOOKUP(W149,Grade_Scale!$A:$B,2,FALSE),"F")</f>
        <v/>
      </c>
      <c r="Z149">
        <f>IF(Y149="","",W149-IFNA(VLOOKUP(Y149,Grade_Scale!$D:$E,2,FALSE),""))</f>
        <v/>
      </c>
    </row>
    <row r="150">
      <c r="P150">
        <f>IF(OR(B150="SP",B150="RP",B150="CP",B150="SP/RP"),"P","H")</f>
        <v/>
      </c>
      <c r="Q150">
        <f>IF(F150="",0,IFNA(VLOOKUP(F150,Trait_Polarity!$A:$C,2,FALSE),0))+IF(G150="",0,IFNA(VLOOKUP(G150,Trait_Polarity!$A:$C,2,FALSE),0))</f>
        <v/>
      </c>
      <c r="R150">
        <f>IF(F150="",0,IFNA(VLOOKUP(F150,Trait_Polarity!$A:$C,3,FALSE),0))+IF(G150="",0,IFNA(VLOOKUP(G150,Trait_Polarity!$A:$C,3,FALSE),0))</f>
        <v/>
      </c>
      <c r="S150">
        <f>IF(P150="P",(M150+N150+O150)/3,0.3*H150+0.3*I150+0.2*J150+0.1*K150+0.1*L150)</f>
        <v/>
      </c>
      <c r="T150">
        <f>IF(P150="P",IFNA(VLOOKUP(B150,Pitcher_RoleAdj!$A:$B,2,FALSE),0),IFNA(VLOOKUP(B150,Hitter_PrimaryAdj!$A:$B,2,FALSE),0))</f>
        <v/>
      </c>
      <c r="U150">
        <f>IFNA(VLOOKUP(IF(C150="","(none)",C150),SecondaryAdj!$A:$B,2,FALSE),0)</f>
        <v/>
      </c>
      <c r="V150">
        <f>IF(P150="P",0.7780+0.1628*S150+0.2957*Q150-0.1912*R150-0.1512*IF(D150="S",1,0)+0.1600*IF(E150="L",1,0)+0.0091*H150+0.0124*I150+0.0017*J150+T150+U150,-0.8294+0.1849*S150+0.1750*Q150-0.2969*R150+0.6924*IF(D150="S",1,0)+0.0457*IF(E150="L",1,0)+T150+U150)</f>
        <v/>
      </c>
      <c r="W150">
        <f>MAX(0,MIN(16,ROUND(V150,0)))</f>
        <v/>
      </c>
      <c r="X150">
        <f>IFNA(VLOOKUP(W150,Grade_Scale!$A:$B,2,FALSE),"F")</f>
        <v/>
      </c>
      <c r="Z150">
        <f>IF(Y150="","",W150-IFNA(VLOOKUP(Y150,Grade_Scale!$D:$E,2,FALSE),""))</f>
        <v/>
      </c>
    </row>
    <row r="151">
      <c r="P151">
        <f>IF(OR(B151="SP",B151="RP",B151="CP",B151="SP/RP"),"P","H")</f>
        <v/>
      </c>
      <c r="Q151">
        <f>IF(F151="",0,IFNA(VLOOKUP(F151,Trait_Polarity!$A:$C,2,FALSE),0))+IF(G151="",0,IFNA(VLOOKUP(G151,Trait_Polarity!$A:$C,2,FALSE),0))</f>
        <v/>
      </c>
      <c r="R151">
        <f>IF(F151="",0,IFNA(VLOOKUP(F151,Trait_Polarity!$A:$C,3,FALSE),0))+IF(G151="",0,IFNA(VLOOKUP(G151,Trait_Polarity!$A:$C,3,FALSE),0))</f>
        <v/>
      </c>
      <c r="S151">
        <f>IF(P151="P",(M151+N151+O151)/3,0.3*H151+0.3*I151+0.2*J151+0.1*K151+0.1*L151)</f>
        <v/>
      </c>
      <c r="T151">
        <f>IF(P151="P",IFNA(VLOOKUP(B151,Pitcher_RoleAdj!$A:$B,2,FALSE),0),IFNA(VLOOKUP(B151,Hitter_PrimaryAdj!$A:$B,2,FALSE),0))</f>
        <v/>
      </c>
      <c r="U151">
        <f>IFNA(VLOOKUP(IF(C151="","(none)",C151),SecondaryAdj!$A:$B,2,FALSE),0)</f>
        <v/>
      </c>
      <c r="V151">
        <f>IF(P151="P",0.7780+0.1628*S151+0.2957*Q151-0.1912*R151-0.1512*IF(D151="S",1,0)+0.1600*IF(E151="L",1,0)+0.0091*H151+0.0124*I151+0.0017*J151+T151+U151,-0.8294+0.1849*S151+0.1750*Q151-0.2969*R151+0.6924*IF(D151="S",1,0)+0.0457*IF(E151="L",1,0)+T151+U151)</f>
        <v/>
      </c>
      <c r="W151">
        <f>MAX(0,MIN(16,ROUND(V151,0)))</f>
        <v/>
      </c>
      <c r="X151">
        <f>IFNA(VLOOKUP(W151,Grade_Scale!$A:$B,2,FALSE),"F")</f>
        <v/>
      </c>
      <c r="Z151">
        <f>IF(Y151="","",W151-IFNA(VLOOKUP(Y151,Grade_Scale!$D:$E,2,FALSE),""))</f>
        <v/>
      </c>
    </row>
    <row r="152">
      <c r="P152">
        <f>IF(OR(B152="SP",B152="RP",B152="CP",B152="SP/RP"),"P","H")</f>
        <v/>
      </c>
      <c r="Q152">
        <f>IF(F152="",0,IFNA(VLOOKUP(F152,Trait_Polarity!$A:$C,2,FALSE),0))+IF(G152="",0,IFNA(VLOOKUP(G152,Trait_Polarity!$A:$C,2,FALSE),0))</f>
        <v/>
      </c>
      <c r="R152">
        <f>IF(F152="",0,IFNA(VLOOKUP(F152,Trait_Polarity!$A:$C,3,FALSE),0))+IF(G152="",0,IFNA(VLOOKUP(G152,Trait_Polarity!$A:$C,3,FALSE),0))</f>
        <v/>
      </c>
      <c r="S152">
        <f>IF(P152="P",(M152+N152+O152)/3,0.3*H152+0.3*I152+0.2*J152+0.1*K152+0.1*L152)</f>
        <v/>
      </c>
      <c r="T152">
        <f>IF(P152="P",IFNA(VLOOKUP(B152,Pitcher_RoleAdj!$A:$B,2,FALSE),0),IFNA(VLOOKUP(B152,Hitter_PrimaryAdj!$A:$B,2,FALSE),0))</f>
        <v/>
      </c>
      <c r="U152">
        <f>IFNA(VLOOKUP(IF(C152="","(none)",C152),SecondaryAdj!$A:$B,2,FALSE),0)</f>
        <v/>
      </c>
      <c r="V152">
        <f>IF(P152="P",0.7780+0.1628*S152+0.2957*Q152-0.1912*R152-0.1512*IF(D152="S",1,0)+0.1600*IF(E152="L",1,0)+0.0091*H152+0.0124*I152+0.0017*J152+T152+U152,-0.8294+0.1849*S152+0.1750*Q152-0.2969*R152+0.6924*IF(D152="S",1,0)+0.0457*IF(E152="L",1,0)+T152+U152)</f>
        <v/>
      </c>
      <c r="W152">
        <f>MAX(0,MIN(16,ROUND(V152,0)))</f>
        <v/>
      </c>
      <c r="X152">
        <f>IFNA(VLOOKUP(W152,Grade_Scale!$A:$B,2,FALSE),"F")</f>
        <v/>
      </c>
      <c r="Z152">
        <f>IF(Y152="","",W152-IFNA(VLOOKUP(Y152,Grade_Scale!$D:$E,2,FALSE),""))</f>
        <v/>
      </c>
    </row>
    <row r="153">
      <c r="P153">
        <f>IF(OR(B153="SP",B153="RP",B153="CP",B153="SP/RP"),"P","H")</f>
        <v/>
      </c>
      <c r="Q153">
        <f>IF(F153="",0,IFNA(VLOOKUP(F153,Trait_Polarity!$A:$C,2,FALSE),0))+IF(G153="",0,IFNA(VLOOKUP(G153,Trait_Polarity!$A:$C,2,FALSE),0))</f>
        <v/>
      </c>
      <c r="R153">
        <f>IF(F153="",0,IFNA(VLOOKUP(F153,Trait_Polarity!$A:$C,3,FALSE),0))+IF(G153="",0,IFNA(VLOOKUP(G153,Trait_Polarity!$A:$C,3,FALSE),0))</f>
        <v/>
      </c>
      <c r="S153">
        <f>IF(P153="P",(M153+N153+O153)/3,0.3*H153+0.3*I153+0.2*J153+0.1*K153+0.1*L153)</f>
        <v/>
      </c>
      <c r="T153">
        <f>IF(P153="P",IFNA(VLOOKUP(B153,Pitcher_RoleAdj!$A:$B,2,FALSE),0),IFNA(VLOOKUP(B153,Hitter_PrimaryAdj!$A:$B,2,FALSE),0))</f>
        <v/>
      </c>
      <c r="U153">
        <f>IFNA(VLOOKUP(IF(C153="","(none)",C153),SecondaryAdj!$A:$B,2,FALSE),0)</f>
        <v/>
      </c>
      <c r="V153">
        <f>IF(P153="P",0.7780+0.1628*S153+0.2957*Q153-0.1912*R153-0.1512*IF(D153="S",1,0)+0.1600*IF(E153="L",1,0)+0.0091*H153+0.0124*I153+0.0017*J153+T153+U153,-0.8294+0.1849*S153+0.1750*Q153-0.2969*R153+0.6924*IF(D153="S",1,0)+0.0457*IF(E153="L",1,0)+T153+U153)</f>
        <v/>
      </c>
      <c r="W153">
        <f>MAX(0,MIN(16,ROUND(V153,0)))</f>
        <v/>
      </c>
      <c r="X153">
        <f>IFNA(VLOOKUP(W153,Grade_Scale!$A:$B,2,FALSE),"F")</f>
        <v/>
      </c>
      <c r="Z153">
        <f>IF(Y153="","",W153-IFNA(VLOOKUP(Y153,Grade_Scale!$D:$E,2,FALSE),""))</f>
        <v/>
      </c>
    </row>
    <row r="154">
      <c r="P154">
        <f>IF(OR(B154="SP",B154="RP",B154="CP",B154="SP/RP"),"P","H")</f>
        <v/>
      </c>
      <c r="Q154">
        <f>IF(F154="",0,IFNA(VLOOKUP(F154,Trait_Polarity!$A:$C,2,FALSE),0))+IF(G154="",0,IFNA(VLOOKUP(G154,Trait_Polarity!$A:$C,2,FALSE),0))</f>
        <v/>
      </c>
      <c r="R154">
        <f>IF(F154="",0,IFNA(VLOOKUP(F154,Trait_Polarity!$A:$C,3,FALSE),0))+IF(G154="",0,IFNA(VLOOKUP(G154,Trait_Polarity!$A:$C,3,FALSE),0))</f>
        <v/>
      </c>
      <c r="S154">
        <f>IF(P154="P",(M154+N154+O154)/3,0.3*H154+0.3*I154+0.2*J154+0.1*K154+0.1*L154)</f>
        <v/>
      </c>
      <c r="T154">
        <f>IF(P154="P",IFNA(VLOOKUP(B154,Pitcher_RoleAdj!$A:$B,2,FALSE),0),IFNA(VLOOKUP(B154,Hitter_PrimaryAdj!$A:$B,2,FALSE),0))</f>
        <v/>
      </c>
      <c r="U154">
        <f>IFNA(VLOOKUP(IF(C154="","(none)",C154),SecondaryAdj!$A:$B,2,FALSE),0)</f>
        <v/>
      </c>
      <c r="V154">
        <f>IF(P154="P",0.7780+0.1628*S154+0.2957*Q154-0.1912*R154-0.1512*IF(D154="S",1,0)+0.1600*IF(E154="L",1,0)+0.0091*H154+0.0124*I154+0.0017*J154+T154+U154,-0.8294+0.1849*S154+0.1750*Q154-0.2969*R154+0.6924*IF(D154="S",1,0)+0.0457*IF(E154="L",1,0)+T154+U154)</f>
        <v/>
      </c>
      <c r="W154">
        <f>MAX(0,MIN(16,ROUND(V154,0)))</f>
        <v/>
      </c>
      <c r="X154">
        <f>IFNA(VLOOKUP(W154,Grade_Scale!$A:$B,2,FALSE),"F")</f>
        <v/>
      </c>
      <c r="Z154">
        <f>IF(Y154="","",W154-IFNA(VLOOKUP(Y154,Grade_Scale!$D:$E,2,FALSE),""))</f>
        <v/>
      </c>
    </row>
    <row r="155">
      <c r="P155">
        <f>IF(OR(B155="SP",B155="RP",B155="CP",B155="SP/RP"),"P","H")</f>
        <v/>
      </c>
      <c r="Q155">
        <f>IF(F155="",0,IFNA(VLOOKUP(F155,Trait_Polarity!$A:$C,2,FALSE),0))+IF(G155="",0,IFNA(VLOOKUP(G155,Trait_Polarity!$A:$C,2,FALSE),0))</f>
        <v/>
      </c>
      <c r="R155">
        <f>IF(F155="",0,IFNA(VLOOKUP(F155,Trait_Polarity!$A:$C,3,FALSE),0))+IF(G155="",0,IFNA(VLOOKUP(G155,Trait_Polarity!$A:$C,3,FALSE),0))</f>
        <v/>
      </c>
      <c r="S155">
        <f>IF(P155="P",(M155+N155+O155)/3,0.3*H155+0.3*I155+0.2*J155+0.1*K155+0.1*L155)</f>
        <v/>
      </c>
      <c r="T155">
        <f>IF(P155="P",IFNA(VLOOKUP(B155,Pitcher_RoleAdj!$A:$B,2,FALSE),0),IFNA(VLOOKUP(B155,Hitter_PrimaryAdj!$A:$B,2,FALSE),0))</f>
        <v/>
      </c>
      <c r="U155">
        <f>IFNA(VLOOKUP(IF(C155="","(none)",C155),SecondaryAdj!$A:$B,2,FALSE),0)</f>
        <v/>
      </c>
      <c r="V155">
        <f>IF(P155="P",0.7780+0.1628*S155+0.2957*Q155-0.1912*R155-0.1512*IF(D155="S",1,0)+0.1600*IF(E155="L",1,0)+0.0091*H155+0.0124*I155+0.0017*J155+T155+U155,-0.8294+0.1849*S155+0.1750*Q155-0.2969*R155+0.6924*IF(D155="S",1,0)+0.0457*IF(E155="L",1,0)+T155+U155)</f>
        <v/>
      </c>
      <c r="W155">
        <f>MAX(0,MIN(16,ROUND(V155,0)))</f>
        <v/>
      </c>
      <c r="X155">
        <f>IFNA(VLOOKUP(W155,Grade_Scale!$A:$B,2,FALSE),"F")</f>
        <v/>
      </c>
      <c r="Z155">
        <f>IF(Y155="","",W155-IFNA(VLOOKUP(Y155,Grade_Scale!$D:$E,2,FALSE),""))</f>
        <v/>
      </c>
    </row>
    <row r="156">
      <c r="P156">
        <f>IF(OR(B156="SP",B156="RP",B156="CP",B156="SP/RP"),"P","H")</f>
        <v/>
      </c>
      <c r="Q156">
        <f>IF(F156="",0,IFNA(VLOOKUP(F156,Trait_Polarity!$A:$C,2,FALSE),0))+IF(G156="",0,IFNA(VLOOKUP(G156,Trait_Polarity!$A:$C,2,FALSE),0))</f>
        <v/>
      </c>
      <c r="R156">
        <f>IF(F156="",0,IFNA(VLOOKUP(F156,Trait_Polarity!$A:$C,3,FALSE),0))+IF(G156="",0,IFNA(VLOOKUP(G156,Trait_Polarity!$A:$C,3,FALSE),0))</f>
        <v/>
      </c>
      <c r="S156">
        <f>IF(P156="P",(M156+N156+O156)/3,0.3*H156+0.3*I156+0.2*J156+0.1*K156+0.1*L156)</f>
        <v/>
      </c>
      <c r="T156">
        <f>IF(P156="P",IFNA(VLOOKUP(B156,Pitcher_RoleAdj!$A:$B,2,FALSE),0),IFNA(VLOOKUP(B156,Hitter_PrimaryAdj!$A:$B,2,FALSE),0))</f>
        <v/>
      </c>
      <c r="U156">
        <f>IFNA(VLOOKUP(IF(C156="","(none)",C156),SecondaryAdj!$A:$B,2,FALSE),0)</f>
        <v/>
      </c>
      <c r="V156">
        <f>IF(P156="P",0.7780+0.1628*S156+0.2957*Q156-0.1912*R156-0.1512*IF(D156="S",1,0)+0.1600*IF(E156="L",1,0)+0.0091*H156+0.0124*I156+0.0017*J156+T156+U156,-0.8294+0.1849*S156+0.1750*Q156-0.2969*R156+0.6924*IF(D156="S",1,0)+0.0457*IF(E156="L",1,0)+T156+U156)</f>
        <v/>
      </c>
      <c r="W156">
        <f>MAX(0,MIN(16,ROUND(V156,0)))</f>
        <v/>
      </c>
      <c r="X156">
        <f>IFNA(VLOOKUP(W156,Grade_Scale!$A:$B,2,FALSE),"F")</f>
        <v/>
      </c>
      <c r="Z156">
        <f>IF(Y156="","",W156-IFNA(VLOOKUP(Y156,Grade_Scale!$D:$E,2,FALSE),""))</f>
        <v/>
      </c>
    </row>
    <row r="157">
      <c r="P157">
        <f>IF(OR(B157="SP",B157="RP",B157="CP",B157="SP/RP"),"P","H")</f>
        <v/>
      </c>
      <c r="Q157">
        <f>IF(F157="",0,IFNA(VLOOKUP(F157,Trait_Polarity!$A:$C,2,FALSE),0))+IF(G157="",0,IFNA(VLOOKUP(G157,Trait_Polarity!$A:$C,2,FALSE),0))</f>
        <v/>
      </c>
      <c r="R157">
        <f>IF(F157="",0,IFNA(VLOOKUP(F157,Trait_Polarity!$A:$C,3,FALSE),0))+IF(G157="",0,IFNA(VLOOKUP(G157,Trait_Polarity!$A:$C,3,FALSE),0))</f>
        <v/>
      </c>
      <c r="S157">
        <f>IF(P157="P",(M157+N157+O157)/3,0.3*H157+0.3*I157+0.2*J157+0.1*K157+0.1*L157)</f>
        <v/>
      </c>
      <c r="T157">
        <f>IF(P157="P",IFNA(VLOOKUP(B157,Pitcher_RoleAdj!$A:$B,2,FALSE),0),IFNA(VLOOKUP(B157,Hitter_PrimaryAdj!$A:$B,2,FALSE),0))</f>
        <v/>
      </c>
      <c r="U157">
        <f>IFNA(VLOOKUP(IF(C157="","(none)",C157),SecondaryAdj!$A:$B,2,FALSE),0)</f>
        <v/>
      </c>
      <c r="V157">
        <f>IF(P157="P",0.7780+0.1628*S157+0.2957*Q157-0.1912*R157-0.1512*IF(D157="S",1,0)+0.1600*IF(E157="L",1,0)+0.0091*H157+0.0124*I157+0.0017*J157+T157+U157,-0.8294+0.1849*S157+0.1750*Q157-0.2969*R157+0.6924*IF(D157="S",1,0)+0.0457*IF(E157="L",1,0)+T157+U157)</f>
        <v/>
      </c>
      <c r="W157">
        <f>MAX(0,MIN(16,ROUND(V157,0)))</f>
        <v/>
      </c>
      <c r="X157">
        <f>IFNA(VLOOKUP(W157,Grade_Scale!$A:$B,2,FALSE),"F")</f>
        <v/>
      </c>
      <c r="Z157">
        <f>IF(Y157="","",W157-IFNA(VLOOKUP(Y157,Grade_Scale!$D:$E,2,FALSE),""))</f>
        <v/>
      </c>
    </row>
    <row r="158">
      <c r="P158">
        <f>IF(OR(B158="SP",B158="RP",B158="CP",B158="SP/RP"),"P","H")</f>
        <v/>
      </c>
      <c r="Q158">
        <f>IF(F158="",0,IFNA(VLOOKUP(F158,Trait_Polarity!$A:$C,2,FALSE),0))+IF(G158="",0,IFNA(VLOOKUP(G158,Trait_Polarity!$A:$C,2,FALSE),0))</f>
        <v/>
      </c>
      <c r="R158">
        <f>IF(F158="",0,IFNA(VLOOKUP(F158,Trait_Polarity!$A:$C,3,FALSE),0))+IF(G158="",0,IFNA(VLOOKUP(G158,Trait_Polarity!$A:$C,3,FALSE),0))</f>
        <v/>
      </c>
      <c r="S158">
        <f>IF(P158="P",(M158+N158+O158)/3,0.3*H158+0.3*I158+0.2*J158+0.1*K158+0.1*L158)</f>
        <v/>
      </c>
      <c r="T158">
        <f>IF(P158="P",IFNA(VLOOKUP(B158,Pitcher_RoleAdj!$A:$B,2,FALSE),0),IFNA(VLOOKUP(B158,Hitter_PrimaryAdj!$A:$B,2,FALSE),0))</f>
        <v/>
      </c>
      <c r="U158">
        <f>IFNA(VLOOKUP(IF(C158="","(none)",C158),SecondaryAdj!$A:$B,2,FALSE),0)</f>
        <v/>
      </c>
      <c r="V158">
        <f>IF(P158="P",0.7780+0.1628*S158+0.2957*Q158-0.1912*R158-0.1512*IF(D158="S",1,0)+0.1600*IF(E158="L",1,0)+0.0091*H158+0.0124*I158+0.0017*J158+T158+U158,-0.8294+0.1849*S158+0.1750*Q158-0.2969*R158+0.6924*IF(D158="S",1,0)+0.0457*IF(E158="L",1,0)+T158+U158)</f>
        <v/>
      </c>
      <c r="W158">
        <f>MAX(0,MIN(16,ROUND(V158,0)))</f>
        <v/>
      </c>
      <c r="X158">
        <f>IFNA(VLOOKUP(W158,Grade_Scale!$A:$B,2,FALSE),"F")</f>
        <v/>
      </c>
      <c r="Z158">
        <f>IF(Y158="","",W158-IFNA(VLOOKUP(Y158,Grade_Scale!$D:$E,2,FALSE),""))</f>
        <v/>
      </c>
    </row>
    <row r="159">
      <c r="P159">
        <f>IF(OR(B159="SP",B159="RP",B159="CP",B159="SP/RP"),"P","H")</f>
        <v/>
      </c>
      <c r="Q159">
        <f>IF(F159="",0,IFNA(VLOOKUP(F159,Trait_Polarity!$A:$C,2,FALSE),0))+IF(G159="",0,IFNA(VLOOKUP(G159,Trait_Polarity!$A:$C,2,FALSE),0))</f>
        <v/>
      </c>
      <c r="R159">
        <f>IF(F159="",0,IFNA(VLOOKUP(F159,Trait_Polarity!$A:$C,3,FALSE),0))+IF(G159="",0,IFNA(VLOOKUP(G159,Trait_Polarity!$A:$C,3,FALSE),0))</f>
        <v/>
      </c>
      <c r="S159">
        <f>IF(P159="P",(M159+N159+O159)/3,0.3*H159+0.3*I159+0.2*J159+0.1*K159+0.1*L159)</f>
        <v/>
      </c>
      <c r="T159">
        <f>IF(P159="P",IFNA(VLOOKUP(B159,Pitcher_RoleAdj!$A:$B,2,FALSE),0),IFNA(VLOOKUP(B159,Hitter_PrimaryAdj!$A:$B,2,FALSE),0))</f>
        <v/>
      </c>
      <c r="U159">
        <f>IFNA(VLOOKUP(IF(C159="","(none)",C159),SecondaryAdj!$A:$B,2,FALSE),0)</f>
        <v/>
      </c>
      <c r="V159">
        <f>IF(P159="P",0.7780+0.1628*S159+0.2957*Q159-0.1912*R159-0.1512*IF(D159="S",1,0)+0.1600*IF(E159="L",1,0)+0.0091*H159+0.0124*I159+0.0017*J159+T159+U159,-0.8294+0.1849*S159+0.1750*Q159-0.2969*R159+0.6924*IF(D159="S",1,0)+0.0457*IF(E159="L",1,0)+T159+U159)</f>
        <v/>
      </c>
      <c r="W159">
        <f>MAX(0,MIN(16,ROUND(V159,0)))</f>
        <v/>
      </c>
      <c r="X159">
        <f>IFNA(VLOOKUP(W159,Grade_Scale!$A:$B,2,FALSE),"F")</f>
        <v/>
      </c>
      <c r="Z159">
        <f>IF(Y159="","",W159-IFNA(VLOOKUP(Y159,Grade_Scale!$D:$E,2,FALSE),""))</f>
        <v/>
      </c>
    </row>
    <row r="160">
      <c r="P160">
        <f>IF(OR(B160="SP",B160="RP",B160="CP",B160="SP/RP"),"P","H")</f>
        <v/>
      </c>
      <c r="Q160">
        <f>IF(F160="",0,IFNA(VLOOKUP(F160,Trait_Polarity!$A:$C,2,FALSE),0))+IF(G160="",0,IFNA(VLOOKUP(G160,Trait_Polarity!$A:$C,2,FALSE),0))</f>
        <v/>
      </c>
      <c r="R160">
        <f>IF(F160="",0,IFNA(VLOOKUP(F160,Trait_Polarity!$A:$C,3,FALSE),0))+IF(G160="",0,IFNA(VLOOKUP(G160,Trait_Polarity!$A:$C,3,FALSE),0))</f>
        <v/>
      </c>
      <c r="S160">
        <f>IF(P160="P",(M160+N160+O160)/3,0.3*H160+0.3*I160+0.2*J160+0.1*K160+0.1*L160)</f>
        <v/>
      </c>
      <c r="T160">
        <f>IF(P160="P",IFNA(VLOOKUP(B160,Pitcher_RoleAdj!$A:$B,2,FALSE),0),IFNA(VLOOKUP(B160,Hitter_PrimaryAdj!$A:$B,2,FALSE),0))</f>
        <v/>
      </c>
      <c r="U160">
        <f>IFNA(VLOOKUP(IF(C160="","(none)",C160),SecondaryAdj!$A:$B,2,FALSE),0)</f>
        <v/>
      </c>
      <c r="V160">
        <f>IF(P160="P",0.7780+0.1628*S160+0.2957*Q160-0.1912*R160-0.1512*IF(D160="S",1,0)+0.1600*IF(E160="L",1,0)+0.0091*H160+0.0124*I160+0.0017*J160+T160+U160,-0.8294+0.1849*S160+0.1750*Q160-0.2969*R160+0.6924*IF(D160="S",1,0)+0.0457*IF(E160="L",1,0)+T160+U160)</f>
        <v/>
      </c>
      <c r="W160">
        <f>MAX(0,MIN(16,ROUND(V160,0)))</f>
        <v/>
      </c>
      <c r="X160">
        <f>IFNA(VLOOKUP(W160,Grade_Scale!$A:$B,2,FALSE),"F")</f>
        <v/>
      </c>
      <c r="Z160">
        <f>IF(Y160="","",W160-IFNA(VLOOKUP(Y160,Grade_Scale!$D:$E,2,FALSE),""))</f>
        <v/>
      </c>
    </row>
    <row r="161">
      <c r="P161">
        <f>IF(OR(B161="SP",B161="RP",B161="CP",B161="SP/RP"),"P","H")</f>
        <v/>
      </c>
      <c r="Q161">
        <f>IF(F161="",0,IFNA(VLOOKUP(F161,Trait_Polarity!$A:$C,2,FALSE),0))+IF(G161="",0,IFNA(VLOOKUP(G161,Trait_Polarity!$A:$C,2,FALSE),0))</f>
        <v/>
      </c>
      <c r="R161">
        <f>IF(F161="",0,IFNA(VLOOKUP(F161,Trait_Polarity!$A:$C,3,FALSE),0))+IF(G161="",0,IFNA(VLOOKUP(G161,Trait_Polarity!$A:$C,3,FALSE),0))</f>
        <v/>
      </c>
      <c r="S161">
        <f>IF(P161="P",(M161+N161+O161)/3,0.3*H161+0.3*I161+0.2*J161+0.1*K161+0.1*L161)</f>
        <v/>
      </c>
      <c r="T161">
        <f>IF(P161="P",IFNA(VLOOKUP(B161,Pitcher_RoleAdj!$A:$B,2,FALSE),0),IFNA(VLOOKUP(B161,Hitter_PrimaryAdj!$A:$B,2,FALSE),0))</f>
        <v/>
      </c>
      <c r="U161">
        <f>IFNA(VLOOKUP(IF(C161="","(none)",C161),SecondaryAdj!$A:$B,2,FALSE),0)</f>
        <v/>
      </c>
      <c r="V161">
        <f>IF(P161="P",0.7780+0.1628*S161+0.2957*Q161-0.1912*R161-0.1512*IF(D161="S",1,0)+0.1600*IF(E161="L",1,0)+0.0091*H161+0.0124*I161+0.0017*J161+T161+U161,-0.8294+0.1849*S161+0.1750*Q161-0.2969*R161+0.6924*IF(D161="S",1,0)+0.0457*IF(E161="L",1,0)+T161+U161)</f>
        <v/>
      </c>
      <c r="W161">
        <f>MAX(0,MIN(16,ROUND(V161,0)))</f>
        <v/>
      </c>
      <c r="X161">
        <f>IFNA(VLOOKUP(W161,Grade_Scale!$A:$B,2,FALSE),"F")</f>
        <v/>
      </c>
      <c r="Z161">
        <f>IF(Y161="","",W161-IFNA(VLOOKUP(Y161,Grade_Scale!$D:$E,2,FALSE),""))</f>
        <v/>
      </c>
    </row>
    <row r="162">
      <c r="P162">
        <f>IF(OR(B162="SP",B162="RP",B162="CP",B162="SP/RP"),"P","H")</f>
        <v/>
      </c>
      <c r="Q162">
        <f>IF(F162="",0,IFNA(VLOOKUP(F162,Trait_Polarity!$A:$C,2,FALSE),0))+IF(G162="",0,IFNA(VLOOKUP(G162,Trait_Polarity!$A:$C,2,FALSE),0))</f>
        <v/>
      </c>
      <c r="R162">
        <f>IF(F162="",0,IFNA(VLOOKUP(F162,Trait_Polarity!$A:$C,3,FALSE),0))+IF(G162="",0,IFNA(VLOOKUP(G162,Trait_Polarity!$A:$C,3,FALSE),0))</f>
        <v/>
      </c>
      <c r="S162">
        <f>IF(P162="P",(M162+N162+O162)/3,0.3*H162+0.3*I162+0.2*J162+0.1*K162+0.1*L162)</f>
        <v/>
      </c>
      <c r="T162">
        <f>IF(P162="P",IFNA(VLOOKUP(B162,Pitcher_RoleAdj!$A:$B,2,FALSE),0),IFNA(VLOOKUP(B162,Hitter_PrimaryAdj!$A:$B,2,FALSE),0))</f>
        <v/>
      </c>
      <c r="U162">
        <f>IFNA(VLOOKUP(IF(C162="","(none)",C162),SecondaryAdj!$A:$B,2,FALSE),0)</f>
        <v/>
      </c>
      <c r="V162">
        <f>IF(P162="P",0.7780+0.1628*S162+0.2957*Q162-0.1912*R162-0.1512*IF(D162="S",1,0)+0.1600*IF(E162="L",1,0)+0.0091*H162+0.0124*I162+0.0017*J162+T162+U162,-0.8294+0.1849*S162+0.1750*Q162-0.2969*R162+0.6924*IF(D162="S",1,0)+0.0457*IF(E162="L",1,0)+T162+U162)</f>
        <v/>
      </c>
      <c r="W162">
        <f>MAX(0,MIN(16,ROUND(V162,0)))</f>
        <v/>
      </c>
      <c r="X162">
        <f>IFNA(VLOOKUP(W162,Grade_Scale!$A:$B,2,FALSE),"F")</f>
        <v/>
      </c>
      <c r="Z162">
        <f>IF(Y162="","",W162-IFNA(VLOOKUP(Y162,Grade_Scale!$D:$E,2,FALSE),""))</f>
        <v/>
      </c>
    </row>
    <row r="163">
      <c r="P163">
        <f>IF(OR(B163="SP",B163="RP",B163="CP",B163="SP/RP"),"P","H")</f>
        <v/>
      </c>
      <c r="Q163">
        <f>IF(F163="",0,IFNA(VLOOKUP(F163,Trait_Polarity!$A:$C,2,FALSE),0))+IF(G163="",0,IFNA(VLOOKUP(G163,Trait_Polarity!$A:$C,2,FALSE),0))</f>
        <v/>
      </c>
      <c r="R163">
        <f>IF(F163="",0,IFNA(VLOOKUP(F163,Trait_Polarity!$A:$C,3,FALSE),0))+IF(G163="",0,IFNA(VLOOKUP(G163,Trait_Polarity!$A:$C,3,FALSE),0))</f>
        <v/>
      </c>
      <c r="S163">
        <f>IF(P163="P",(M163+N163+O163)/3,0.3*H163+0.3*I163+0.2*J163+0.1*K163+0.1*L163)</f>
        <v/>
      </c>
      <c r="T163">
        <f>IF(P163="P",IFNA(VLOOKUP(B163,Pitcher_RoleAdj!$A:$B,2,FALSE),0),IFNA(VLOOKUP(B163,Hitter_PrimaryAdj!$A:$B,2,FALSE),0))</f>
        <v/>
      </c>
      <c r="U163">
        <f>IFNA(VLOOKUP(IF(C163="","(none)",C163),SecondaryAdj!$A:$B,2,FALSE),0)</f>
        <v/>
      </c>
      <c r="V163">
        <f>IF(P163="P",0.7780+0.1628*S163+0.2957*Q163-0.1912*R163-0.1512*IF(D163="S",1,0)+0.1600*IF(E163="L",1,0)+0.0091*H163+0.0124*I163+0.0017*J163+T163+U163,-0.8294+0.1849*S163+0.1750*Q163-0.2969*R163+0.6924*IF(D163="S",1,0)+0.0457*IF(E163="L",1,0)+T163+U163)</f>
        <v/>
      </c>
      <c r="W163">
        <f>MAX(0,MIN(16,ROUND(V163,0)))</f>
        <v/>
      </c>
      <c r="X163">
        <f>IFNA(VLOOKUP(W163,Grade_Scale!$A:$B,2,FALSE),"F")</f>
        <v/>
      </c>
      <c r="Z163">
        <f>IF(Y163="","",W163-IFNA(VLOOKUP(Y163,Grade_Scale!$D:$E,2,FALSE),""))</f>
        <v/>
      </c>
    </row>
    <row r="164">
      <c r="P164">
        <f>IF(OR(B164="SP",B164="RP",B164="CP",B164="SP/RP"),"P","H")</f>
        <v/>
      </c>
      <c r="Q164">
        <f>IF(F164="",0,IFNA(VLOOKUP(F164,Trait_Polarity!$A:$C,2,FALSE),0))+IF(G164="",0,IFNA(VLOOKUP(G164,Trait_Polarity!$A:$C,2,FALSE),0))</f>
        <v/>
      </c>
      <c r="R164">
        <f>IF(F164="",0,IFNA(VLOOKUP(F164,Trait_Polarity!$A:$C,3,FALSE),0))+IF(G164="",0,IFNA(VLOOKUP(G164,Trait_Polarity!$A:$C,3,FALSE),0))</f>
        <v/>
      </c>
      <c r="S164">
        <f>IF(P164="P",(M164+N164+O164)/3,0.3*H164+0.3*I164+0.2*J164+0.1*K164+0.1*L164)</f>
        <v/>
      </c>
      <c r="T164">
        <f>IF(P164="P",IFNA(VLOOKUP(B164,Pitcher_RoleAdj!$A:$B,2,FALSE),0),IFNA(VLOOKUP(B164,Hitter_PrimaryAdj!$A:$B,2,FALSE),0))</f>
        <v/>
      </c>
      <c r="U164">
        <f>IFNA(VLOOKUP(IF(C164="","(none)",C164),SecondaryAdj!$A:$B,2,FALSE),0)</f>
        <v/>
      </c>
      <c r="V164">
        <f>IF(P164="P",0.7780+0.1628*S164+0.2957*Q164-0.1912*R164-0.1512*IF(D164="S",1,0)+0.1600*IF(E164="L",1,0)+0.0091*H164+0.0124*I164+0.0017*J164+T164+U164,-0.8294+0.1849*S164+0.1750*Q164-0.2969*R164+0.6924*IF(D164="S",1,0)+0.0457*IF(E164="L",1,0)+T164+U164)</f>
        <v/>
      </c>
      <c r="W164">
        <f>MAX(0,MIN(16,ROUND(V164,0)))</f>
        <v/>
      </c>
      <c r="X164">
        <f>IFNA(VLOOKUP(W164,Grade_Scale!$A:$B,2,FALSE),"F")</f>
        <v/>
      </c>
      <c r="Z164">
        <f>IF(Y164="","",W164-IFNA(VLOOKUP(Y164,Grade_Scale!$D:$E,2,FALSE),""))</f>
        <v/>
      </c>
    </row>
    <row r="165">
      <c r="P165">
        <f>IF(OR(B165="SP",B165="RP",B165="CP",B165="SP/RP"),"P","H")</f>
        <v/>
      </c>
      <c r="Q165">
        <f>IF(F165="",0,IFNA(VLOOKUP(F165,Trait_Polarity!$A:$C,2,FALSE),0))+IF(G165="",0,IFNA(VLOOKUP(G165,Trait_Polarity!$A:$C,2,FALSE),0))</f>
        <v/>
      </c>
      <c r="R165">
        <f>IF(F165="",0,IFNA(VLOOKUP(F165,Trait_Polarity!$A:$C,3,FALSE),0))+IF(G165="",0,IFNA(VLOOKUP(G165,Trait_Polarity!$A:$C,3,FALSE),0))</f>
        <v/>
      </c>
      <c r="S165">
        <f>IF(P165="P",(M165+N165+O165)/3,0.3*H165+0.3*I165+0.2*J165+0.1*K165+0.1*L165)</f>
        <v/>
      </c>
      <c r="T165">
        <f>IF(P165="P",IFNA(VLOOKUP(B165,Pitcher_RoleAdj!$A:$B,2,FALSE),0),IFNA(VLOOKUP(B165,Hitter_PrimaryAdj!$A:$B,2,FALSE),0))</f>
        <v/>
      </c>
      <c r="U165">
        <f>IFNA(VLOOKUP(IF(C165="","(none)",C165),SecondaryAdj!$A:$B,2,FALSE),0)</f>
        <v/>
      </c>
      <c r="V165">
        <f>IF(P165="P",0.7780+0.1628*S165+0.2957*Q165-0.1912*R165-0.1512*IF(D165="S",1,0)+0.1600*IF(E165="L",1,0)+0.0091*H165+0.0124*I165+0.0017*J165+T165+U165,-0.8294+0.1849*S165+0.1750*Q165-0.2969*R165+0.6924*IF(D165="S",1,0)+0.0457*IF(E165="L",1,0)+T165+U165)</f>
        <v/>
      </c>
      <c r="W165">
        <f>MAX(0,MIN(16,ROUND(V165,0)))</f>
        <v/>
      </c>
      <c r="X165">
        <f>IFNA(VLOOKUP(W165,Grade_Scale!$A:$B,2,FALSE),"F")</f>
        <v/>
      </c>
      <c r="Z165">
        <f>IF(Y165="","",W165-IFNA(VLOOKUP(Y165,Grade_Scale!$D:$E,2,FALSE),""))</f>
        <v/>
      </c>
    </row>
    <row r="166">
      <c r="P166">
        <f>IF(OR(B166="SP",B166="RP",B166="CP",B166="SP/RP"),"P","H")</f>
        <v/>
      </c>
      <c r="Q166">
        <f>IF(F166="",0,IFNA(VLOOKUP(F166,Trait_Polarity!$A:$C,2,FALSE),0))+IF(G166="",0,IFNA(VLOOKUP(G166,Trait_Polarity!$A:$C,2,FALSE),0))</f>
        <v/>
      </c>
      <c r="R166">
        <f>IF(F166="",0,IFNA(VLOOKUP(F166,Trait_Polarity!$A:$C,3,FALSE),0))+IF(G166="",0,IFNA(VLOOKUP(G166,Trait_Polarity!$A:$C,3,FALSE),0))</f>
        <v/>
      </c>
      <c r="S166">
        <f>IF(P166="P",(M166+N166+O166)/3,0.3*H166+0.3*I166+0.2*J166+0.1*K166+0.1*L166)</f>
        <v/>
      </c>
      <c r="T166">
        <f>IF(P166="P",IFNA(VLOOKUP(B166,Pitcher_RoleAdj!$A:$B,2,FALSE),0),IFNA(VLOOKUP(B166,Hitter_PrimaryAdj!$A:$B,2,FALSE),0))</f>
        <v/>
      </c>
      <c r="U166">
        <f>IFNA(VLOOKUP(IF(C166="","(none)",C166),SecondaryAdj!$A:$B,2,FALSE),0)</f>
        <v/>
      </c>
      <c r="V166">
        <f>IF(P166="P",0.7780+0.1628*S166+0.2957*Q166-0.1912*R166-0.1512*IF(D166="S",1,0)+0.1600*IF(E166="L",1,0)+0.0091*H166+0.0124*I166+0.0017*J166+T166+U166,-0.8294+0.1849*S166+0.1750*Q166-0.2969*R166+0.6924*IF(D166="S",1,0)+0.0457*IF(E166="L",1,0)+T166+U166)</f>
        <v/>
      </c>
      <c r="W166">
        <f>MAX(0,MIN(16,ROUND(V166,0)))</f>
        <v/>
      </c>
      <c r="X166">
        <f>IFNA(VLOOKUP(W166,Grade_Scale!$A:$B,2,FALSE),"F")</f>
        <v/>
      </c>
      <c r="Z166">
        <f>IF(Y166="","",W166-IFNA(VLOOKUP(Y166,Grade_Scale!$D:$E,2,FALSE),""))</f>
        <v/>
      </c>
    </row>
    <row r="167">
      <c r="P167">
        <f>IF(OR(B167="SP",B167="RP",B167="CP",B167="SP/RP"),"P","H")</f>
        <v/>
      </c>
      <c r="Q167">
        <f>IF(F167="",0,IFNA(VLOOKUP(F167,Trait_Polarity!$A:$C,2,FALSE),0))+IF(G167="",0,IFNA(VLOOKUP(G167,Trait_Polarity!$A:$C,2,FALSE),0))</f>
        <v/>
      </c>
      <c r="R167">
        <f>IF(F167="",0,IFNA(VLOOKUP(F167,Trait_Polarity!$A:$C,3,FALSE),0))+IF(G167="",0,IFNA(VLOOKUP(G167,Trait_Polarity!$A:$C,3,FALSE),0))</f>
        <v/>
      </c>
      <c r="S167">
        <f>IF(P167="P",(M167+N167+O167)/3,0.3*H167+0.3*I167+0.2*J167+0.1*K167+0.1*L167)</f>
        <v/>
      </c>
      <c r="T167">
        <f>IF(P167="P",IFNA(VLOOKUP(B167,Pitcher_RoleAdj!$A:$B,2,FALSE),0),IFNA(VLOOKUP(B167,Hitter_PrimaryAdj!$A:$B,2,FALSE),0))</f>
        <v/>
      </c>
      <c r="U167">
        <f>IFNA(VLOOKUP(IF(C167="","(none)",C167),SecondaryAdj!$A:$B,2,FALSE),0)</f>
        <v/>
      </c>
      <c r="V167">
        <f>IF(P167="P",0.7780+0.1628*S167+0.2957*Q167-0.1912*R167-0.1512*IF(D167="S",1,0)+0.1600*IF(E167="L",1,0)+0.0091*H167+0.0124*I167+0.0017*J167+T167+U167,-0.8294+0.1849*S167+0.1750*Q167-0.2969*R167+0.6924*IF(D167="S",1,0)+0.0457*IF(E167="L",1,0)+T167+U167)</f>
        <v/>
      </c>
      <c r="W167">
        <f>MAX(0,MIN(16,ROUND(V167,0)))</f>
        <v/>
      </c>
      <c r="X167">
        <f>IFNA(VLOOKUP(W167,Grade_Scale!$A:$B,2,FALSE),"F")</f>
        <v/>
      </c>
      <c r="Z167">
        <f>IF(Y167="","",W167-IFNA(VLOOKUP(Y167,Grade_Scale!$D:$E,2,FALSE),""))</f>
        <v/>
      </c>
    </row>
    <row r="168">
      <c r="P168">
        <f>IF(OR(B168="SP",B168="RP",B168="CP",B168="SP/RP"),"P","H")</f>
        <v/>
      </c>
      <c r="Q168">
        <f>IF(F168="",0,IFNA(VLOOKUP(F168,Trait_Polarity!$A:$C,2,FALSE),0))+IF(G168="",0,IFNA(VLOOKUP(G168,Trait_Polarity!$A:$C,2,FALSE),0))</f>
        <v/>
      </c>
      <c r="R168">
        <f>IF(F168="",0,IFNA(VLOOKUP(F168,Trait_Polarity!$A:$C,3,FALSE),0))+IF(G168="",0,IFNA(VLOOKUP(G168,Trait_Polarity!$A:$C,3,FALSE),0))</f>
        <v/>
      </c>
      <c r="S168">
        <f>IF(P168="P",(M168+N168+O168)/3,0.3*H168+0.3*I168+0.2*J168+0.1*K168+0.1*L168)</f>
        <v/>
      </c>
      <c r="T168">
        <f>IF(P168="P",IFNA(VLOOKUP(B168,Pitcher_RoleAdj!$A:$B,2,FALSE),0),IFNA(VLOOKUP(B168,Hitter_PrimaryAdj!$A:$B,2,FALSE),0))</f>
        <v/>
      </c>
      <c r="U168">
        <f>IFNA(VLOOKUP(IF(C168="","(none)",C168),SecondaryAdj!$A:$B,2,FALSE),0)</f>
        <v/>
      </c>
      <c r="V168">
        <f>IF(P168="P",0.7780+0.1628*S168+0.2957*Q168-0.1912*R168-0.1512*IF(D168="S",1,0)+0.1600*IF(E168="L",1,0)+0.0091*H168+0.0124*I168+0.0017*J168+T168+U168,-0.8294+0.1849*S168+0.1750*Q168-0.2969*R168+0.6924*IF(D168="S",1,0)+0.0457*IF(E168="L",1,0)+T168+U168)</f>
        <v/>
      </c>
      <c r="W168">
        <f>MAX(0,MIN(16,ROUND(V168,0)))</f>
        <v/>
      </c>
      <c r="X168">
        <f>IFNA(VLOOKUP(W168,Grade_Scale!$A:$B,2,FALSE),"F")</f>
        <v/>
      </c>
      <c r="Z168">
        <f>IF(Y168="","",W168-IFNA(VLOOKUP(Y168,Grade_Scale!$D:$E,2,FALSE),""))</f>
        <v/>
      </c>
    </row>
    <row r="169">
      <c r="P169">
        <f>IF(OR(B169="SP",B169="RP",B169="CP",B169="SP/RP"),"P","H")</f>
        <v/>
      </c>
      <c r="Q169">
        <f>IF(F169="",0,IFNA(VLOOKUP(F169,Trait_Polarity!$A:$C,2,FALSE),0))+IF(G169="",0,IFNA(VLOOKUP(G169,Trait_Polarity!$A:$C,2,FALSE),0))</f>
        <v/>
      </c>
      <c r="R169">
        <f>IF(F169="",0,IFNA(VLOOKUP(F169,Trait_Polarity!$A:$C,3,FALSE),0))+IF(G169="",0,IFNA(VLOOKUP(G169,Trait_Polarity!$A:$C,3,FALSE),0))</f>
        <v/>
      </c>
      <c r="S169">
        <f>IF(P169="P",(M169+N169+O169)/3,0.3*H169+0.3*I169+0.2*J169+0.1*K169+0.1*L169)</f>
        <v/>
      </c>
      <c r="T169">
        <f>IF(P169="P",IFNA(VLOOKUP(B169,Pitcher_RoleAdj!$A:$B,2,FALSE),0),IFNA(VLOOKUP(B169,Hitter_PrimaryAdj!$A:$B,2,FALSE),0))</f>
        <v/>
      </c>
      <c r="U169">
        <f>IFNA(VLOOKUP(IF(C169="","(none)",C169),SecondaryAdj!$A:$B,2,FALSE),0)</f>
        <v/>
      </c>
      <c r="V169">
        <f>IF(P169="P",0.7780+0.1628*S169+0.2957*Q169-0.1912*R169-0.1512*IF(D169="S",1,0)+0.1600*IF(E169="L",1,0)+0.0091*H169+0.0124*I169+0.0017*J169+T169+U169,-0.8294+0.1849*S169+0.1750*Q169-0.2969*R169+0.6924*IF(D169="S",1,0)+0.0457*IF(E169="L",1,0)+T169+U169)</f>
        <v/>
      </c>
      <c r="W169">
        <f>MAX(0,MIN(16,ROUND(V169,0)))</f>
        <v/>
      </c>
      <c r="X169">
        <f>IFNA(VLOOKUP(W169,Grade_Scale!$A:$B,2,FALSE),"F")</f>
        <v/>
      </c>
      <c r="Z169">
        <f>IF(Y169="","",W169-IFNA(VLOOKUP(Y169,Grade_Scale!$D:$E,2,FALSE),""))</f>
        <v/>
      </c>
    </row>
    <row r="170">
      <c r="P170">
        <f>IF(OR(B170="SP",B170="RP",B170="CP",B170="SP/RP"),"P","H")</f>
        <v/>
      </c>
      <c r="Q170">
        <f>IF(F170="",0,IFNA(VLOOKUP(F170,Trait_Polarity!$A:$C,2,FALSE),0))+IF(G170="",0,IFNA(VLOOKUP(G170,Trait_Polarity!$A:$C,2,FALSE),0))</f>
        <v/>
      </c>
      <c r="R170">
        <f>IF(F170="",0,IFNA(VLOOKUP(F170,Trait_Polarity!$A:$C,3,FALSE),0))+IF(G170="",0,IFNA(VLOOKUP(G170,Trait_Polarity!$A:$C,3,FALSE),0))</f>
        <v/>
      </c>
      <c r="S170">
        <f>IF(P170="P",(M170+N170+O170)/3,0.3*H170+0.3*I170+0.2*J170+0.1*K170+0.1*L170)</f>
        <v/>
      </c>
      <c r="T170">
        <f>IF(P170="P",IFNA(VLOOKUP(B170,Pitcher_RoleAdj!$A:$B,2,FALSE),0),IFNA(VLOOKUP(B170,Hitter_PrimaryAdj!$A:$B,2,FALSE),0))</f>
        <v/>
      </c>
      <c r="U170">
        <f>IFNA(VLOOKUP(IF(C170="","(none)",C170),SecondaryAdj!$A:$B,2,FALSE),0)</f>
        <v/>
      </c>
      <c r="V170">
        <f>IF(P170="P",0.7780+0.1628*S170+0.2957*Q170-0.1912*R170-0.1512*IF(D170="S",1,0)+0.1600*IF(E170="L",1,0)+0.0091*H170+0.0124*I170+0.0017*J170+T170+U170,-0.8294+0.1849*S170+0.1750*Q170-0.2969*R170+0.6924*IF(D170="S",1,0)+0.0457*IF(E170="L",1,0)+T170+U170)</f>
        <v/>
      </c>
      <c r="W170">
        <f>MAX(0,MIN(16,ROUND(V170,0)))</f>
        <v/>
      </c>
      <c r="X170">
        <f>IFNA(VLOOKUP(W170,Grade_Scale!$A:$B,2,FALSE),"F")</f>
        <v/>
      </c>
      <c r="Z170">
        <f>IF(Y170="","",W170-IFNA(VLOOKUP(Y170,Grade_Scale!$D:$E,2,FALSE),""))</f>
        <v/>
      </c>
    </row>
    <row r="171">
      <c r="P171">
        <f>IF(OR(B171="SP",B171="RP",B171="CP",B171="SP/RP"),"P","H")</f>
        <v/>
      </c>
      <c r="Q171">
        <f>IF(F171="",0,IFNA(VLOOKUP(F171,Trait_Polarity!$A:$C,2,FALSE),0))+IF(G171="",0,IFNA(VLOOKUP(G171,Trait_Polarity!$A:$C,2,FALSE),0))</f>
        <v/>
      </c>
      <c r="R171">
        <f>IF(F171="",0,IFNA(VLOOKUP(F171,Trait_Polarity!$A:$C,3,FALSE),0))+IF(G171="",0,IFNA(VLOOKUP(G171,Trait_Polarity!$A:$C,3,FALSE),0))</f>
        <v/>
      </c>
      <c r="S171">
        <f>IF(P171="P",(M171+N171+O171)/3,0.3*H171+0.3*I171+0.2*J171+0.1*K171+0.1*L171)</f>
        <v/>
      </c>
      <c r="T171">
        <f>IF(P171="P",IFNA(VLOOKUP(B171,Pitcher_RoleAdj!$A:$B,2,FALSE),0),IFNA(VLOOKUP(B171,Hitter_PrimaryAdj!$A:$B,2,FALSE),0))</f>
        <v/>
      </c>
      <c r="U171">
        <f>IFNA(VLOOKUP(IF(C171="","(none)",C171),SecondaryAdj!$A:$B,2,FALSE),0)</f>
        <v/>
      </c>
      <c r="V171">
        <f>IF(P171="P",0.7780+0.1628*S171+0.2957*Q171-0.1912*R171-0.1512*IF(D171="S",1,0)+0.1600*IF(E171="L",1,0)+0.0091*H171+0.0124*I171+0.0017*J171+T171+U171,-0.8294+0.1849*S171+0.1750*Q171-0.2969*R171+0.6924*IF(D171="S",1,0)+0.0457*IF(E171="L",1,0)+T171+U171)</f>
        <v/>
      </c>
      <c r="W171">
        <f>MAX(0,MIN(16,ROUND(V171,0)))</f>
        <v/>
      </c>
      <c r="X171">
        <f>IFNA(VLOOKUP(W171,Grade_Scale!$A:$B,2,FALSE),"F")</f>
        <v/>
      </c>
      <c r="Z171">
        <f>IF(Y171="","",W171-IFNA(VLOOKUP(Y171,Grade_Scale!$D:$E,2,FALSE),""))</f>
        <v/>
      </c>
    </row>
    <row r="172">
      <c r="P172">
        <f>IF(OR(B172="SP",B172="RP",B172="CP",B172="SP/RP"),"P","H")</f>
        <v/>
      </c>
      <c r="Q172">
        <f>IF(F172="",0,IFNA(VLOOKUP(F172,Trait_Polarity!$A:$C,2,FALSE),0))+IF(G172="",0,IFNA(VLOOKUP(G172,Trait_Polarity!$A:$C,2,FALSE),0))</f>
        <v/>
      </c>
      <c r="R172">
        <f>IF(F172="",0,IFNA(VLOOKUP(F172,Trait_Polarity!$A:$C,3,FALSE),0))+IF(G172="",0,IFNA(VLOOKUP(G172,Trait_Polarity!$A:$C,3,FALSE),0))</f>
        <v/>
      </c>
      <c r="S172">
        <f>IF(P172="P",(M172+N172+O172)/3,0.3*H172+0.3*I172+0.2*J172+0.1*K172+0.1*L172)</f>
        <v/>
      </c>
      <c r="T172">
        <f>IF(P172="P",IFNA(VLOOKUP(B172,Pitcher_RoleAdj!$A:$B,2,FALSE),0),IFNA(VLOOKUP(B172,Hitter_PrimaryAdj!$A:$B,2,FALSE),0))</f>
        <v/>
      </c>
      <c r="U172">
        <f>IFNA(VLOOKUP(IF(C172="","(none)",C172),SecondaryAdj!$A:$B,2,FALSE),0)</f>
        <v/>
      </c>
      <c r="V172">
        <f>IF(P172="P",0.7780+0.1628*S172+0.2957*Q172-0.1912*R172-0.1512*IF(D172="S",1,0)+0.1600*IF(E172="L",1,0)+0.0091*H172+0.0124*I172+0.0017*J172+T172+U172,-0.8294+0.1849*S172+0.1750*Q172-0.2969*R172+0.6924*IF(D172="S",1,0)+0.0457*IF(E172="L",1,0)+T172+U172)</f>
        <v/>
      </c>
      <c r="W172">
        <f>MAX(0,MIN(16,ROUND(V172,0)))</f>
        <v/>
      </c>
      <c r="X172">
        <f>IFNA(VLOOKUP(W172,Grade_Scale!$A:$B,2,FALSE),"F")</f>
        <v/>
      </c>
      <c r="Z172">
        <f>IF(Y172="","",W172-IFNA(VLOOKUP(Y172,Grade_Scale!$D:$E,2,FALSE),""))</f>
        <v/>
      </c>
    </row>
    <row r="173">
      <c r="P173">
        <f>IF(OR(B173="SP",B173="RP",B173="CP",B173="SP/RP"),"P","H")</f>
        <v/>
      </c>
      <c r="Q173">
        <f>IF(F173="",0,IFNA(VLOOKUP(F173,Trait_Polarity!$A:$C,2,FALSE),0))+IF(G173="",0,IFNA(VLOOKUP(G173,Trait_Polarity!$A:$C,2,FALSE),0))</f>
        <v/>
      </c>
      <c r="R173">
        <f>IF(F173="",0,IFNA(VLOOKUP(F173,Trait_Polarity!$A:$C,3,FALSE),0))+IF(G173="",0,IFNA(VLOOKUP(G173,Trait_Polarity!$A:$C,3,FALSE),0))</f>
        <v/>
      </c>
      <c r="S173">
        <f>IF(P173="P",(M173+N173+O173)/3,0.3*H173+0.3*I173+0.2*J173+0.1*K173+0.1*L173)</f>
        <v/>
      </c>
      <c r="T173">
        <f>IF(P173="P",IFNA(VLOOKUP(B173,Pitcher_RoleAdj!$A:$B,2,FALSE),0),IFNA(VLOOKUP(B173,Hitter_PrimaryAdj!$A:$B,2,FALSE),0))</f>
        <v/>
      </c>
      <c r="U173">
        <f>IFNA(VLOOKUP(IF(C173="","(none)",C173),SecondaryAdj!$A:$B,2,FALSE),0)</f>
        <v/>
      </c>
      <c r="V173">
        <f>IF(P173="P",0.7780+0.1628*S173+0.2957*Q173-0.1912*R173-0.1512*IF(D173="S",1,0)+0.1600*IF(E173="L",1,0)+0.0091*H173+0.0124*I173+0.0017*J173+T173+U173,-0.8294+0.1849*S173+0.1750*Q173-0.2969*R173+0.6924*IF(D173="S",1,0)+0.0457*IF(E173="L",1,0)+T173+U173)</f>
        <v/>
      </c>
      <c r="W173">
        <f>MAX(0,MIN(16,ROUND(V173,0)))</f>
        <v/>
      </c>
      <c r="X173">
        <f>IFNA(VLOOKUP(W173,Grade_Scale!$A:$B,2,FALSE),"F")</f>
        <v/>
      </c>
      <c r="Z173">
        <f>IF(Y173="","",W173-IFNA(VLOOKUP(Y173,Grade_Scale!$D:$E,2,FALSE),""))</f>
        <v/>
      </c>
    </row>
    <row r="174">
      <c r="P174">
        <f>IF(OR(B174="SP",B174="RP",B174="CP",B174="SP/RP"),"P","H")</f>
        <v/>
      </c>
      <c r="Q174">
        <f>IF(F174="",0,IFNA(VLOOKUP(F174,Trait_Polarity!$A:$C,2,FALSE),0))+IF(G174="",0,IFNA(VLOOKUP(G174,Trait_Polarity!$A:$C,2,FALSE),0))</f>
        <v/>
      </c>
      <c r="R174">
        <f>IF(F174="",0,IFNA(VLOOKUP(F174,Trait_Polarity!$A:$C,3,FALSE),0))+IF(G174="",0,IFNA(VLOOKUP(G174,Trait_Polarity!$A:$C,3,FALSE),0))</f>
        <v/>
      </c>
      <c r="S174">
        <f>IF(P174="P",(M174+N174+O174)/3,0.3*H174+0.3*I174+0.2*J174+0.1*K174+0.1*L174)</f>
        <v/>
      </c>
      <c r="T174">
        <f>IF(P174="P",IFNA(VLOOKUP(B174,Pitcher_RoleAdj!$A:$B,2,FALSE),0),IFNA(VLOOKUP(B174,Hitter_PrimaryAdj!$A:$B,2,FALSE),0))</f>
        <v/>
      </c>
      <c r="U174">
        <f>IFNA(VLOOKUP(IF(C174="","(none)",C174),SecondaryAdj!$A:$B,2,FALSE),0)</f>
        <v/>
      </c>
      <c r="V174">
        <f>IF(P174="P",0.7780+0.1628*S174+0.2957*Q174-0.1912*R174-0.1512*IF(D174="S",1,0)+0.1600*IF(E174="L",1,0)+0.0091*H174+0.0124*I174+0.0017*J174+T174+U174,-0.8294+0.1849*S174+0.1750*Q174-0.2969*R174+0.6924*IF(D174="S",1,0)+0.0457*IF(E174="L",1,0)+T174+U174)</f>
        <v/>
      </c>
      <c r="W174">
        <f>MAX(0,MIN(16,ROUND(V174,0)))</f>
        <v/>
      </c>
      <c r="X174">
        <f>IFNA(VLOOKUP(W174,Grade_Scale!$A:$B,2,FALSE),"F")</f>
        <v/>
      </c>
      <c r="Z174">
        <f>IF(Y174="","",W174-IFNA(VLOOKUP(Y174,Grade_Scale!$D:$E,2,FALSE),""))</f>
        <v/>
      </c>
    </row>
    <row r="175">
      <c r="P175">
        <f>IF(OR(B175="SP",B175="RP",B175="CP",B175="SP/RP"),"P","H")</f>
        <v/>
      </c>
      <c r="Q175">
        <f>IF(F175="",0,IFNA(VLOOKUP(F175,Trait_Polarity!$A:$C,2,FALSE),0))+IF(G175="",0,IFNA(VLOOKUP(G175,Trait_Polarity!$A:$C,2,FALSE),0))</f>
        <v/>
      </c>
      <c r="R175">
        <f>IF(F175="",0,IFNA(VLOOKUP(F175,Trait_Polarity!$A:$C,3,FALSE),0))+IF(G175="",0,IFNA(VLOOKUP(G175,Trait_Polarity!$A:$C,3,FALSE),0))</f>
        <v/>
      </c>
      <c r="S175">
        <f>IF(P175="P",(M175+N175+O175)/3,0.3*H175+0.3*I175+0.2*J175+0.1*K175+0.1*L175)</f>
        <v/>
      </c>
      <c r="T175">
        <f>IF(P175="P",IFNA(VLOOKUP(B175,Pitcher_RoleAdj!$A:$B,2,FALSE),0),IFNA(VLOOKUP(B175,Hitter_PrimaryAdj!$A:$B,2,FALSE),0))</f>
        <v/>
      </c>
      <c r="U175">
        <f>IFNA(VLOOKUP(IF(C175="","(none)",C175),SecondaryAdj!$A:$B,2,FALSE),0)</f>
        <v/>
      </c>
      <c r="V175">
        <f>IF(P175="P",0.7780+0.1628*S175+0.2957*Q175-0.1912*R175-0.1512*IF(D175="S",1,0)+0.1600*IF(E175="L",1,0)+0.0091*H175+0.0124*I175+0.0017*J175+T175+U175,-0.8294+0.1849*S175+0.1750*Q175-0.2969*R175+0.6924*IF(D175="S",1,0)+0.0457*IF(E175="L",1,0)+T175+U175)</f>
        <v/>
      </c>
      <c r="W175">
        <f>MAX(0,MIN(16,ROUND(V175,0)))</f>
        <v/>
      </c>
      <c r="X175">
        <f>IFNA(VLOOKUP(W175,Grade_Scale!$A:$B,2,FALSE),"F")</f>
        <v/>
      </c>
      <c r="Z175">
        <f>IF(Y175="","",W175-IFNA(VLOOKUP(Y175,Grade_Scale!$D:$E,2,FALSE),""))</f>
        <v/>
      </c>
    </row>
    <row r="176">
      <c r="P176">
        <f>IF(OR(B176="SP",B176="RP",B176="CP",B176="SP/RP"),"P","H")</f>
        <v/>
      </c>
      <c r="Q176">
        <f>IF(F176="",0,IFNA(VLOOKUP(F176,Trait_Polarity!$A:$C,2,FALSE),0))+IF(G176="",0,IFNA(VLOOKUP(G176,Trait_Polarity!$A:$C,2,FALSE),0))</f>
        <v/>
      </c>
      <c r="R176">
        <f>IF(F176="",0,IFNA(VLOOKUP(F176,Trait_Polarity!$A:$C,3,FALSE),0))+IF(G176="",0,IFNA(VLOOKUP(G176,Trait_Polarity!$A:$C,3,FALSE),0))</f>
        <v/>
      </c>
      <c r="S176">
        <f>IF(P176="P",(M176+N176+O176)/3,0.3*H176+0.3*I176+0.2*J176+0.1*K176+0.1*L176)</f>
        <v/>
      </c>
      <c r="T176">
        <f>IF(P176="P",IFNA(VLOOKUP(B176,Pitcher_RoleAdj!$A:$B,2,FALSE),0),IFNA(VLOOKUP(B176,Hitter_PrimaryAdj!$A:$B,2,FALSE),0))</f>
        <v/>
      </c>
      <c r="U176">
        <f>IFNA(VLOOKUP(IF(C176="","(none)",C176),SecondaryAdj!$A:$B,2,FALSE),0)</f>
        <v/>
      </c>
      <c r="V176">
        <f>IF(P176="P",0.7780+0.1628*S176+0.2957*Q176-0.1912*R176-0.1512*IF(D176="S",1,0)+0.1600*IF(E176="L",1,0)+0.0091*H176+0.0124*I176+0.0017*J176+T176+U176,-0.8294+0.1849*S176+0.1750*Q176-0.2969*R176+0.6924*IF(D176="S",1,0)+0.0457*IF(E176="L",1,0)+T176+U176)</f>
        <v/>
      </c>
      <c r="W176">
        <f>MAX(0,MIN(16,ROUND(V176,0)))</f>
        <v/>
      </c>
      <c r="X176">
        <f>IFNA(VLOOKUP(W176,Grade_Scale!$A:$B,2,FALSE),"F")</f>
        <v/>
      </c>
      <c r="Z176">
        <f>IF(Y176="","",W176-IFNA(VLOOKUP(Y176,Grade_Scale!$D:$E,2,FALSE),""))</f>
        <v/>
      </c>
    </row>
    <row r="177">
      <c r="P177">
        <f>IF(OR(B177="SP",B177="RP",B177="CP",B177="SP/RP"),"P","H")</f>
        <v/>
      </c>
      <c r="Q177">
        <f>IF(F177="",0,IFNA(VLOOKUP(F177,Trait_Polarity!$A:$C,2,FALSE),0))+IF(G177="",0,IFNA(VLOOKUP(G177,Trait_Polarity!$A:$C,2,FALSE),0))</f>
        <v/>
      </c>
      <c r="R177">
        <f>IF(F177="",0,IFNA(VLOOKUP(F177,Trait_Polarity!$A:$C,3,FALSE),0))+IF(G177="",0,IFNA(VLOOKUP(G177,Trait_Polarity!$A:$C,3,FALSE),0))</f>
        <v/>
      </c>
      <c r="S177">
        <f>IF(P177="P",(M177+N177+O177)/3,0.3*H177+0.3*I177+0.2*J177+0.1*K177+0.1*L177)</f>
        <v/>
      </c>
      <c r="T177">
        <f>IF(P177="P",IFNA(VLOOKUP(B177,Pitcher_RoleAdj!$A:$B,2,FALSE),0),IFNA(VLOOKUP(B177,Hitter_PrimaryAdj!$A:$B,2,FALSE),0))</f>
        <v/>
      </c>
      <c r="U177">
        <f>IFNA(VLOOKUP(IF(C177="","(none)",C177),SecondaryAdj!$A:$B,2,FALSE),0)</f>
        <v/>
      </c>
      <c r="V177">
        <f>IF(P177="P",0.7780+0.1628*S177+0.2957*Q177-0.1912*R177-0.1512*IF(D177="S",1,0)+0.1600*IF(E177="L",1,0)+0.0091*H177+0.0124*I177+0.0017*J177+T177+U177,-0.8294+0.1849*S177+0.1750*Q177-0.2969*R177+0.6924*IF(D177="S",1,0)+0.0457*IF(E177="L",1,0)+T177+U177)</f>
        <v/>
      </c>
      <c r="W177">
        <f>MAX(0,MIN(16,ROUND(V177,0)))</f>
        <v/>
      </c>
      <c r="X177">
        <f>IFNA(VLOOKUP(W177,Grade_Scale!$A:$B,2,FALSE),"F")</f>
        <v/>
      </c>
      <c r="Z177">
        <f>IF(Y177="","",W177-IFNA(VLOOKUP(Y177,Grade_Scale!$D:$E,2,FALSE),""))</f>
        <v/>
      </c>
    </row>
    <row r="178">
      <c r="P178">
        <f>IF(OR(B178="SP",B178="RP",B178="CP",B178="SP/RP"),"P","H")</f>
        <v/>
      </c>
      <c r="Q178">
        <f>IF(F178="",0,IFNA(VLOOKUP(F178,Trait_Polarity!$A:$C,2,FALSE),0))+IF(G178="",0,IFNA(VLOOKUP(G178,Trait_Polarity!$A:$C,2,FALSE),0))</f>
        <v/>
      </c>
      <c r="R178">
        <f>IF(F178="",0,IFNA(VLOOKUP(F178,Trait_Polarity!$A:$C,3,FALSE),0))+IF(G178="",0,IFNA(VLOOKUP(G178,Trait_Polarity!$A:$C,3,FALSE),0))</f>
        <v/>
      </c>
      <c r="S178">
        <f>IF(P178="P",(M178+N178+O178)/3,0.3*H178+0.3*I178+0.2*J178+0.1*K178+0.1*L178)</f>
        <v/>
      </c>
      <c r="T178">
        <f>IF(P178="P",IFNA(VLOOKUP(B178,Pitcher_RoleAdj!$A:$B,2,FALSE),0),IFNA(VLOOKUP(B178,Hitter_PrimaryAdj!$A:$B,2,FALSE),0))</f>
        <v/>
      </c>
      <c r="U178">
        <f>IFNA(VLOOKUP(IF(C178="","(none)",C178),SecondaryAdj!$A:$B,2,FALSE),0)</f>
        <v/>
      </c>
      <c r="V178">
        <f>IF(P178="P",0.7780+0.1628*S178+0.2957*Q178-0.1912*R178-0.1512*IF(D178="S",1,0)+0.1600*IF(E178="L",1,0)+0.0091*H178+0.0124*I178+0.0017*J178+T178+U178,-0.8294+0.1849*S178+0.1750*Q178-0.2969*R178+0.6924*IF(D178="S",1,0)+0.0457*IF(E178="L",1,0)+T178+U178)</f>
        <v/>
      </c>
      <c r="W178">
        <f>MAX(0,MIN(16,ROUND(V178,0)))</f>
        <v/>
      </c>
      <c r="X178">
        <f>IFNA(VLOOKUP(W178,Grade_Scale!$A:$B,2,FALSE),"F")</f>
        <v/>
      </c>
      <c r="Z178">
        <f>IF(Y178="","",W178-IFNA(VLOOKUP(Y178,Grade_Scale!$D:$E,2,FALSE),""))</f>
        <v/>
      </c>
    </row>
    <row r="179">
      <c r="P179">
        <f>IF(OR(B179="SP",B179="RP",B179="CP",B179="SP/RP"),"P","H")</f>
        <v/>
      </c>
      <c r="Q179">
        <f>IF(F179="",0,IFNA(VLOOKUP(F179,Trait_Polarity!$A:$C,2,FALSE),0))+IF(G179="",0,IFNA(VLOOKUP(G179,Trait_Polarity!$A:$C,2,FALSE),0))</f>
        <v/>
      </c>
      <c r="R179">
        <f>IF(F179="",0,IFNA(VLOOKUP(F179,Trait_Polarity!$A:$C,3,FALSE),0))+IF(G179="",0,IFNA(VLOOKUP(G179,Trait_Polarity!$A:$C,3,FALSE),0))</f>
        <v/>
      </c>
      <c r="S179">
        <f>IF(P179="P",(M179+N179+O179)/3,0.3*H179+0.3*I179+0.2*J179+0.1*K179+0.1*L179)</f>
        <v/>
      </c>
      <c r="T179">
        <f>IF(P179="P",IFNA(VLOOKUP(B179,Pitcher_RoleAdj!$A:$B,2,FALSE),0),IFNA(VLOOKUP(B179,Hitter_PrimaryAdj!$A:$B,2,FALSE),0))</f>
        <v/>
      </c>
      <c r="U179">
        <f>IFNA(VLOOKUP(IF(C179="","(none)",C179),SecondaryAdj!$A:$B,2,FALSE),0)</f>
        <v/>
      </c>
      <c r="V179">
        <f>IF(P179="P",0.7780+0.1628*S179+0.2957*Q179-0.1912*R179-0.1512*IF(D179="S",1,0)+0.1600*IF(E179="L",1,0)+0.0091*H179+0.0124*I179+0.0017*J179+T179+U179,-0.8294+0.1849*S179+0.1750*Q179-0.2969*R179+0.6924*IF(D179="S",1,0)+0.0457*IF(E179="L",1,0)+T179+U179)</f>
        <v/>
      </c>
      <c r="W179">
        <f>MAX(0,MIN(16,ROUND(V179,0)))</f>
        <v/>
      </c>
      <c r="X179">
        <f>IFNA(VLOOKUP(W179,Grade_Scale!$A:$B,2,FALSE),"F")</f>
        <v/>
      </c>
      <c r="Z179">
        <f>IF(Y179="","",W179-IFNA(VLOOKUP(Y179,Grade_Scale!$D:$E,2,FALSE),""))</f>
        <v/>
      </c>
    </row>
    <row r="180">
      <c r="P180">
        <f>IF(OR(B180="SP",B180="RP",B180="CP",B180="SP/RP"),"P","H")</f>
        <v/>
      </c>
      <c r="Q180">
        <f>IF(F180="",0,IFNA(VLOOKUP(F180,Trait_Polarity!$A:$C,2,FALSE),0))+IF(G180="",0,IFNA(VLOOKUP(G180,Trait_Polarity!$A:$C,2,FALSE),0))</f>
        <v/>
      </c>
      <c r="R180">
        <f>IF(F180="",0,IFNA(VLOOKUP(F180,Trait_Polarity!$A:$C,3,FALSE),0))+IF(G180="",0,IFNA(VLOOKUP(G180,Trait_Polarity!$A:$C,3,FALSE),0))</f>
        <v/>
      </c>
      <c r="S180">
        <f>IF(P180="P",(M180+N180+O180)/3,0.3*H180+0.3*I180+0.2*J180+0.1*K180+0.1*L180)</f>
        <v/>
      </c>
      <c r="T180">
        <f>IF(P180="P",IFNA(VLOOKUP(B180,Pitcher_RoleAdj!$A:$B,2,FALSE),0),IFNA(VLOOKUP(B180,Hitter_PrimaryAdj!$A:$B,2,FALSE),0))</f>
        <v/>
      </c>
      <c r="U180">
        <f>IFNA(VLOOKUP(IF(C180="","(none)",C180),SecondaryAdj!$A:$B,2,FALSE),0)</f>
        <v/>
      </c>
      <c r="V180">
        <f>IF(P180="P",0.7780+0.1628*S180+0.2957*Q180-0.1912*R180-0.1512*IF(D180="S",1,0)+0.1600*IF(E180="L",1,0)+0.0091*H180+0.0124*I180+0.0017*J180+T180+U180,-0.8294+0.1849*S180+0.1750*Q180-0.2969*R180+0.6924*IF(D180="S",1,0)+0.0457*IF(E180="L",1,0)+T180+U180)</f>
        <v/>
      </c>
      <c r="W180">
        <f>MAX(0,MIN(16,ROUND(V180,0)))</f>
        <v/>
      </c>
      <c r="X180">
        <f>IFNA(VLOOKUP(W180,Grade_Scale!$A:$B,2,FALSE),"F")</f>
        <v/>
      </c>
      <c r="Z180">
        <f>IF(Y180="","",W180-IFNA(VLOOKUP(Y180,Grade_Scale!$D:$E,2,FALSE),""))</f>
        <v/>
      </c>
    </row>
    <row r="181">
      <c r="P181">
        <f>IF(OR(B181="SP",B181="RP",B181="CP",B181="SP/RP"),"P","H")</f>
        <v/>
      </c>
      <c r="Q181">
        <f>IF(F181="",0,IFNA(VLOOKUP(F181,Trait_Polarity!$A:$C,2,FALSE),0))+IF(G181="",0,IFNA(VLOOKUP(G181,Trait_Polarity!$A:$C,2,FALSE),0))</f>
        <v/>
      </c>
      <c r="R181">
        <f>IF(F181="",0,IFNA(VLOOKUP(F181,Trait_Polarity!$A:$C,3,FALSE),0))+IF(G181="",0,IFNA(VLOOKUP(G181,Trait_Polarity!$A:$C,3,FALSE),0))</f>
        <v/>
      </c>
      <c r="S181">
        <f>IF(P181="P",(M181+N181+O181)/3,0.3*H181+0.3*I181+0.2*J181+0.1*K181+0.1*L181)</f>
        <v/>
      </c>
      <c r="T181">
        <f>IF(P181="P",IFNA(VLOOKUP(B181,Pitcher_RoleAdj!$A:$B,2,FALSE),0),IFNA(VLOOKUP(B181,Hitter_PrimaryAdj!$A:$B,2,FALSE),0))</f>
        <v/>
      </c>
      <c r="U181">
        <f>IFNA(VLOOKUP(IF(C181="","(none)",C181),SecondaryAdj!$A:$B,2,FALSE),0)</f>
        <v/>
      </c>
      <c r="V181">
        <f>IF(P181="P",0.7780+0.1628*S181+0.2957*Q181-0.1912*R181-0.1512*IF(D181="S",1,0)+0.1600*IF(E181="L",1,0)+0.0091*H181+0.0124*I181+0.0017*J181+T181+U181,-0.8294+0.1849*S181+0.1750*Q181-0.2969*R181+0.6924*IF(D181="S",1,0)+0.0457*IF(E181="L",1,0)+T181+U181)</f>
        <v/>
      </c>
      <c r="W181">
        <f>MAX(0,MIN(16,ROUND(V181,0)))</f>
        <v/>
      </c>
      <c r="X181">
        <f>IFNA(VLOOKUP(W181,Grade_Scale!$A:$B,2,FALSE),"F")</f>
        <v/>
      </c>
      <c r="Z181">
        <f>IF(Y181="","",W181-IFNA(VLOOKUP(Y181,Grade_Scale!$D:$E,2,FALSE),""))</f>
        <v/>
      </c>
    </row>
    <row r="182">
      <c r="P182">
        <f>IF(OR(B182="SP",B182="RP",B182="CP",B182="SP/RP"),"P","H")</f>
        <v/>
      </c>
      <c r="Q182">
        <f>IF(F182="",0,IFNA(VLOOKUP(F182,Trait_Polarity!$A:$C,2,FALSE),0))+IF(G182="",0,IFNA(VLOOKUP(G182,Trait_Polarity!$A:$C,2,FALSE),0))</f>
        <v/>
      </c>
      <c r="R182">
        <f>IF(F182="",0,IFNA(VLOOKUP(F182,Trait_Polarity!$A:$C,3,FALSE),0))+IF(G182="",0,IFNA(VLOOKUP(G182,Trait_Polarity!$A:$C,3,FALSE),0))</f>
        <v/>
      </c>
      <c r="S182">
        <f>IF(P182="P",(M182+N182+O182)/3,0.3*H182+0.3*I182+0.2*J182+0.1*K182+0.1*L182)</f>
        <v/>
      </c>
      <c r="T182">
        <f>IF(P182="P",IFNA(VLOOKUP(B182,Pitcher_RoleAdj!$A:$B,2,FALSE),0),IFNA(VLOOKUP(B182,Hitter_PrimaryAdj!$A:$B,2,FALSE),0))</f>
        <v/>
      </c>
      <c r="U182">
        <f>IFNA(VLOOKUP(IF(C182="","(none)",C182),SecondaryAdj!$A:$B,2,FALSE),0)</f>
        <v/>
      </c>
      <c r="V182">
        <f>IF(P182="P",0.7780+0.1628*S182+0.2957*Q182-0.1912*R182-0.1512*IF(D182="S",1,0)+0.1600*IF(E182="L",1,0)+0.0091*H182+0.0124*I182+0.0017*J182+T182+U182,-0.8294+0.1849*S182+0.1750*Q182-0.2969*R182+0.6924*IF(D182="S",1,0)+0.0457*IF(E182="L",1,0)+T182+U182)</f>
        <v/>
      </c>
      <c r="W182">
        <f>MAX(0,MIN(16,ROUND(V182,0)))</f>
        <v/>
      </c>
      <c r="X182">
        <f>IFNA(VLOOKUP(W182,Grade_Scale!$A:$B,2,FALSE),"F")</f>
        <v/>
      </c>
      <c r="Z182">
        <f>IF(Y182="","",W182-IFNA(VLOOKUP(Y182,Grade_Scale!$D:$E,2,FALSE),""))</f>
        <v/>
      </c>
    </row>
    <row r="183">
      <c r="P183">
        <f>IF(OR(B183="SP",B183="RP",B183="CP",B183="SP/RP"),"P","H")</f>
        <v/>
      </c>
      <c r="Q183">
        <f>IF(F183="",0,IFNA(VLOOKUP(F183,Trait_Polarity!$A:$C,2,FALSE),0))+IF(G183="",0,IFNA(VLOOKUP(G183,Trait_Polarity!$A:$C,2,FALSE),0))</f>
        <v/>
      </c>
      <c r="R183">
        <f>IF(F183="",0,IFNA(VLOOKUP(F183,Trait_Polarity!$A:$C,3,FALSE),0))+IF(G183="",0,IFNA(VLOOKUP(G183,Trait_Polarity!$A:$C,3,FALSE),0))</f>
        <v/>
      </c>
      <c r="S183">
        <f>IF(P183="P",(M183+N183+O183)/3,0.3*H183+0.3*I183+0.2*J183+0.1*K183+0.1*L183)</f>
        <v/>
      </c>
      <c r="T183">
        <f>IF(P183="P",IFNA(VLOOKUP(B183,Pitcher_RoleAdj!$A:$B,2,FALSE),0),IFNA(VLOOKUP(B183,Hitter_PrimaryAdj!$A:$B,2,FALSE),0))</f>
        <v/>
      </c>
      <c r="U183">
        <f>IFNA(VLOOKUP(IF(C183="","(none)",C183),SecondaryAdj!$A:$B,2,FALSE),0)</f>
        <v/>
      </c>
      <c r="V183">
        <f>IF(P183="P",0.7780+0.1628*S183+0.2957*Q183-0.1912*R183-0.1512*IF(D183="S",1,0)+0.1600*IF(E183="L",1,0)+0.0091*H183+0.0124*I183+0.0017*J183+T183+U183,-0.8294+0.1849*S183+0.1750*Q183-0.2969*R183+0.6924*IF(D183="S",1,0)+0.0457*IF(E183="L",1,0)+T183+U183)</f>
        <v/>
      </c>
      <c r="W183">
        <f>MAX(0,MIN(16,ROUND(V183,0)))</f>
        <v/>
      </c>
      <c r="X183">
        <f>IFNA(VLOOKUP(W183,Grade_Scale!$A:$B,2,FALSE),"F")</f>
        <v/>
      </c>
      <c r="Z183">
        <f>IF(Y183="","",W183-IFNA(VLOOKUP(Y183,Grade_Scale!$D:$E,2,FALSE),""))</f>
        <v/>
      </c>
    </row>
    <row r="184">
      <c r="P184">
        <f>IF(OR(B184="SP",B184="RP",B184="CP",B184="SP/RP"),"P","H")</f>
        <v/>
      </c>
      <c r="Q184">
        <f>IF(F184="",0,IFNA(VLOOKUP(F184,Trait_Polarity!$A:$C,2,FALSE),0))+IF(G184="",0,IFNA(VLOOKUP(G184,Trait_Polarity!$A:$C,2,FALSE),0))</f>
        <v/>
      </c>
      <c r="R184">
        <f>IF(F184="",0,IFNA(VLOOKUP(F184,Trait_Polarity!$A:$C,3,FALSE),0))+IF(G184="",0,IFNA(VLOOKUP(G184,Trait_Polarity!$A:$C,3,FALSE),0))</f>
        <v/>
      </c>
      <c r="S184">
        <f>IF(P184="P",(M184+N184+O184)/3,0.3*H184+0.3*I184+0.2*J184+0.1*K184+0.1*L184)</f>
        <v/>
      </c>
      <c r="T184">
        <f>IF(P184="P",IFNA(VLOOKUP(B184,Pitcher_RoleAdj!$A:$B,2,FALSE),0),IFNA(VLOOKUP(B184,Hitter_PrimaryAdj!$A:$B,2,FALSE),0))</f>
        <v/>
      </c>
      <c r="U184">
        <f>IFNA(VLOOKUP(IF(C184="","(none)",C184),SecondaryAdj!$A:$B,2,FALSE),0)</f>
        <v/>
      </c>
      <c r="V184">
        <f>IF(P184="P",0.7780+0.1628*S184+0.2957*Q184-0.1912*R184-0.1512*IF(D184="S",1,0)+0.1600*IF(E184="L",1,0)+0.0091*H184+0.0124*I184+0.0017*J184+T184+U184,-0.8294+0.1849*S184+0.1750*Q184-0.2969*R184+0.6924*IF(D184="S",1,0)+0.0457*IF(E184="L",1,0)+T184+U184)</f>
        <v/>
      </c>
      <c r="W184">
        <f>MAX(0,MIN(16,ROUND(V184,0)))</f>
        <v/>
      </c>
      <c r="X184">
        <f>IFNA(VLOOKUP(W184,Grade_Scale!$A:$B,2,FALSE),"F")</f>
        <v/>
      </c>
      <c r="Z184">
        <f>IF(Y184="","",W184-IFNA(VLOOKUP(Y184,Grade_Scale!$D:$E,2,FALSE),""))</f>
        <v/>
      </c>
    </row>
    <row r="185">
      <c r="P185">
        <f>IF(OR(B185="SP",B185="RP",B185="CP",B185="SP/RP"),"P","H")</f>
        <v/>
      </c>
      <c r="Q185">
        <f>IF(F185="",0,IFNA(VLOOKUP(F185,Trait_Polarity!$A:$C,2,FALSE),0))+IF(G185="",0,IFNA(VLOOKUP(G185,Trait_Polarity!$A:$C,2,FALSE),0))</f>
        <v/>
      </c>
      <c r="R185">
        <f>IF(F185="",0,IFNA(VLOOKUP(F185,Trait_Polarity!$A:$C,3,FALSE),0))+IF(G185="",0,IFNA(VLOOKUP(G185,Trait_Polarity!$A:$C,3,FALSE),0))</f>
        <v/>
      </c>
      <c r="S185">
        <f>IF(P185="P",(M185+N185+O185)/3,0.3*H185+0.3*I185+0.2*J185+0.1*K185+0.1*L185)</f>
        <v/>
      </c>
      <c r="T185">
        <f>IF(P185="P",IFNA(VLOOKUP(B185,Pitcher_RoleAdj!$A:$B,2,FALSE),0),IFNA(VLOOKUP(B185,Hitter_PrimaryAdj!$A:$B,2,FALSE),0))</f>
        <v/>
      </c>
      <c r="U185">
        <f>IFNA(VLOOKUP(IF(C185="","(none)",C185),SecondaryAdj!$A:$B,2,FALSE),0)</f>
        <v/>
      </c>
      <c r="V185">
        <f>IF(P185="P",0.7780+0.1628*S185+0.2957*Q185-0.1912*R185-0.1512*IF(D185="S",1,0)+0.1600*IF(E185="L",1,0)+0.0091*H185+0.0124*I185+0.0017*J185+T185+U185,-0.8294+0.1849*S185+0.1750*Q185-0.2969*R185+0.6924*IF(D185="S",1,0)+0.0457*IF(E185="L",1,0)+T185+U185)</f>
        <v/>
      </c>
      <c r="W185">
        <f>MAX(0,MIN(16,ROUND(V185,0)))</f>
        <v/>
      </c>
      <c r="X185">
        <f>IFNA(VLOOKUP(W185,Grade_Scale!$A:$B,2,FALSE),"F")</f>
        <v/>
      </c>
      <c r="Z185">
        <f>IF(Y185="","",W185-IFNA(VLOOKUP(Y185,Grade_Scale!$D:$E,2,FALSE),""))</f>
        <v/>
      </c>
    </row>
    <row r="186">
      <c r="P186">
        <f>IF(OR(B186="SP",B186="RP",B186="CP",B186="SP/RP"),"P","H")</f>
        <v/>
      </c>
      <c r="Q186">
        <f>IF(F186="",0,IFNA(VLOOKUP(F186,Trait_Polarity!$A:$C,2,FALSE),0))+IF(G186="",0,IFNA(VLOOKUP(G186,Trait_Polarity!$A:$C,2,FALSE),0))</f>
        <v/>
      </c>
      <c r="R186">
        <f>IF(F186="",0,IFNA(VLOOKUP(F186,Trait_Polarity!$A:$C,3,FALSE),0))+IF(G186="",0,IFNA(VLOOKUP(G186,Trait_Polarity!$A:$C,3,FALSE),0))</f>
        <v/>
      </c>
      <c r="S186">
        <f>IF(P186="P",(M186+N186+O186)/3,0.3*H186+0.3*I186+0.2*J186+0.1*K186+0.1*L186)</f>
        <v/>
      </c>
      <c r="T186">
        <f>IF(P186="P",IFNA(VLOOKUP(B186,Pitcher_RoleAdj!$A:$B,2,FALSE),0),IFNA(VLOOKUP(B186,Hitter_PrimaryAdj!$A:$B,2,FALSE),0))</f>
        <v/>
      </c>
      <c r="U186">
        <f>IFNA(VLOOKUP(IF(C186="","(none)",C186),SecondaryAdj!$A:$B,2,FALSE),0)</f>
        <v/>
      </c>
      <c r="V186">
        <f>IF(P186="P",0.7780+0.1628*S186+0.2957*Q186-0.1912*R186-0.1512*IF(D186="S",1,0)+0.1600*IF(E186="L",1,0)+0.0091*H186+0.0124*I186+0.0017*J186+T186+U186,-0.8294+0.1849*S186+0.1750*Q186-0.2969*R186+0.6924*IF(D186="S",1,0)+0.0457*IF(E186="L",1,0)+T186+U186)</f>
        <v/>
      </c>
      <c r="W186">
        <f>MAX(0,MIN(16,ROUND(V186,0)))</f>
        <v/>
      </c>
      <c r="X186">
        <f>IFNA(VLOOKUP(W186,Grade_Scale!$A:$B,2,FALSE),"F")</f>
        <v/>
      </c>
      <c r="Z186">
        <f>IF(Y186="","",W186-IFNA(VLOOKUP(Y186,Grade_Scale!$D:$E,2,FALSE),""))</f>
        <v/>
      </c>
    </row>
    <row r="187">
      <c r="P187">
        <f>IF(OR(B187="SP",B187="RP",B187="CP",B187="SP/RP"),"P","H")</f>
        <v/>
      </c>
      <c r="Q187">
        <f>IF(F187="",0,IFNA(VLOOKUP(F187,Trait_Polarity!$A:$C,2,FALSE),0))+IF(G187="",0,IFNA(VLOOKUP(G187,Trait_Polarity!$A:$C,2,FALSE),0))</f>
        <v/>
      </c>
      <c r="R187">
        <f>IF(F187="",0,IFNA(VLOOKUP(F187,Trait_Polarity!$A:$C,3,FALSE),0))+IF(G187="",0,IFNA(VLOOKUP(G187,Trait_Polarity!$A:$C,3,FALSE),0))</f>
        <v/>
      </c>
      <c r="S187">
        <f>IF(P187="P",(M187+N187+O187)/3,0.3*H187+0.3*I187+0.2*J187+0.1*K187+0.1*L187)</f>
        <v/>
      </c>
      <c r="T187">
        <f>IF(P187="P",IFNA(VLOOKUP(B187,Pitcher_RoleAdj!$A:$B,2,FALSE),0),IFNA(VLOOKUP(B187,Hitter_PrimaryAdj!$A:$B,2,FALSE),0))</f>
        <v/>
      </c>
      <c r="U187">
        <f>IFNA(VLOOKUP(IF(C187="","(none)",C187),SecondaryAdj!$A:$B,2,FALSE),0)</f>
        <v/>
      </c>
      <c r="V187">
        <f>IF(P187="P",0.7780+0.1628*S187+0.2957*Q187-0.1912*R187-0.1512*IF(D187="S",1,0)+0.1600*IF(E187="L",1,0)+0.0091*H187+0.0124*I187+0.0017*J187+T187+U187,-0.8294+0.1849*S187+0.1750*Q187-0.2969*R187+0.6924*IF(D187="S",1,0)+0.0457*IF(E187="L",1,0)+T187+U187)</f>
        <v/>
      </c>
      <c r="W187">
        <f>MAX(0,MIN(16,ROUND(V187,0)))</f>
        <v/>
      </c>
      <c r="X187">
        <f>IFNA(VLOOKUP(W187,Grade_Scale!$A:$B,2,FALSE),"F")</f>
        <v/>
      </c>
      <c r="Z187">
        <f>IF(Y187="","",W187-IFNA(VLOOKUP(Y187,Grade_Scale!$D:$E,2,FALSE),""))</f>
        <v/>
      </c>
    </row>
    <row r="188">
      <c r="P188">
        <f>IF(OR(B188="SP",B188="RP",B188="CP",B188="SP/RP"),"P","H")</f>
        <v/>
      </c>
      <c r="Q188">
        <f>IF(F188="",0,IFNA(VLOOKUP(F188,Trait_Polarity!$A:$C,2,FALSE),0))+IF(G188="",0,IFNA(VLOOKUP(G188,Trait_Polarity!$A:$C,2,FALSE),0))</f>
        <v/>
      </c>
      <c r="R188">
        <f>IF(F188="",0,IFNA(VLOOKUP(F188,Trait_Polarity!$A:$C,3,FALSE),0))+IF(G188="",0,IFNA(VLOOKUP(G188,Trait_Polarity!$A:$C,3,FALSE),0))</f>
        <v/>
      </c>
      <c r="S188">
        <f>IF(P188="P",(M188+N188+O188)/3,0.3*H188+0.3*I188+0.2*J188+0.1*K188+0.1*L188)</f>
        <v/>
      </c>
      <c r="T188">
        <f>IF(P188="P",IFNA(VLOOKUP(B188,Pitcher_RoleAdj!$A:$B,2,FALSE),0),IFNA(VLOOKUP(B188,Hitter_PrimaryAdj!$A:$B,2,FALSE),0))</f>
        <v/>
      </c>
      <c r="U188">
        <f>IFNA(VLOOKUP(IF(C188="","(none)",C188),SecondaryAdj!$A:$B,2,FALSE),0)</f>
        <v/>
      </c>
      <c r="V188">
        <f>IF(P188="P",0.7780+0.1628*S188+0.2957*Q188-0.1912*R188-0.1512*IF(D188="S",1,0)+0.1600*IF(E188="L",1,0)+0.0091*H188+0.0124*I188+0.0017*J188+T188+U188,-0.8294+0.1849*S188+0.1750*Q188-0.2969*R188+0.6924*IF(D188="S",1,0)+0.0457*IF(E188="L",1,0)+T188+U188)</f>
        <v/>
      </c>
      <c r="W188">
        <f>MAX(0,MIN(16,ROUND(V188,0)))</f>
        <v/>
      </c>
      <c r="X188">
        <f>IFNA(VLOOKUP(W188,Grade_Scale!$A:$B,2,FALSE),"F")</f>
        <v/>
      </c>
      <c r="Z188">
        <f>IF(Y188="","",W188-IFNA(VLOOKUP(Y188,Grade_Scale!$D:$E,2,FALSE),""))</f>
        <v/>
      </c>
    </row>
    <row r="189">
      <c r="P189">
        <f>IF(OR(B189="SP",B189="RP",B189="CP",B189="SP/RP"),"P","H")</f>
        <v/>
      </c>
      <c r="Q189">
        <f>IF(F189="",0,IFNA(VLOOKUP(F189,Trait_Polarity!$A:$C,2,FALSE),0))+IF(G189="",0,IFNA(VLOOKUP(G189,Trait_Polarity!$A:$C,2,FALSE),0))</f>
        <v/>
      </c>
      <c r="R189">
        <f>IF(F189="",0,IFNA(VLOOKUP(F189,Trait_Polarity!$A:$C,3,FALSE),0))+IF(G189="",0,IFNA(VLOOKUP(G189,Trait_Polarity!$A:$C,3,FALSE),0))</f>
        <v/>
      </c>
      <c r="S189">
        <f>IF(P189="P",(M189+N189+O189)/3,0.3*H189+0.3*I189+0.2*J189+0.1*K189+0.1*L189)</f>
        <v/>
      </c>
      <c r="T189">
        <f>IF(P189="P",IFNA(VLOOKUP(B189,Pitcher_RoleAdj!$A:$B,2,FALSE),0),IFNA(VLOOKUP(B189,Hitter_PrimaryAdj!$A:$B,2,FALSE),0))</f>
        <v/>
      </c>
      <c r="U189">
        <f>IFNA(VLOOKUP(IF(C189="","(none)",C189),SecondaryAdj!$A:$B,2,FALSE),0)</f>
        <v/>
      </c>
      <c r="V189">
        <f>IF(P189="P",0.7780+0.1628*S189+0.2957*Q189-0.1912*R189-0.1512*IF(D189="S",1,0)+0.1600*IF(E189="L",1,0)+0.0091*H189+0.0124*I189+0.0017*J189+T189+U189,-0.8294+0.1849*S189+0.1750*Q189-0.2969*R189+0.6924*IF(D189="S",1,0)+0.0457*IF(E189="L",1,0)+T189+U189)</f>
        <v/>
      </c>
      <c r="W189">
        <f>MAX(0,MIN(16,ROUND(V189,0)))</f>
        <v/>
      </c>
      <c r="X189">
        <f>IFNA(VLOOKUP(W189,Grade_Scale!$A:$B,2,FALSE),"F")</f>
        <v/>
      </c>
      <c r="Z189">
        <f>IF(Y189="","",W189-IFNA(VLOOKUP(Y189,Grade_Scale!$D:$E,2,FALSE),""))</f>
        <v/>
      </c>
    </row>
    <row r="190">
      <c r="P190">
        <f>IF(OR(B190="SP",B190="RP",B190="CP",B190="SP/RP"),"P","H")</f>
        <v/>
      </c>
      <c r="Q190">
        <f>IF(F190="",0,IFNA(VLOOKUP(F190,Trait_Polarity!$A:$C,2,FALSE),0))+IF(G190="",0,IFNA(VLOOKUP(G190,Trait_Polarity!$A:$C,2,FALSE),0))</f>
        <v/>
      </c>
      <c r="R190">
        <f>IF(F190="",0,IFNA(VLOOKUP(F190,Trait_Polarity!$A:$C,3,FALSE),0))+IF(G190="",0,IFNA(VLOOKUP(G190,Trait_Polarity!$A:$C,3,FALSE),0))</f>
        <v/>
      </c>
      <c r="S190">
        <f>IF(P190="P",(M190+N190+O190)/3,0.3*H190+0.3*I190+0.2*J190+0.1*K190+0.1*L190)</f>
        <v/>
      </c>
      <c r="T190">
        <f>IF(P190="P",IFNA(VLOOKUP(B190,Pitcher_RoleAdj!$A:$B,2,FALSE),0),IFNA(VLOOKUP(B190,Hitter_PrimaryAdj!$A:$B,2,FALSE),0))</f>
        <v/>
      </c>
      <c r="U190">
        <f>IFNA(VLOOKUP(IF(C190="","(none)",C190),SecondaryAdj!$A:$B,2,FALSE),0)</f>
        <v/>
      </c>
      <c r="V190">
        <f>IF(P190="P",0.7780+0.1628*S190+0.2957*Q190-0.1912*R190-0.1512*IF(D190="S",1,0)+0.1600*IF(E190="L",1,0)+0.0091*H190+0.0124*I190+0.0017*J190+T190+U190,-0.8294+0.1849*S190+0.1750*Q190-0.2969*R190+0.6924*IF(D190="S",1,0)+0.0457*IF(E190="L",1,0)+T190+U190)</f>
        <v/>
      </c>
      <c r="W190">
        <f>MAX(0,MIN(16,ROUND(V190,0)))</f>
        <v/>
      </c>
      <c r="X190">
        <f>IFNA(VLOOKUP(W190,Grade_Scale!$A:$B,2,FALSE),"F")</f>
        <v/>
      </c>
      <c r="Z190">
        <f>IF(Y190="","",W190-IFNA(VLOOKUP(Y190,Grade_Scale!$D:$E,2,FALSE),""))</f>
        <v/>
      </c>
    </row>
    <row r="191">
      <c r="P191">
        <f>IF(OR(B191="SP",B191="RP",B191="CP",B191="SP/RP"),"P","H")</f>
        <v/>
      </c>
      <c r="Q191">
        <f>IF(F191="",0,IFNA(VLOOKUP(F191,Trait_Polarity!$A:$C,2,FALSE),0))+IF(G191="",0,IFNA(VLOOKUP(G191,Trait_Polarity!$A:$C,2,FALSE),0))</f>
        <v/>
      </c>
      <c r="R191">
        <f>IF(F191="",0,IFNA(VLOOKUP(F191,Trait_Polarity!$A:$C,3,FALSE),0))+IF(G191="",0,IFNA(VLOOKUP(G191,Trait_Polarity!$A:$C,3,FALSE),0))</f>
        <v/>
      </c>
      <c r="S191">
        <f>IF(P191="P",(M191+N191+O191)/3,0.3*H191+0.3*I191+0.2*J191+0.1*K191+0.1*L191)</f>
        <v/>
      </c>
      <c r="T191">
        <f>IF(P191="P",IFNA(VLOOKUP(B191,Pitcher_RoleAdj!$A:$B,2,FALSE),0),IFNA(VLOOKUP(B191,Hitter_PrimaryAdj!$A:$B,2,FALSE),0))</f>
        <v/>
      </c>
      <c r="U191">
        <f>IFNA(VLOOKUP(IF(C191="","(none)",C191),SecondaryAdj!$A:$B,2,FALSE),0)</f>
        <v/>
      </c>
      <c r="V191">
        <f>IF(P191="P",0.7780+0.1628*S191+0.2957*Q191-0.1912*R191-0.1512*IF(D191="S",1,0)+0.1600*IF(E191="L",1,0)+0.0091*H191+0.0124*I191+0.0017*J191+T191+U191,-0.8294+0.1849*S191+0.1750*Q191-0.2969*R191+0.6924*IF(D191="S",1,0)+0.0457*IF(E191="L",1,0)+T191+U191)</f>
        <v/>
      </c>
      <c r="W191">
        <f>MAX(0,MIN(16,ROUND(V191,0)))</f>
        <v/>
      </c>
      <c r="X191">
        <f>IFNA(VLOOKUP(W191,Grade_Scale!$A:$B,2,FALSE),"F")</f>
        <v/>
      </c>
      <c r="Z191">
        <f>IF(Y191="","",W191-IFNA(VLOOKUP(Y191,Grade_Scale!$D:$E,2,FALSE),""))</f>
        <v/>
      </c>
    </row>
    <row r="192">
      <c r="P192">
        <f>IF(OR(B192="SP",B192="RP",B192="CP",B192="SP/RP"),"P","H")</f>
        <v/>
      </c>
      <c r="Q192">
        <f>IF(F192="",0,IFNA(VLOOKUP(F192,Trait_Polarity!$A:$C,2,FALSE),0))+IF(G192="",0,IFNA(VLOOKUP(G192,Trait_Polarity!$A:$C,2,FALSE),0))</f>
        <v/>
      </c>
      <c r="R192">
        <f>IF(F192="",0,IFNA(VLOOKUP(F192,Trait_Polarity!$A:$C,3,FALSE),0))+IF(G192="",0,IFNA(VLOOKUP(G192,Trait_Polarity!$A:$C,3,FALSE),0))</f>
        <v/>
      </c>
      <c r="S192">
        <f>IF(P192="P",(M192+N192+O192)/3,0.3*H192+0.3*I192+0.2*J192+0.1*K192+0.1*L192)</f>
        <v/>
      </c>
      <c r="T192">
        <f>IF(P192="P",IFNA(VLOOKUP(B192,Pitcher_RoleAdj!$A:$B,2,FALSE),0),IFNA(VLOOKUP(B192,Hitter_PrimaryAdj!$A:$B,2,FALSE),0))</f>
        <v/>
      </c>
      <c r="U192">
        <f>IFNA(VLOOKUP(IF(C192="","(none)",C192),SecondaryAdj!$A:$B,2,FALSE),0)</f>
        <v/>
      </c>
      <c r="V192">
        <f>IF(P192="P",0.7780+0.1628*S192+0.2957*Q192-0.1912*R192-0.1512*IF(D192="S",1,0)+0.1600*IF(E192="L",1,0)+0.0091*H192+0.0124*I192+0.0017*J192+T192+U192,-0.8294+0.1849*S192+0.1750*Q192-0.2969*R192+0.6924*IF(D192="S",1,0)+0.0457*IF(E192="L",1,0)+T192+U192)</f>
        <v/>
      </c>
      <c r="W192">
        <f>MAX(0,MIN(16,ROUND(V192,0)))</f>
        <v/>
      </c>
      <c r="X192">
        <f>IFNA(VLOOKUP(W192,Grade_Scale!$A:$B,2,FALSE),"F")</f>
        <v/>
      </c>
      <c r="Z192">
        <f>IF(Y192="","",W192-IFNA(VLOOKUP(Y192,Grade_Scale!$D:$E,2,FALSE),""))</f>
        <v/>
      </c>
    </row>
    <row r="193">
      <c r="P193">
        <f>IF(OR(B193="SP",B193="RP",B193="CP",B193="SP/RP"),"P","H")</f>
        <v/>
      </c>
      <c r="Q193">
        <f>IF(F193="",0,IFNA(VLOOKUP(F193,Trait_Polarity!$A:$C,2,FALSE),0))+IF(G193="",0,IFNA(VLOOKUP(G193,Trait_Polarity!$A:$C,2,FALSE),0))</f>
        <v/>
      </c>
      <c r="R193">
        <f>IF(F193="",0,IFNA(VLOOKUP(F193,Trait_Polarity!$A:$C,3,FALSE),0))+IF(G193="",0,IFNA(VLOOKUP(G193,Trait_Polarity!$A:$C,3,FALSE),0))</f>
        <v/>
      </c>
      <c r="S193">
        <f>IF(P193="P",(M193+N193+O193)/3,0.3*H193+0.3*I193+0.2*J193+0.1*K193+0.1*L193)</f>
        <v/>
      </c>
      <c r="T193">
        <f>IF(P193="P",IFNA(VLOOKUP(B193,Pitcher_RoleAdj!$A:$B,2,FALSE),0),IFNA(VLOOKUP(B193,Hitter_PrimaryAdj!$A:$B,2,FALSE),0))</f>
        <v/>
      </c>
      <c r="U193">
        <f>IFNA(VLOOKUP(IF(C193="","(none)",C193),SecondaryAdj!$A:$B,2,FALSE),0)</f>
        <v/>
      </c>
      <c r="V193">
        <f>IF(P193="P",0.7780+0.1628*S193+0.2957*Q193-0.1912*R193-0.1512*IF(D193="S",1,0)+0.1600*IF(E193="L",1,0)+0.0091*H193+0.0124*I193+0.0017*J193+T193+U193,-0.8294+0.1849*S193+0.1750*Q193-0.2969*R193+0.6924*IF(D193="S",1,0)+0.0457*IF(E193="L",1,0)+T193+U193)</f>
        <v/>
      </c>
      <c r="W193">
        <f>MAX(0,MIN(16,ROUND(V193,0)))</f>
        <v/>
      </c>
      <c r="X193">
        <f>IFNA(VLOOKUP(W193,Grade_Scale!$A:$B,2,FALSE),"F")</f>
        <v/>
      </c>
      <c r="Z193">
        <f>IF(Y193="","",W193-IFNA(VLOOKUP(Y193,Grade_Scale!$D:$E,2,FALSE),""))</f>
        <v/>
      </c>
    </row>
    <row r="194">
      <c r="P194">
        <f>IF(OR(B194="SP",B194="RP",B194="CP",B194="SP/RP"),"P","H")</f>
        <v/>
      </c>
      <c r="Q194">
        <f>IF(F194="",0,IFNA(VLOOKUP(F194,Trait_Polarity!$A:$C,2,FALSE),0))+IF(G194="",0,IFNA(VLOOKUP(G194,Trait_Polarity!$A:$C,2,FALSE),0))</f>
        <v/>
      </c>
      <c r="R194">
        <f>IF(F194="",0,IFNA(VLOOKUP(F194,Trait_Polarity!$A:$C,3,FALSE),0))+IF(G194="",0,IFNA(VLOOKUP(G194,Trait_Polarity!$A:$C,3,FALSE),0))</f>
        <v/>
      </c>
      <c r="S194">
        <f>IF(P194="P",(M194+N194+O194)/3,0.3*H194+0.3*I194+0.2*J194+0.1*K194+0.1*L194)</f>
        <v/>
      </c>
      <c r="T194">
        <f>IF(P194="P",IFNA(VLOOKUP(B194,Pitcher_RoleAdj!$A:$B,2,FALSE),0),IFNA(VLOOKUP(B194,Hitter_PrimaryAdj!$A:$B,2,FALSE),0))</f>
        <v/>
      </c>
      <c r="U194">
        <f>IFNA(VLOOKUP(IF(C194="","(none)",C194),SecondaryAdj!$A:$B,2,FALSE),0)</f>
        <v/>
      </c>
      <c r="V194">
        <f>IF(P194="P",0.7780+0.1628*S194+0.2957*Q194-0.1912*R194-0.1512*IF(D194="S",1,0)+0.1600*IF(E194="L",1,0)+0.0091*H194+0.0124*I194+0.0017*J194+T194+U194,-0.8294+0.1849*S194+0.1750*Q194-0.2969*R194+0.6924*IF(D194="S",1,0)+0.0457*IF(E194="L",1,0)+T194+U194)</f>
        <v/>
      </c>
      <c r="W194">
        <f>MAX(0,MIN(16,ROUND(V194,0)))</f>
        <v/>
      </c>
      <c r="X194">
        <f>IFNA(VLOOKUP(W194,Grade_Scale!$A:$B,2,FALSE),"F")</f>
        <v/>
      </c>
      <c r="Z194">
        <f>IF(Y194="","",W194-IFNA(VLOOKUP(Y194,Grade_Scale!$D:$E,2,FALSE),""))</f>
        <v/>
      </c>
    </row>
    <row r="195">
      <c r="P195">
        <f>IF(OR(B195="SP",B195="RP",B195="CP",B195="SP/RP"),"P","H")</f>
        <v/>
      </c>
      <c r="Q195">
        <f>IF(F195="",0,IFNA(VLOOKUP(F195,Trait_Polarity!$A:$C,2,FALSE),0))+IF(G195="",0,IFNA(VLOOKUP(G195,Trait_Polarity!$A:$C,2,FALSE),0))</f>
        <v/>
      </c>
      <c r="R195">
        <f>IF(F195="",0,IFNA(VLOOKUP(F195,Trait_Polarity!$A:$C,3,FALSE),0))+IF(G195="",0,IFNA(VLOOKUP(G195,Trait_Polarity!$A:$C,3,FALSE),0))</f>
        <v/>
      </c>
      <c r="S195">
        <f>IF(P195="P",(M195+N195+O195)/3,0.3*H195+0.3*I195+0.2*J195+0.1*K195+0.1*L195)</f>
        <v/>
      </c>
      <c r="T195">
        <f>IF(P195="P",IFNA(VLOOKUP(B195,Pitcher_RoleAdj!$A:$B,2,FALSE),0),IFNA(VLOOKUP(B195,Hitter_PrimaryAdj!$A:$B,2,FALSE),0))</f>
        <v/>
      </c>
      <c r="U195">
        <f>IFNA(VLOOKUP(IF(C195="","(none)",C195),SecondaryAdj!$A:$B,2,FALSE),0)</f>
        <v/>
      </c>
      <c r="V195">
        <f>IF(P195="P",0.7780+0.1628*S195+0.2957*Q195-0.1912*R195-0.1512*IF(D195="S",1,0)+0.1600*IF(E195="L",1,0)+0.0091*H195+0.0124*I195+0.0017*J195+T195+U195,-0.8294+0.1849*S195+0.1750*Q195-0.2969*R195+0.6924*IF(D195="S",1,0)+0.0457*IF(E195="L",1,0)+T195+U195)</f>
        <v/>
      </c>
      <c r="W195">
        <f>MAX(0,MIN(16,ROUND(V195,0)))</f>
        <v/>
      </c>
      <c r="X195">
        <f>IFNA(VLOOKUP(W195,Grade_Scale!$A:$B,2,FALSE),"F")</f>
        <v/>
      </c>
      <c r="Z195">
        <f>IF(Y195="","",W195-IFNA(VLOOKUP(Y195,Grade_Scale!$D:$E,2,FALSE),""))</f>
        <v/>
      </c>
    </row>
    <row r="196">
      <c r="P196">
        <f>IF(OR(B196="SP",B196="RP",B196="CP",B196="SP/RP"),"P","H")</f>
        <v/>
      </c>
      <c r="Q196">
        <f>IF(F196="",0,IFNA(VLOOKUP(F196,Trait_Polarity!$A:$C,2,FALSE),0))+IF(G196="",0,IFNA(VLOOKUP(G196,Trait_Polarity!$A:$C,2,FALSE),0))</f>
        <v/>
      </c>
      <c r="R196">
        <f>IF(F196="",0,IFNA(VLOOKUP(F196,Trait_Polarity!$A:$C,3,FALSE),0))+IF(G196="",0,IFNA(VLOOKUP(G196,Trait_Polarity!$A:$C,3,FALSE),0))</f>
        <v/>
      </c>
      <c r="S196">
        <f>IF(P196="P",(M196+N196+O196)/3,0.3*H196+0.3*I196+0.2*J196+0.1*K196+0.1*L196)</f>
        <v/>
      </c>
      <c r="T196">
        <f>IF(P196="P",IFNA(VLOOKUP(B196,Pitcher_RoleAdj!$A:$B,2,FALSE),0),IFNA(VLOOKUP(B196,Hitter_PrimaryAdj!$A:$B,2,FALSE),0))</f>
        <v/>
      </c>
      <c r="U196">
        <f>IFNA(VLOOKUP(IF(C196="","(none)",C196),SecondaryAdj!$A:$B,2,FALSE),0)</f>
        <v/>
      </c>
      <c r="V196">
        <f>IF(P196="P",0.7780+0.1628*S196+0.2957*Q196-0.1912*R196-0.1512*IF(D196="S",1,0)+0.1600*IF(E196="L",1,0)+0.0091*H196+0.0124*I196+0.0017*J196+T196+U196,-0.8294+0.1849*S196+0.1750*Q196-0.2969*R196+0.6924*IF(D196="S",1,0)+0.0457*IF(E196="L",1,0)+T196+U196)</f>
        <v/>
      </c>
      <c r="W196">
        <f>MAX(0,MIN(16,ROUND(V196,0)))</f>
        <v/>
      </c>
      <c r="X196">
        <f>IFNA(VLOOKUP(W196,Grade_Scale!$A:$B,2,FALSE),"F")</f>
        <v/>
      </c>
      <c r="Z196">
        <f>IF(Y196="","",W196-IFNA(VLOOKUP(Y196,Grade_Scale!$D:$E,2,FALSE),""))</f>
        <v/>
      </c>
    </row>
    <row r="197">
      <c r="P197">
        <f>IF(OR(B197="SP",B197="RP",B197="CP",B197="SP/RP"),"P","H")</f>
        <v/>
      </c>
      <c r="Q197">
        <f>IF(F197="",0,IFNA(VLOOKUP(F197,Trait_Polarity!$A:$C,2,FALSE),0))+IF(G197="",0,IFNA(VLOOKUP(G197,Trait_Polarity!$A:$C,2,FALSE),0))</f>
        <v/>
      </c>
      <c r="R197">
        <f>IF(F197="",0,IFNA(VLOOKUP(F197,Trait_Polarity!$A:$C,3,FALSE),0))+IF(G197="",0,IFNA(VLOOKUP(G197,Trait_Polarity!$A:$C,3,FALSE),0))</f>
        <v/>
      </c>
      <c r="S197">
        <f>IF(P197="P",(M197+N197+O197)/3,0.3*H197+0.3*I197+0.2*J197+0.1*K197+0.1*L197)</f>
        <v/>
      </c>
      <c r="T197">
        <f>IF(P197="P",IFNA(VLOOKUP(B197,Pitcher_RoleAdj!$A:$B,2,FALSE),0),IFNA(VLOOKUP(B197,Hitter_PrimaryAdj!$A:$B,2,FALSE),0))</f>
        <v/>
      </c>
      <c r="U197">
        <f>IFNA(VLOOKUP(IF(C197="","(none)",C197),SecondaryAdj!$A:$B,2,FALSE),0)</f>
        <v/>
      </c>
      <c r="V197">
        <f>IF(P197="P",0.7780+0.1628*S197+0.2957*Q197-0.1912*R197-0.1512*IF(D197="S",1,0)+0.1600*IF(E197="L",1,0)+0.0091*H197+0.0124*I197+0.0017*J197+T197+U197,-0.8294+0.1849*S197+0.1750*Q197-0.2969*R197+0.6924*IF(D197="S",1,0)+0.0457*IF(E197="L",1,0)+T197+U197)</f>
        <v/>
      </c>
      <c r="W197">
        <f>MAX(0,MIN(16,ROUND(V197,0)))</f>
        <v/>
      </c>
      <c r="X197">
        <f>IFNA(VLOOKUP(W197,Grade_Scale!$A:$B,2,FALSE),"F")</f>
        <v/>
      </c>
      <c r="Z197">
        <f>IF(Y197="","",W197-IFNA(VLOOKUP(Y197,Grade_Scale!$D:$E,2,FALSE),""))</f>
        <v/>
      </c>
    </row>
    <row r="198">
      <c r="P198">
        <f>IF(OR(B198="SP",B198="RP",B198="CP",B198="SP/RP"),"P","H")</f>
        <v/>
      </c>
      <c r="Q198">
        <f>IF(F198="",0,IFNA(VLOOKUP(F198,Trait_Polarity!$A:$C,2,FALSE),0))+IF(G198="",0,IFNA(VLOOKUP(G198,Trait_Polarity!$A:$C,2,FALSE),0))</f>
        <v/>
      </c>
      <c r="R198">
        <f>IF(F198="",0,IFNA(VLOOKUP(F198,Trait_Polarity!$A:$C,3,FALSE),0))+IF(G198="",0,IFNA(VLOOKUP(G198,Trait_Polarity!$A:$C,3,FALSE),0))</f>
        <v/>
      </c>
      <c r="S198">
        <f>IF(P198="P",(M198+N198+O198)/3,0.3*H198+0.3*I198+0.2*J198+0.1*K198+0.1*L198)</f>
        <v/>
      </c>
      <c r="T198">
        <f>IF(P198="P",IFNA(VLOOKUP(B198,Pitcher_RoleAdj!$A:$B,2,FALSE),0),IFNA(VLOOKUP(B198,Hitter_PrimaryAdj!$A:$B,2,FALSE),0))</f>
        <v/>
      </c>
      <c r="U198">
        <f>IFNA(VLOOKUP(IF(C198="","(none)",C198),SecondaryAdj!$A:$B,2,FALSE),0)</f>
        <v/>
      </c>
      <c r="V198">
        <f>IF(P198="P",0.7780+0.1628*S198+0.2957*Q198-0.1912*R198-0.1512*IF(D198="S",1,0)+0.1600*IF(E198="L",1,0)+0.0091*H198+0.0124*I198+0.0017*J198+T198+U198,-0.8294+0.1849*S198+0.1750*Q198-0.2969*R198+0.6924*IF(D198="S",1,0)+0.0457*IF(E198="L",1,0)+T198+U198)</f>
        <v/>
      </c>
      <c r="W198">
        <f>MAX(0,MIN(16,ROUND(V198,0)))</f>
        <v/>
      </c>
      <c r="X198">
        <f>IFNA(VLOOKUP(W198,Grade_Scale!$A:$B,2,FALSE),"F")</f>
        <v/>
      </c>
      <c r="Z198">
        <f>IF(Y198="","",W198-IFNA(VLOOKUP(Y198,Grade_Scale!$D:$E,2,FALSE),""))</f>
        <v/>
      </c>
    </row>
    <row r="199">
      <c r="P199">
        <f>IF(OR(B199="SP",B199="RP",B199="CP",B199="SP/RP"),"P","H")</f>
        <v/>
      </c>
      <c r="Q199">
        <f>IF(F199="",0,IFNA(VLOOKUP(F199,Trait_Polarity!$A:$C,2,FALSE),0))+IF(G199="",0,IFNA(VLOOKUP(G199,Trait_Polarity!$A:$C,2,FALSE),0))</f>
        <v/>
      </c>
      <c r="R199">
        <f>IF(F199="",0,IFNA(VLOOKUP(F199,Trait_Polarity!$A:$C,3,FALSE),0))+IF(G199="",0,IFNA(VLOOKUP(G199,Trait_Polarity!$A:$C,3,FALSE),0))</f>
        <v/>
      </c>
      <c r="S199">
        <f>IF(P199="P",(M199+N199+O199)/3,0.3*H199+0.3*I199+0.2*J199+0.1*K199+0.1*L199)</f>
        <v/>
      </c>
      <c r="T199">
        <f>IF(P199="P",IFNA(VLOOKUP(B199,Pitcher_RoleAdj!$A:$B,2,FALSE),0),IFNA(VLOOKUP(B199,Hitter_PrimaryAdj!$A:$B,2,FALSE),0))</f>
        <v/>
      </c>
      <c r="U199">
        <f>IFNA(VLOOKUP(IF(C199="","(none)",C199),SecondaryAdj!$A:$B,2,FALSE),0)</f>
        <v/>
      </c>
      <c r="V199">
        <f>IF(P199="P",0.7780+0.1628*S199+0.2957*Q199-0.1912*R199-0.1512*IF(D199="S",1,0)+0.1600*IF(E199="L",1,0)+0.0091*H199+0.0124*I199+0.0017*J199+T199+U199,-0.8294+0.1849*S199+0.1750*Q199-0.2969*R199+0.6924*IF(D199="S",1,0)+0.0457*IF(E199="L",1,0)+T199+U199)</f>
        <v/>
      </c>
      <c r="W199">
        <f>MAX(0,MIN(16,ROUND(V199,0)))</f>
        <v/>
      </c>
      <c r="X199">
        <f>IFNA(VLOOKUP(W199,Grade_Scale!$A:$B,2,FALSE),"F")</f>
        <v/>
      </c>
      <c r="Z199">
        <f>IF(Y199="","",W199-IFNA(VLOOKUP(Y199,Grade_Scale!$D:$E,2,FALSE),""))</f>
        <v/>
      </c>
    </row>
    <row r="200">
      <c r="P200">
        <f>IF(OR(B200="SP",B200="RP",B200="CP",B200="SP/RP"),"P","H")</f>
        <v/>
      </c>
      <c r="Q200">
        <f>IF(F200="",0,IFNA(VLOOKUP(F200,Trait_Polarity!$A:$C,2,FALSE),0))+IF(G200="",0,IFNA(VLOOKUP(G200,Trait_Polarity!$A:$C,2,FALSE),0))</f>
        <v/>
      </c>
      <c r="R200">
        <f>IF(F200="",0,IFNA(VLOOKUP(F200,Trait_Polarity!$A:$C,3,FALSE),0))+IF(G200="",0,IFNA(VLOOKUP(G200,Trait_Polarity!$A:$C,3,FALSE),0))</f>
        <v/>
      </c>
      <c r="S200">
        <f>IF(P200="P",(M200+N200+O200)/3,0.3*H200+0.3*I200+0.2*J200+0.1*K200+0.1*L200)</f>
        <v/>
      </c>
      <c r="T200">
        <f>IF(P200="P",IFNA(VLOOKUP(B200,Pitcher_RoleAdj!$A:$B,2,FALSE),0),IFNA(VLOOKUP(B200,Hitter_PrimaryAdj!$A:$B,2,FALSE),0))</f>
        <v/>
      </c>
      <c r="U200">
        <f>IFNA(VLOOKUP(IF(C200="","(none)",C200),SecondaryAdj!$A:$B,2,FALSE),0)</f>
        <v/>
      </c>
      <c r="V200">
        <f>IF(P200="P",0.7780+0.1628*S200+0.2957*Q200-0.1912*R200-0.1512*IF(D200="S",1,0)+0.1600*IF(E200="L",1,0)+0.0091*H200+0.0124*I200+0.0017*J200+T200+U200,-0.8294+0.1849*S200+0.1750*Q200-0.2969*R200+0.6924*IF(D200="S",1,0)+0.0457*IF(E200="L",1,0)+T200+U200)</f>
        <v/>
      </c>
      <c r="W200">
        <f>MAX(0,MIN(16,ROUND(V200,0)))</f>
        <v/>
      </c>
      <c r="X200">
        <f>IFNA(VLOOKUP(W200,Grade_Scale!$A:$B,2,FALSE),"F")</f>
        <v/>
      </c>
      <c r="Z200">
        <f>IF(Y200="","",W200-IFNA(VLOOKUP(Y200,Grade_Scale!$D:$E,2,FALSE),""))</f>
        <v/>
      </c>
    </row>
    <row r="201">
      <c r="P201">
        <f>IF(OR(B201="SP",B201="RP",B201="CP",B201="SP/RP"),"P","H")</f>
        <v/>
      </c>
      <c r="Q201">
        <f>IF(F201="",0,IFNA(VLOOKUP(F201,Trait_Polarity!$A:$C,2,FALSE),0))+IF(G201="",0,IFNA(VLOOKUP(G201,Trait_Polarity!$A:$C,2,FALSE),0))</f>
        <v/>
      </c>
      <c r="R201">
        <f>IF(F201="",0,IFNA(VLOOKUP(F201,Trait_Polarity!$A:$C,3,FALSE),0))+IF(G201="",0,IFNA(VLOOKUP(G201,Trait_Polarity!$A:$C,3,FALSE),0))</f>
        <v/>
      </c>
      <c r="S201">
        <f>IF(P201="P",(M201+N201+O201)/3,0.3*H201+0.3*I201+0.2*J201+0.1*K201+0.1*L201)</f>
        <v/>
      </c>
      <c r="T201">
        <f>IF(P201="P",IFNA(VLOOKUP(B201,Pitcher_RoleAdj!$A:$B,2,FALSE),0),IFNA(VLOOKUP(B201,Hitter_PrimaryAdj!$A:$B,2,FALSE),0))</f>
        <v/>
      </c>
      <c r="U201">
        <f>IFNA(VLOOKUP(IF(C201="","(none)",C201),SecondaryAdj!$A:$B,2,FALSE),0)</f>
        <v/>
      </c>
      <c r="V201">
        <f>IF(P201="P",0.7780+0.1628*S201+0.2957*Q201-0.1912*R201-0.1512*IF(D201="S",1,0)+0.1600*IF(E201="L",1,0)+0.0091*H201+0.0124*I201+0.0017*J201+T201+U201,-0.8294+0.1849*S201+0.1750*Q201-0.2969*R201+0.6924*IF(D201="S",1,0)+0.0457*IF(E201="L",1,0)+T201+U201)</f>
        <v/>
      </c>
      <c r="W201">
        <f>MAX(0,MIN(16,ROUND(V201,0)))</f>
        <v/>
      </c>
      <c r="X201">
        <f>IFNA(VLOOKUP(W201,Grade_Scale!$A:$B,2,FALSE),"F")</f>
        <v/>
      </c>
      <c r="Z201">
        <f>IF(Y201="","",W201-IFNA(VLOOKUP(Y201,Grade_Scale!$D:$E,2,FALSE),""))</f>
        <v/>
      </c>
    </row>
    <row r="202">
      <c r="P202">
        <f>IF(OR(B202="SP",B202="RP",B202="CP",B202="SP/RP"),"P","H")</f>
        <v/>
      </c>
      <c r="Q202">
        <f>IF(F202="",0,IFNA(VLOOKUP(F202,Trait_Polarity!$A:$C,2,FALSE),0))+IF(G202="",0,IFNA(VLOOKUP(G202,Trait_Polarity!$A:$C,2,FALSE),0))</f>
        <v/>
      </c>
      <c r="R202">
        <f>IF(F202="",0,IFNA(VLOOKUP(F202,Trait_Polarity!$A:$C,3,FALSE),0))+IF(G202="",0,IFNA(VLOOKUP(G202,Trait_Polarity!$A:$C,3,FALSE),0))</f>
        <v/>
      </c>
      <c r="S202">
        <f>IF(P202="P",(M202+N202+O202)/3,0.3*H202+0.3*I202+0.2*J202+0.1*K202+0.1*L202)</f>
        <v/>
      </c>
      <c r="T202">
        <f>IF(P202="P",IFNA(VLOOKUP(B202,Pitcher_RoleAdj!$A:$B,2,FALSE),0),IFNA(VLOOKUP(B202,Hitter_PrimaryAdj!$A:$B,2,FALSE),0))</f>
        <v/>
      </c>
      <c r="U202">
        <f>IFNA(VLOOKUP(IF(C202="","(none)",C202),SecondaryAdj!$A:$B,2,FALSE),0)</f>
        <v/>
      </c>
      <c r="V202">
        <f>IF(P202="P",0.7780+0.1628*S202+0.2957*Q202-0.1912*R202-0.1512*IF(D202="S",1,0)+0.1600*IF(E202="L",1,0)+0.0091*H202+0.0124*I202+0.0017*J202+T202+U202,-0.8294+0.1849*S202+0.1750*Q202-0.2969*R202+0.6924*IF(D202="S",1,0)+0.0457*IF(E202="L",1,0)+T202+U202)</f>
        <v/>
      </c>
      <c r="W202">
        <f>MAX(0,MIN(16,ROUND(V202,0)))</f>
        <v/>
      </c>
      <c r="X202">
        <f>IFNA(VLOOKUP(W202,Grade_Scale!$A:$B,2,FALSE),"F")</f>
        <v/>
      </c>
      <c r="Z202">
        <f>IF(Y202="","",W202-IFNA(VLOOKUP(Y202,Grade_Scale!$D:$E,2,FALSE),""))</f>
        <v/>
      </c>
    </row>
    <row r="203">
      <c r="P203">
        <f>IF(OR(B203="SP",B203="RP",B203="CP",B203="SP/RP"),"P","H")</f>
        <v/>
      </c>
      <c r="Q203">
        <f>IF(F203="",0,IFNA(VLOOKUP(F203,Trait_Polarity!$A:$C,2,FALSE),0))+IF(G203="",0,IFNA(VLOOKUP(G203,Trait_Polarity!$A:$C,2,FALSE),0))</f>
        <v/>
      </c>
      <c r="R203">
        <f>IF(F203="",0,IFNA(VLOOKUP(F203,Trait_Polarity!$A:$C,3,FALSE),0))+IF(G203="",0,IFNA(VLOOKUP(G203,Trait_Polarity!$A:$C,3,FALSE),0))</f>
        <v/>
      </c>
      <c r="S203">
        <f>IF(P203="P",(M203+N203+O203)/3,0.3*H203+0.3*I203+0.2*J203+0.1*K203+0.1*L203)</f>
        <v/>
      </c>
      <c r="T203">
        <f>IF(P203="P",IFNA(VLOOKUP(B203,Pitcher_RoleAdj!$A:$B,2,FALSE),0),IFNA(VLOOKUP(B203,Hitter_PrimaryAdj!$A:$B,2,FALSE),0))</f>
        <v/>
      </c>
      <c r="U203">
        <f>IFNA(VLOOKUP(IF(C203="","(none)",C203),SecondaryAdj!$A:$B,2,FALSE),0)</f>
        <v/>
      </c>
      <c r="V203">
        <f>IF(P203="P",0.7780+0.1628*S203+0.2957*Q203-0.1912*R203-0.1512*IF(D203="S",1,0)+0.1600*IF(E203="L",1,0)+0.0091*H203+0.0124*I203+0.0017*J203+T203+U203,-0.8294+0.1849*S203+0.1750*Q203-0.2969*R203+0.6924*IF(D203="S",1,0)+0.0457*IF(E203="L",1,0)+T203+U203)</f>
        <v/>
      </c>
      <c r="W203">
        <f>MAX(0,MIN(16,ROUND(V203,0)))</f>
        <v/>
      </c>
      <c r="X203">
        <f>IFNA(VLOOKUP(W203,Grade_Scale!$A:$B,2,FALSE),"F")</f>
        <v/>
      </c>
      <c r="Z203">
        <f>IF(Y203="","",W203-IFNA(VLOOKUP(Y203,Grade_Scale!$D:$E,2,FALSE),""))</f>
        <v/>
      </c>
    </row>
    <row r="204">
      <c r="P204">
        <f>IF(OR(B204="SP",B204="RP",B204="CP",B204="SP/RP"),"P","H")</f>
        <v/>
      </c>
      <c r="Q204">
        <f>IF(F204="",0,IFNA(VLOOKUP(F204,Trait_Polarity!$A:$C,2,FALSE),0))+IF(G204="",0,IFNA(VLOOKUP(G204,Trait_Polarity!$A:$C,2,FALSE),0))</f>
        <v/>
      </c>
      <c r="R204">
        <f>IF(F204="",0,IFNA(VLOOKUP(F204,Trait_Polarity!$A:$C,3,FALSE),0))+IF(G204="",0,IFNA(VLOOKUP(G204,Trait_Polarity!$A:$C,3,FALSE),0))</f>
        <v/>
      </c>
      <c r="S204">
        <f>IF(P204="P",(M204+N204+O204)/3,0.3*H204+0.3*I204+0.2*J204+0.1*K204+0.1*L204)</f>
        <v/>
      </c>
      <c r="T204">
        <f>IF(P204="P",IFNA(VLOOKUP(B204,Pitcher_RoleAdj!$A:$B,2,FALSE),0),IFNA(VLOOKUP(B204,Hitter_PrimaryAdj!$A:$B,2,FALSE),0))</f>
        <v/>
      </c>
      <c r="U204">
        <f>IFNA(VLOOKUP(IF(C204="","(none)",C204),SecondaryAdj!$A:$B,2,FALSE),0)</f>
        <v/>
      </c>
      <c r="V204">
        <f>IF(P204="P",0.7780+0.1628*S204+0.2957*Q204-0.1912*R204-0.1512*IF(D204="S",1,0)+0.1600*IF(E204="L",1,0)+0.0091*H204+0.0124*I204+0.0017*J204+T204+U204,-0.8294+0.1849*S204+0.1750*Q204-0.2969*R204+0.6924*IF(D204="S",1,0)+0.0457*IF(E204="L",1,0)+T204+U204)</f>
        <v/>
      </c>
      <c r="W204">
        <f>MAX(0,MIN(16,ROUND(V204,0)))</f>
        <v/>
      </c>
      <c r="X204">
        <f>IFNA(VLOOKUP(W204,Grade_Scale!$A:$B,2,FALSE),"F")</f>
        <v/>
      </c>
      <c r="Z204">
        <f>IF(Y204="","",W204-IFNA(VLOOKUP(Y204,Grade_Scale!$D:$E,2,FALSE),""))</f>
        <v/>
      </c>
    </row>
    <row r="205">
      <c r="P205">
        <f>IF(OR(B205="SP",B205="RP",B205="CP",B205="SP/RP"),"P","H")</f>
        <v/>
      </c>
      <c r="Q205">
        <f>IF(F205="",0,IFNA(VLOOKUP(F205,Trait_Polarity!$A:$C,2,FALSE),0))+IF(G205="",0,IFNA(VLOOKUP(G205,Trait_Polarity!$A:$C,2,FALSE),0))</f>
        <v/>
      </c>
      <c r="R205">
        <f>IF(F205="",0,IFNA(VLOOKUP(F205,Trait_Polarity!$A:$C,3,FALSE),0))+IF(G205="",0,IFNA(VLOOKUP(G205,Trait_Polarity!$A:$C,3,FALSE),0))</f>
        <v/>
      </c>
      <c r="S205">
        <f>IF(P205="P",(M205+N205+O205)/3,0.3*H205+0.3*I205+0.2*J205+0.1*K205+0.1*L205)</f>
        <v/>
      </c>
      <c r="T205">
        <f>IF(P205="P",IFNA(VLOOKUP(B205,Pitcher_RoleAdj!$A:$B,2,FALSE),0),IFNA(VLOOKUP(B205,Hitter_PrimaryAdj!$A:$B,2,FALSE),0))</f>
        <v/>
      </c>
      <c r="U205">
        <f>IFNA(VLOOKUP(IF(C205="","(none)",C205),SecondaryAdj!$A:$B,2,FALSE),0)</f>
        <v/>
      </c>
      <c r="V205">
        <f>IF(P205="P",0.7780+0.1628*S205+0.2957*Q205-0.1912*R205-0.1512*IF(D205="S",1,0)+0.1600*IF(E205="L",1,0)+0.0091*H205+0.0124*I205+0.0017*J205+T205+U205,-0.8294+0.1849*S205+0.1750*Q205-0.2969*R205+0.6924*IF(D205="S",1,0)+0.0457*IF(E205="L",1,0)+T205+U205)</f>
        <v/>
      </c>
      <c r="W205">
        <f>MAX(0,MIN(16,ROUND(V205,0)))</f>
        <v/>
      </c>
      <c r="X205">
        <f>IFNA(VLOOKUP(W205,Grade_Scale!$A:$B,2,FALSE),"F")</f>
        <v/>
      </c>
      <c r="Z205">
        <f>IF(Y205="","",W205-IFNA(VLOOKUP(Y205,Grade_Scale!$D:$E,2,FALSE),""))</f>
        <v/>
      </c>
    </row>
    <row r="206">
      <c r="P206">
        <f>IF(OR(B206="SP",B206="RP",B206="CP",B206="SP/RP"),"P","H")</f>
        <v/>
      </c>
      <c r="Q206">
        <f>IF(F206="",0,IFNA(VLOOKUP(F206,Trait_Polarity!$A:$C,2,FALSE),0))+IF(G206="",0,IFNA(VLOOKUP(G206,Trait_Polarity!$A:$C,2,FALSE),0))</f>
        <v/>
      </c>
      <c r="R206">
        <f>IF(F206="",0,IFNA(VLOOKUP(F206,Trait_Polarity!$A:$C,3,FALSE),0))+IF(G206="",0,IFNA(VLOOKUP(G206,Trait_Polarity!$A:$C,3,FALSE),0))</f>
        <v/>
      </c>
      <c r="S206">
        <f>IF(P206="P",(M206+N206+O206)/3,0.3*H206+0.3*I206+0.2*J206+0.1*K206+0.1*L206)</f>
        <v/>
      </c>
      <c r="T206">
        <f>IF(P206="P",IFNA(VLOOKUP(B206,Pitcher_RoleAdj!$A:$B,2,FALSE),0),IFNA(VLOOKUP(B206,Hitter_PrimaryAdj!$A:$B,2,FALSE),0))</f>
        <v/>
      </c>
      <c r="U206">
        <f>IFNA(VLOOKUP(IF(C206="","(none)",C206),SecondaryAdj!$A:$B,2,FALSE),0)</f>
        <v/>
      </c>
      <c r="V206">
        <f>IF(P206="P",0.7780+0.1628*S206+0.2957*Q206-0.1912*R206-0.1512*IF(D206="S",1,0)+0.1600*IF(E206="L",1,0)+0.0091*H206+0.0124*I206+0.0017*J206+T206+U206,-0.8294+0.1849*S206+0.1750*Q206-0.2969*R206+0.6924*IF(D206="S",1,0)+0.0457*IF(E206="L",1,0)+T206+U206)</f>
        <v/>
      </c>
      <c r="W206">
        <f>MAX(0,MIN(16,ROUND(V206,0)))</f>
        <v/>
      </c>
      <c r="X206">
        <f>IFNA(VLOOKUP(W206,Grade_Scale!$A:$B,2,FALSE),"F")</f>
        <v/>
      </c>
      <c r="Z206">
        <f>IF(Y206="","",W206-IFNA(VLOOKUP(Y206,Grade_Scale!$D:$E,2,FALSE),""))</f>
        <v/>
      </c>
    </row>
    <row r="207">
      <c r="P207">
        <f>IF(OR(B207="SP",B207="RP",B207="CP",B207="SP/RP"),"P","H")</f>
        <v/>
      </c>
      <c r="Q207">
        <f>IF(F207="",0,IFNA(VLOOKUP(F207,Trait_Polarity!$A:$C,2,FALSE),0))+IF(G207="",0,IFNA(VLOOKUP(G207,Trait_Polarity!$A:$C,2,FALSE),0))</f>
        <v/>
      </c>
      <c r="R207">
        <f>IF(F207="",0,IFNA(VLOOKUP(F207,Trait_Polarity!$A:$C,3,FALSE),0))+IF(G207="",0,IFNA(VLOOKUP(G207,Trait_Polarity!$A:$C,3,FALSE),0))</f>
        <v/>
      </c>
      <c r="S207">
        <f>IF(P207="P",(M207+N207+O207)/3,0.3*H207+0.3*I207+0.2*J207+0.1*K207+0.1*L207)</f>
        <v/>
      </c>
      <c r="T207">
        <f>IF(P207="P",IFNA(VLOOKUP(B207,Pitcher_RoleAdj!$A:$B,2,FALSE),0),IFNA(VLOOKUP(B207,Hitter_PrimaryAdj!$A:$B,2,FALSE),0))</f>
        <v/>
      </c>
      <c r="U207">
        <f>IFNA(VLOOKUP(IF(C207="","(none)",C207),SecondaryAdj!$A:$B,2,FALSE),0)</f>
        <v/>
      </c>
      <c r="V207">
        <f>IF(P207="P",0.7780+0.1628*S207+0.2957*Q207-0.1912*R207-0.1512*IF(D207="S",1,0)+0.1600*IF(E207="L",1,0)+0.0091*H207+0.0124*I207+0.0017*J207+T207+U207,-0.8294+0.1849*S207+0.1750*Q207-0.2969*R207+0.6924*IF(D207="S",1,0)+0.0457*IF(E207="L",1,0)+T207+U207)</f>
        <v/>
      </c>
      <c r="W207">
        <f>MAX(0,MIN(16,ROUND(V207,0)))</f>
        <v/>
      </c>
      <c r="X207">
        <f>IFNA(VLOOKUP(W207,Grade_Scale!$A:$B,2,FALSE),"F")</f>
        <v/>
      </c>
      <c r="Z207">
        <f>IF(Y207="","",W207-IFNA(VLOOKUP(Y207,Grade_Scale!$D:$E,2,FALSE),""))</f>
        <v/>
      </c>
    </row>
    <row r="208">
      <c r="P208">
        <f>IF(OR(B208="SP",B208="RP",B208="CP",B208="SP/RP"),"P","H")</f>
        <v/>
      </c>
      <c r="Q208">
        <f>IF(F208="",0,IFNA(VLOOKUP(F208,Trait_Polarity!$A:$C,2,FALSE),0))+IF(G208="",0,IFNA(VLOOKUP(G208,Trait_Polarity!$A:$C,2,FALSE),0))</f>
        <v/>
      </c>
      <c r="R208">
        <f>IF(F208="",0,IFNA(VLOOKUP(F208,Trait_Polarity!$A:$C,3,FALSE),0))+IF(G208="",0,IFNA(VLOOKUP(G208,Trait_Polarity!$A:$C,3,FALSE),0))</f>
        <v/>
      </c>
      <c r="S208">
        <f>IF(P208="P",(M208+N208+O208)/3,0.3*H208+0.3*I208+0.2*J208+0.1*K208+0.1*L208)</f>
        <v/>
      </c>
      <c r="T208">
        <f>IF(P208="P",IFNA(VLOOKUP(B208,Pitcher_RoleAdj!$A:$B,2,FALSE),0),IFNA(VLOOKUP(B208,Hitter_PrimaryAdj!$A:$B,2,FALSE),0))</f>
        <v/>
      </c>
      <c r="U208">
        <f>IFNA(VLOOKUP(IF(C208="","(none)",C208),SecondaryAdj!$A:$B,2,FALSE),0)</f>
        <v/>
      </c>
      <c r="V208">
        <f>IF(P208="P",0.7780+0.1628*S208+0.2957*Q208-0.1912*R208-0.1512*IF(D208="S",1,0)+0.1600*IF(E208="L",1,0)+0.0091*H208+0.0124*I208+0.0017*J208+T208+U208,-0.8294+0.1849*S208+0.1750*Q208-0.2969*R208+0.6924*IF(D208="S",1,0)+0.0457*IF(E208="L",1,0)+T208+U208)</f>
        <v/>
      </c>
      <c r="W208">
        <f>MAX(0,MIN(16,ROUND(V208,0)))</f>
        <v/>
      </c>
      <c r="X208">
        <f>IFNA(VLOOKUP(W208,Grade_Scale!$A:$B,2,FALSE),"F")</f>
        <v/>
      </c>
      <c r="Z208">
        <f>IF(Y208="","",W208-IFNA(VLOOKUP(Y208,Grade_Scale!$D:$E,2,FALSE),""))</f>
        <v/>
      </c>
    </row>
    <row r="209">
      <c r="P209">
        <f>IF(OR(B209="SP",B209="RP",B209="CP",B209="SP/RP"),"P","H")</f>
        <v/>
      </c>
      <c r="Q209">
        <f>IF(F209="",0,IFNA(VLOOKUP(F209,Trait_Polarity!$A:$C,2,FALSE),0))+IF(G209="",0,IFNA(VLOOKUP(G209,Trait_Polarity!$A:$C,2,FALSE),0))</f>
        <v/>
      </c>
      <c r="R209">
        <f>IF(F209="",0,IFNA(VLOOKUP(F209,Trait_Polarity!$A:$C,3,FALSE),0))+IF(G209="",0,IFNA(VLOOKUP(G209,Trait_Polarity!$A:$C,3,FALSE),0))</f>
        <v/>
      </c>
      <c r="S209">
        <f>IF(P209="P",(M209+N209+O209)/3,0.3*H209+0.3*I209+0.2*J209+0.1*K209+0.1*L209)</f>
        <v/>
      </c>
      <c r="T209">
        <f>IF(P209="P",IFNA(VLOOKUP(B209,Pitcher_RoleAdj!$A:$B,2,FALSE),0),IFNA(VLOOKUP(B209,Hitter_PrimaryAdj!$A:$B,2,FALSE),0))</f>
        <v/>
      </c>
      <c r="U209">
        <f>IFNA(VLOOKUP(IF(C209="","(none)",C209),SecondaryAdj!$A:$B,2,FALSE),0)</f>
        <v/>
      </c>
      <c r="V209">
        <f>IF(P209="P",0.7780+0.1628*S209+0.2957*Q209-0.1912*R209-0.1512*IF(D209="S",1,0)+0.1600*IF(E209="L",1,0)+0.0091*H209+0.0124*I209+0.0017*J209+T209+U209,-0.8294+0.1849*S209+0.1750*Q209-0.2969*R209+0.6924*IF(D209="S",1,0)+0.0457*IF(E209="L",1,0)+T209+U209)</f>
        <v/>
      </c>
      <c r="W209">
        <f>MAX(0,MIN(16,ROUND(V209,0)))</f>
        <v/>
      </c>
      <c r="X209">
        <f>IFNA(VLOOKUP(W209,Grade_Scale!$A:$B,2,FALSE),"F")</f>
        <v/>
      </c>
      <c r="Z209">
        <f>IF(Y209="","",W209-IFNA(VLOOKUP(Y209,Grade_Scale!$D:$E,2,FALSE),""))</f>
        <v/>
      </c>
    </row>
    <row r="210">
      <c r="P210">
        <f>IF(OR(B210="SP",B210="RP",B210="CP",B210="SP/RP"),"P","H")</f>
        <v/>
      </c>
      <c r="Q210">
        <f>IF(F210="",0,IFNA(VLOOKUP(F210,Trait_Polarity!$A:$C,2,FALSE),0))+IF(G210="",0,IFNA(VLOOKUP(G210,Trait_Polarity!$A:$C,2,FALSE),0))</f>
        <v/>
      </c>
      <c r="R210">
        <f>IF(F210="",0,IFNA(VLOOKUP(F210,Trait_Polarity!$A:$C,3,FALSE),0))+IF(G210="",0,IFNA(VLOOKUP(G210,Trait_Polarity!$A:$C,3,FALSE),0))</f>
        <v/>
      </c>
      <c r="S210">
        <f>IF(P210="P",(M210+N210+O210)/3,0.3*H210+0.3*I210+0.2*J210+0.1*K210+0.1*L210)</f>
        <v/>
      </c>
      <c r="T210">
        <f>IF(P210="P",IFNA(VLOOKUP(B210,Pitcher_RoleAdj!$A:$B,2,FALSE),0),IFNA(VLOOKUP(B210,Hitter_PrimaryAdj!$A:$B,2,FALSE),0))</f>
        <v/>
      </c>
      <c r="U210">
        <f>IFNA(VLOOKUP(IF(C210="","(none)",C210),SecondaryAdj!$A:$B,2,FALSE),0)</f>
        <v/>
      </c>
      <c r="V210">
        <f>IF(P210="P",0.7780+0.1628*S210+0.2957*Q210-0.1912*R210-0.1512*IF(D210="S",1,0)+0.1600*IF(E210="L",1,0)+0.0091*H210+0.0124*I210+0.0017*J210+T210+U210,-0.8294+0.1849*S210+0.1750*Q210-0.2969*R210+0.6924*IF(D210="S",1,0)+0.0457*IF(E210="L",1,0)+T210+U210)</f>
        <v/>
      </c>
      <c r="W210">
        <f>MAX(0,MIN(16,ROUND(V210,0)))</f>
        <v/>
      </c>
      <c r="X210">
        <f>IFNA(VLOOKUP(W210,Grade_Scale!$A:$B,2,FALSE),"F")</f>
        <v/>
      </c>
      <c r="Z210">
        <f>IF(Y210="","",W210-IFNA(VLOOKUP(Y210,Grade_Scale!$D:$E,2,FALSE),""))</f>
        <v/>
      </c>
    </row>
    <row r="211">
      <c r="P211">
        <f>IF(OR(B211="SP",B211="RP",B211="CP",B211="SP/RP"),"P","H")</f>
        <v/>
      </c>
      <c r="Q211">
        <f>IF(F211="",0,IFNA(VLOOKUP(F211,Trait_Polarity!$A:$C,2,FALSE),0))+IF(G211="",0,IFNA(VLOOKUP(G211,Trait_Polarity!$A:$C,2,FALSE),0))</f>
        <v/>
      </c>
      <c r="R211">
        <f>IF(F211="",0,IFNA(VLOOKUP(F211,Trait_Polarity!$A:$C,3,FALSE),0))+IF(G211="",0,IFNA(VLOOKUP(G211,Trait_Polarity!$A:$C,3,FALSE),0))</f>
        <v/>
      </c>
      <c r="S211">
        <f>IF(P211="P",(M211+N211+O211)/3,0.3*H211+0.3*I211+0.2*J211+0.1*K211+0.1*L211)</f>
        <v/>
      </c>
      <c r="T211">
        <f>IF(P211="P",IFNA(VLOOKUP(B211,Pitcher_RoleAdj!$A:$B,2,FALSE),0),IFNA(VLOOKUP(B211,Hitter_PrimaryAdj!$A:$B,2,FALSE),0))</f>
        <v/>
      </c>
      <c r="U211">
        <f>IFNA(VLOOKUP(IF(C211="","(none)",C211),SecondaryAdj!$A:$B,2,FALSE),0)</f>
        <v/>
      </c>
      <c r="V211">
        <f>IF(P211="P",0.7780+0.1628*S211+0.2957*Q211-0.1912*R211-0.1512*IF(D211="S",1,0)+0.1600*IF(E211="L",1,0)+0.0091*H211+0.0124*I211+0.0017*J211+T211+U211,-0.8294+0.1849*S211+0.1750*Q211-0.2969*R211+0.6924*IF(D211="S",1,0)+0.0457*IF(E211="L",1,0)+T211+U211)</f>
        <v/>
      </c>
      <c r="W211">
        <f>MAX(0,MIN(16,ROUND(V211,0)))</f>
        <v/>
      </c>
      <c r="X211">
        <f>IFNA(VLOOKUP(W211,Grade_Scale!$A:$B,2,FALSE),"F")</f>
        <v/>
      </c>
      <c r="Z211">
        <f>IF(Y211="","",W211-IFNA(VLOOKUP(Y211,Grade_Scale!$D:$E,2,FALSE),""))</f>
        <v/>
      </c>
    </row>
    <row r="212">
      <c r="P212">
        <f>IF(OR(B212="SP",B212="RP",B212="CP",B212="SP/RP"),"P","H")</f>
        <v/>
      </c>
      <c r="Q212">
        <f>IF(F212="",0,IFNA(VLOOKUP(F212,Trait_Polarity!$A:$C,2,FALSE),0))+IF(G212="",0,IFNA(VLOOKUP(G212,Trait_Polarity!$A:$C,2,FALSE),0))</f>
        <v/>
      </c>
      <c r="R212">
        <f>IF(F212="",0,IFNA(VLOOKUP(F212,Trait_Polarity!$A:$C,3,FALSE),0))+IF(G212="",0,IFNA(VLOOKUP(G212,Trait_Polarity!$A:$C,3,FALSE),0))</f>
        <v/>
      </c>
      <c r="S212">
        <f>IF(P212="P",(M212+N212+O212)/3,0.3*H212+0.3*I212+0.2*J212+0.1*K212+0.1*L212)</f>
        <v/>
      </c>
      <c r="T212">
        <f>IF(P212="P",IFNA(VLOOKUP(B212,Pitcher_RoleAdj!$A:$B,2,FALSE),0),IFNA(VLOOKUP(B212,Hitter_PrimaryAdj!$A:$B,2,FALSE),0))</f>
        <v/>
      </c>
      <c r="U212">
        <f>IFNA(VLOOKUP(IF(C212="","(none)",C212),SecondaryAdj!$A:$B,2,FALSE),0)</f>
        <v/>
      </c>
      <c r="V212">
        <f>IF(P212="P",0.7780+0.1628*S212+0.2957*Q212-0.1912*R212-0.1512*IF(D212="S",1,0)+0.1600*IF(E212="L",1,0)+0.0091*H212+0.0124*I212+0.0017*J212+T212+U212,-0.8294+0.1849*S212+0.1750*Q212-0.2969*R212+0.6924*IF(D212="S",1,0)+0.0457*IF(E212="L",1,0)+T212+U212)</f>
        <v/>
      </c>
      <c r="W212">
        <f>MAX(0,MIN(16,ROUND(V212,0)))</f>
        <v/>
      </c>
      <c r="X212">
        <f>IFNA(VLOOKUP(W212,Grade_Scale!$A:$B,2,FALSE),"F")</f>
        <v/>
      </c>
      <c r="Z212">
        <f>IF(Y212="","",W212-IFNA(VLOOKUP(Y212,Grade_Scale!$D:$E,2,FALSE),""))</f>
        <v/>
      </c>
    </row>
    <row r="213">
      <c r="P213">
        <f>IF(OR(B213="SP",B213="RP",B213="CP",B213="SP/RP"),"P","H")</f>
        <v/>
      </c>
      <c r="Q213">
        <f>IF(F213="",0,IFNA(VLOOKUP(F213,Trait_Polarity!$A:$C,2,FALSE),0))+IF(G213="",0,IFNA(VLOOKUP(G213,Trait_Polarity!$A:$C,2,FALSE),0))</f>
        <v/>
      </c>
      <c r="R213">
        <f>IF(F213="",0,IFNA(VLOOKUP(F213,Trait_Polarity!$A:$C,3,FALSE),0))+IF(G213="",0,IFNA(VLOOKUP(G213,Trait_Polarity!$A:$C,3,FALSE),0))</f>
        <v/>
      </c>
      <c r="S213">
        <f>IF(P213="P",(M213+N213+O213)/3,0.3*H213+0.3*I213+0.2*J213+0.1*K213+0.1*L213)</f>
        <v/>
      </c>
      <c r="T213">
        <f>IF(P213="P",IFNA(VLOOKUP(B213,Pitcher_RoleAdj!$A:$B,2,FALSE),0),IFNA(VLOOKUP(B213,Hitter_PrimaryAdj!$A:$B,2,FALSE),0))</f>
        <v/>
      </c>
      <c r="U213">
        <f>IFNA(VLOOKUP(IF(C213="","(none)",C213),SecondaryAdj!$A:$B,2,FALSE),0)</f>
        <v/>
      </c>
      <c r="V213">
        <f>IF(P213="P",0.7780+0.1628*S213+0.2957*Q213-0.1912*R213-0.1512*IF(D213="S",1,0)+0.1600*IF(E213="L",1,0)+0.0091*H213+0.0124*I213+0.0017*J213+T213+U213,-0.8294+0.1849*S213+0.1750*Q213-0.2969*R213+0.6924*IF(D213="S",1,0)+0.0457*IF(E213="L",1,0)+T213+U213)</f>
        <v/>
      </c>
      <c r="W213">
        <f>MAX(0,MIN(16,ROUND(V213,0)))</f>
        <v/>
      </c>
      <c r="X213">
        <f>IFNA(VLOOKUP(W213,Grade_Scale!$A:$B,2,FALSE),"F")</f>
        <v/>
      </c>
      <c r="Z213">
        <f>IF(Y213="","",W213-IFNA(VLOOKUP(Y213,Grade_Scale!$D:$E,2,FALSE),""))</f>
        <v/>
      </c>
    </row>
    <row r="214">
      <c r="P214">
        <f>IF(OR(B214="SP",B214="RP",B214="CP",B214="SP/RP"),"P","H")</f>
        <v/>
      </c>
      <c r="Q214">
        <f>IF(F214="",0,IFNA(VLOOKUP(F214,Trait_Polarity!$A:$C,2,FALSE),0))+IF(G214="",0,IFNA(VLOOKUP(G214,Trait_Polarity!$A:$C,2,FALSE),0))</f>
        <v/>
      </c>
      <c r="R214">
        <f>IF(F214="",0,IFNA(VLOOKUP(F214,Trait_Polarity!$A:$C,3,FALSE),0))+IF(G214="",0,IFNA(VLOOKUP(G214,Trait_Polarity!$A:$C,3,FALSE),0))</f>
        <v/>
      </c>
      <c r="S214">
        <f>IF(P214="P",(M214+N214+O214)/3,0.3*H214+0.3*I214+0.2*J214+0.1*K214+0.1*L214)</f>
        <v/>
      </c>
      <c r="T214">
        <f>IF(P214="P",IFNA(VLOOKUP(B214,Pitcher_RoleAdj!$A:$B,2,FALSE),0),IFNA(VLOOKUP(B214,Hitter_PrimaryAdj!$A:$B,2,FALSE),0))</f>
        <v/>
      </c>
      <c r="U214">
        <f>IFNA(VLOOKUP(IF(C214="","(none)",C214),SecondaryAdj!$A:$B,2,FALSE),0)</f>
        <v/>
      </c>
      <c r="V214">
        <f>IF(P214="P",0.7780+0.1628*S214+0.2957*Q214-0.1912*R214-0.1512*IF(D214="S",1,0)+0.1600*IF(E214="L",1,0)+0.0091*H214+0.0124*I214+0.0017*J214+T214+U214,-0.8294+0.1849*S214+0.1750*Q214-0.2969*R214+0.6924*IF(D214="S",1,0)+0.0457*IF(E214="L",1,0)+T214+U214)</f>
        <v/>
      </c>
      <c r="W214">
        <f>MAX(0,MIN(16,ROUND(V214,0)))</f>
        <v/>
      </c>
      <c r="X214">
        <f>IFNA(VLOOKUP(W214,Grade_Scale!$A:$B,2,FALSE),"F")</f>
        <v/>
      </c>
      <c r="Z214">
        <f>IF(Y214="","",W214-IFNA(VLOOKUP(Y214,Grade_Scale!$D:$E,2,FALSE),""))</f>
        <v/>
      </c>
    </row>
    <row r="215">
      <c r="P215">
        <f>IF(OR(B215="SP",B215="RP",B215="CP",B215="SP/RP"),"P","H")</f>
        <v/>
      </c>
      <c r="Q215">
        <f>IF(F215="",0,IFNA(VLOOKUP(F215,Trait_Polarity!$A:$C,2,FALSE),0))+IF(G215="",0,IFNA(VLOOKUP(G215,Trait_Polarity!$A:$C,2,FALSE),0))</f>
        <v/>
      </c>
      <c r="R215">
        <f>IF(F215="",0,IFNA(VLOOKUP(F215,Trait_Polarity!$A:$C,3,FALSE),0))+IF(G215="",0,IFNA(VLOOKUP(G215,Trait_Polarity!$A:$C,3,FALSE),0))</f>
        <v/>
      </c>
      <c r="S215">
        <f>IF(P215="P",(M215+N215+O215)/3,0.3*H215+0.3*I215+0.2*J215+0.1*K215+0.1*L215)</f>
        <v/>
      </c>
      <c r="T215">
        <f>IF(P215="P",IFNA(VLOOKUP(B215,Pitcher_RoleAdj!$A:$B,2,FALSE),0),IFNA(VLOOKUP(B215,Hitter_PrimaryAdj!$A:$B,2,FALSE),0))</f>
        <v/>
      </c>
      <c r="U215">
        <f>IFNA(VLOOKUP(IF(C215="","(none)",C215),SecondaryAdj!$A:$B,2,FALSE),0)</f>
        <v/>
      </c>
      <c r="V215">
        <f>IF(P215="P",0.7780+0.1628*S215+0.2957*Q215-0.1912*R215-0.1512*IF(D215="S",1,0)+0.1600*IF(E215="L",1,0)+0.0091*H215+0.0124*I215+0.0017*J215+T215+U215,-0.8294+0.1849*S215+0.1750*Q215-0.2969*R215+0.6924*IF(D215="S",1,0)+0.0457*IF(E215="L",1,0)+T215+U215)</f>
        <v/>
      </c>
      <c r="W215">
        <f>MAX(0,MIN(16,ROUND(V215,0)))</f>
        <v/>
      </c>
      <c r="X215">
        <f>IFNA(VLOOKUP(W215,Grade_Scale!$A:$B,2,FALSE),"F")</f>
        <v/>
      </c>
      <c r="Z215">
        <f>IF(Y215="","",W215-IFNA(VLOOKUP(Y215,Grade_Scale!$D:$E,2,FALSE),""))</f>
        <v/>
      </c>
    </row>
    <row r="216">
      <c r="P216">
        <f>IF(OR(B216="SP",B216="RP",B216="CP",B216="SP/RP"),"P","H")</f>
        <v/>
      </c>
      <c r="Q216">
        <f>IF(F216="",0,IFNA(VLOOKUP(F216,Trait_Polarity!$A:$C,2,FALSE),0))+IF(G216="",0,IFNA(VLOOKUP(G216,Trait_Polarity!$A:$C,2,FALSE),0))</f>
        <v/>
      </c>
      <c r="R216">
        <f>IF(F216="",0,IFNA(VLOOKUP(F216,Trait_Polarity!$A:$C,3,FALSE),0))+IF(G216="",0,IFNA(VLOOKUP(G216,Trait_Polarity!$A:$C,3,FALSE),0))</f>
        <v/>
      </c>
      <c r="S216">
        <f>IF(P216="P",(M216+N216+O216)/3,0.3*H216+0.3*I216+0.2*J216+0.1*K216+0.1*L216)</f>
        <v/>
      </c>
      <c r="T216">
        <f>IF(P216="P",IFNA(VLOOKUP(B216,Pitcher_RoleAdj!$A:$B,2,FALSE),0),IFNA(VLOOKUP(B216,Hitter_PrimaryAdj!$A:$B,2,FALSE),0))</f>
        <v/>
      </c>
      <c r="U216">
        <f>IFNA(VLOOKUP(IF(C216="","(none)",C216),SecondaryAdj!$A:$B,2,FALSE),0)</f>
        <v/>
      </c>
      <c r="V216">
        <f>IF(P216="P",0.7780+0.1628*S216+0.2957*Q216-0.1912*R216-0.1512*IF(D216="S",1,0)+0.1600*IF(E216="L",1,0)+0.0091*H216+0.0124*I216+0.0017*J216+T216+U216,-0.8294+0.1849*S216+0.1750*Q216-0.2969*R216+0.6924*IF(D216="S",1,0)+0.0457*IF(E216="L",1,0)+T216+U216)</f>
        <v/>
      </c>
      <c r="W216">
        <f>MAX(0,MIN(16,ROUND(V216,0)))</f>
        <v/>
      </c>
      <c r="X216">
        <f>IFNA(VLOOKUP(W216,Grade_Scale!$A:$B,2,FALSE),"F")</f>
        <v/>
      </c>
      <c r="Z216">
        <f>IF(Y216="","",W216-IFNA(VLOOKUP(Y216,Grade_Scale!$D:$E,2,FALSE),""))</f>
        <v/>
      </c>
    </row>
    <row r="217">
      <c r="P217">
        <f>IF(OR(B217="SP",B217="RP",B217="CP",B217="SP/RP"),"P","H")</f>
        <v/>
      </c>
      <c r="Q217">
        <f>IF(F217="",0,IFNA(VLOOKUP(F217,Trait_Polarity!$A:$C,2,FALSE),0))+IF(G217="",0,IFNA(VLOOKUP(G217,Trait_Polarity!$A:$C,2,FALSE),0))</f>
        <v/>
      </c>
      <c r="R217">
        <f>IF(F217="",0,IFNA(VLOOKUP(F217,Trait_Polarity!$A:$C,3,FALSE),0))+IF(G217="",0,IFNA(VLOOKUP(G217,Trait_Polarity!$A:$C,3,FALSE),0))</f>
        <v/>
      </c>
      <c r="S217">
        <f>IF(P217="P",(M217+N217+O217)/3,0.3*H217+0.3*I217+0.2*J217+0.1*K217+0.1*L217)</f>
        <v/>
      </c>
      <c r="T217">
        <f>IF(P217="P",IFNA(VLOOKUP(B217,Pitcher_RoleAdj!$A:$B,2,FALSE),0),IFNA(VLOOKUP(B217,Hitter_PrimaryAdj!$A:$B,2,FALSE),0))</f>
        <v/>
      </c>
      <c r="U217">
        <f>IFNA(VLOOKUP(IF(C217="","(none)",C217),SecondaryAdj!$A:$B,2,FALSE),0)</f>
        <v/>
      </c>
      <c r="V217">
        <f>IF(P217="P",0.7780+0.1628*S217+0.2957*Q217-0.1912*R217-0.1512*IF(D217="S",1,0)+0.1600*IF(E217="L",1,0)+0.0091*H217+0.0124*I217+0.0017*J217+T217+U217,-0.8294+0.1849*S217+0.1750*Q217-0.2969*R217+0.6924*IF(D217="S",1,0)+0.0457*IF(E217="L",1,0)+T217+U217)</f>
        <v/>
      </c>
      <c r="W217">
        <f>MAX(0,MIN(16,ROUND(V217,0)))</f>
        <v/>
      </c>
      <c r="X217">
        <f>IFNA(VLOOKUP(W217,Grade_Scale!$A:$B,2,FALSE),"F")</f>
        <v/>
      </c>
      <c r="Z217">
        <f>IF(Y217="","",W217-IFNA(VLOOKUP(Y217,Grade_Scale!$D:$E,2,FALSE),""))</f>
        <v/>
      </c>
    </row>
    <row r="218">
      <c r="P218">
        <f>IF(OR(B218="SP",B218="RP",B218="CP",B218="SP/RP"),"P","H")</f>
        <v/>
      </c>
      <c r="Q218">
        <f>IF(F218="",0,IFNA(VLOOKUP(F218,Trait_Polarity!$A:$C,2,FALSE),0))+IF(G218="",0,IFNA(VLOOKUP(G218,Trait_Polarity!$A:$C,2,FALSE),0))</f>
        <v/>
      </c>
      <c r="R218">
        <f>IF(F218="",0,IFNA(VLOOKUP(F218,Trait_Polarity!$A:$C,3,FALSE),0))+IF(G218="",0,IFNA(VLOOKUP(G218,Trait_Polarity!$A:$C,3,FALSE),0))</f>
        <v/>
      </c>
      <c r="S218">
        <f>IF(P218="P",(M218+N218+O218)/3,0.3*H218+0.3*I218+0.2*J218+0.1*K218+0.1*L218)</f>
        <v/>
      </c>
      <c r="T218">
        <f>IF(P218="P",IFNA(VLOOKUP(B218,Pitcher_RoleAdj!$A:$B,2,FALSE),0),IFNA(VLOOKUP(B218,Hitter_PrimaryAdj!$A:$B,2,FALSE),0))</f>
        <v/>
      </c>
      <c r="U218">
        <f>IFNA(VLOOKUP(IF(C218="","(none)",C218),SecondaryAdj!$A:$B,2,FALSE),0)</f>
        <v/>
      </c>
      <c r="V218">
        <f>IF(P218="P",0.7780+0.1628*S218+0.2957*Q218-0.1912*R218-0.1512*IF(D218="S",1,0)+0.1600*IF(E218="L",1,0)+0.0091*H218+0.0124*I218+0.0017*J218+T218+U218,-0.8294+0.1849*S218+0.1750*Q218-0.2969*R218+0.6924*IF(D218="S",1,0)+0.0457*IF(E218="L",1,0)+T218+U218)</f>
        <v/>
      </c>
      <c r="W218">
        <f>MAX(0,MIN(16,ROUND(V218,0)))</f>
        <v/>
      </c>
      <c r="X218">
        <f>IFNA(VLOOKUP(W218,Grade_Scale!$A:$B,2,FALSE),"F")</f>
        <v/>
      </c>
      <c r="Z218">
        <f>IF(Y218="","",W218-IFNA(VLOOKUP(Y218,Grade_Scale!$D:$E,2,FALSE),""))</f>
        <v/>
      </c>
    </row>
    <row r="219">
      <c r="P219">
        <f>IF(OR(B219="SP",B219="RP",B219="CP",B219="SP/RP"),"P","H")</f>
        <v/>
      </c>
      <c r="Q219">
        <f>IF(F219="",0,IFNA(VLOOKUP(F219,Trait_Polarity!$A:$C,2,FALSE),0))+IF(G219="",0,IFNA(VLOOKUP(G219,Trait_Polarity!$A:$C,2,FALSE),0))</f>
        <v/>
      </c>
      <c r="R219">
        <f>IF(F219="",0,IFNA(VLOOKUP(F219,Trait_Polarity!$A:$C,3,FALSE),0))+IF(G219="",0,IFNA(VLOOKUP(G219,Trait_Polarity!$A:$C,3,FALSE),0))</f>
        <v/>
      </c>
      <c r="S219">
        <f>IF(P219="P",(M219+N219+O219)/3,0.3*H219+0.3*I219+0.2*J219+0.1*K219+0.1*L219)</f>
        <v/>
      </c>
      <c r="T219">
        <f>IF(P219="P",IFNA(VLOOKUP(B219,Pitcher_RoleAdj!$A:$B,2,FALSE),0),IFNA(VLOOKUP(B219,Hitter_PrimaryAdj!$A:$B,2,FALSE),0))</f>
        <v/>
      </c>
      <c r="U219">
        <f>IFNA(VLOOKUP(IF(C219="","(none)",C219),SecondaryAdj!$A:$B,2,FALSE),0)</f>
        <v/>
      </c>
      <c r="V219">
        <f>IF(P219="P",0.7780+0.1628*S219+0.2957*Q219-0.1912*R219-0.1512*IF(D219="S",1,0)+0.1600*IF(E219="L",1,0)+0.0091*H219+0.0124*I219+0.0017*J219+T219+U219,-0.8294+0.1849*S219+0.1750*Q219-0.2969*R219+0.6924*IF(D219="S",1,0)+0.0457*IF(E219="L",1,0)+T219+U219)</f>
        <v/>
      </c>
      <c r="W219">
        <f>MAX(0,MIN(16,ROUND(V219,0)))</f>
        <v/>
      </c>
      <c r="X219">
        <f>IFNA(VLOOKUP(W219,Grade_Scale!$A:$B,2,FALSE),"F")</f>
        <v/>
      </c>
      <c r="Z219">
        <f>IF(Y219="","",W219-IFNA(VLOOKUP(Y219,Grade_Scale!$D:$E,2,FALSE),""))</f>
        <v/>
      </c>
    </row>
    <row r="220">
      <c r="P220">
        <f>IF(OR(B220="SP",B220="RP",B220="CP",B220="SP/RP"),"P","H")</f>
        <v/>
      </c>
      <c r="Q220">
        <f>IF(F220="",0,IFNA(VLOOKUP(F220,Trait_Polarity!$A:$C,2,FALSE),0))+IF(G220="",0,IFNA(VLOOKUP(G220,Trait_Polarity!$A:$C,2,FALSE),0))</f>
        <v/>
      </c>
      <c r="R220">
        <f>IF(F220="",0,IFNA(VLOOKUP(F220,Trait_Polarity!$A:$C,3,FALSE),0))+IF(G220="",0,IFNA(VLOOKUP(G220,Trait_Polarity!$A:$C,3,FALSE),0))</f>
        <v/>
      </c>
      <c r="S220">
        <f>IF(P220="P",(M220+N220+O220)/3,0.3*H220+0.3*I220+0.2*J220+0.1*K220+0.1*L220)</f>
        <v/>
      </c>
      <c r="T220">
        <f>IF(P220="P",IFNA(VLOOKUP(B220,Pitcher_RoleAdj!$A:$B,2,FALSE),0),IFNA(VLOOKUP(B220,Hitter_PrimaryAdj!$A:$B,2,FALSE),0))</f>
        <v/>
      </c>
      <c r="U220">
        <f>IFNA(VLOOKUP(IF(C220="","(none)",C220),SecondaryAdj!$A:$B,2,FALSE),0)</f>
        <v/>
      </c>
      <c r="V220">
        <f>IF(P220="P",0.7780+0.1628*S220+0.2957*Q220-0.1912*R220-0.1512*IF(D220="S",1,0)+0.1600*IF(E220="L",1,0)+0.0091*H220+0.0124*I220+0.0017*J220+T220+U220,-0.8294+0.1849*S220+0.1750*Q220-0.2969*R220+0.6924*IF(D220="S",1,0)+0.0457*IF(E220="L",1,0)+T220+U220)</f>
        <v/>
      </c>
      <c r="W220">
        <f>MAX(0,MIN(16,ROUND(V220,0)))</f>
        <v/>
      </c>
      <c r="X220">
        <f>IFNA(VLOOKUP(W220,Grade_Scale!$A:$B,2,FALSE),"F")</f>
        <v/>
      </c>
      <c r="Z220">
        <f>IF(Y220="","",W220-IFNA(VLOOKUP(Y220,Grade_Scale!$D:$E,2,FALSE),""))</f>
        <v/>
      </c>
    </row>
    <row r="221">
      <c r="P221">
        <f>IF(OR(B221="SP",B221="RP",B221="CP",B221="SP/RP"),"P","H")</f>
        <v/>
      </c>
      <c r="Q221">
        <f>IF(F221="",0,IFNA(VLOOKUP(F221,Trait_Polarity!$A:$C,2,FALSE),0))+IF(G221="",0,IFNA(VLOOKUP(G221,Trait_Polarity!$A:$C,2,FALSE),0))</f>
        <v/>
      </c>
      <c r="R221">
        <f>IF(F221="",0,IFNA(VLOOKUP(F221,Trait_Polarity!$A:$C,3,FALSE),0))+IF(G221="",0,IFNA(VLOOKUP(G221,Trait_Polarity!$A:$C,3,FALSE),0))</f>
        <v/>
      </c>
      <c r="S221">
        <f>IF(P221="P",(M221+N221+O221)/3,0.3*H221+0.3*I221+0.2*J221+0.1*K221+0.1*L221)</f>
        <v/>
      </c>
      <c r="T221">
        <f>IF(P221="P",IFNA(VLOOKUP(B221,Pitcher_RoleAdj!$A:$B,2,FALSE),0),IFNA(VLOOKUP(B221,Hitter_PrimaryAdj!$A:$B,2,FALSE),0))</f>
        <v/>
      </c>
      <c r="U221">
        <f>IFNA(VLOOKUP(IF(C221="","(none)",C221),SecondaryAdj!$A:$B,2,FALSE),0)</f>
        <v/>
      </c>
      <c r="V221">
        <f>IF(P221="P",0.7780+0.1628*S221+0.2957*Q221-0.1912*R221-0.1512*IF(D221="S",1,0)+0.1600*IF(E221="L",1,0)+0.0091*H221+0.0124*I221+0.0017*J221+T221+U221,-0.8294+0.1849*S221+0.1750*Q221-0.2969*R221+0.6924*IF(D221="S",1,0)+0.0457*IF(E221="L",1,0)+T221+U221)</f>
        <v/>
      </c>
      <c r="W221">
        <f>MAX(0,MIN(16,ROUND(V221,0)))</f>
        <v/>
      </c>
      <c r="X221">
        <f>IFNA(VLOOKUP(W221,Grade_Scale!$A:$B,2,FALSE),"F")</f>
        <v/>
      </c>
      <c r="Z221">
        <f>IF(Y221="","",W221-IFNA(VLOOKUP(Y221,Grade_Scale!$D:$E,2,FALSE),""))</f>
        <v/>
      </c>
    </row>
    <row r="222">
      <c r="P222">
        <f>IF(OR(B222="SP",B222="RP",B222="CP",B222="SP/RP"),"P","H")</f>
        <v/>
      </c>
      <c r="Q222">
        <f>IF(F222="",0,IFNA(VLOOKUP(F222,Trait_Polarity!$A:$C,2,FALSE),0))+IF(G222="",0,IFNA(VLOOKUP(G222,Trait_Polarity!$A:$C,2,FALSE),0))</f>
        <v/>
      </c>
      <c r="R222">
        <f>IF(F222="",0,IFNA(VLOOKUP(F222,Trait_Polarity!$A:$C,3,FALSE),0))+IF(G222="",0,IFNA(VLOOKUP(G222,Trait_Polarity!$A:$C,3,FALSE),0))</f>
        <v/>
      </c>
      <c r="S222">
        <f>IF(P222="P",(M222+N222+O222)/3,0.3*H222+0.3*I222+0.2*J222+0.1*K222+0.1*L222)</f>
        <v/>
      </c>
      <c r="T222">
        <f>IF(P222="P",IFNA(VLOOKUP(B222,Pitcher_RoleAdj!$A:$B,2,FALSE),0),IFNA(VLOOKUP(B222,Hitter_PrimaryAdj!$A:$B,2,FALSE),0))</f>
        <v/>
      </c>
      <c r="U222">
        <f>IFNA(VLOOKUP(IF(C222="","(none)",C222),SecondaryAdj!$A:$B,2,FALSE),0)</f>
        <v/>
      </c>
      <c r="V222">
        <f>IF(P222="P",0.7780+0.1628*S222+0.2957*Q222-0.1912*R222-0.1512*IF(D222="S",1,0)+0.1600*IF(E222="L",1,0)+0.0091*H222+0.0124*I222+0.0017*J222+T222+U222,-0.8294+0.1849*S222+0.1750*Q222-0.2969*R222+0.6924*IF(D222="S",1,0)+0.0457*IF(E222="L",1,0)+T222+U222)</f>
        <v/>
      </c>
      <c r="W222">
        <f>MAX(0,MIN(16,ROUND(V222,0)))</f>
        <v/>
      </c>
      <c r="X222">
        <f>IFNA(VLOOKUP(W222,Grade_Scale!$A:$B,2,FALSE),"F")</f>
        <v/>
      </c>
      <c r="Z222">
        <f>IF(Y222="","",W222-IFNA(VLOOKUP(Y222,Grade_Scale!$D:$E,2,FALSE),""))</f>
        <v/>
      </c>
    </row>
    <row r="223">
      <c r="P223">
        <f>IF(OR(B223="SP",B223="RP",B223="CP",B223="SP/RP"),"P","H")</f>
        <v/>
      </c>
      <c r="Q223">
        <f>IF(F223="",0,IFNA(VLOOKUP(F223,Trait_Polarity!$A:$C,2,FALSE),0))+IF(G223="",0,IFNA(VLOOKUP(G223,Trait_Polarity!$A:$C,2,FALSE),0))</f>
        <v/>
      </c>
      <c r="R223">
        <f>IF(F223="",0,IFNA(VLOOKUP(F223,Trait_Polarity!$A:$C,3,FALSE),0))+IF(G223="",0,IFNA(VLOOKUP(G223,Trait_Polarity!$A:$C,3,FALSE),0))</f>
        <v/>
      </c>
      <c r="S223">
        <f>IF(P223="P",(M223+N223+O223)/3,0.3*H223+0.3*I223+0.2*J223+0.1*K223+0.1*L223)</f>
        <v/>
      </c>
      <c r="T223">
        <f>IF(P223="P",IFNA(VLOOKUP(B223,Pitcher_RoleAdj!$A:$B,2,FALSE),0),IFNA(VLOOKUP(B223,Hitter_PrimaryAdj!$A:$B,2,FALSE),0))</f>
        <v/>
      </c>
      <c r="U223">
        <f>IFNA(VLOOKUP(IF(C223="","(none)",C223),SecondaryAdj!$A:$B,2,FALSE),0)</f>
        <v/>
      </c>
      <c r="V223">
        <f>IF(P223="P",0.7780+0.1628*S223+0.2957*Q223-0.1912*R223-0.1512*IF(D223="S",1,0)+0.1600*IF(E223="L",1,0)+0.0091*H223+0.0124*I223+0.0017*J223+T223+U223,-0.8294+0.1849*S223+0.1750*Q223-0.2969*R223+0.6924*IF(D223="S",1,0)+0.0457*IF(E223="L",1,0)+T223+U223)</f>
        <v/>
      </c>
      <c r="W223">
        <f>MAX(0,MIN(16,ROUND(V223,0)))</f>
        <v/>
      </c>
      <c r="X223">
        <f>IFNA(VLOOKUP(W223,Grade_Scale!$A:$B,2,FALSE),"F")</f>
        <v/>
      </c>
      <c r="Z223">
        <f>IF(Y223="","",W223-IFNA(VLOOKUP(Y223,Grade_Scale!$D:$E,2,FALSE),""))</f>
        <v/>
      </c>
    </row>
    <row r="224">
      <c r="P224">
        <f>IF(OR(B224="SP",B224="RP",B224="CP",B224="SP/RP"),"P","H")</f>
        <v/>
      </c>
      <c r="Q224">
        <f>IF(F224="",0,IFNA(VLOOKUP(F224,Trait_Polarity!$A:$C,2,FALSE),0))+IF(G224="",0,IFNA(VLOOKUP(G224,Trait_Polarity!$A:$C,2,FALSE),0))</f>
        <v/>
      </c>
      <c r="R224">
        <f>IF(F224="",0,IFNA(VLOOKUP(F224,Trait_Polarity!$A:$C,3,FALSE),0))+IF(G224="",0,IFNA(VLOOKUP(G224,Trait_Polarity!$A:$C,3,FALSE),0))</f>
        <v/>
      </c>
      <c r="S224">
        <f>IF(P224="P",(M224+N224+O224)/3,0.3*H224+0.3*I224+0.2*J224+0.1*K224+0.1*L224)</f>
        <v/>
      </c>
      <c r="T224">
        <f>IF(P224="P",IFNA(VLOOKUP(B224,Pitcher_RoleAdj!$A:$B,2,FALSE),0),IFNA(VLOOKUP(B224,Hitter_PrimaryAdj!$A:$B,2,FALSE),0))</f>
        <v/>
      </c>
      <c r="U224">
        <f>IFNA(VLOOKUP(IF(C224="","(none)",C224),SecondaryAdj!$A:$B,2,FALSE),0)</f>
        <v/>
      </c>
      <c r="V224">
        <f>IF(P224="P",0.7780+0.1628*S224+0.2957*Q224-0.1912*R224-0.1512*IF(D224="S",1,0)+0.1600*IF(E224="L",1,0)+0.0091*H224+0.0124*I224+0.0017*J224+T224+U224,-0.8294+0.1849*S224+0.1750*Q224-0.2969*R224+0.6924*IF(D224="S",1,0)+0.0457*IF(E224="L",1,0)+T224+U224)</f>
        <v/>
      </c>
      <c r="W224">
        <f>MAX(0,MIN(16,ROUND(V224,0)))</f>
        <v/>
      </c>
      <c r="X224">
        <f>IFNA(VLOOKUP(W224,Grade_Scale!$A:$B,2,FALSE),"F")</f>
        <v/>
      </c>
      <c r="Z224">
        <f>IF(Y224="","",W224-IFNA(VLOOKUP(Y224,Grade_Scale!$D:$E,2,FALSE),""))</f>
        <v/>
      </c>
    </row>
    <row r="225">
      <c r="P225">
        <f>IF(OR(B225="SP",B225="RP",B225="CP",B225="SP/RP"),"P","H")</f>
        <v/>
      </c>
      <c r="Q225">
        <f>IF(F225="",0,IFNA(VLOOKUP(F225,Trait_Polarity!$A:$C,2,FALSE),0))+IF(G225="",0,IFNA(VLOOKUP(G225,Trait_Polarity!$A:$C,2,FALSE),0))</f>
        <v/>
      </c>
      <c r="R225">
        <f>IF(F225="",0,IFNA(VLOOKUP(F225,Trait_Polarity!$A:$C,3,FALSE),0))+IF(G225="",0,IFNA(VLOOKUP(G225,Trait_Polarity!$A:$C,3,FALSE),0))</f>
        <v/>
      </c>
      <c r="S225">
        <f>IF(P225="P",(M225+N225+O225)/3,0.3*H225+0.3*I225+0.2*J225+0.1*K225+0.1*L225)</f>
        <v/>
      </c>
      <c r="T225">
        <f>IF(P225="P",IFNA(VLOOKUP(B225,Pitcher_RoleAdj!$A:$B,2,FALSE),0),IFNA(VLOOKUP(B225,Hitter_PrimaryAdj!$A:$B,2,FALSE),0))</f>
        <v/>
      </c>
      <c r="U225">
        <f>IFNA(VLOOKUP(IF(C225="","(none)",C225),SecondaryAdj!$A:$B,2,FALSE),0)</f>
        <v/>
      </c>
      <c r="V225">
        <f>IF(P225="P",0.7780+0.1628*S225+0.2957*Q225-0.1912*R225-0.1512*IF(D225="S",1,0)+0.1600*IF(E225="L",1,0)+0.0091*H225+0.0124*I225+0.0017*J225+T225+U225,-0.8294+0.1849*S225+0.1750*Q225-0.2969*R225+0.6924*IF(D225="S",1,0)+0.0457*IF(E225="L",1,0)+T225+U225)</f>
        <v/>
      </c>
      <c r="W225">
        <f>MAX(0,MIN(16,ROUND(V225,0)))</f>
        <v/>
      </c>
      <c r="X225">
        <f>IFNA(VLOOKUP(W225,Grade_Scale!$A:$B,2,FALSE),"F")</f>
        <v/>
      </c>
      <c r="Z225">
        <f>IF(Y225="","",W225-IFNA(VLOOKUP(Y225,Grade_Scale!$D:$E,2,FALSE),""))</f>
        <v/>
      </c>
    </row>
    <row r="226">
      <c r="P226">
        <f>IF(OR(B226="SP",B226="RP",B226="CP",B226="SP/RP"),"P","H")</f>
        <v/>
      </c>
      <c r="Q226">
        <f>IF(F226="",0,IFNA(VLOOKUP(F226,Trait_Polarity!$A:$C,2,FALSE),0))+IF(G226="",0,IFNA(VLOOKUP(G226,Trait_Polarity!$A:$C,2,FALSE),0))</f>
        <v/>
      </c>
      <c r="R226">
        <f>IF(F226="",0,IFNA(VLOOKUP(F226,Trait_Polarity!$A:$C,3,FALSE),0))+IF(G226="",0,IFNA(VLOOKUP(G226,Trait_Polarity!$A:$C,3,FALSE),0))</f>
        <v/>
      </c>
      <c r="S226">
        <f>IF(P226="P",(M226+N226+O226)/3,0.3*H226+0.3*I226+0.2*J226+0.1*K226+0.1*L226)</f>
        <v/>
      </c>
      <c r="T226">
        <f>IF(P226="P",IFNA(VLOOKUP(B226,Pitcher_RoleAdj!$A:$B,2,FALSE),0),IFNA(VLOOKUP(B226,Hitter_PrimaryAdj!$A:$B,2,FALSE),0))</f>
        <v/>
      </c>
      <c r="U226">
        <f>IFNA(VLOOKUP(IF(C226="","(none)",C226),SecondaryAdj!$A:$B,2,FALSE),0)</f>
        <v/>
      </c>
      <c r="V226">
        <f>IF(P226="P",0.7780+0.1628*S226+0.2957*Q226-0.1912*R226-0.1512*IF(D226="S",1,0)+0.1600*IF(E226="L",1,0)+0.0091*H226+0.0124*I226+0.0017*J226+T226+U226,-0.8294+0.1849*S226+0.1750*Q226-0.2969*R226+0.6924*IF(D226="S",1,0)+0.0457*IF(E226="L",1,0)+T226+U226)</f>
        <v/>
      </c>
      <c r="W226">
        <f>MAX(0,MIN(16,ROUND(V226,0)))</f>
        <v/>
      </c>
      <c r="X226">
        <f>IFNA(VLOOKUP(W226,Grade_Scale!$A:$B,2,FALSE),"F")</f>
        <v/>
      </c>
      <c r="Z226">
        <f>IF(Y226="","",W226-IFNA(VLOOKUP(Y226,Grade_Scale!$D:$E,2,FALSE),""))</f>
        <v/>
      </c>
    </row>
    <row r="227">
      <c r="P227">
        <f>IF(OR(B227="SP",B227="RP",B227="CP",B227="SP/RP"),"P","H")</f>
        <v/>
      </c>
      <c r="Q227">
        <f>IF(F227="",0,IFNA(VLOOKUP(F227,Trait_Polarity!$A:$C,2,FALSE),0))+IF(G227="",0,IFNA(VLOOKUP(G227,Trait_Polarity!$A:$C,2,FALSE),0))</f>
        <v/>
      </c>
      <c r="R227">
        <f>IF(F227="",0,IFNA(VLOOKUP(F227,Trait_Polarity!$A:$C,3,FALSE),0))+IF(G227="",0,IFNA(VLOOKUP(G227,Trait_Polarity!$A:$C,3,FALSE),0))</f>
        <v/>
      </c>
      <c r="S227">
        <f>IF(P227="P",(M227+N227+O227)/3,0.3*H227+0.3*I227+0.2*J227+0.1*K227+0.1*L227)</f>
        <v/>
      </c>
      <c r="T227">
        <f>IF(P227="P",IFNA(VLOOKUP(B227,Pitcher_RoleAdj!$A:$B,2,FALSE),0),IFNA(VLOOKUP(B227,Hitter_PrimaryAdj!$A:$B,2,FALSE),0))</f>
        <v/>
      </c>
      <c r="U227">
        <f>IFNA(VLOOKUP(IF(C227="","(none)",C227),SecondaryAdj!$A:$B,2,FALSE),0)</f>
        <v/>
      </c>
      <c r="V227">
        <f>IF(P227="P",0.7780+0.1628*S227+0.2957*Q227-0.1912*R227-0.1512*IF(D227="S",1,0)+0.1600*IF(E227="L",1,0)+0.0091*H227+0.0124*I227+0.0017*J227+T227+U227,-0.8294+0.1849*S227+0.1750*Q227-0.2969*R227+0.6924*IF(D227="S",1,0)+0.0457*IF(E227="L",1,0)+T227+U227)</f>
        <v/>
      </c>
      <c r="W227">
        <f>MAX(0,MIN(16,ROUND(V227,0)))</f>
        <v/>
      </c>
      <c r="X227">
        <f>IFNA(VLOOKUP(W227,Grade_Scale!$A:$B,2,FALSE),"F")</f>
        <v/>
      </c>
      <c r="Z227">
        <f>IF(Y227="","",W227-IFNA(VLOOKUP(Y227,Grade_Scale!$D:$E,2,FALSE),""))</f>
        <v/>
      </c>
    </row>
    <row r="228">
      <c r="P228">
        <f>IF(OR(B228="SP",B228="RP",B228="CP",B228="SP/RP"),"P","H")</f>
        <v/>
      </c>
      <c r="Q228">
        <f>IF(F228="",0,IFNA(VLOOKUP(F228,Trait_Polarity!$A:$C,2,FALSE),0))+IF(G228="",0,IFNA(VLOOKUP(G228,Trait_Polarity!$A:$C,2,FALSE),0))</f>
        <v/>
      </c>
      <c r="R228">
        <f>IF(F228="",0,IFNA(VLOOKUP(F228,Trait_Polarity!$A:$C,3,FALSE),0))+IF(G228="",0,IFNA(VLOOKUP(G228,Trait_Polarity!$A:$C,3,FALSE),0))</f>
        <v/>
      </c>
      <c r="S228">
        <f>IF(P228="P",(M228+N228+O228)/3,0.3*H228+0.3*I228+0.2*J228+0.1*K228+0.1*L228)</f>
        <v/>
      </c>
      <c r="T228">
        <f>IF(P228="P",IFNA(VLOOKUP(B228,Pitcher_RoleAdj!$A:$B,2,FALSE),0),IFNA(VLOOKUP(B228,Hitter_PrimaryAdj!$A:$B,2,FALSE),0))</f>
        <v/>
      </c>
      <c r="U228">
        <f>IFNA(VLOOKUP(IF(C228="","(none)",C228),SecondaryAdj!$A:$B,2,FALSE),0)</f>
        <v/>
      </c>
      <c r="V228">
        <f>IF(P228="P",0.7780+0.1628*S228+0.2957*Q228-0.1912*R228-0.1512*IF(D228="S",1,0)+0.1600*IF(E228="L",1,0)+0.0091*H228+0.0124*I228+0.0017*J228+T228+U228,-0.8294+0.1849*S228+0.1750*Q228-0.2969*R228+0.6924*IF(D228="S",1,0)+0.0457*IF(E228="L",1,0)+T228+U228)</f>
        <v/>
      </c>
      <c r="W228">
        <f>MAX(0,MIN(16,ROUND(V228,0)))</f>
        <v/>
      </c>
      <c r="X228">
        <f>IFNA(VLOOKUP(W228,Grade_Scale!$A:$B,2,FALSE),"F")</f>
        <v/>
      </c>
      <c r="Z228">
        <f>IF(Y228="","",W228-IFNA(VLOOKUP(Y228,Grade_Scale!$D:$E,2,FALSE),""))</f>
        <v/>
      </c>
    </row>
    <row r="229">
      <c r="P229">
        <f>IF(OR(B229="SP",B229="RP",B229="CP",B229="SP/RP"),"P","H")</f>
        <v/>
      </c>
      <c r="Q229">
        <f>IF(F229="",0,IFNA(VLOOKUP(F229,Trait_Polarity!$A:$C,2,FALSE),0))+IF(G229="",0,IFNA(VLOOKUP(G229,Trait_Polarity!$A:$C,2,FALSE),0))</f>
        <v/>
      </c>
      <c r="R229">
        <f>IF(F229="",0,IFNA(VLOOKUP(F229,Trait_Polarity!$A:$C,3,FALSE),0))+IF(G229="",0,IFNA(VLOOKUP(G229,Trait_Polarity!$A:$C,3,FALSE),0))</f>
        <v/>
      </c>
      <c r="S229">
        <f>IF(P229="P",(M229+N229+O229)/3,0.3*H229+0.3*I229+0.2*J229+0.1*K229+0.1*L229)</f>
        <v/>
      </c>
      <c r="T229">
        <f>IF(P229="P",IFNA(VLOOKUP(B229,Pitcher_RoleAdj!$A:$B,2,FALSE),0),IFNA(VLOOKUP(B229,Hitter_PrimaryAdj!$A:$B,2,FALSE),0))</f>
        <v/>
      </c>
      <c r="U229">
        <f>IFNA(VLOOKUP(IF(C229="","(none)",C229),SecondaryAdj!$A:$B,2,FALSE),0)</f>
        <v/>
      </c>
      <c r="V229">
        <f>IF(P229="P",0.7780+0.1628*S229+0.2957*Q229-0.1912*R229-0.1512*IF(D229="S",1,0)+0.1600*IF(E229="L",1,0)+0.0091*H229+0.0124*I229+0.0017*J229+T229+U229,-0.8294+0.1849*S229+0.1750*Q229-0.2969*R229+0.6924*IF(D229="S",1,0)+0.0457*IF(E229="L",1,0)+T229+U229)</f>
        <v/>
      </c>
      <c r="W229">
        <f>MAX(0,MIN(16,ROUND(V229,0)))</f>
        <v/>
      </c>
      <c r="X229">
        <f>IFNA(VLOOKUP(W229,Grade_Scale!$A:$B,2,FALSE),"F")</f>
        <v/>
      </c>
      <c r="Z229">
        <f>IF(Y229="","",W229-IFNA(VLOOKUP(Y229,Grade_Scale!$D:$E,2,FALSE),""))</f>
        <v/>
      </c>
    </row>
    <row r="230">
      <c r="P230">
        <f>IF(OR(B230="SP",B230="RP",B230="CP",B230="SP/RP"),"P","H")</f>
        <v/>
      </c>
      <c r="Q230">
        <f>IF(F230="",0,IFNA(VLOOKUP(F230,Trait_Polarity!$A:$C,2,FALSE),0))+IF(G230="",0,IFNA(VLOOKUP(G230,Trait_Polarity!$A:$C,2,FALSE),0))</f>
        <v/>
      </c>
      <c r="R230">
        <f>IF(F230="",0,IFNA(VLOOKUP(F230,Trait_Polarity!$A:$C,3,FALSE),0))+IF(G230="",0,IFNA(VLOOKUP(G230,Trait_Polarity!$A:$C,3,FALSE),0))</f>
        <v/>
      </c>
      <c r="S230">
        <f>IF(P230="P",(M230+N230+O230)/3,0.3*H230+0.3*I230+0.2*J230+0.1*K230+0.1*L230)</f>
        <v/>
      </c>
      <c r="T230">
        <f>IF(P230="P",IFNA(VLOOKUP(B230,Pitcher_RoleAdj!$A:$B,2,FALSE),0),IFNA(VLOOKUP(B230,Hitter_PrimaryAdj!$A:$B,2,FALSE),0))</f>
        <v/>
      </c>
      <c r="U230">
        <f>IFNA(VLOOKUP(IF(C230="","(none)",C230),SecondaryAdj!$A:$B,2,FALSE),0)</f>
        <v/>
      </c>
      <c r="V230">
        <f>IF(P230="P",0.7780+0.1628*S230+0.2957*Q230-0.1912*R230-0.1512*IF(D230="S",1,0)+0.1600*IF(E230="L",1,0)+0.0091*H230+0.0124*I230+0.0017*J230+T230+U230,-0.8294+0.1849*S230+0.1750*Q230-0.2969*R230+0.6924*IF(D230="S",1,0)+0.0457*IF(E230="L",1,0)+T230+U230)</f>
        <v/>
      </c>
      <c r="W230">
        <f>MAX(0,MIN(16,ROUND(V230,0)))</f>
        <v/>
      </c>
      <c r="X230">
        <f>IFNA(VLOOKUP(W230,Grade_Scale!$A:$B,2,FALSE),"F")</f>
        <v/>
      </c>
      <c r="Z230">
        <f>IF(Y230="","",W230-IFNA(VLOOKUP(Y230,Grade_Scale!$D:$E,2,FALSE),""))</f>
        <v/>
      </c>
    </row>
    <row r="231">
      <c r="P231">
        <f>IF(OR(B231="SP",B231="RP",B231="CP",B231="SP/RP"),"P","H")</f>
        <v/>
      </c>
      <c r="Q231">
        <f>IF(F231="",0,IFNA(VLOOKUP(F231,Trait_Polarity!$A:$C,2,FALSE),0))+IF(G231="",0,IFNA(VLOOKUP(G231,Trait_Polarity!$A:$C,2,FALSE),0))</f>
        <v/>
      </c>
      <c r="R231">
        <f>IF(F231="",0,IFNA(VLOOKUP(F231,Trait_Polarity!$A:$C,3,FALSE),0))+IF(G231="",0,IFNA(VLOOKUP(G231,Trait_Polarity!$A:$C,3,FALSE),0))</f>
        <v/>
      </c>
      <c r="S231">
        <f>IF(P231="P",(M231+N231+O231)/3,0.3*H231+0.3*I231+0.2*J231+0.1*K231+0.1*L231)</f>
        <v/>
      </c>
      <c r="T231">
        <f>IF(P231="P",IFNA(VLOOKUP(B231,Pitcher_RoleAdj!$A:$B,2,FALSE),0),IFNA(VLOOKUP(B231,Hitter_PrimaryAdj!$A:$B,2,FALSE),0))</f>
        <v/>
      </c>
      <c r="U231">
        <f>IFNA(VLOOKUP(IF(C231="","(none)",C231),SecondaryAdj!$A:$B,2,FALSE),0)</f>
        <v/>
      </c>
      <c r="V231">
        <f>IF(P231="P",0.7780+0.1628*S231+0.2957*Q231-0.1912*R231-0.1512*IF(D231="S",1,0)+0.1600*IF(E231="L",1,0)+0.0091*H231+0.0124*I231+0.0017*J231+T231+U231,-0.8294+0.1849*S231+0.1750*Q231-0.2969*R231+0.6924*IF(D231="S",1,0)+0.0457*IF(E231="L",1,0)+T231+U231)</f>
        <v/>
      </c>
      <c r="W231">
        <f>MAX(0,MIN(16,ROUND(V231,0)))</f>
        <v/>
      </c>
      <c r="X231">
        <f>IFNA(VLOOKUP(W231,Grade_Scale!$A:$B,2,FALSE),"F")</f>
        <v/>
      </c>
      <c r="Z231">
        <f>IF(Y231="","",W231-IFNA(VLOOKUP(Y231,Grade_Scale!$D:$E,2,FALSE),""))</f>
        <v/>
      </c>
    </row>
    <row r="232">
      <c r="P232">
        <f>IF(OR(B232="SP",B232="RP",B232="CP",B232="SP/RP"),"P","H")</f>
        <v/>
      </c>
      <c r="Q232">
        <f>IF(F232="",0,IFNA(VLOOKUP(F232,Trait_Polarity!$A:$C,2,FALSE),0))+IF(G232="",0,IFNA(VLOOKUP(G232,Trait_Polarity!$A:$C,2,FALSE),0))</f>
        <v/>
      </c>
      <c r="R232">
        <f>IF(F232="",0,IFNA(VLOOKUP(F232,Trait_Polarity!$A:$C,3,FALSE),0))+IF(G232="",0,IFNA(VLOOKUP(G232,Trait_Polarity!$A:$C,3,FALSE),0))</f>
        <v/>
      </c>
      <c r="S232">
        <f>IF(P232="P",(M232+N232+O232)/3,0.3*H232+0.3*I232+0.2*J232+0.1*K232+0.1*L232)</f>
        <v/>
      </c>
      <c r="T232">
        <f>IF(P232="P",IFNA(VLOOKUP(B232,Pitcher_RoleAdj!$A:$B,2,FALSE),0),IFNA(VLOOKUP(B232,Hitter_PrimaryAdj!$A:$B,2,FALSE),0))</f>
        <v/>
      </c>
      <c r="U232">
        <f>IFNA(VLOOKUP(IF(C232="","(none)",C232),SecondaryAdj!$A:$B,2,FALSE),0)</f>
        <v/>
      </c>
      <c r="V232">
        <f>IF(P232="P",0.7780+0.1628*S232+0.2957*Q232-0.1912*R232-0.1512*IF(D232="S",1,0)+0.1600*IF(E232="L",1,0)+0.0091*H232+0.0124*I232+0.0017*J232+T232+U232,-0.8294+0.1849*S232+0.1750*Q232-0.2969*R232+0.6924*IF(D232="S",1,0)+0.0457*IF(E232="L",1,0)+T232+U232)</f>
        <v/>
      </c>
      <c r="W232">
        <f>MAX(0,MIN(16,ROUND(V232,0)))</f>
        <v/>
      </c>
      <c r="X232">
        <f>IFNA(VLOOKUP(W232,Grade_Scale!$A:$B,2,FALSE),"F")</f>
        <v/>
      </c>
      <c r="Z232">
        <f>IF(Y232="","",W232-IFNA(VLOOKUP(Y232,Grade_Scale!$D:$E,2,FALSE),""))</f>
        <v/>
      </c>
    </row>
    <row r="233">
      <c r="P233">
        <f>IF(OR(B233="SP",B233="RP",B233="CP",B233="SP/RP"),"P","H")</f>
        <v/>
      </c>
      <c r="Q233">
        <f>IF(F233="",0,IFNA(VLOOKUP(F233,Trait_Polarity!$A:$C,2,FALSE),0))+IF(G233="",0,IFNA(VLOOKUP(G233,Trait_Polarity!$A:$C,2,FALSE),0))</f>
        <v/>
      </c>
      <c r="R233">
        <f>IF(F233="",0,IFNA(VLOOKUP(F233,Trait_Polarity!$A:$C,3,FALSE),0))+IF(G233="",0,IFNA(VLOOKUP(G233,Trait_Polarity!$A:$C,3,FALSE),0))</f>
        <v/>
      </c>
      <c r="S233">
        <f>IF(P233="P",(M233+N233+O233)/3,0.3*H233+0.3*I233+0.2*J233+0.1*K233+0.1*L233)</f>
        <v/>
      </c>
      <c r="T233">
        <f>IF(P233="P",IFNA(VLOOKUP(B233,Pitcher_RoleAdj!$A:$B,2,FALSE),0),IFNA(VLOOKUP(B233,Hitter_PrimaryAdj!$A:$B,2,FALSE),0))</f>
        <v/>
      </c>
      <c r="U233">
        <f>IFNA(VLOOKUP(IF(C233="","(none)",C233),SecondaryAdj!$A:$B,2,FALSE),0)</f>
        <v/>
      </c>
      <c r="V233">
        <f>IF(P233="P",0.7780+0.1628*S233+0.2957*Q233-0.1912*R233-0.1512*IF(D233="S",1,0)+0.1600*IF(E233="L",1,0)+0.0091*H233+0.0124*I233+0.0017*J233+T233+U233,-0.8294+0.1849*S233+0.1750*Q233-0.2969*R233+0.6924*IF(D233="S",1,0)+0.0457*IF(E233="L",1,0)+T233+U233)</f>
        <v/>
      </c>
      <c r="W233">
        <f>MAX(0,MIN(16,ROUND(V233,0)))</f>
        <v/>
      </c>
      <c r="X233">
        <f>IFNA(VLOOKUP(W233,Grade_Scale!$A:$B,2,FALSE),"F")</f>
        <v/>
      </c>
      <c r="Z233">
        <f>IF(Y233="","",W233-IFNA(VLOOKUP(Y233,Grade_Scale!$D:$E,2,FALSE),""))</f>
        <v/>
      </c>
    </row>
    <row r="234">
      <c r="P234">
        <f>IF(OR(B234="SP",B234="RP",B234="CP",B234="SP/RP"),"P","H")</f>
        <v/>
      </c>
      <c r="Q234">
        <f>IF(F234="",0,IFNA(VLOOKUP(F234,Trait_Polarity!$A:$C,2,FALSE),0))+IF(G234="",0,IFNA(VLOOKUP(G234,Trait_Polarity!$A:$C,2,FALSE),0))</f>
        <v/>
      </c>
      <c r="R234">
        <f>IF(F234="",0,IFNA(VLOOKUP(F234,Trait_Polarity!$A:$C,3,FALSE),0))+IF(G234="",0,IFNA(VLOOKUP(G234,Trait_Polarity!$A:$C,3,FALSE),0))</f>
        <v/>
      </c>
      <c r="S234">
        <f>IF(P234="P",(M234+N234+O234)/3,0.3*H234+0.3*I234+0.2*J234+0.1*K234+0.1*L234)</f>
        <v/>
      </c>
      <c r="T234">
        <f>IF(P234="P",IFNA(VLOOKUP(B234,Pitcher_RoleAdj!$A:$B,2,FALSE),0),IFNA(VLOOKUP(B234,Hitter_PrimaryAdj!$A:$B,2,FALSE),0))</f>
        <v/>
      </c>
      <c r="U234">
        <f>IFNA(VLOOKUP(IF(C234="","(none)",C234),SecondaryAdj!$A:$B,2,FALSE),0)</f>
        <v/>
      </c>
      <c r="V234">
        <f>IF(P234="P",0.7780+0.1628*S234+0.2957*Q234-0.1912*R234-0.1512*IF(D234="S",1,0)+0.1600*IF(E234="L",1,0)+0.0091*H234+0.0124*I234+0.0017*J234+T234+U234,-0.8294+0.1849*S234+0.1750*Q234-0.2969*R234+0.6924*IF(D234="S",1,0)+0.0457*IF(E234="L",1,0)+T234+U234)</f>
        <v/>
      </c>
      <c r="W234">
        <f>MAX(0,MIN(16,ROUND(V234,0)))</f>
        <v/>
      </c>
      <c r="X234">
        <f>IFNA(VLOOKUP(W234,Grade_Scale!$A:$B,2,FALSE),"F")</f>
        <v/>
      </c>
      <c r="Z234">
        <f>IF(Y234="","",W234-IFNA(VLOOKUP(Y234,Grade_Scale!$D:$E,2,FALSE),""))</f>
        <v/>
      </c>
    </row>
    <row r="235">
      <c r="P235">
        <f>IF(OR(B235="SP",B235="RP",B235="CP",B235="SP/RP"),"P","H")</f>
        <v/>
      </c>
      <c r="Q235">
        <f>IF(F235="",0,IFNA(VLOOKUP(F235,Trait_Polarity!$A:$C,2,FALSE),0))+IF(G235="",0,IFNA(VLOOKUP(G235,Trait_Polarity!$A:$C,2,FALSE),0))</f>
        <v/>
      </c>
      <c r="R235">
        <f>IF(F235="",0,IFNA(VLOOKUP(F235,Trait_Polarity!$A:$C,3,FALSE),0))+IF(G235="",0,IFNA(VLOOKUP(G235,Trait_Polarity!$A:$C,3,FALSE),0))</f>
        <v/>
      </c>
      <c r="S235">
        <f>IF(P235="P",(M235+N235+O235)/3,0.3*H235+0.3*I235+0.2*J235+0.1*K235+0.1*L235)</f>
        <v/>
      </c>
      <c r="T235">
        <f>IF(P235="P",IFNA(VLOOKUP(B235,Pitcher_RoleAdj!$A:$B,2,FALSE),0),IFNA(VLOOKUP(B235,Hitter_PrimaryAdj!$A:$B,2,FALSE),0))</f>
        <v/>
      </c>
      <c r="U235">
        <f>IFNA(VLOOKUP(IF(C235="","(none)",C235),SecondaryAdj!$A:$B,2,FALSE),0)</f>
        <v/>
      </c>
      <c r="V235">
        <f>IF(P235="P",0.7780+0.1628*S235+0.2957*Q235-0.1912*R235-0.1512*IF(D235="S",1,0)+0.1600*IF(E235="L",1,0)+0.0091*H235+0.0124*I235+0.0017*J235+T235+U235,-0.8294+0.1849*S235+0.1750*Q235-0.2969*R235+0.6924*IF(D235="S",1,0)+0.0457*IF(E235="L",1,0)+T235+U235)</f>
        <v/>
      </c>
      <c r="W235">
        <f>MAX(0,MIN(16,ROUND(V235,0)))</f>
        <v/>
      </c>
      <c r="X235">
        <f>IFNA(VLOOKUP(W235,Grade_Scale!$A:$B,2,FALSE),"F")</f>
        <v/>
      </c>
      <c r="Z235">
        <f>IF(Y235="","",W235-IFNA(VLOOKUP(Y235,Grade_Scale!$D:$E,2,FALSE),""))</f>
        <v/>
      </c>
    </row>
    <row r="236">
      <c r="P236">
        <f>IF(OR(B236="SP",B236="RP",B236="CP",B236="SP/RP"),"P","H")</f>
        <v/>
      </c>
      <c r="Q236">
        <f>IF(F236="",0,IFNA(VLOOKUP(F236,Trait_Polarity!$A:$C,2,FALSE),0))+IF(G236="",0,IFNA(VLOOKUP(G236,Trait_Polarity!$A:$C,2,FALSE),0))</f>
        <v/>
      </c>
      <c r="R236">
        <f>IF(F236="",0,IFNA(VLOOKUP(F236,Trait_Polarity!$A:$C,3,FALSE),0))+IF(G236="",0,IFNA(VLOOKUP(G236,Trait_Polarity!$A:$C,3,FALSE),0))</f>
        <v/>
      </c>
      <c r="S236">
        <f>IF(P236="P",(M236+N236+O236)/3,0.3*H236+0.3*I236+0.2*J236+0.1*K236+0.1*L236)</f>
        <v/>
      </c>
      <c r="T236">
        <f>IF(P236="P",IFNA(VLOOKUP(B236,Pitcher_RoleAdj!$A:$B,2,FALSE),0),IFNA(VLOOKUP(B236,Hitter_PrimaryAdj!$A:$B,2,FALSE),0))</f>
        <v/>
      </c>
      <c r="U236">
        <f>IFNA(VLOOKUP(IF(C236="","(none)",C236),SecondaryAdj!$A:$B,2,FALSE),0)</f>
        <v/>
      </c>
      <c r="V236">
        <f>IF(P236="P",0.7780+0.1628*S236+0.2957*Q236-0.1912*R236-0.1512*IF(D236="S",1,0)+0.1600*IF(E236="L",1,0)+0.0091*H236+0.0124*I236+0.0017*J236+T236+U236,-0.8294+0.1849*S236+0.1750*Q236-0.2969*R236+0.6924*IF(D236="S",1,0)+0.0457*IF(E236="L",1,0)+T236+U236)</f>
        <v/>
      </c>
      <c r="W236">
        <f>MAX(0,MIN(16,ROUND(V236,0)))</f>
        <v/>
      </c>
      <c r="X236">
        <f>IFNA(VLOOKUP(W236,Grade_Scale!$A:$B,2,FALSE),"F")</f>
        <v/>
      </c>
      <c r="Z236">
        <f>IF(Y236="","",W236-IFNA(VLOOKUP(Y236,Grade_Scale!$D:$E,2,FALSE),""))</f>
        <v/>
      </c>
    </row>
    <row r="237">
      <c r="P237">
        <f>IF(OR(B237="SP",B237="RP",B237="CP",B237="SP/RP"),"P","H")</f>
        <v/>
      </c>
      <c r="Q237">
        <f>IF(F237="",0,IFNA(VLOOKUP(F237,Trait_Polarity!$A:$C,2,FALSE),0))+IF(G237="",0,IFNA(VLOOKUP(G237,Trait_Polarity!$A:$C,2,FALSE),0))</f>
        <v/>
      </c>
      <c r="R237">
        <f>IF(F237="",0,IFNA(VLOOKUP(F237,Trait_Polarity!$A:$C,3,FALSE),0))+IF(G237="",0,IFNA(VLOOKUP(G237,Trait_Polarity!$A:$C,3,FALSE),0))</f>
        <v/>
      </c>
      <c r="S237">
        <f>IF(P237="P",(M237+N237+O237)/3,0.3*H237+0.3*I237+0.2*J237+0.1*K237+0.1*L237)</f>
        <v/>
      </c>
      <c r="T237">
        <f>IF(P237="P",IFNA(VLOOKUP(B237,Pitcher_RoleAdj!$A:$B,2,FALSE),0),IFNA(VLOOKUP(B237,Hitter_PrimaryAdj!$A:$B,2,FALSE),0))</f>
        <v/>
      </c>
      <c r="U237">
        <f>IFNA(VLOOKUP(IF(C237="","(none)",C237),SecondaryAdj!$A:$B,2,FALSE),0)</f>
        <v/>
      </c>
      <c r="V237">
        <f>IF(P237="P",0.7780+0.1628*S237+0.2957*Q237-0.1912*R237-0.1512*IF(D237="S",1,0)+0.1600*IF(E237="L",1,0)+0.0091*H237+0.0124*I237+0.0017*J237+T237+U237,-0.8294+0.1849*S237+0.1750*Q237-0.2969*R237+0.6924*IF(D237="S",1,0)+0.0457*IF(E237="L",1,0)+T237+U237)</f>
        <v/>
      </c>
      <c r="W237">
        <f>MAX(0,MIN(16,ROUND(V237,0)))</f>
        <v/>
      </c>
      <c r="X237">
        <f>IFNA(VLOOKUP(W237,Grade_Scale!$A:$B,2,FALSE),"F")</f>
        <v/>
      </c>
      <c r="Z237">
        <f>IF(Y237="","",W237-IFNA(VLOOKUP(Y237,Grade_Scale!$D:$E,2,FALSE),""))</f>
        <v/>
      </c>
    </row>
    <row r="238">
      <c r="P238">
        <f>IF(OR(B238="SP",B238="RP",B238="CP",B238="SP/RP"),"P","H")</f>
        <v/>
      </c>
      <c r="Q238">
        <f>IF(F238="",0,IFNA(VLOOKUP(F238,Trait_Polarity!$A:$C,2,FALSE),0))+IF(G238="",0,IFNA(VLOOKUP(G238,Trait_Polarity!$A:$C,2,FALSE),0))</f>
        <v/>
      </c>
      <c r="R238">
        <f>IF(F238="",0,IFNA(VLOOKUP(F238,Trait_Polarity!$A:$C,3,FALSE),0))+IF(G238="",0,IFNA(VLOOKUP(G238,Trait_Polarity!$A:$C,3,FALSE),0))</f>
        <v/>
      </c>
      <c r="S238">
        <f>IF(P238="P",(M238+N238+O238)/3,0.3*H238+0.3*I238+0.2*J238+0.1*K238+0.1*L238)</f>
        <v/>
      </c>
      <c r="T238">
        <f>IF(P238="P",IFNA(VLOOKUP(B238,Pitcher_RoleAdj!$A:$B,2,FALSE),0),IFNA(VLOOKUP(B238,Hitter_PrimaryAdj!$A:$B,2,FALSE),0))</f>
        <v/>
      </c>
      <c r="U238">
        <f>IFNA(VLOOKUP(IF(C238="","(none)",C238),SecondaryAdj!$A:$B,2,FALSE),0)</f>
        <v/>
      </c>
      <c r="V238">
        <f>IF(P238="P",0.7780+0.1628*S238+0.2957*Q238-0.1912*R238-0.1512*IF(D238="S",1,0)+0.1600*IF(E238="L",1,0)+0.0091*H238+0.0124*I238+0.0017*J238+T238+U238,-0.8294+0.1849*S238+0.1750*Q238-0.2969*R238+0.6924*IF(D238="S",1,0)+0.0457*IF(E238="L",1,0)+T238+U238)</f>
        <v/>
      </c>
      <c r="W238">
        <f>MAX(0,MIN(16,ROUND(V238,0)))</f>
        <v/>
      </c>
      <c r="X238">
        <f>IFNA(VLOOKUP(W238,Grade_Scale!$A:$B,2,FALSE),"F")</f>
        <v/>
      </c>
      <c r="Z238">
        <f>IF(Y238="","",W238-IFNA(VLOOKUP(Y238,Grade_Scale!$D:$E,2,FALSE),""))</f>
        <v/>
      </c>
    </row>
    <row r="239">
      <c r="P239">
        <f>IF(OR(B239="SP",B239="RP",B239="CP",B239="SP/RP"),"P","H")</f>
        <v/>
      </c>
      <c r="Q239">
        <f>IF(F239="",0,IFNA(VLOOKUP(F239,Trait_Polarity!$A:$C,2,FALSE),0))+IF(G239="",0,IFNA(VLOOKUP(G239,Trait_Polarity!$A:$C,2,FALSE),0))</f>
        <v/>
      </c>
      <c r="R239">
        <f>IF(F239="",0,IFNA(VLOOKUP(F239,Trait_Polarity!$A:$C,3,FALSE),0))+IF(G239="",0,IFNA(VLOOKUP(G239,Trait_Polarity!$A:$C,3,FALSE),0))</f>
        <v/>
      </c>
      <c r="S239">
        <f>IF(P239="P",(M239+N239+O239)/3,0.3*H239+0.3*I239+0.2*J239+0.1*K239+0.1*L239)</f>
        <v/>
      </c>
      <c r="T239">
        <f>IF(P239="P",IFNA(VLOOKUP(B239,Pitcher_RoleAdj!$A:$B,2,FALSE),0),IFNA(VLOOKUP(B239,Hitter_PrimaryAdj!$A:$B,2,FALSE),0))</f>
        <v/>
      </c>
      <c r="U239">
        <f>IFNA(VLOOKUP(IF(C239="","(none)",C239),SecondaryAdj!$A:$B,2,FALSE),0)</f>
        <v/>
      </c>
      <c r="V239">
        <f>IF(P239="P",0.7780+0.1628*S239+0.2957*Q239-0.1912*R239-0.1512*IF(D239="S",1,0)+0.1600*IF(E239="L",1,0)+0.0091*H239+0.0124*I239+0.0017*J239+T239+U239,-0.8294+0.1849*S239+0.1750*Q239-0.2969*R239+0.6924*IF(D239="S",1,0)+0.0457*IF(E239="L",1,0)+T239+U239)</f>
        <v/>
      </c>
      <c r="W239">
        <f>MAX(0,MIN(16,ROUND(V239,0)))</f>
        <v/>
      </c>
      <c r="X239">
        <f>IFNA(VLOOKUP(W239,Grade_Scale!$A:$B,2,FALSE),"F")</f>
        <v/>
      </c>
      <c r="Z239">
        <f>IF(Y239="","",W239-IFNA(VLOOKUP(Y239,Grade_Scale!$D:$E,2,FALSE),""))</f>
        <v/>
      </c>
    </row>
    <row r="240">
      <c r="P240">
        <f>IF(OR(B240="SP",B240="RP",B240="CP",B240="SP/RP"),"P","H")</f>
        <v/>
      </c>
      <c r="Q240">
        <f>IF(F240="",0,IFNA(VLOOKUP(F240,Trait_Polarity!$A:$C,2,FALSE),0))+IF(G240="",0,IFNA(VLOOKUP(G240,Trait_Polarity!$A:$C,2,FALSE),0))</f>
        <v/>
      </c>
      <c r="R240">
        <f>IF(F240="",0,IFNA(VLOOKUP(F240,Trait_Polarity!$A:$C,3,FALSE),0))+IF(G240="",0,IFNA(VLOOKUP(G240,Trait_Polarity!$A:$C,3,FALSE),0))</f>
        <v/>
      </c>
      <c r="S240">
        <f>IF(P240="P",(M240+N240+O240)/3,0.3*H240+0.3*I240+0.2*J240+0.1*K240+0.1*L240)</f>
        <v/>
      </c>
      <c r="T240">
        <f>IF(P240="P",IFNA(VLOOKUP(B240,Pitcher_RoleAdj!$A:$B,2,FALSE),0),IFNA(VLOOKUP(B240,Hitter_PrimaryAdj!$A:$B,2,FALSE),0))</f>
        <v/>
      </c>
      <c r="U240">
        <f>IFNA(VLOOKUP(IF(C240="","(none)",C240),SecondaryAdj!$A:$B,2,FALSE),0)</f>
        <v/>
      </c>
      <c r="V240">
        <f>IF(P240="P",0.7780+0.1628*S240+0.2957*Q240-0.1912*R240-0.1512*IF(D240="S",1,0)+0.1600*IF(E240="L",1,0)+0.0091*H240+0.0124*I240+0.0017*J240+T240+U240,-0.8294+0.1849*S240+0.1750*Q240-0.2969*R240+0.6924*IF(D240="S",1,0)+0.0457*IF(E240="L",1,0)+T240+U240)</f>
        <v/>
      </c>
      <c r="W240">
        <f>MAX(0,MIN(16,ROUND(V240,0)))</f>
        <v/>
      </c>
      <c r="X240">
        <f>IFNA(VLOOKUP(W240,Grade_Scale!$A:$B,2,FALSE),"F")</f>
        <v/>
      </c>
      <c r="Z240">
        <f>IF(Y240="","",W240-IFNA(VLOOKUP(Y240,Grade_Scale!$D:$E,2,FALSE),""))</f>
        <v/>
      </c>
    </row>
    <row r="241">
      <c r="P241">
        <f>IF(OR(B241="SP",B241="RP",B241="CP",B241="SP/RP"),"P","H")</f>
        <v/>
      </c>
      <c r="Q241">
        <f>IF(F241="",0,IFNA(VLOOKUP(F241,Trait_Polarity!$A:$C,2,FALSE),0))+IF(G241="",0,IFNA(VLOOKUP(G241,Trait_Polarity!$A:$C,2,FALSE),0))</f>
        <v/>
      </c>
      <c r="R241">
        <f>IF(F241="",0,IFNA(VLOOKUP(F241,Trait_Polarity!$A:$C,3,FALSE),0))+IF(G241="",0,IFNA(VLOOKUP(G241,Trait_Polarity!$A:$C,3,FALSE),0))</f>
        <v/>
      </c>
      <c r="S241">
        <f>IF(P241="P",(M241+N241+O241)/3,0.3*H241+0.3*I241+0.2*J241+0.1*K241+0.1*L241)</f>
        <v/>
      </c>
      <c r="T241">
        <f>IF(P241="P",IFNA(VLOOKUP(B241,Pitcher_RoleAdj!$A:$B,2,FALSE),0),IFNA(VLOOKUP(B241,Hitter_PrimaryAdj!$A:$B,2,FALSE),0))</f>
        <v/>
      </c>
      <c r="U241">
        <f>IFNA(VLOOKUP(IF(C241="","(none)",C241),SecondaryAdj!$A:$B,2,FALSE),0)</f>
        <v/>
      </c>
      <c r="V241">
        <f>IF(P241="P",0.7780+0.1628*S241+0.2957*Q241-0.1912*R241-0.1512*IF(D241="S",1,0)+0.1600*IF(E241="L",1,0)+0.0091*H241+0.0124*I241+0.0017*J241+T241+U241,-0.8294+0.1849*S241+0.1750*Q241-0.2969*R241+0.6924*IF(D241="S",1,0)+0.0457*IF(E241="L",1,0)+T241+U241)</f>
        <v/>
      </c>
      <c r="W241">
        <f>MAX(0,MIN(16,ROUND(V241,0)))</f>
        <v/>
      </c>
      <c r="X241">
        <f>IFNA(VLOOKUP(W241,Grade_Scale!$A:$B,2,FALSE),"F")</f>
        <v/>
      </c>
      <c r="Z241">
        <f>IF(Y241="","",W241-IFNA(VLOOKUP(Y241,Grade_Scale!$D:$E,2,FALSE),""))</f>
        <v/>
      </c>
    </row>
    <row r="242">
      <c r="P242">
        <f>IF(OR(B242="SP",B242="RP",B242="CP",B242="SP/RP"),"P","H")</f>
        <v/>
      </c>
      <c r="Q242">
        <f>IF(F242="",0,IFNA(VLOOKUP(F242,Trait_Polarity!$A:$C,2,FALSE),0))+IF(G242="",0,IFNA(VLOOKUP(G242,Trait_Polarity!$A:$C,2,FALSE),0))</f>
        <v/>
      </c>
      <c r="R242">
        <f>IF(F242="",0,IFNA(VLOOKUP(F242,Trait_Polarity!$A:$C,3,FALSE),0))+IF(G242="",0,IFNA(VLOOKUP(G242,Trait_Polarity!$A:$C,3,FALSE),0))</f>
        <v/>
      </c>
      <c r="S242">
        <f>IF(P242="P",(M242+N242+O242)/3,0.3*H242+0.3*I242+0.2*J242+0.1*K242+0.1*L242)</f>
        <v/>
      </c>
      <c r="T242">
        <f>IF(P242="P",IFNA(VLOOKUP(B242,Pitcher_RoleAdj!$A:$B,2,FALSE),0),IFNA(VLOOKUP(B242,Hitter_PrimaryAdj!$A:$B,2,FALSE),0))</f>
        <v/>
      </c>
      <c r="U242">
        <f>IFNA(VLOOKUP(IF(C242="","(none)",C242),SecondaryAdj!$A:$B,2,FALSE),0)</f>
        <v/>
      </c>
      <c r="V242">
        <f>IF(P242="P",0.7780+0.1628*S242+0.2957*Q242-0.1912*R242-0.1512*IF(D242="S",1,0)+0.1600*IF(E242="L",1,0)+0.0091*H242+0.0124*I242+0.0017*J242+T242+U242,-0.8294+0.1849*S242+0.1750*Q242-0.2969*R242+0.6924*IF(D242="S",1,0)+0.0457*IF(E242="L",1,0)+T242+U242)</f>
        <v/>
      </c>
      <c r="W242">
        <f>MAX(0,MIN(16,ROUND(V242,0)))</f>
        <v/>
      </c>
      <c r="X242">
        <f>IFNA(VLOOKUP(W242,Grade_Scale!$A:$B,2,FALSE),"F")</f>
        <v/>
      </c>
      <c r="Z242">
        <f>IF(Y242="","",W242-IFNA(VLOOKUP(Y242,Grade_Scale!$D:$E,2,FALSE),""))</f>
        <v/>
      </c>
    </row>
    <row r="243">
      <c r="P243">
        <f>IF(OR(B243="SP",B243="RP",B243="CP",B243="SP/RP"),"P","H")</f>
        <v/>
      </c>
      <c r="Q243">
        <f>IF(F243="",0,IFNA(VLOOKUP(F243,Trait_Polarity!$A:$C,2,FALSE),0))+IF(G243="",0,IFNA(VLOOKUP(G243,Trait_Polarity!$A:$C,2,FALSE),0))</f>
        <v/>
      </c>
      <c r="R243">
        <f>IF(F243="",0,IFNA(VLOOKUP(F243,Trait_Polarity!$A:$C,3,FALSE),0))+IF(G243="",0,IFNA(VLOOKUP(G243,Trait_Polarity!$A:$C,3,FALSE),0))</f>
        <v/>
      </c>
      <c r="S243">
        <f>IF(P243="P",(M243+N243+O243)/3,0.3*H243+0.3*I243+0.2*J243+0.1*K243+0.1*L243)</f>
        <v/>
      </c>
      <c r="T243">
        <f>IF(P243="P",IFNA(VLOOKUP(B243,Pitcher_RoleAdj!$A:$B,2,FALSE),0),IFNA(VLOOKUP(B243,Hitter_PrimaryAdj!$A:$B,2,FALSE),0))</f>
        <v/>
      </c>
      <c r="U243">
        <f>IFNA(VLOOKUP(IF(C243="","(none)",C243),SecondaryAdj!$A:$B,2,FALSE),0)</f>
        <v/>
      </c>
      <c r="V243">
        <f>IF(P243="P",0.7780+0.1628*S243+0.2957*Q243-0.1912*R243-0.1512*IF(D243="S",1,0)+0.1600*IF(E243="L",1,0)+0.0091*H243+0.0124*I243+0.0017*J243+T243+U243,-0.8294+0.1849*S243+0.1750*Q243-0.2969*R243+0.6924*IF(D243="S",1,0)+0.0457*IF(E243="L",1,0)+T243+U243)</f>
        <v/>
      </c>
      <c r="W243">
        <f>MAX(0,MIN(16,ROUND(V243,0)))</f>
        <v/>
      </c>
      <c r="X243">
        <f>IFNA(VLOOKUP(W243,Grade_Scale!$A:$B,2,FALSE),"F")</f>
        <v/>
      </c>
      <c r="Z243">
        <f>IF(Y243="","",W243-IFNA(VLOOKUP(Y243,Grade_Scale!$D:$E,2,FALSE),""))</f>
        <v/>
      </c>
    </row>
    <row r="244">
      <c r="P244">
        <f>IF(OR(B244="SP",B244="RP",B244="CP",B244="SP/RP"),"P","H")</f>
        <v/>
      </c>
      <c r="Q244">
        <f>IF(F244="",0,IFNA(VLOOKUP(F244,Trait_Polarity!$A:$C,2,FALSE),0))+IF(G244="",0,IFNA(VLOOKUP(G244,Trait_Polarity!$A:$C,2,FALSE),0))</f>
        <v/>
      </c>
      <c r="R244">
        <f>IF(F244="",0,IFNA(VLOOKUP(F244,Trait_Polarity!$A:$C,3,FALSE),0))+IF(G244="",0,IFNA(VLOOKUP(G244,Trait_Polarity!$A:$C,3,FALSE),0))</f>
        <v/>
      </c>
      <c r="S244">
        <f>IF(P244="P",(M244+N244+O244)/3,0.3*H244+0.3*I244+0.2*J244+0.1*K244+0.1*L244)</f>
        <v/>
      </c>
      <c r="T244">
        <f>IF(P244="P",IFNA(VLOOKUP(B244,Pitcher_RoleAdj!$A:$B,2,FALSE),0),IFNA(VLOOKUP(B244,Hitter_PrimaryAdj!$A:$B,2,FALSE),0))</f>
        <v/>
      </c>
      <c r="U244">
        <f>IFNA(VLOOKUP(IF(C244="","(none)",C244),SecondaryAdj!$A:$B,2,FALSE),0)</f>
        <v/>
      </c>
      <c r="V244">
        <f>IF(P244="P",0.7780+0.1628*S244+0.2957*Q244-0.1912*R244-0.1512*IF(D244="S",1,0)+0.1600*IF(E244="L",1,0)+0.0091*H244+0.0124*I244+0.0017*J244+T244+U244,-0.8294+0.1849*S244+0.1750*Q244-0.2969*R244+0.6924*IF(D244="S",1,0)+0.0457*IF(E244="L",1,0)+T244+U244)</f>
        <v/>
      </c>
      <c r="W244">
        <f>MAX(0,MIN(16,ROUND(V244,0)))</f>
        <v/>
      </c>
      <c r="X244">
        <f>IFNA(VLOOKUP(W244,Grade_Scale!$A:$B,2,FALSE),"F")</f>
        <v/>
      </c>
      <c r="Z244">
        <f>IF(Y244="","",W244-IFNA(VLOOKUP(Y244,Grade_Scale!$D:$E,2,FALSE),""))</f>
        <v/>
      </c>
    </row>
    <row r="245">
      <c r="P245">
        <f>IF(OR(B245="SP",B245="RP",B245="CP",B245="SP/RP"),"P","H")</f>
        <v/>
      </c>
      <c r="Q245">
        <f>IF(F245="",0,IFNA(VLOOKUP(F245,Trait_Polarity!$A:$C,2,FALSE),0))+IF(G245="",0,IFNA(VLOOKUP(G245,Trait_Polarity!$A:$C,2,FALSE),0))</f>
        <v/>
      </c>
      <c r="R245">
        <f>IF(F245="",0,IFNA(VLOOKUP(F245,Trait_Polarity!$A:$C,3,FALSE),0))+IF(G245="",0,IFNA(VLOOKUP(G245,Trait_Polarity!$A:$C,3,FALSE),0))</f>
        <v/>
      </c>
      <c r="S245">
        <f>IF(P245="P",(M245+N245+O245)/3,0.3*H245+0.3*I245+0.2*J245+0.1*K245+0.1*L245)</f>
        <v/>
      </c>
      <c r="T245">
        <f>IF(P245="P",IFNA(VLOOKUP(B245,Pitcher_RoleAdj!$A:$B,2,FALSE),0),IFNA(VLOOKUP(B245,Hitter_PrimaryAdj!$A:$B,2,FALSE),0))</f>
        <v/>
      </c>
      <c r="U245">
        <f>IFNA(VLOOKUP(IF(C245="","(none)",C245),SecondaryAdj!$A:$B,2,FALSE),0)</f>
        <v/>
      </c>
      <c r="V245">
        <f>IF(P245="P",0.7780+0.1628*S245+0.2957*Q245-0.1912*R245-0.1512*IF(D245="S",1,0)+0.1600*IF(E245="L",1,0)+0.0091*H245+0.0124*I245+0.0017*J245+T245+U245,-0.8294+0.1849*S245+0.1750*Q245-0.2969*R245+0.6924*IF(D245="S",1,0)+0.0457*IF(E245="L",1,0)+T245+U245)</f>
        <v/>
      </c>
      <c r="W245">
        <f>MAX(0,MIN(16,ROUND(V245,0)))</f>
        <v/>
      </c>
      <c r="X245">
        <f>IFNA(VLOOKUP(W245,Grade_Scale!$A:$B,2,FALSE),"F")</f>
        <v/>
      </c>
      <c r="Z245">
        <f>IF(Y245="","",W245-IFNA(VLOOKUP(Y245,Grade_Scale!$D:$E,2,FALSE),""))</f>
        <v/>
      </c>
    </row>
    <row r="246">
      <c r="P246">
        <f>IF(OR(B246="SP",B246="RP",B246="CP",B246="SP/RP"),"P","H")</f>
        <v/>
      </c>
      <c r="Q246">
        <f>IF(F246="",0,IFNA(VLOOKUP(F246,Trait_Polarity!$A:$C,2,FALSE),0))+IF(G246="",0,IFNA(VLOOKUP(G246,Trait_Polarity!$A:$C,2,FALSE),0))</f>
        <v/>
      </c>
      <c r="R246">
        <f>IF(F246="",0,IFNA(VLOOKUP(F246,Trait_Polarity!$A:$C,3,FALSE),0))+IF(G246="",0,IFNA(VLOOKUP(G246,Trait_Polarity!$A:$C,3,FALSE),0))</f>
        <v/>
      </c>
      <c r="S246">
        <f>IF(P246="P",(M246+N246+O246)/3,0.3*H246+0.3*I246+0.2*J246+0.1*K246+0.1*L246)</f>
        <v/>
      </c>
      <c r="T246">
        <f>IF(P246="P",IFNA(VLOOKUP(B246,Pitcher_RoleAdj!$A:$B,2,FALSE),0),IFNA(VLOOKUP(B246,Hitter_PrimaryAdj!$A:$B,2,FALSE),0))</f>
        <v/>
      </c>
      <c r="U246">
        <f>IFNA(VLOOKUP(IF(C246="","(none)",C246),SecondaryAdj!$A:$B,2,FALSE),0)</f>
        <v/>
      </c>
      <c r="V246">
        <f>IF(P246="P",0.7780+0.1628*S246+0.2957*Q246-0.1912*R246-0.1512*IF(D246="S",1,0)+0.1600*IF(E246="L",1,0)+0.0091*H246+0.0124*I246+0.0017*J246+T246+U246,-0.8294+0.1849*S246+0.1750*Q246-0.2969*R246+0.6924*IF(D246="S",1,0)+0.0457*IF(E246="L",1,0)+T246+U246)</f>
        <v/>
      </c>
      <c r="W246">
        <f>MAX(0,MIN(16,ROUND(V246,0)))</f>
        <v/>
      </c>
      <c r="X246">
        <f>IFNA(VLOOKUP(W246,Grade_Scale!$A:$B,2,FALSE),"F")</f>
        <v/>
      </c>
      <c r="Z246">
        <f>IF(Y246="","",W246-IFNA(VLOOKUP(Y246,Grade_Scale!$D:$E,2,FALSE),""))</f>
        <v/>
      </c>
    </row>
    <row r="247">
      <c r="P247">
        <f>IF(OR(B247="SP",B247="RP",B247="CP",B247="SP/RP"),"P","H")</f>
        <v/>
      </c>
      <c r="Q247">
        <f>IF(F247="",0,IFNA(VLOOKUP(F247,Trait_Polarity!$A:$C,2,FALSE),0))+IF(G247="",0,IFNA(VLOOKUP(G247,Trait_Polarity!$A:$C,2,FALSE),0))</f>
        <v/>
      </c>
      <c r="R247">
        <f>IF(F247="",0,IFNA(VLOOKUP(F247,Trait_Polarity!$A:$C,3,FALSE),0))+IF(G247="",0,IFNA(VLOOKUP(G247,Trait_Polarity!$A:$C,3,FALSE),0))</f>
        <v/>
      </c>
      <c r="S247">
        <f>IF(P247="P",(M247+N247+O247)/3,0.3*H247+0.3*I247+0.2*J247+0.1*K247+0.1*L247)</f>
        <v/>
      </c>
      <c r="T247">
        <f>IF(P247="P",IFNA(VLOOKUP(B247,Pitcher_RoleAdj!$A:$B,2,FALSE),0),IFNA(VLOOKUP(B247,Hitter_PrimaryAdj!$A:$B,2,FALSE),0))</f>
        <v/>
      </c>
      <c r="U247">
        <f>IFNA(VLOOKUP(IF(C247="","(none)",C247),SecondaryAdj!$A:$B,2,FALSE),0)</f>
        <v/>
      </c>
      <c r="V247">
        <f>IF(P247="P",0.7780+0.1628*S247+0.2957*Q247-0.1912*R247-0.1512*IF(D247="S",1,0)+0.1600*IF(E247="L",1,0)+0.0091*H247+0.0124*I247+0.0017*J247+T247+U247,-0.8294+0.1849*S247+0.1750*Q247-0.2969*R247+0.6924*IF(D247="S",1,0)+0.0457*IF(E247="L",1,0)+T247+U247)</f>
        <v/>
      </c>
      <c r="W247">
        <f>MAX(0,MIN(16,ROUND(V247,0)))</f>
        <v/>
      </c>
      <c r="X247">
        <f>IFNA(VLOOKUP(W247,Grade_Scale!$A:$B,2,FALSE),"F")</f>
        <v/>
      </c>
      <c r="Z247">
        <f>IF(Y247="","",W247-IFNA(VLOOKUP(Y247,Grade_Scale!$D:$E,2,FALSE),""))</f>
        <v/>
      </c>
    </row>
    <row r="248">
      <c r="P248">
        <f>IF(OR(B248="SP",B248="RP",B248="CP",B248="SP/RP"),"P","H")</f>
        <v/>
      </c>
      <c r="Q248">
        <f>IF(F248="",0,IFNA(VLOOKUP(F248,Trait_Polarity!$A:$C,2,FALSE),0))+IF(G248="",0,IFNA(VLOOKUP(G248,Trait_Polarity!$A:$C,2,FALSE),0))</f>
        <v/>
      </c>
      <c r="R248">
        <f>IF(F248="",0,IFNA(VLOOKUP(F248,Trait_Polarity!$A:$C,3,FALSE),0))+IF(G248="",0,IFNA(VLOOKUP(G248,Trait_Polarity!$A:$C,3,FALSE),0))</f>
        <v/>
      </c>
      <c r="S248">
        <f>IF(P248="P",(M248+N248+O248)/3,0.3*H248+0.3*I248+0.2*J248+0.1*K248+0.1*L248)</f>
        <v/>
      </c>
      <c r="T248">
        <f>IF(P248="P",IFNA(VLOOKUP(B248,Pitcher_RoleAdj!$A:$B,2,FALSE),0),IFNA(VLOOKUP(B248,Hitter_PrimaryAdj!$A:$B,2,FALSE),0))</f>
        <v/>
      </c>
      <c r="U248">
        <f>IFNA(VLOOKUP(IF(C248="","(none)",C248),SecondaryAdj!$A:$B,2,FALSE),0)</f>
        <v/>
      </c>
      <c r="V248">
        <f>IF(P248="P",0.7780+0.1628*S248+0.2957*Q248-0.1912*R248-0.1512*IF(D248="S",1,0)+0.1600*IF(E248="L",1,0)+0.0091*H248+0.0124*I248+0.0017*J248+T248+U248,-0.8294+0.1849*S248+0.1750*Q248-0.2969*R248+0.6924*IF(D248="S",1,0)+0.0457*IF(E248="L",1,0)+T248+U248)</f>
        <v/>
      </c>
      <c r="W248">
        <f>MAX(0,MIN(16,ROUND(V248,0)))</f>
        <v/>
      </c>
      <c r="X248">
        <f>IFNA(VLOOKUP(W248,Grade_Scale!$A:$B,2,FALSE),"F")</f>
        <v/>
      </c>
      <c r="Z248">
        <f>IF(Y248="","",W248-IFNA(VLOOKUP(Y248,Grade_Scale!$D:$E,2,FALSE),""))</f>
        <v/>
      </c>
    </row>
    <row r="249">
      <c r="P249">
        <f>IF(OR(B249="SP",B249="RP",B249="CP",B249="SP/RP"),"P","H")</f>
        <v/>
      </c>
      <c r="Q249">
        <f>IF(F249="",0,IFNA(VLOOKUP(F249,Trait_Polarity!$A:$C,2,FALSE),0))+IF(G249="",0,IFNA(VLOOKUP(G249,Trait_Polarity!$A:$C,2,FALSE),0))</f>
        <v/>
      </c>
      <c r="R249">
        <f>IF(F249="",0,IFNA(VLOOKUP(F249,Trait_Polarity!$A:$C,3,FALSE),0))+IF(G249="",0,IFNA(VLOOKUP(G249,Trait_Polarity!$A:$C,3,FALSE),0))</f>
        <v/>
      </c>
      <c r="S249">
        <f>IF(P249="P",(M249+N249+O249)/3,0.3*H249+0.3*I249+0.2*J249+0.1*K249+0.1*L249)</f>
        <v/>
      </c>
      <c r="T249">
        <f>IF(P249="P",IFNA(VLOOKUP(B249,Pitcher_RoleAdj!$A:$B,2,FALSE),0),IFNA(VLOOKUP(B249,Hitter_PrimaryAdj!$A:$B,2,FALSE),0))</f>
        <v/>
      </c>
      <c r="U249">
        <f>IFNA(VLOOKUP(IF(C249="","(none)",C249),SecondaryAdj!$A:$B,2,FALSE),0)</f>
        <v/>
      </c>
      <c r="V249">
        <f>IF(P249="P",0.7780+0.1628*S249+0.2957*Q249-0.1912*R249-0.1512*IF(D249="S",1,0)+0.1600*IF(E249="L",1,0)+0.0091*H249+0.0124*I249+0.0017*J249+T249+U249,-0.8294+0.1849*S249+0.1750*Q249-0.2969*R249+0.6924*IF(D249="S",1,0)+0.0457*IF(E249="L",1,0)+T249+U249)</f>
        <v/>
      </c>
      <c r="W249">
        <f>MAX(0,MIN(16,ROUND(V249,0)))</f>
        <v/>
      </c>
      <c r="X249">
        <f>IFNA(VLOOKUP(W249,Grade_Scale!$A:$B,2,FALSE),"F")</f>
        <v/>
      </c>
      <c r="Z249">
        <f>IF(Y249="","",W249-IFNA(VLOOKUP(Y249,Grade_Scale!$D:$E,2,FALSE),""))</f>
        <v/>
      </c>
    </row>
    <row r="250">
      <c r="P250">
        <f>IF(OR(B250="SP",B250="RP",B250="CP",B250="SP/RP"),"P","H")</f>
        <v/>
      </c>
      <c r="Q250">
        <f>IF(F250="",0,IFNA(VLOOKUP(F250,Trait_Polarity!$A:$C,2,FALSE),0))+IF(G250="",0,IFNA(VLOOKUP(G250,Trait_Polarity!$A:$C,2,FALSE),0))</f>
        <v/>
      </c>
      <c r="R250">
        <f>IF(F250="",0,IFNA(VLOOKUP(F250,Trait_Polarity!$A:$C,3,FALSE),0))+IF(G250="",0,IFNA(VLOOKUP(G250,Trait_Polarity!$A:$C,3,FALSE),0))</f>
        <v/>
      </c>
      <c r="S250">
        <f>IF(P250="P",(M250+N250+O250)/3,0.3*H250+0.3*I250+0.2*J250+0.1*K250+0.1*L250)</f>
        <v/>
      </c>
      <c r="T250">
        <f>IF(P250="P",IFNA(VLOOKUP(B250,Pitcher_RoleAdj!$A:$B,2,FALSE),0),IFNA(VLOOKUP(B250,Hitter_PrimaryAdj!$A:$B,2,FALSE),0))</f>
        <v/>
      </c>
      <c r="U250">
        <f>IFNA(VLOOKUP(IF(C250="","(none)",C250),SecondaryAdj!$A:$B,2,FALSE),0)</f>
        <v/>
      </c>
      <c r="V250">
        <f>IF(P250="P",0.7780+0.1628*S250+0.2957*Q250-0.1912*R250-0.1512*IF(D250="S",1,0)+0.1600*IF(E250="L",1,0)+0.0091*H250+0.0124*I250+0.0017*J250+T250+U250,-0.8294+0.1849*S250+0.1750*Q250-0.2969*R250+0.6924*IF(D250="S",1,0)+0.0457*IF(E250="L",1,0)+T250+U250)</f>
        <v/>
      </c>
      <c r="W250">
        <f>MAX(0,MIN(16,ROUND(V250,0)))</f>
        <v/>
      </c>
      <c r="X250">
        <f>IFNA(VLOOKUP(W250,Grade_Scale!$A:$B,2,FALSE),"F")</f>
        <v/>
      </c>
      <c r="Z250">
        <f>IF(Y250="","",W250-IFNA(VLOOKUP(Y250,Grade_Scale!$D:$E,2,FALSE),""))</f>
        <v/>
      </c>
    </row>
    <row r="251">
      <c r="P251">
        <f>IF(OR(B251="SP",B251="RP",B251="CP",B251="SP/RP"),"P","H")</f>
        <v/>
      </c>
      <c r="Q251">
        <f>IF(F251="",0,IFNA(VLOOKUP(F251,Trait_Polarity!$A:$C,2,FALSE),0))+IF(G251="",0,IFNA(VLOOKUP(G251,Trait_Polarity!$A:$C,2,FALSE),0))</f>
        <v/>
      </c>
      <c r="R251">
        <f>IF(F251="",0,IFNA(VLOOKUP(F251,Trait_Polarity!$A:$C,3,FALSE),0))+IF(G251="",0,IFNA(VLOOKUP(G251,Trait_Polarity!$A:$C,3,FALSE),0))</f>
        <v/>
      </c>
      <c r="S251">
        <f>IF(P251="P",(M251+N251+O251)/3,0.3*H251+0.3*I251+0.2*J251+0.1*K251+0.1*L251)</f>
        <v/>
      </c>
      <c r="T251">
        <f>IF(P251="P",IFNA(VLOOKUP(B251,Pitcher_RoleAdj!$A:$B,2,FALSE),0),IFNA(VLOOKUP(B251,Hitter_PrimaryAdj!$A:$B,2,FALSE),0))</f>
        <v/>
      </c>
      <c r="U251">
        <f>IFNA(VLOOKUP(IF(C251="","(none)",C251),SecondaryAdj!$A:$B,2,FALSE),0)</f>
        <v/>
      </c>
      <c r="V251">
        <f>IF(P251="P",0.7780+0.1628*S251+0.2957*Q251-0.1912*R251-0.1512*IF(D251="S",1,0)+0.1600*IF(E251="L",1,0)+0.0091*H251+0.0124*I251+0.0017*J251+T251+U251,-0.8294+0.1849*S251+0.1750*Q251-0.2969*R251+0.6924*IF(D251="S",1,0)+0.0457*IF(E251="L",1,0)+T251+U251)</f>
        <v/>
      </c>
      <c r="W251">
        <f>MAX(0,MIN(16,ROUND(V251,0)))</f>
        <v/>
      </c>
      <c r="X251">
        <f>IFNA(VLOOKUP(W251,Grade_Scale!$A:$B,2,FALSE),"F")</f>
        <v/>
      </c>
      <c r="Z251">
        <f>IF(Y251="","",W251-IFNA(VLOOKUP(Y251,Grade_Scale!$D:$E,2,FALSE),""))</f>
        <v/>
      </c>
    </row>
    <row r="252">
      <c r="P252">
        <f>IF(OR(B252="SP",B252="RP",B252="CP",B252="SP/RP"),"P","H")</f>
        <v/>
      </c>
      <c r="Q252">
        <f>IF(F252="",0,IFNA(VLOOKUP(F252,Trait_Polarity!$A:$C,2,FALSE),0))+IF(G252="",0,IFNA(VLOOKUP(G252,Trait_Polarity!$A:$C,2,FALSE),0))</f>
        <v/>
      </c>
      <c r="R252">
        <f>IF(F252="",0,IFNA(VLOOKUP(F252,Trait_Polarity!$A:$C,3,FALSE),0))+IF(G252="",0,IFNA(VLOOKUP(G252,Trait_Polarity!$A:$C,3,FALSE),0))</f>
        <v/>
      </c>
      <c r="S252">
        <f>IF(P252="P",(M252+N252+O252)/3,0.3*H252+0.3*I252+0.2*J252+0.1*K252+0.1*L252)</f>
        <v/>
      </c>
      <c r="T252">
        <f>IF(P252="P",IFNA(VLOOKUP(B252,Pitcher_RoleAdj!$A:$B,2,FALSE),0),IFNA(VLOOKUP(B252,Hitter_PrimaryAdj!$A:$B,2,FALSE),0))</f>
        <v/>
      </c>
      <c r="U252">
        <f>IFNA(VLOOKUP(IF(C252="","(none)",C252),SecondaryAdj!$A:$B,2,FALSE),0)</f>
        <v/>
      </c>
      <c r="V252">
        <f>IF(P252="P",0.7780+0.1628*S252+0.2957*Q252-0.1912*R252-0.1512*IF(D252="S",1,0)+0.1600*IF(E252="L",1,0)+0.0091*H252+0.0124*I252+0.0017*J252+T252+U252,-0.8294+0.1849*S252+0.1750*Q252-0.2969*R252+0.6924*IF(D252="S",1,0)+0.0457*IF(E252="L",1,0)+T252+U252)</f>
        <v/>
      </c>
      <c r="W252">
        <f>MAX(0,MIN(16,ROUND(V252,0)))</f>
        <v/>
      </c>
      <c r="X252">
        <f>IFNA(VLOOKUP(W252,Grade_Scale!$A:$B,2,FALSE),"F")</f>
        <v/>
      </c>
      <c r="Z252">
        <f>IF(Y252="","",W252-IFNA(VLOOKUP(Y252,Grade_Scale!$D:$E,2,FALSE),""))</f>
        <v/>
      </c>
    </row>
    <row r="253">
      <c r="P253">
        <f>IF(OR(B253="SP",B253="RP",B253="CP",B253="SP/RP"),"P","H")</f>
        <v/>
      </c>
      <c r="Q253">
        <f>IF(F253="",0,IFNA(VLOOKUP(F253,Trait_Polarity!$A:$C,2,FALSE),0))+IF(G253="",0,IFNA(VLOOKUP(G253,Trait_Polarity!$A:$C,2,FALSE),0))</f>
        <v/>
      </c>
      <c r="R253">
        <f>IF(F253="",0,IFNA(VLOOKUP(F253,Trait_Polarity!$A:$C,3,FALSE),0))+IF(G253="",0,IFNA(VLOOKUP(G253,Trait_Polarity!$A:$C,3,FALSE),0))</f>
        <v/>
      </c>
      <c r="S253">
        <f>IF(P253="P",(M253+N253+O253)/3,0.3*H253+0.3*I253+0.2*J253+0.1*K253+0.1*L253)</f>
        <v/>
      </c>
      <c r="T253">
        <f>IF(P253="P",IFNA(VLOOKUP(B253,Pitcher_RoleAdj!$A:$B,2,FALSE),0),IFNA(VLOOKUP(B253,Hitter_PrimaryAdj!$A:$B,2,FALSE),0))</f>
        <v/>
      </c>
      <c r="U253">
        <f>IFNA(VLOOKUP(IF(C253="","(none)",C253),SecondaryAdj!$A:$B,2,FALSE),0)</f>
        <v/>
      </c>
      <c r="V253">
        <f>IF(P253="P",0.7780+0.1628*S253+0.2957*Q253-0.1912*R253-0.1512*IF(D253="S",1,0)+0.1600*IF(E253="L",1,0)+0.0091*H253+0.0124*I253+0.0017*J253+T253+U253,-0.8294+0.1849*S253+0.1750*Q253-0.2969*R253+0.6924*IF(D253="S",1,0)+0.0457*IF(E253="L",1,0)+T253+U253)</f>
        <v/>
      </c>
      <c r="W253">
        <f>MAX(0,MIN(16,ROUND(V253,0)))</f>
        <v/>
      </c>
      <c r="X253">
        <f>IFNA(VLOOKUP(W253,Grade_Scale!$A:$B,2,FALSE),"F")</f>
        <v/>
      </c>
      <c r="Z253">
        <f>IF(Y253="","",W253-IFNA(VLOOKUP(Y253,Grade_Scale!$D:$E,2,FALSE),""))</f>
        <v/>
      </c>
    </row>
    <row r="254">
      <c r="P254">
        <f>IF(OR(B254="SP",B254="RP",B254="CP",B254="SP/RP"),"P","H")</f>
        <v/>
      </c>
      <c r="Q254">
        <f>IF(F254="",0,IFNA(VLOOKUP(F254,Trait_Polarity!$A:$C,2,FALSE),0))+IF(G254="",0,IFNA(VLOOKUP(G254,Trait_Polarity!$A:$C,2,FALSE),0))</f>
        <v/>
      </c>
      <c r="R254">
        <f>IF(F254="",0,IFNA(VLOOKUP(F254,Trait_Polarity!$A:$C,3,FALSE),0))+IF(G254="",0,IFNA(VLOOKUP(G254,Trait_Polarity!$A:$C,3,FALSE),0))</f>
        <v/>
      </c>
      <c r="S254">
        <f>IF(P254="P",(M254+N254+O254)/3,0.3*H254+0.3*I254+0.2*J254+0.1*K254+0.1*L254)</f>
        <v/>
      </c>
      <c r="T254">
        <f>IF(P254="P",IFNA(VLOOKUP(B254,Pitcher_RoleAdj!$A:$B,2,FALSE),0),IFNA(VLOOKUP(B254,Hitter_PrimaryAdj!$A:$B,2,FALSE),0))</f>
        <v/>
      </c>
      <c r="U254">
        <f>IFNA(VLOOKUP(IF(C254="","(none)",C254),SecondaryAdj!$A:$B,2,FALSE),0)</f>
        <v/>
      </c>
      <c r="V254">
        <f>IF(P254="P",0.7780+0.1628*S254+0.2957*Q254-0.1912*R254-0.1512*IF(D254="S",1,0)+0.1600*IF(E254="L",1,0)+0.0091*H254+0.0124*I254+0.0017*J254+T254+U254,-0.8294+0.1849*S254+0.1750*Q254-0.2969*R254+0.6924*IF(D254="S",1,0)+0.0457*IF(E254="L",1,0)+T254+U254)</f>
        <v/>
      </c>
      <c r="W254">
        <f>MAX(0,MIN(16,ROUND(V254,0)))</f>
        <v/>
      </c>
      <c r="X254">
        <f>IFNA(VLOOKUP(W254,Grade_Scale!$A:$B,2,FALSE),"F")</f>
        <v/>
      </c>
      <c r="Z254">
        <f>IF(Y254="","",W254-IFNA(VLOOKUP(Y254,Grade_Scale!$D:$E,2,FALSE),""))</f>
        <v/>
      </c>
    </row>
    <row r="255">
      <c r="P255">
        <f>IF(OR(B255="SP",B255="RP",B255="CP",B255="SP/RP"),"P","H")</f>
        <v/>
      </c>
      <c r="Q255">
        <f>IF(F255="",0,IFNA(VLOOKUP(F255,Trait_Polarity!$A:$C,2,FALSE),0))+IF(G255="",0,IFNA(VLOOKUP(G255,Trait_Polarity!$A:$C,2,FALSE),0))</f>
        <v/>
      </c>
      <c r="R255">
        <f>IF(F255="",0,IFNA(VLOOKUP(F255,Trait_Polarity!$A:$C,3,FALSE),0))+IF(G255="",0,IFNA(VLOOKUP(G255,Trait_Polarity!$A:$C,3,FALSE),0))</f>
        <v/>
      </c>
      <c r="S255">
        <f>IF(P255="P",(M255+N255+O255)/3,0.3*H255+0.3*I255+0.2*J255+0.1*K255+0.1*L255)</f>
        <v/>
      </c>
      <c r="T255">
        <f>IF(P255="P",IFNA(VLOOKUP(B255,Pitcher_RoleAdj!$A:$B,2,FALSE),0),IFNA(VLOOKUP(B255,Hitter_PrimaryAdj!$A:$B,2,FALSE),0))</f>
        <v/>
      </c>
      <c r="U255">
        <f>IFNA(VLOOKUP(IF(C255="","(none)",C255),SecondaryAdj!$A:$B,2,FALSE),0)</f>
        <v/>
      </c>
      <c r="V255">
        <f>IF(P255="P",0.7780+0.1628*S255+0.2957*Q255-0.1912*R255-0.1512*IF(D255="S",1,0)+0.1600*IF(E255="L",1,0)+0.0091*H255+0.0124*I255+0.0017*J255+T255+U255,-0.8294+0.1849*S255+0.1750*Q255-0.2969*R255+0.6924*IF(D255="S",1,0)+0.0457*IF(E255="L",1,0)+T255+U255)</f>
        <v/>
      </c>
      <c r="W255">
        <f>MAX(0,MIN(16,ROUND(V255,0)))</f>
        <v/>
      </c>
      <c r="X255">
        <f>IFNA(VLOOKUP(W255,Grade_Scale!$A:$B,2,FALSE),"F")</f>
        <v/>
      </c>
      <c r="Z255">
        <f>IF(Y255="","",W255-IFNA(VLOOKUP(Y255,Grade_Scale!$D:$E,2,FALSE),""))</f>
        <v/>
      </c>
    </row>
    <row r="256">
      <c r="P256">
        <f>IF(OR(B256="SP",B256="RP",B256="CP",B256="SP/RP"),"P","H")</f>
        <v/>
      </c>
      <c r="Q256">
        <f>IF(F256="",0,IFNA(VLOOKUP(F256,Trait_Polarity!$A:$C,2,FALSE),0))+IF(G256="",0,IFNA(VLOOKUP(G256,Trait_Polarity!$A:$C,2,FALSE),0))</f>
        <v/>
      </c>
      <c r="R256">
        <f>IF(F256="",0,IFNA(VLOOKUP(F256,Trait_Polarity!$A:$C,3,FALSE),0))+IF(G256="",0,IFNA(VLOOKUP(G256,Trait_Polarity!$A:$C,3,FALSE),0))</f>
        <v/>
      </c>
      <c r="S256">
        <f>IF(P256="P",(M256+N256+O256)/3,0.3*H256+0.3*I256+0.2*J256+0.1*K256+0.1*L256)</f>
        <v/>
      </c>
      <c r="T256">
        <f>IF(P256="P",IFNA(VLOOKUP(B256,Pitcher_RoleAdj!$A:$B,2,FALSE),0),IFNA(VLOOKUP(B256,Hitter_PrimaryAdj!$A:$B,2,FALSE),0))</f>
        <v/>
      </c>
      <c r="U256">
        <f>IFNA(VLOOKUP(IF(C256="","(none)",C256),SecondaryAdj!$A:$B,2,FALSE),0)</f>
        <v/>
      </c>
      <c r="V256">
        <f>IF(P256="P",0.7780+0.1628*S256+0.2957*Q256-0.1912*R256-0.1512*IF(D256="S",1,0)+0.1600*IF(E256="L",1,0)+0.0091*H256+0.0124*I256+0.0017*J256+T256+U256,-0.8294+0.1849*S256+0.1750*Q256-0.2969*R256+0.6924*IF(D256="S",1,0)+0.0457*IF(E256="L",1,0)+T256+U256)</f>
        <v/>
      </c>
      <c r="W256">
        <f>MAX(0,MIN(16,ROUND(V256,0)))</f>
        <v/>
      </c>
      <c r="X256">
        <f>IFNA(VLOOKUP(W256,Grade_Scale!$A:$B,2,FALSE),"F")</f>
        <v/>
      </c>
      <c r="Z256">
        <f>IF(Y256="","",W256-IFNA(VLOOKUP(Y256,Grade_Scale!$D:$E,2,FALSE),""))</f>
        <v/>
      </c>
    </row>
    <row r="257">
      <c r="P257">
        <f>IF(OR(B257="SP",B257="RP",B257="CP",B257="SP/RP"),"P","H")</f>
        <v/>
      </c>
      <c r="Q257">
        <f>IF(F257="",0,IFNA(VLOOKUP(F257,Trait_Polarity!$A:$C,2,FALSE),0))+IF(G257="",0,IFNA(VLOOKUP(G257,Trait_Polarity!$A:$C,2,FALSE),0))</f>
        <v/>
      </c>
      <c r="R257">
        <f>IF(F257="",0,IFNA(VLOOKUP(F257,Trait_Polarity!$A:$C,3,FALSE),0))+IF(G257="",0,IFNA(VLOOKUP(G257,Trait_Polarity!$A:$C,3,FALSE),0))</f>
        <v/>
      </c>
      <c r="S257">
        <f>IF(P257="P",(M257+N257+O257)/3,0.3*H257+0.3*I257+0.2*J257+0.1*K257+0.1*L257)</f>
        <v/>
      </c>
      <c r="T257">
        <f>IF(P257="P",IFNA(VLOOKUP(B257,Pitcher_RoleAdj!$A:$B,2,FALSE),0),IFNA(VLOOKUP(B257,Hitter_PrimaryAdj!$A:$B,2,FALSE),0))</f>
        <v/>
      </c>
      <c r="U257">
        <f>IFNA(VLOOKUP(IF(C257="","(none)",C257),SecondaryAdj!$A:$B,2,FALSE),0)</f>
        <v/>
      </c>
      <c r="V257">
        <f>IF(P257="P",0.7780+0.1628*S257+0.2957*Q257-0.1912*R257-0.1512*IF(D257="S",1,0)+0.1600*IF(E257="L",1,0)+0.0091*H257+0.0124*I257+0.0017*J257+T257+U257,-0.8294+0.1849*S257+0.1750*Q257-0.2969*R257+0.6924*IF(D257="S",1,0)+0.0457*IF(E257="L",1,0)+T257+U257)</f>
        <v/>
      </c>
      <c r="W257">
        <f>MAX(0,MIN(16,ROUND(V257,0)))</f>
        <v/>
      </c>
      <c r="X257">
        <f>IFNA(VLOOKUP(W257,Grade_Scale!$A:$B,2,FALSE),"F")</f>
        <v/>
      </c>
      <c r="Z257">
        <f>IF(Y257="","",W257-IFNA(VLOOKUP(Y257,Grade_Scale!$D:$E,2,FALSE),""))</f>
        <v/>
      </c>
    </row>
    <row r="258">
      <c r="P258">
        <f>IF(OR(B258="SP",B258="RP",B258="CP",B258="SP/RP"),"P","H")</f>
        <v/>
      </c>
      <c r="Q258">
        <f>IF(F258="",0,IFNA(VLOOKUP(F258,Trait_Polarity!$A:$C,2,FALSE),0))+IF(G258="",0,IFNA(VLOOKUP(G258,Trait_Polarity!$A:$C,2,FALSE),0))</f>
        <v/>
      </c>
      <c r="R258">
        <f>IF(F258="",0,IFNA(VLOOKUP(F258,Trait_Polarity!$A:$C,3,FALSE),0))+IF(G258="",0,IFNA(VLOOKUP(G258,Trait_Polarity!$A:$C,3,FALSE),0))</f>
        <v/>
      </c>
      <c r="S258">
        <f>IF(P258="P",(M258+N258+O258)/3,0.3*H258+0.3*I258+0.2*J258+0.1*K258+0.1*L258)</f>
        <v/>
      </c>
      <c r="T258">
        <f>IF(P258="P",IFNA(VLOOKUP(B258,Pitcher_RoleAdj!$A:$B,2,FALSE),0),IFNA(VLOOKUP(B258,Hitter_PrimaryAdj!$A:$B,2,FALSE),0))</f>
        <v/>
      </c>
      <c r="U258">
        <f>IFNA(VLOOKUP(IF(C258="","(none)",C258),SecondaryAdj!$A:$B,2,FALSE),0)</f>
        <v/>
      </c>
      <c r="V258">
        <f>IF(P258="P",0.7780+0.1628*S258+0.2957*Q258-0.1912*R258-0.1512*IF(D258="S",1,0)+0.1600*IF(E258="L",1,0)+0.0091*H258+0.0124*I258+0.0017*J258+T258+U258,-0.8294+0.1849*S258+0.1750*Q258-0.2969*R258+0.6924*IF(D258="S",1,0)+0.0457*IF(E258="L",1,0)+T258+U258)</f>
        <v/>
      </c>
      <c r="W258">
        <f>MAX(0,MIN(16,ROUND(V258,0)))</f>
        <v/>
      </c>
      <c r="X258">
        <f>IFNA(VLOOKUP(W258,Grade_Scale!$A:$B,2,FALSE),"F")</f>
        <v/>
      </c>
      <c r="Z258">
        <f>IF(Y258="","",W258-IFNA(VLOOKUP(Y258,Grade_Scale!$D:$E,2,FALSE),""))</f>
        <v/>
      </c>
    </row>
    <row r="259">
      <c r="P259">
        <f>IF(OR(B259="SP",B259="RP",B259="CP",B259="SP/RP"),"P","H")</f>
        <v/>
      </c>
      <c r="Q259">
        <f>IF(F259="",0,IFNA(VLOOKUP(F259,Trait_Polarity!$A:$C,2,FALSE),0))+IF(G259="",0,IFNA(VLOOKUP(G259,Trait_Polarity!$A:$C,2,FALSE),0))</f>
        <v/>
      </c>
      <c r="R259">
        <f>IF(F259="",0,IFNA(VLOOKUP(F259,Trait_Polarity!$A:$C,3,FALSE),0))+IF(G259="",0,IFNA(VLOOKUP(G259,Trait_Polarity!$A:$C,3,FALSE),0))</f>
        <v/>
      </c>
      <c r="S259">
        <f>IF(P259="P",(M259+N259+O259)/3,0.3*H259+0.3*I259+0.2*J259+0.1*K259+0.1*L259)</f>
        <v/>
      </c>
      <c r="T259">
        <f>IF(P259="P",IFNA(VLOOKUP(B259,Pitcher_RoleAdj!$A:$B,2,FALSE),0),IFNA(VLOOKUP(B259,Hitter_PrimaryAdj!$A:$B,2,FALSE),0))</f>
        <v/>
      </c>
      <c r="U259">
        <f>IFNA(VLOOKUP(IF(C259="","(none)",C259),SecondaryAdj!$A:$B,2,FALSE),0)</f>
        <v/>
      </c>
      <c r="V259">
        <f>IF(P259="P",0.7780+0.1628*S259+0.2957*Q259-0.1912*R259-0.1512*IF(D259="S",1,0)+0.1600*IF(E259="L",1,0)+0.0091*H259+0.0124*I259+0.0017*J259+T259+U259,-0.8294+0.1849*S259+0.1750*Q259-0.2969*R259+0.6924*IF(D259="S",1,0)+0.0457*IF(E259="L",1,0)+T259+U259)</f>
        <v/>
      </c>
      <c r="W259">
        <f>MAX(0,MIN(16,ROUND(V259,0)))</f>
        <v/>
      </c>
      <c r="X259">
        <f>IFNA(VLOOKUP(W259,Grade_Scale!$A:$B,2,FALSE),"F")</f>
        <v/>
      </c>
      <c r="Z259">
        <f>IF(Y259="","",W259-IFNA(VLOOKUP(Y259,Grade_Scale!$D:$E,2,FALSE),""))</f>
        <v/>
      </c>
    </row>
    <row r="260">
      <c r="P260">
        <f>IF(OR(B260="SP",B260="RP",B260="CP",B260="SP/RP"),"P","H")</f>
        <v/>
      </c>
      <c r="Q260">
        <f>IF(F260="",0,IFNA(VLOOKUP(F260,Trait_Polarity!$A:$C,2,FALSE),0))+IF(G260="",0,IFNA(VLOOKUP(G260,Trait_Polarity!$A:$C,2,FALSE),0))</f>
        <v/>
      </c>
      <c r="R260">
        <f>IF(F260="",0,IFNA(VLOOKUP(F260,Trait_Polarity!$A:$C,3,FALSE),0))+IF(G260="",0,IFNA(VLOOKUP(G260,Trait_Polarity!$A:$C,3,FALSE),0))</f>
        <v/>
      </c>
      <c r="S260">
        <f>IF(P260="P",(M260+N260+O260)/3,0.3*H260+0.3*I260+0.2*J260+0.1*K260+0.1*L260)</f>
        <v/>
      </c>
      <c r="T260">
        <f>IF(P260="P",IFNA(VLOOKUP(B260,Pitcher_RoleAdj!$A:$B,2,FALSE),0),IFNA(VLOOKUP(B260,Hitter_PrimaryAdj!$A:$B,2,FALSE),0))</f>
        <v/>
      </c>
      <c r="U260">
        <f>IFNA(VLOOKUP(IF(C260="","(none)",C260),SecondaryAdj!$A:$B,2,FALSE),0)</f>
        <v/>
      </c>
      <c r="V260">
        <f>IF(P260="P",0.7780+0.1628*S260+0.2957*Q260-0.1912*R260-0.1512*IF(D260="S",1,0)+0.1600*IF(E260="L",1,0)+0.0091*H260+0.0124*I260+0.0017*J260+T260+U260,-0.8294+0.1849*S260+0.1750*Q260-0.2969*R260+0.6924*IF(D260="S",1,0)+0.0457*IF(E260="L",1,0)+T260+U260)</f>
        <v/>
      </c>
      <c r="W260">
        <f>MAX(0,MIN(16,ROUND(V260,0)))</f>
        <v/>
      </c>
      <c r="X260">
        <f>IFNA(VLOOKUP(W260,Grade_Scale!$A:$B,2,FALSE),"F")</f>
        <v/>
      </c>
      <c r="Z260">
        <f>IF(Y260="","",W260-IFNA(VLOOKUP(Y260,Grade_Scale!$D:$E,2,FALSE),""))</f>
        <v/>
      </c>
    </row>
    <row r="261">
      <c r="P261">
        <f>IF(OR(B261="SP",B261="RP",B261="CP",B261="SP/RP"),"P","H")</f>
        <v/>
      </c>
      <c r="Q261">
        <f>IF(F261="",0,IFNA(VLOOKUP(F261,Trait_Polarity!$A:$C,2,FALSE),0))+IF(G261="",0,IFNA(VLOOKUP(G261,Trait_Polarity!$A:$C,2,FALSE),0))</f>
        <v/>
      </c>
      <c r="R261">
        <f>IF(F261="",0,IFNA(VLOOKUP(F261,Trait_Polarity!$A:$C,3,FALSE),0))+IF(G261="",0,IFNA(VLOOKUP(G261,Trait_Polarity!$A:$C,3,FALSE),0))</f>
        <v/>
      </c>
      <c r="S261">
        <f>IF(P261="P",(M261+N261+O261)/3,0.3*H261+0.3*I261+0.2*J261+0.1*K261+0.1*L261)</f>
        <v/>
      </c>
      <c r="T261">
        <f>IF(P261="P",IFNA(VLOOKUP(B261,Pitcher_RoleAdj!$A:$B,2,FALSE),0),IFNA(VLOOKUP(B261,Hitter_PrimaryAdj!$A:$B,2,FALSE),0))</f>
        <v/>
      </c>
      <c r="U261">
        <f>IFNA(VLOOKUP(IF(C261="","(none)",C261),SecondaryAdj!$A:$B,2,FALSE),0)</f>
        <v/>
      </c>
      <c r="V261">
        <f>IF(P261="P",0.7780+0.1628*S261+0.2957*Q261-0.1912*R261-0.1512*IF(D261="S",1,0)+0.1600*IF(E261="L",1,0)+0.0091*H261+0.0124*I261+0.0017*J261+T261+U261,-0.8294+0.1849*S261+0.1750*Q261-0.2969*R261+0.6924*IF(D261="S",1,0)+0.0457*IF(E261="L",1,0)+T261+U261)</f>
        <v/>
      </c>
      <c r="W261">
        <f>MAX(0,MIN(16,ROUND(V261,0)))</f>
        <v/>
      </c>
      <c r="X261">
        <f>IFNA(VLOOKUP(W261,Grade_Scale!$A:$B,2,FALSE),"F")</f>
        <v/>
      </c>
      <c r="Z261">
        <f>IF(Y261="","",W261-IFNA(VLOOKUP(Y261,Grade_Scale!$D:$E,2,FALSE),""))</f>
        <v/>
      </c>
    </row>
    <row r="262">
      <c r="P262">
        <f>IF(OR(B262="SP",B262="RP",B262="CP",B262="SP/RP"),"P","H")</f>
        <v/>
      </c>
      <c r="Q262">
        <f>IF(F262="",0,IFNA(VLOOKUP(F262,Trait_Polarity!$A:$C,2,FALSE),0))+IF(G262="",0,IFNA(VLOOKUP(G262,Trait_Polarity!$A:$C,2,FALSE),0))</f>
        <v/>
      </c>
      <c r="R262">
        <f>IF(F262="",0,IFNA(VLOOKUP(F262,Trait_Polarity!$A:$C,3,FALSE),0))+IF(G262="",0,IFNA(VLOOKUP(G262,Trait_Polarity!$A:$C,3,FALSE),0))</f>
        <v/>
      </c>
      <c r="S262">
        <f>IF(P262="P",(M262+N262+O262)/3,0.3*H262+0.3*I262+0.2*J262+0.1*K262+0.1*L262)</f>
        <v/>
      </c>
      <c r="T262">
        <f>IF(P262="P",IFNA(VLOOKUP(B262,Pitcher_RoleAdj!$A:$B,2,FALSE),0),IFNA(VLOOKUP(B262,Hitter_PrimaryAdj!$A:$B,2,FALSE),0))</f>
        <v/>
      </c>
      <c r="U262">
        <f>IFNA(VLOOKUP(IF(C262="","(none)",C262),SecondaryAdj!$A:$B,2,FALSE),0)</f>
        <v/>
      </c>
      <c r="V262">
        <f>IF(P262="P",0.7780+0.1628*S262+0.2957*Q262-0.1912*R262-0.1512*IF(D262="S",1,0)+0.1600*IF(E262="L",1,0)+0.0091*H262+0.0124*I262+0.0017*J262+T262+U262,-0.8294+0.1849*S262+0.1750*Q262-0.2969*R262+0.6924*IF(D262="S",1,0)+0.0457*IF(E262="L",1,0)+T262+U262)</f>
        <v/>
      </c>
      <c r="W262">
        <f>MAX(0,MIN(16,ROUND(V262,0)))</f>
        <v/>
      </c>
      <c r="X262">
        <f>IFNA(VLOOKUP(W262,Grade_Scale!$A:$B,2,FALSE),"F")</f>
        <v/>
      </c>
      <c r="Z262">
        <f>IF(Y262="","",W262-IFNA(VLOOKUP(Y262,Grade_Scale!$D:$E,2,FALSE),""))</f>
        <v/>
      </c>
    </row>
    <row r="263">
      <c r="P263">
        <f>IF(OR(B263="SP",B263="RP",B263="CP",B263="SP/RP"),"P","H")</f>
        <v/>
      </c>
      <c r="Q263">
        <f>IF(F263="",0,IFNA(VLOOKUP(F263,Trait_Polarity!$A:$C,2,FALSE),0))+IF(G263="",0,IFNA(VLOOKUP(G263,Trait_Polarity!$A:$C,2,FALSE),0))</f>
        <v/>
      </c>
      <c r="R263">
        <f>IF(F263="",0,IFNA(VLOOKUP(F263,Trait_Polarity!$A:$C,3,FALSE),0))+IF(G263="",0,IFNA(VLOOKUP(G263,Trait_Polarity!$A:$C,3,FALSE),0))</f>
        <v/>
      </c>
      <c r="S263">
        <f>IF(P263="P",(M263+N263+O263)/3,0.3*H263+0.3*I263+0.2*J263+0.1*K263+0.1*L263)</f>
        <v/>
      </c>
      <c r="T263">
        <f>IF(P263="P",IFNA(VLOOKUP(B263,Pitcher_RoleAdj!$A:$B,2,FALSE),0),IFNA(VLOOKUP(B263,Hitter_PrimaryAdj!$A:$B,2,FALSE),0))</f>
        <v/>
      </c>
      <c r="U263">
        <f>IFNA(VLOOKUP(IF(C263="","(none)",C263),SecondaryAdj!$A:$B,2,FALSE),0)</f>
        <v/>
      </c>
      <c r="V263">
        <f>IF(P263="P",0.7780+0.1628*S263+0.2957*Q263-0.1912*R263-0.1512*IF(D263="S",1,0)+0.1600*IF(E263="L",1,0)+0.0091*H263+0.0124*I263+0.0017*J263+T263+U263,-0.8294+0.1849*S263+0.1750*Q263-0.2969*R263+0.6924*IF(D263="S",1,0)+0.0457*IF(E263="L",1,0)+T263+U263)</f>
        <v/>
      </c>
      <c r="W263">
        <f>MAX(0,MIN(16,ROUND(V263,0)))</f>
        <v/>
      </c>
      <c r="X263">
        <f>IFNA(VLOOKUP(W263,Grade_Scale!$A:$B,2,FALSE),"F")</f>
        <v/>
      </c>
      <c r="Z263">
        <f>IF(Y263="","",W263-IFNA(VLOOKUP(Y263,Grade_Scale!$D:$E,2,FALSE),""))</f>
        <v/>
      </c>
    </row>
    <row r="264">
      <c r="P264">
        <f>IF(OR(B264="SP",B264="RP",B264="CP",B264="SP/RP"),"P","H")</f>
        <v/>
      </c>
      <c r="Q264">
        <f>IF(F264="",0,IFNA(VLOOKUP(F264,Trait_Polarity!$A:$C,2,FALSE),0))+IF(G264="",0,IFNA(VLOOKUP(G264,Trait_Polarity!$A:$C,2,FALSE),0))</f>
        <v/>
      </c>
      <c r="R264">
        <f>IF(F264="",0,IFNA(VLOOKUP(F264,Trait_Polarity!$A:$C,3,FALSE),0))+IF(G264="",0,IFNA(VLOOKUP(G264,Trait_Polarity!$A:$C,3,FALSE),0))</f>
        <v/>
      </c>
      <c r="S264">
        <f>IF(P264="P",(M264+N264+O264)/3,0.3*H264+0.3*I264+0.2*J264+0.1*K264+0.1*L264)</f>
        <v/>
      </c>
      <c r="T264">
        <f>IF(P264="P",IFNA(VLOOKUP(B264,Pitcher_RoleAdj!$A:$B,2,FALSE),0),IFNA(VLOOKUP(B264,Hitter_PrimaryAdj!$A:$B,2,FALSE),0))</f>
        <v/>
      </c>
      <c r="U264">
        <f>IFNA(VLOOKUP(IF(C264="","(none)",C264),SecondaryAdj!$A:$B,2,FALSE),0)</f>
        <v/>
      </c>
      <c r="V264">
        <f>IF(P264="P",0.7780+0.1628*S264+0.2957*Q264-0.1912*R264-0.1512*IF(D264="S",1,0)+0.1600*IF(E264="L",1,0)+0.0091*H264+0.0124*I264+0.0017*J264+T264+U264,-0.8294+0.1849*S264+0.1750*Q264-0.2969*R264+0.6924*IF(D264="S",1,0)+0.0457*IF(E264="L",1,0)+T264+U264)</f>
        <v/>
      </c>
      <c r="W264">
        <f>MAX(0,MIN(16,ROUND(V264,0)))</f>
        <v/>
      </c>
      <c r="X264">
        <f>IFNA(VLOOKUP(W264,Grade_Scale!$A:$B,2,FALSE),"F")</f>
        <v/>
      </c>
      <c r="Z264">
        <f>IF(Y264="","",W264-IFNA(VLOOKUP(Y264,Grade_Scale!$D:$E,2,FALSE),""))</f>
        <v/>
      </c>
    </row>
    <row r="265">
      <c r="P265">
        <f>IF(OR(B265="SP",B265="RP",B265="CP",B265="SP/RP"),"P","H")</f>
        <v/>
      </c>
      <c r="Q265">
        <f>IF(F265="",0,IFNA(VLOOKUP(F265,Trait_Polarity!$A:$C,2,FALSE),0))+IF(G265="",0,IFNA(VLOOKUP(G265,Trait_Polarity!$A:$C,2,FALSE),0))</f>
        <v/>
      </c>
      <c r="R265">
        <f>IF(F265="",0,IFNA(VLOOKUP(F265,Trait_Polarity!$A:$C,3,FALSE),0))+IF(G265="",0,IFNA(VLOOKUP(G265,Trait_Polarity!$A:$C,3,FALSE),0))</f>
        <v/>
      </c>
      <c r="S265">
        <f>IF(P265="P",(M265+N265+O265)/3,0.3*H265+0.3*I265+0.2*J265+0.1*K265+0.1*L265)</f>
        <v/>
      </c>
      <c r="T265">
        <f>IF(P265="P",IFNA(VLOOKUP(B265,Pitcher_RoleAdj!$A:$B,2,FALSE),0),IFNA(VLOOKUP(B265,Hitter_PrimaryAdj!$A:$B,2,FALSE),0))</f>
        <v/>
      </c>
      <c r="U265">
        <f>IFNA(VLOOKUP(IF(C265="","(none)",C265),SecondaryAdj!$A:$B,2,FALSE),0)</f>
        <v/>
      </c>
      <c r="V265">
        <f>IF(P265="P",0.7780+0.1628*S265+0.2957*Q265-0.1912*R265-0.1512*IF(D265="S",1,0)+0.1600*IF(E265="L",1,0)+0.0091*H265+0.0124*I265+0.0017*J265+T265+U265,-0.8294+0.1849*S265+0.1750*Q265-0.2969*R265+0.6924*IF(D265="S",1,0)+0.0457*IF(E265="L",1,0)+T265+U265)</f>
        <v/>
      </c>
      <c r="W265">
        <f>MAX(0,MIN(16,ROUND(V265,0)))</f>
        <v/>
      </c>
      <c r="X265">
        <f>IFNA(VLOOKUP(W265,Grade_Scale!$A:$B,2,FALSE),"F")</f>
        <v/>
      </c>
      <c r="Z265">
        <f>IF(Y265="","",W265-IFNA(VLOOKUP(Y265,Grade_Scale!$D:$E,2,FALSE),""))</f>
        <v/>
      </c>
    </row>
    <row r="266">
      <c r="P266">
        <f>IF(OR(B266="SP",B266="RP",B266="CP",B266="SP/RP"),"P","H")</f>
        <v/>
      </c>
      <c r="Q266">
        <f>IF(F266="",0,IFNA(VLOOKUP(F266,Trait_Polarity!$A:$C,2,FALSE),0))+IF(G266="",0,IFNA(VLOOKUP(G266,Trait_Polarity!$A:$C,2,FALSE),0))</f>
        <v/>
      </c>
      <c r="R266">
        <f>IF(F266="",0,IFNA(VLOOKUP(F266,Trait_Polarity!$A:$C,3,FALSE),0))+IF(G266="",0,IFNA(VLOOKUP(G266,Trait_Polarity!$A:$C,3,FALSE),0))</f>
        <v/>
      </c>
      <c r="S266">
        <f>IF(P266="P",(M266+N266+O266)/3,0.3*H266+0.3*I266+0.2*J266+0.1*K266+0.1*L266)</f>
        <v/>
      </c>
      <c r="T266">
        <f>IF(P266="P",IFNA(VLOOKUP(B266,Pitcher_RoleAdj!$A:$B,2,FALSE),0),IFNA(VLOOKUP(B266,Hitter_PrimaryAdj!$A:$B,2,FALSE),0))</f>
        <v/>
      </c>
      <c r="U266">
        <f>IFNA(VLOOKUP(IF(C266="","(none)",C266),SecondaryAdj!$A:$B,2,FALSE),0)</f>
        <v/>
      </c>
      <c r="V266">
        <f>IF(P266="P",0.7780+0.1628*S266+0.2957*Q266-0.1912*R266-0.1512*IF(D266="S",1,0)+0.1600*IF(E266="L",1,0)+0.0091*H266+0.0124*I266+0.0017*J266+T266+U266,-0.8294+0.1849*S266+0.1750*Q266-0.2969*R266+0.6924*IF(D266="S",1,0)+0.0457*IF(E266="L",1,0)+T266+U266)</f>
        <v/>
      </c>
      <c r="W266">
        <f>MAX(0,MIN(16,ROUND(V266,0)))</f>
        <v/>
      </c>
      <c r="X266">
        <f>IFNA(VLOOKUP(W266,Grade_Scale!$A:$B,2,FALSE),"F")</f>
        <v/>
      </c>
      <c r="Z266">
        <f>IF(Y266="","",W266-IFNA(VLOOKUP(Y266,Grade_Scale!$D:$E,2,FALSE),""))</f>
        <v/>
      </c>
    </row>
    <row r="267">
      <c r="P267">
        <f>IF(OR(B267="SP",B267="RP",B267="CP",B267="SP/RP"),"P","H")</f>
        <v/>
      </c>
      <c r="Q267">
        <f>IF(F267="",0,IFNA(VLOOKUP(F267,Trait_Polarity!$A:$C,2,FALSE),0))+IF(G267="",0,IFNA(VLOOKUP(G267,Trait_Polarity!$A:$C,2,FALSE),0))</f>
        <v/>
      </c>
      <c r="R267">
        <f>IF(F267="",0,IFNA(VLOOKUP(F267,Trait_Polarity!$A:$C,3,FALSE),0))+IF(G267="",0,IFNA(VLOOKUP(G267,Trait_Polarity!$A:$C,3,FALSE),0))</f>
        <v/>
      </c>
      <c r="S267">
        <f>IF(P267="P",(M267+N267+O267)/3,0.3*H267+0.3*I267+0.2*J267+0.1*K267+0.1*L267)</f>
        <v/>
      </c>
      <c r="T267">
        <f>IF(P267="P",IFNA(VLOOKUP(B267,Pitcher_RoleAdj!$A:$B,2,FALSE),0),IFNA(VLOOKUP(B267,Hitter_PrimaryAdj!$A:$B,2,FALSE),0))</f>
        <v/>
      </c>
      <c r="U267">
        <f>IFNA(VLOOKUP(IF(C267="","(none)",C267),SecondaryAdj!$A:$B,2,FALSE),0)</f>
        <v/>
      </c>
      <c r="V267">
        <f>IF(P267="P",0.7780+0.1628*S267+0.2957*Q267-0.1912*R267-0.1512*IF(D267="S",1,0)+0.1600*IF(E267="L",1,0)+0.0091*H267+0.0124*I267+0.0017*J267+T267+U267,-0.8294+0.1849*S267+0.1750*Q267-0.2969*R267+0.6924*IF(D267="S",1,0)+0.0457*IF(E267="L",1,0)+T267+U267)</f>
        <v/>
      </c>
      <c r="W267">
        <f>MAX(0,MIN(16,ROUND(V267,0)))</f>
        <v/>
      </c>
      <c r="X267">
        <f>IFNA(VLOOKUP(W267,Grade_Scale!$A:$B,2,FALSE),"F")</f>
        <v/>
      </c>
      <c r="Z267">
        <f>IF(Y267="","",W267-IFNA(VLOOKUP(Y267,Grade_Scale!$D:$E,2,FALSE),""))</f>
        <v/>
      </c>
    </row>
    <row r="268">
      <c r="P268">
        <f>IF(OR(B268="SP",B268="RP",B268="CP",B268="SP/RP"),"P","H")</f>
        <v/>
      </c>
      <c r="Q268">
        <f>IF(F268="",0,IFNA(VLOOKUP(F268,Trait_Polarity!$A:$C,2,FALSE),0))+IF(G268="",0,IFNA(VLOOKUP(G268,Trait_Polarity!$A:$C,2,FALSE),0))</f>
        <v/>
      </c>
      <c r="R268">
        <f>IF(F268="",0,IFNA(VLOOKUP(F268,Trait_Polarity!$A:$C,3,FALSE),0))+IF(G268="",0,IFNA(VLOOKUP(G268,Trait_Polarity!$A:$C,3,FALSE),0))</f>
        <v/>
      </c>
      <c r="S268">
        <f>IF(P268="P",(M268+N268+O268)/3,0.3*H268+0.3*I268+0.2*J268+0.1*K268+0.1*L268)</f>
        <v/>
      </c>
      <c r="T268">
        <f>IF(P268="P",IFNA(VLOOKUP(B268,Pitcher_RoleAdj!$A:$B,2,FALSE),0),IFNA(VLOOKUP(B268,Hitter_PrimaryAdj!$A:$B,2,FALSE),0))</f>
        <v/>
      </c>
      <c r="U268">
        <f>IFNA(VLOOKUP(IF(C268="","(none)",C268),SecondaryAdj!$A:$B,2,FALSE),0)</f>
        <v/>
      </c>
      <c r="V268">
        <f>IF(P268="P",0.7780+0.1628*S268+0.2957*Q268-0.1912*R268-0.1512*IF(D268="S",1,0)+0.1600*IF(E268="L",1,0)+0.0091*H268+0.0124*I268+0.0017*J268+T268+U268,-0.8294+0.1849*S268+0.1750*Q268-0.2969*R268+0.6924*IF(D268="S",1,0)+0.0457*IF(E268="L",1,0)+T268+U268)</f>
        <v/>
      </c>
      <c r="W268">
        <f>MAX(0,MIN(16,ROUND(V268,0)))</f>
        <v/>
      </c>
      <c r="X268">
        <f>IFNA(VLOOKUP(W268,Grade_Scale!$A:$B,2,FALSE),"F")</f>
        <v/>
      </c>
      <c r="Z268">
        <f>IF(Y268="","",W268-IFNA(VLOOKUP(Y268,Grade_Scale!$D:$E,2,FALSE),""))</f>
        <v/>
      </c>
    </row>
    <row r="269">
      <c r="P269">
        <f>IF(OR(B269="SP",B269="RP",B269="CP",B269="SP/RP"),"P","H")</f>
        <v/>
      </c>
      <c r="Q269">
        <f>IF(F269="",0,IFNA(VLOOKUP(F269,Trait_Polarity!$A:$C,2,FALSE),0))+IF(G269="",0,IFNA(VLOOKUP(G269,Trait_Polarity!$A:$C,2,FALSE),0))</f>
        <v/>
      </c>
      <c r="R269">
        <f>IF(F269="",0,IFNA(VLOOKUP(F269,Trait_Polarity!$A:$C,3,FALSE),0))+IF(G269="",0,IFNA(VLOOKUP(G269,Trait_Polarity!$A:$C,3,FALSE),0))</f>
        <v/>
      </c>
      <c r="S269">
        <f>IF(P269="P",(M269+N269+O269)/3,0.3*H269+0.3*I269+0.2*J269+0.1*K269+0.1*L269)</f>
        <v/>
      </c>
      <c r="T269">
        <f>IF(P269="P",IFNA(VLOOKUP(B269,Pitcher_RoleAdj!$A:$B,2,FALSE),0),IFNA(VLOOKUP(B269,Hitter_PrimaryAdj!$A:$B,2,FALSE),0))</f>
        <v/>
      </c>
      <c r="U269">
        <f>IFNA(VLOOKUP(IF(C269="","(none)",C269),SecondaryAdj!$A:$B,2,FALSE),0)</f>
        <v/>
      </c>
      <c r="V269">
        <f>IF(P269="P",0.7780+0.1628*S269+0.2957*Q269-0.1912*R269-0.1512*IF(D269="S",1,0)+0.1600*IF(E269="L",1,0)+0.0091*H269+0.0124*I269+0.0017*J269+T269+U269,-0.8294+0.1849*S269+0.1750*Q269-0.2969*R269+0.6924*IF(D269="S",1,0)+0.0457*IF(E269="L",1,0)+T269+U269)</f>
        <v/>
      </c>
      <c r="W269">
        <f>MAX(0,MIN(16,ROUND(V269,0)))</f>
        <v/>
      </c>
      <c r="X269">
        <f>IFNA(VLOOKUP(W269,Grade_Scale!$A:$B,2,FALSE),"F")</f>
        <v/>
      </c>
      <c r="Z269">
        <f>IF(Y269="","",W269-IFNA(VLOOKUP(Y269,Grade_Scale!$D:$E,2,FALSE),""))</f>
        <v/>
      </c>
    </row>
    <row r="270">
      <c r="P270">
        <f>IF(OR(B270="SP",B270="RP",B270="CP",B270="SP/RP"),"P","H")</f>
        <v/>
      </c>
      <c r="Q270">
        <f>IF(F270="",0,IFNA(VLOOKUP(F270,Trait_Polarity!$A:$C,2,FALSE),0))+IF(G270="",0,IFNA(VLOOKUP(G270,Trait_Polarity!$A:$C,2,FALSE),0))</f>
        <v/>
      </c>
      <c r="R270">
        <f>IF(F270="",0,IFNA(VLOOKUP(F270,Trait_Polarity!$A:$C,3,FALSE),0))+IF(G270="",0,IFNA(VLOOKUP(G270,Trait_Polarity!$A:$C,3,FALSE),0))</f>
        <v/>
      </c>
      <c r="S270">
        <f>IF(P270="P",(M270+N270+O270)/3,0.3*H270+0.3*I270+0.2*J270+0.1*K270+0.1*L270)</f>
        <v/>
      </c>
      <c r="T270">
        <f>IF(P270="P",IFNA(VLOOKUP(B270,Pitcher_RoleAdj!$A:$B,2,FALSE),0),IFNA(VLOOKUP(B270,Hitter_PrimaryAdj!$A:$B,2,FALSE),0))</f>
        <v/>
      </c>
      <c r="U270">
        <f>IFNA(VLOOKUP(IF(C270="","(none)",C270),SecondaryAdj!$A:$B,2,FALSE),0)</f>
        <v/>
      </c>
      <c r="V270">
        <f>IF(P270="P",0.7780+0.1628*S270+0.2957*Q270-0.1912*R270-0.1512*IF(D270="S",1,0)+0.1600*IF(E270="L",1,0)+0.0091*H270+0.0124*I270+0.0017*J270+T270+U270,-0.8294+0.1849*S270+0.1750*Q270-0.2969*R270+0.6924*IF(D270="S",1,0)+0.0457*IF(E270="L",1,0)+T270+U270)</f>
        <v/>
      </c>
      <c r="W270">
        <f>MAX(0,MIN(16,ROUND(V270,0)))</f>
        <v/>
      </c>
      <c r="X270">
        <f>IFNA(VLOOKUP(W270,Grade_Scale!$A:$B,2,FALSE),"F")</f>
        <v/>
      </c>
      <c r="Z270">
        <f>IF(Y270="","",W270-IFNA(VLOOKUP(Y270,Grade_Scale!$D:$E,2,FALSE),""))</f>
        <v/>
      </c>
    </row>
    <row r="271">
      <c r="P271">
        <f>IF(OR(B271="SP",B271="RP",B271="CP",B271="SP/RP"),"P","H")</f>
        <v/>
      </c>
      <c r="Q271">
        <f>IF(F271="",0,IFNA(VLOOKUP(F271,Trait_Polarity!$A:$C,2,FALSE),0))+IF(G271="",0,IFNA(VLOOKUP(G271,Trait_Polarity!$A:$C,2,FALSE),0))</f>
        <v/>
      </c>
      <c r="R271">
        <f>IF(F271="",0,IFNA(VLOOKUP(F271,Trait_Polarity!$A:$C,3,FALSE),0))+IF(G271="",0,IFNA(VLOOKUP(G271,Trait_Polarity!$A:$C,3,FALSE),0))</f>
        <v/>
      </c>
      <c r="S271">
        <f>IF(P271="P",(M271+N271+O271)/3,0.3*H271+0.3*I271+0.2*J271+0.1*K271+0.1*L271)</f>
        <v/>
      </c>
      <c r="T271">
        <f>IF(P271="P",IFNA(VLOOKUP(B271,Pitcher_RoleAdj!$A:$B,2,FALSE),0),IFNA(VLOOKUP(B271,Hitter_PrimaryAdj!$A:$B,2,FALSE),0))</f>
        <v/>
      </c>
      <c r="U271">
        <f>IFNA(VLOOKUP(IF(C271="","(none)",C271),SecondaryAdj!$A:$B,2,FALSE),0)</f>
        <v/>
      </c>
      <c r="V271">
        <f>IF(P271="P",0.7780+0.1628*S271+0.2957*Q271-0.1912*R271-0.1512*IF(D271="S",1,0)+0.1600*IF(E271="L",1,0)+0.0091*H271+0.0124*I271+0.0017*J271+T271+U271,-0.8294+0.1849*S271+0.1750*Q271-0.2969*R271+0.6924*IF(D271="S",1,0)+0.0457*IF(E271="L",1,0)+T271+U271)</f>
        <v/>
      </c>
      <c r="W271">
        <f>MAX(0,MIN(16,ROUND(V271,0)))</f>
        <v/>
      </c>
      <c r="X271">
        <f>IFNA(VLOOKUP(W271,Grade_Scale!$A:$B,2,FALSE),"F")</f>
        <v/>
      </c>
      <c r="Z271">
        <f>IF(Y271="","",W271-IFNA(VLOOKUP(Y271,Grade_Scale!$D:$E,2,FALSE),""))</f>
        <v/>
      </c>
    </row>
    <row r="272">
      <c r="P272">
        <f>IF(OR(B272="SP",B272="RP",B272="CP",B272="SP/RP"),"P","H")</f>
        <v/>
      </c>
      <c r="Q272">
        <f>IF(F272="",0,IFNA(VLOOKUP(F272,Trait_Polarity!$A:$C,2,FALSE),0))+IF(G272="",0,IFNA(VLOOKUP(G272,Trait_Polarity!$A:$C,2,FALSE),0))</f>
        <v/>
      </c>
      <c r="R272">
        <f>IF(F272="",0,IFNA(VLOOKUP(F272,Trait_Polarity!$A:$C,3,FALSE),0))+IF(G272="",0,IFNA(VLOOKUP(G272,Trait_Polarity!$A:$C,3,FALSE),0))</f>
        <v/>
      </c>
      <c r="S272">
        <f>IF(P272="P",(M272+N272+O272)/3,0.3*H272+0.3*I272+0.2*J272+0.1*K272+0.1*L272)</f>
        <v/>
      </c>
      <c r="T272">
        <f>IF(P272="P",IFNA(VLOOKUP(B272,Pitcher_RoleAdj!$A:$B,2,FALSE),0),IFNA(VLOOKUP(B272,Hitter_PrimaryAdj!$A:$B,2,FALSE),0))</f>
        <v/>
      </c>
      <c r="U272">
        <f>IFNA(VLOOKUP(IF(C272="","(none)",C272),SecondaryAdj!$A:$B,2,FALSE),0)</f>
        <v/>
      </c>
      <c r="V272">
        <f>IF(P272="P",0.7780+0.1628*S272+0.2957*Q272-0.1912*R272-0.1512*IF(D272="S",1,0)+0.1600*IF(E272="L",1,0)+0.0091*H272+0.0124*I272+0.0017*J272+T272+U272,-0.8294+0.1849*S272+0.1750*Q272-0.2969*R272+0.6924*IF(D272="S",1,0)+0.0457*IF(E272="L",1,0)+T272+U272)</f>
        <v/>
      </c>
      <c r="W272">
        <f>MAX(0,MIN(16,ROUND(V272,0)))</f>
        <v/>
      </c>
      <c r="X272">
        <f>IFNA(VLOOKUP(W272,Grade_Scale!$A:$B,2,FALSE),"F")</f>
        <v/>
      </c>
      <c r="Z272">
        <f>IF(Y272="","",W272-IFNA(VLOOKUP(Y272,Grade_Scale!$D:$E,2,FALSE),""))</f>
        <v/>
      </c>
    </row>
    <row r="273">
      <c r="P273">
        <f>IF(OR(B273="SP",B273="RP",B273="CP",B273="SP/RP"),"P","H")</f>
        <v/>
      </c>
      <c r="Q273">
        <f>IF(F273="",0,IFNA(VLOOKUP(F273,Trait_Polarity!$A:$C,2,FALSE),0))+IF(G273="",0,IFNA(VLOOKUP(G273,Trait_Polarity!$A:$C,2,FALSE),0))</f>
        <v/>
      </c>
      <c r="R273">
        <f>IF(F273="",0,IFNA(VLOOKUP(F273,Trait_Polarity!$A:$C,3,FALSE),0))+IF(G273="",0,IFNA(VLOOKUP(G273,Trait_Polarity!$A:$C,3,FALSE),0))</f>
        <v/>
      </c>
      <c r="S273">
        <f>IF(P273="P",(M273+N273+O273)/3,0.3*H273+0.3*I273+0.2*J273+0.1*K273+0.1*L273)</f>
        <v/>
      </c>
      <c r="T273">
        <f>IF(P273="P",IFNA(VLOOKUP(B273,Pitcher_RoleAdj!$A:$B,2,FALSE),0),IFNA(VLOOKUP(B273,Hitter_PrimaryAdj!$A:$B,2,FALSE),0))</f>
        <v/>
      </c>
      <c r="U273">
        <f>IFNA(VLOOKUP(IF(C273="","(none)",C273),SecondaryAdj!$A:$B,2,FALSE),0)</f>
        <v/>
      </c>
      <c r="V273">
        <f>IF(P273="P",0.7780+0.1628*S273+0.2957*Q273-0.1912*R273-0.1512*IF(D273="S",1,0)+0.1600*IF(E273="L",1,0)+0.0091*H273+0.0124*I273+0.0017*J273+T273+U273,-0.8294+0.1849*S273+0.1750*Q273-0.2969*R273+0.6924*IF(D273="S",1,0)+0.0457*IF(E273="L",1,0)+T273+U273)</f>
        <v/>
      </c>
      <c r="W273">
        <f>MAX(0,MIN(16,ROUND(V273,0)))</f>
        <v/>
      </c>
      <c r="X273">
        <f>IFNA(VLOOKUP(W273,Grade_Scale!$A:$B,2,FALSE),"F")</f>
        <v/>
      </c>
      <c r="Z273">
        <f>IF(Y273="","",W273-IFNA(VLOOKUP(Y273,Grade_Scale!$D:$E,2,FALSE),""))</f>
        <v/>
      </c>
    </row>
    <row r="274">
      <c r="P274">
        <f>IF(OR(B274="SP",B274="RP",B274="CP",B274="SP/RP"),"P","H")</f>
        <v/>
      </c>
      <c r="Q274">
        <f>IF(F274="",0,IFNA(VLOOKUP(F274,Trait_Polarity!$A:$C,2,FALSE),0))+IF(G274="",0,IFNA(VLOOKUP(G274,Trait_Polarity!$A:$C,2,FALSE),0))</f>
        <v/>
      </c>
      <c r="R274">
        <f>IF(F274="",0,IFNA(VLOOKUP(F274,Trait_Polarity!$A:$C,3,FALSE),0))+IF(G274="",0,IFNA(VLOOKUP(G274,Trait_Polarity!$A:$C,3,FALSE),0))</f>
        <v/>
      </c>
      <c r="S274">
        <f>IF(P274="P",(M274+N274+O274)/3,0.3*H274+0.3*I274+0.2*J274+0.1*K274+0.1*L274)</f>
        <v/>
      </c>
      <c r="T274">
        <f>IF(P274="P",IFNA(VLOOKUP(B274,Pitcher_RoleAdj!$A:$B,2,FALSE),0),IFNA(VLOOKUP(B274,Hitter_PrimaryAdj!$A:$B,2,FALSE),0))</f>
        <v/>
      </c>
      <c r="U274">
        <f>IFNA(VLOOKUP(IF(C274="","(none)",C274),SecondaryAdj!$A:$B,2,FALSE),0)</f>
        <v/>
      </c>
      <c r="V274">
        <f>IF(P274="P",0.7780+0.1628*S274+0.2957*Q274-0.1912*R274-0.1512*IF(D274="S",1,0)+0.1600*IF(E274="L",1,0)+0.0091*H274+0.0124*I274+0.0017*J274+T274+U274,-0.8294+0.1849*S274+0.1750*Q274-0.2969*R274+0.6924*IF(D274="S",1,0)+0.0457*IF(E274="L",1,0)+T274+U274)</f>
        <v/>
      </c>
      <c r="W274">
        <f>MAX(0,MIN(16,ROUND(V274,0)))</f>
        <v/>
      </c>
      <c r="X274">
        <f>IFNA(VLOOKUP(W274,Grade_Scale!$A:$B,2,FALSE),"F")</f>
        <v/>
      </c>
      <c r="Z274">
        <f>IF(Y274="","",W274-IFNA(VLOOKUP(Y274,Grade_Scale!$D:$E,2,FALSE),""))</f>
        <v/>
      </c>
    </row>
    <row r="275">
      <c r="P275">
        <f>IF(OR(B275="SP",B275="RP",B275="CP",B275="SP/RP"),"P","H")</f>
        <v/>
      </c>
      <c r="Q275">
        <f>IF(F275="",0,IFNA(VLOOKUP(F275,Trait_Polarity!$A:$C,2,FALSE),0))+IF(G275="",0,IFNA(VLOOKUP(G275,Trait_Polarity!$A:$C,2,FALSE),0))</f>
        <v/>
      </c>
      <c r="R275">
        <f>IF(F275="",0,IFNA(VLOOKUP(F275,Trait_Polarity!$A:$C,3,FALSE),0))+IF(G275="",0,IFNA(VLOOKUP(G275,Trait_Polarity!$A:$C,3,FALSE),0))</f>
        <v/>
      </c>
      <c r="S275">
        <f>IF(P275="P",(M275+N275+O275)/3,0.3*H275+0.3*I275+0.2*J275+0.1*K275+0.1*L275)</f>
        <v/>
      </c>
      <c r="T275">
        <f>IF(P275="P",IFNA(VLOOKUP(B275,Pitcher_RoleAdj!$A:$B,2,FALSE),0),IFNA(VLOOKUP(B275,Hitter_PrimaryAdj!$A:$B,2,FALSE),0))</f>
        <v/>
      </c>
      <c r="U275">
        <f>IFNA(VLOOKUP(IF(C275="","(none)",C275),SecondaryAdj!$A:$B,2,FALSE),0)</f>
        <v/>
      </c>
      <c r="V275">
        <f>IF(P275="P",0.7780+0.1628*S275+0.2957*Q275-0.1912*R275-0.1512*IF(D275="S",1,0)+0.1600*IF(E275="L",1,0)+0.0091*H275+0.0124*I275+0.0017*J275+T275+U275,-0.8294+0.1849*S275+0.1750*Q275-0.2969*R275+0.6924*IF(D275="S",1,0)+0.0457*IF(E275="L",1,0)+T275+U275)</f>
        <v/>
      </c>
      <c r="W275">
        <f>MAX(0,MIN(16,ROUND(V275,0)))</f>
        <v/>
      </c>
      <c r="X275">
        <f>IFNA(VLOOKUP(W275,Grade_Scale!$A:$B,2,FALSE),"F")</f>
        <v/>
      </c>
      <c r="Z275">
        <f>IF(Y275="","",W275-IFNA(VLOOKUP(Y275,Grade_Scale!$D:$E,2,FALSE),""))</f>
        <v/>
      </c>
    </row>
    <row r="276">
      <c r="P276">
        <f>IF(OR(B276="SP",B276="RP",B276="CP",B276="SP/RP"),"P","H")</f>
        <v/>
      </c>
      <c r="Q276">
        <f>IF(F276="",0,IFNA(VLOOKUP(F276,Trait_Polarity!$A:$C,2,FALSE),0))+IF(G276="",0,IFNA(VLOOKUP(G276,Trait_Polarity!$A:$C,2,FALSE),0))</f>
        <v/>
      </c>
      <c r="R276">
        <f>IF(F276="",0,IFNA(VLOOKUP(F276,Trait_Polarity!$A:$C,3,FALSE),0))+IF(G276="",0,IFNA(VLOOKUP(G276,Trait_Polarity!$A:$C,3,FALSE),0))</f>
        <v/>
      </c>
      <c r="S276">
        <f>IF(P276="P",(M276+N276+O276)/3,0.3*H276+0.3*I276+0.2*J276+0.1*K276+0.1*L276)</f>
        <v/>
      </c>
      <c r="T276">
        <f>IF(P276="P",IFNA(VLOOKUP(B276,Pitcher_RoleAdj!$A:$B,2,FALSE),0),IFNA(VLOOKUP(B276,Hitter_PrimaryAdj!$A:$B,2,FALSE),0))</f>
        <v/>
      </c>
      <c r="U276">
        <f>IFNA(VLOOKUP(IF(C276="","(none)",C276),SecondaryAdj!$A:$B,2,FALSE),0)</f>
        <v/>
      </c>
      <c r="V276">
        <f>IF(P276="P",0.7780+0.1628*S276+0.2957*Q276-0.1912*R276-0.1512*IF(D276="S",1,0)+0.1600*IF(E276="L",1,0)+0.0091*H276+0.0124*I276+0.0017*J276+T276+U276,-0.8294+0.1849*S276+0.1750*Q276-0.2969*R276+0.6924*IF(D276="S",1,0)+0.0457*IF(E276="L",1,0)+T276+U276)</f>
        <v/>
      </c>
      <c r="W276">
        <f>MAX(0,MIN(16,ROUND(V276,0)))</f>
        <v/>
      </c>
      <c r="X276">
        <f>IFNA(VLOOKUP(W276,Grade_Scale!$A:$B,2,FALSE),"F")</f>
        <v/>
      </c>
      <c r="Z276">
        <f>IF(Y276="","",W276-IFNA(VLOOKUP(Y276,Grade_Scale!$D:$E,2,FALSE),""))</f>
        <v/>
      </c>
    </row>
    <row r="277">
      <c r="P277">
        <f>IF(OR(B277="SP",B277="RP",B277="CP",B277="SP/RP"),"P","H")</f>
        <v/>
      </c>
      <c r="Q277">
        <f>IF(F277="",0,IFNA(VLOOKUP(F277,Trait_Polarity!$A:$C,2,FALSE),0))+IF(G277="",0,IFNA(VLOOKUP(G277,Trait_Polarity!$A:$C,2,FALSE),0))</f>
        <v/>
      </c>
      <c r="R277">
        <f>IF(F277="",0,IFNA(VLOOKUP(F277,Trait_Polarity!$A:$C,3,FALSE),0))+IF(G277="",0,IFNA(VLOOKUP(G277,Trait_Polarity!$A:$C,3,FALSE),0))</f>
        <v/>
      </c>
      <c r="S277">
        <f>IF(P277="P",(M277+N277+O277)/3,0.3*H277+0.3*I277+0.2*J277+0.1*K277+0.1*L277)</f>
        <v/>
      </c>
      <c r="T277">
        <f>IF(P277="P",IFNA(VLOOKUP(B277,Pitcher_RoleAdj!$A:$B,2,FALSE),0),IFNA(VLOOKUP(B277,Hitter_PrimaryAdj!$A:$B,2,FALSE),0))</f>
        <v/>
      </c>
      <c r="U277">
        <f>IFNA(VLOOKUP(IF(C277="","(none)",C277),SecondaryAdj!$A:$B,2,FALSE),0)</f>
        <v/>
      </c>
      <c r="V277">
        <f>IF(P277="P",0.7780+0.1628*S277+0.2957*Q277-0.1912*R277-0.1512*IF(D277="S",1,0)+0.1600*IF(E277="L",1,0)+0.0091*H277+0.0124*I277+0.0017*J277+T277+U277,-0.8294+0.1849*S277+0.1750*Q277-0.2969*R277+0.6924*IF(D277="S",1,0)+0.0457*IF(E277="L",1,0)+T277+U277)</f>
        <v/>
      </c>
      <c r="W277">
        <f>MAX(0,MIN(16,ROUND(V277,0)))</f>
        <v/>
      </c>
      <c r="X277">
        <f>IFNA(VLOOKUP(W277,Grade_Scale!$A:$B,2,FALSE),"F")</f>
        <v/>
      </c>
      <c r="Z277">
        <f>IF(Y277="","",W277-IFNA(VLOOKUP(Y277,Grade_Scale!$D:$E,2,FALSE),""))</f>
        <v/>
      </c>
    </row>
    <row r="278">
      <c r="P278">
        <f>IF(OR(B278="SP",B278="RP",B278="CP",B278="SP/RP"),"P","H")</f>
        <v/>
      </c>
      <c r="Q278">
        <f>IF(F278="",0,IFNA(VLOOKUP(F278,Trait_Polarity!$A:$C,2,FALSE),0))+IF(G278="",0,IFNA(VLOOKUP(G278,Trait_Polarity!$A:$C,2,FALSE),0))</f>
        <v/>
      </c>
      <c r="R278">
        <f>IF(F278="",0,IFNA(VLOOKUP(F278,Trait_Polarity!$A:$C,3,FALSE),0))+IF(G278="",0,IFNA(VLOOKUP(G278,Trait_Polarity!$A:$C,3,FALSE),0))</f>
        <v/>
      </c>
      <c r="S278">
        <f>IF(P278="P",(M278+N278+O278)/3,0.3*H278+0.3*I278+0.2*J278+0.1*K278+0.1*L278)</f>
        <v/>
      </c>
      <c r="T278">
        <f>IF(P278="P",IFNA(VLOOKUP(B278,Pitcher_RoleAdj!$A:$B,2,FALSE),0),IFNA(VLOOKUP(B278,Hitter_PrimaryAdj!$A:$B,2,FALSE),0))</f>
        <v/>
      </c>
      <c r="U278">
        <f>IFNA(VLOOKUP(IF(C278="","(none)",C278),SecondaryAdj!$A:$B,2,FALSE),0)</f>
        <v/>
      </c>
      <c r="V278">
        <f>IF(P278="P",0.7780+0.1628*S278+0.2957*Q278-0.1912*R278-0.1512*IF(D278="S",1,0)+0.1600*IF(E278="L",1,0)+0.0091*H278+0.0124*I278+0.0017*J278+T278+U278,-0.8294+0.1849*S278+0.1750*Q278-0.2969*R278+0.6924*IF(D278="S",1,0)+0.0457*IF(E278="L",1,0)+T278+U278)</f>
        <v/>
      </c>
      <c r="W278">
        <f>MAX(0,MIN(16,ROUND(V278,0)))</f>
        <v/>
      </c>
      <c r="X278">
        <f>IFNA(VLOOKUP(W278,Grade_Scale!$A:$B,2,FALSE),"F")</f>
        <v/>
      </c>
      <c r="Z278">
        <f>IF(Y278="","",W278-IFNA(VLOOKUP(Y278,Grade_Scale!$D:$E,2,FALSE),""))</f>
        <v/>
      </c>
    </row>
    <row r="279">
      <c r="P279">
        <f>IF(OR(B279="SP",B279="RP",B279="CP",B279="SP/RP"),"P","H")</f>
        <v/>
      </c>
      <c r="Q279">
        <f>IF(F279="",0,IFNA(VLOOKUP(F279,Trait_Polarity!$A:$C,2,FALSE),0))+IF(G279="",0,IFNA(VLOOKUP(G279,Trait_Polarity!$A:$C,2,FALSE),0))</f>
        <v/>
      </c>
      <c r="R279">
        <f>IF(F279="",0,IFNA(VLOOKUP(F279,Trait_Polarity!$A:$C,3,FALSE),0))+IF(G279="",0,IFNA(VLOOKUP(G279,Trait_Polarity!$A:$C,3,FALSE),0))</f>
        <v/>
      </c>
      <c r="S279">
        <f>IF(P279="P",(M279+N279+O279)/3,0.3*H279+0.3*I279+0.2*J279+0.1*K279+0.1*L279)</f>
        <v/>
      </c>
      <c r="T279">
        <f>IF(P279="P",IFNA(VLOOKUP(B279,Pitcher_RoleAdj!$A:$B,2,FALSE),0),IFNA(VLOOKUP(B279,Hitter_PrimaryAdj!$A:$B,2,FALSE),0))</f>
        <v/>
      </c>
      <c r="U279">
        <f>IFNA(VLOOKUP(IF(C279="","(none)",C279),SecondaryAdj!$A:$B,2,FALSE),0)</f>
        <v/>
      </c>
      <c r="V279">
        <f>IF(P279="P",0.7780+0.1628*S279+0.2957*Q279-0.1912*R279-0.1512*IF(D279="S",1,0)+0.1600*IF(E279="L",1,0)+0.0091*H279+0.0124*I279+0.0017*J279+T279+U279,-0.8294+0.1849*S279+0.1750*Q279-0.2969*R279+0.6924*IF(D279="S",1,0)+0.0457*IF(E279="L",1,0)+T279+U279)</f>
        <v/>
      </c>
      <c r="W279">
        <f>MAX(0,MIN(16,ROUND(V279,0)))</f>
        <v/>
      </c>
      <c r="X279">
        <f>IFNA(VLOOKUP(W279,Grade_Scale!$A:$B,2,FALSE),"F")</f>
        <v/>
      </c>
      <c r="Z279">
        <f>IF(Y279="","",W279-IFNA(VLOOKUP(Y279,Grade_Scale!$D:$E,2,FALSE),""))</f>
        <v/>
      </c>
    </row>
    <row r="280">
      <c r="P280">
        <f>IF(OR(B280="SP",B280="RP",B280="CP",B280="SP/RP"),"P","H")</f>
        <v/>
      </c>
      <c r="Q280">
        <f>IF(F280="",0,IFNA(VLOOKUP(F280,Trait_Polarity!$A:$C,2,FALSE),0))+IF(G280="",0,IFNA(VLOOKUP(G280,Trait_Polarity!$A:$C,2,FALSE),0))</f>
        <v/>
      </c>
      <c r="R280">
        <f>IF(F280="",0,IFNA(VLOOKUP(F280,Trait_Polarity!$A:$C,3,FALSE),0))+IF(G280="",0,IFNA(VLOOKUP(G280,Trait_Polarity!$A:$C,3,FALSE),0))</f>
        <v/>
      </c>
      <c r="S280">
        <f>IF(P280="P",(M280+N280+O280)/3,0.3*H280+0.3*I280+0.2*J280+0.1*K280+0.1*L280)</f>
        <v/>
      </c>
      <c r="T280">
        <f>IF(P280="P",IFNA(VLOOKUP(B280,Pitcher_RoleAdj!$A:$B,2,FALSE),0),IFNA(VLOOKUP(B280,Hitter_PrimaryAdj!$A:$B,2,FALSE),0))</f>
        <v/>
      </c>
      <c r="U280">
        <f>IFNA(VLOOKUP(IF(C280="","(none)",C280),SecondaryAdj!$A:$B,2,FALSE),0)</f>
        <v/>
      </c>
      <c r="V280">
        <f>IF(P280="P",0.7780+0.1628*S280+0.2957*Q280-0.1912*R280-0.1512*IF(D280="S",1,0)+0.1600*IF(E280="L",1,0)+0.0091*H280+0.0124*I280+0.0017*J280+T280+U280,-0.8294+0.1849*S280+0.1750*Q280-0.2969*R280+0.6924*IF(D280="S",1,0)+0.0457*IF(E280="L",1,0)+T280+U280)</f>
        <v/>
      </c>
      <c r="W280">
        <f>MAX(0,MIN(16,ROUND(V280,0)))</f>
        <v/>
      </c>
      <c r="X280">
        <f>IFNA(VLOOKUP(W280,Grade_Scale!$A:$B,2,FALSE),"F")</f>
        <v/>
      </c>
      <c r="Z280">
        <f>IF(Y280="","",W280-IFNA(VLOOKUP(Y280,Grade_Scale!$D:$E,2,FALSE),""))</f>
        <v/>
      </c>
    </row>
    <row r="281">
      <c r="P281">
        <f>IF(OR(B281="SP",B281="RP",B281="CP",B281="SP/RP"),"P","H")</f>
        <v/>
      </c>
      <c r="Q281">
        <f>IF(F281="",0,IFNA(VLOOKUP(F281,Trait_Polarity!$A:$C,2,FALSE),0))+IF(G281="",0,IFNA(VLOOKUP(G281,Trait_Polarity!$A:$C,2,FALSE),0))</f>
        <v/>
      </c>
      <c r="R281">
        <f>IF(F281="",0,IFNA(VLOOKUP(F281,Trait_Polarity!$A:$C,3,FALSE),0))+IF(G281="",0,IFNA(VLOOKUP(G281,Trait_Polarity!$A:$C,3,FALSE),0))</f>
        <v/>
      </c>
      <c r="S281">
        <f>IF(P281="P",(M281+N281+O281)/3,0.3*H281+0.3*I281+0.2*J281+0.1*K281+0.1*L281)</f>
        <v/>
      </c>
      <c r="T281">
        <f>IF(P281="P",IFNA(VLOOKUP(B281,Pitcher_RoleAdj!$A:$B,2,FALSE),0),IFNA(VLOOKUP(B281,Hitter_PrimaryAdj!$A:$B,2,FALSE),0))</f>
        <v/>
      </c>
      <c r="U281">
        <f>IFNA(VLOOKUP(IF(C281="","(none)",C281),SecondaryAdj!$A:$B,2,FALSE),0)</f>
        <v/>
      </c>
      <c r="V281">
        <f>IF(P281="P",0.7780+0.1628*S281+0.2957*Q281-0.1912*R281-0.1512*IF(D281="S",1,0)+0.1600*IF(E281="L",1,0)+0.0091*H281+0.0124*I281+0.0017*J281+T281+U281,-0.8294+0.1849*S281+0.1750*Q281-0.2969*R281+0.6924*IF(D281="S",1,0)+0.0457*IF(E281="L",1,0)+T281+U281)</f>
        <v/>
      </c>
      <c r="W281">
        <f>MAX(0,MIN(16,ROUND(V281,0)))</f>
        <v/>
      </c>
      <c r="X281">
        <f>IFNA(VLOOKUP(W281,Grade_Scale!$A:$B,2,FALSE),"F")</f>
        <v/>
      </c>
      <c r="Z281">
        <f>IF(Y281="","",W281-IFNA(VLOOKUP(Y281,Grade_Scale!$D:$E,2,FALSE),""))</f>
        <v/>
      </c>
    </row>
    <row r="282">
      <c r="P282">
        <f>IF(OR(B282="SP",B282="RP",B282="CP",B282="SP/RP"),"P","H")</f>
        <v/>
      </c>
      <c r="Q282">
        <f>IF(F282="",0,IFNA(VLOOKUP(F282,Trait_Polarity!$A:$C,2,FALSE),0))+IF(G282="",0,IFNA(VLOOKUP(G282,Trait_Polarity!$A:$C,2,FALSE),0))</f>
        <v/>
      </c>
      <c r="R282">
        <f>IF(F282="",0,IFNA(VLOOKUP(F282,Trait_Polarity!$A:$C,3,FALSE),0))+IF(G282="",0,IFNA(VLOOKUP(G282,Trait_Polarity!$A:$C,3,FALSE),0))</f>
        <v/>
      </c>
      <c r="S282">
        <f>IF(P282="P",(M282+N282+O282)/3,0.3*H282+0.3*I282+0.2*J282+0.1*K282+0.1*L282)</f>
        <v/>
      </c>
      <c r="T282">
        <f>IF(P282="P",IFNA(VLOOKUP(B282,Pitcher_RoleAdj!$A:$B,2,FALSE),0),IFNA(VLOOKUP(B282,Hitter_PrimaryAdj!$A:$B,2,FALSE),0))</f>
        <v/>
      </c>
      <c r="U282">
        <f>IFNA(VLOOKUP(IF(C282="","(none)",C282),SecondaryAdj!$A:$B,2,FALSE),0)</f>
        <v/>
      </c>
      <c r="V282">
        <f>IF(P282="P",0.7780+0.1628*S282+0.2957*Q282-0.1912*R282-0.1512*IF(D282="S",1,0)+0.1600*IF(E282="L",1,0)+0.0091*H282+0.0124*I282+0.0017*J282+T282+U282,-0.8294+0.1849*S282+0.1750*Q282-0.2969*R282+0.6924*IF(D282="S",1,0)+0.0457*IF(E282="L",1,0)+T282+U282)</f>
        <v/>
      </c>
      <c r="W282">
        <f>MAX(0,MIN(16,ROUND(V282,0)))</f>
        <v/>
      </c>
      <c r="X282">
        <f>IFNA(VLOOKUP(W282,Grade_Scale!$A:$B,2,FALSE),"F")</f>
        <v/>
      </c>
      <c r="Z282">
        <f>IF(Y282="","",W282-IFNA(VLOOKUP(Y282,Grade_Scale!$D:$E,2,FALSE),""))</f>
        <v/>
      </c>
    </row>
    <row r="283">
      <c r="P283">
        <f>IF(OR(B283="SP",B283="RP",B283="CP",B283="SP/RP"),"P","H")</f>
        <v/>
      </c>
      <c r="Q283">
        <f>IF(F283="",0,IFNA(VLOOKUP(F283,Trait_Polarity!$A:$C,2,FALSE),0))+IF(G283="",0,IFNA(VLOOKUP(G283,Trait_Polarity!$A:$C,2,FALSE),0))</f>
        <v/>
      </c>
      <c r="R283">
        <f>IF(F283="",0,IFNA(VLOOKUP(F283,Trait_Polarity!$A:$C,3,FALSE),0))+IF(G283="",0,IFNA(VLOOKUP(G283,Trait_Polarity!$A:$C,3,FALSE),0))</f>
        <v/>
      </c>
      <c r="S283">
        <f>IF(P283="P",(M283+N283+O283)/3,0.3*H283+0.3*I283+0.2*J283+0.1*K283+0.1*L283)</f>
        <v/>
      </c>
      <c r="T283">
        <f>IF(P283="P",IFNA(VLOOKUP(B283,Pitcher_RoleAdj!$A:$B,2,FALSE),0),IFNA(VLOOKUP(B283,Hitter_PrimaryAdj!$A:$B,2,FALSE),0))</f>
        <v/>
      </c>
      <c r="U283">
        <f>IFNA(VLOOKUP(IF(C283="","(none)",C283),SecondaryAdj!$A:$B,2,FALSE),0)</f>
        <v/>
      </c>
      <c r="V283">
        <f>IF(P283="P",0.7780+0.1628*S283+0.2957*Q283-0.1912*R283-0.1512*IF(D283="S",1,0)+0.1600*IF(E283="L",1,0)+0.0091*H283+0.0124*I283+0.0017*J283+T283+U283,-0.8294+0.1849*S283+0.1750*Q283-0.2969*R283+0.6924*IF(D283="S",1,0)+0.0457*IF(E283="L",1,0)+T283+U283)</f>
        <v/>
      </c>
      <c r="W283">
        <f>MAX(0,MIN(16,ROUND(V283,0)))</f>
        <v/>
      </c>
      <c r="X283">
        <f>IFNA(VLOOKUP(W283,Grade_Scale!$A:$B,2,FALSE),"F")</f>
        <v/>
      </c>
      <c r="Z283">
        <f>IF(Y283="","",W283-IFNA(VLOOKUP(Y283,Grade_Scale!$D:$E,2,FALSE),""))</f>
        <v/>
      </c>
    </row>
    <row r="284">
      <c r="P284">
        <f>IF(OR(B284="SP",B284="RP",B284="CP",B284="SP/RP"),"P","H")</f>
        <v/>
      </c>
      <c r="Q284">
        <f>IF(F284="",0,IFNA(VLOOKUP(F284,Trait_Polarity!$A:$C,2,FALSE),0))+IF(G284="",0,IFNA(VLOOKUP(G284,Trait_Polarity!$A:$C,2,FALSE),0))</f>
        <v/>
      </c>
      <c r="R284">
        <f>IF(F284="",0,IFNA(VLOOKUP(F284,Trait_Polarity!$A:$C,3,FALSE),0))+IF(G284="",0,IFNA(VLOOKUP(G284,Trait_Polarity!$A:$C,3,FALSE),0))</f>
        <v/>
      </c>
      <c r="S284">
        <f>IF(P284="P",(M284+N284+O284)/3,0.3*H284+0.3*I284+0.2*J284+0.1*K284+0.1*L284)</f>
        <v/>
      </c>
      <c r="T284">
        <f>IF(P284="P",IFNA(VLOOKUP(B284,Pitcher_RoleAdj!$A:$B,2,FALSE),0),IFNA(VLOOKUP(B284,Hitter_PrimaryAdj!$A:$B,2,FALSE),0))</f>
        <v/>
      </c>
      <c r="U284">
        <f>IFNA(VLOOKUP(IF(C284="","(none)",C284),SecondaryAdj!$A:$B,2,FALSE),0)</f>
        <v/>
      </c>
      <c r="V284">
        <f>IF(P284="P",0.7780+0.1628*S284+0.2957*Q284-0.1912*R284-0.1512*IF(D284="S",1,0)+0.1600*IF(E284="L",1,0)+0.0091*H284+0.0124*I284+0.0017*J284+T284+U284,-0.8294+0.1849*S284+0.1750*Q284-0.2969*R284+0.6924*IF(D284="S",1,0)+0.0457*IF(E284="L",1,0)+T284+U284)</f>
        <v/>
      </c>
      <c r="W284">
        <f>MAX(0,MIN(16,ROUND(V284,0)))</f>
        <v/>
      </c>
      <c r="X284">
        <f>IFNA(VLOOKUP(W284,Grade_Scale!$A:$B,2,FALSE),"F")</f>
        <v/>
      </c>
      <c r="Z284">
        <f>IF(Y284="","",W284-IFNA(VLOOKUP(Y284,Grade_Scale!$D:$E,2,FALSE),""))</f>
        <v/>
      </c>
    </row>
    <row r="285">
      <c r="P285">
        <f>IF(OR(B285="SP",B285="RP",B285="CP",B285="SP/RP"),"P","H")</f>
        <v/>
      </c>
      <c r="Q285">
        <f>IF(F285="",0,IFNA(VLOOKUP(F285,Trait_Polarity!$A:$C,2,FALSE),0))+IF(G285="",0,IFNA(VLOOKUP(G285,Trait_Polarity!$A:$C,2,FALSE),0))</f>
        <v/>
      </c>
      <c r="R285">
        <f>IF(F285="",0,IFNA(VLOOKUP(F285,Trait_Polarity!$A:$C,3,FALSE),0))+IF(G285="",0,IFNA(VLOOKUP(G285,Trait_Polarity!$A:$C,3,FALSE),0))</f>
        <v/>
      </c>
      <c r="S285">
        <f>IF(P285="P",(M285+N285+O285)/3,0.3*H285+0.3*I285+0.2*J285+0.1*K285+0.1*L285)</f>
        <v/>
      </c>
      <c r="T285">
        <f>IF(P285="P",IFNA(VLOOKUP(B285,Pitcher_RoleAdj!$A:$B,2,FALSE),0),IFNA(VLOOKUP(B285,Hitter_PrimaryAdj!$A:$B,2,FALSE),0))</f>
        <v/>
      </c>
      <c r="U285">
        <f>IFNA(VLOOKUP(IF(C285="","(none)",C285),SecondaryAdj!$A:$B,2,FALSE),0)</f>
        <v/>
      </c>
      <c r="V285">
        <f>IF(P285="P",0.7780+0.1628*S285+0.2957*Q285-0.1912*R285-0.1512*IF(D285="S",1,0)+0.1600*IF(E285="L",1,0)+0.0091*H285+0.0124*I285+0.0017*J285+T285+U285,-0.8294+0.1849*S285+0.1750*Q285-0.2969*R285+0.6924*IF(D285="S",1,0)+0.0457*IF(E285="L",1,0)+T285+U285)</f>
        <v/>
      </c>
      <c r="W285">
        <f>MAX(0,MIN(16,ROUND(V285,0)))</f>
        <v/>
      </c>
      <c r="X285">
        <f>IFNA(VLOOKUP(W285,Grade_Scale!$A:$B,2,FALSE),"F")</f>
        <v/>
      </c>
      <c r="Z285">
        <f>IF(Y285="","",W285-IFNA(VLOOKUP(Y285,Grade_Scale!$D:$E,2,FALSE),""))</f>
        <v/>
      </c>
    </row>
    <row r="286">
      <c r="P286">
        <f>IF(OR(B286="SP",B286="RP",B286="CP",B286="SP/RP"),"P","H")</f>
        <v/>
      </c>
      <c r="Q286">
        <f>IF(F286="",0,IFNA(VLOOKUP(F286,Trait_Polarity!$A:$C,2,FALSE),0))+IF(G286="",0,IFNA(VLOOKUP(G286,Trait_Polarity!$A:$C,2,FALSE),0))</f>
        <v/>
      </c>
      <c r="R286">
        <f>IF(F286="",0,IFNA(VLOOKUP(F286,Trait_Polarity!$A:$C,3,FALSE),0))+IF(G286="",0,IFNA(VLOOKUP(G286,Trait_Polarity!$A:$C,3,FALSE),0))</f>
        <v/>
      </c>
      <c r="S286">
        <f>IF(P286="P",(M286+N286+O286)/3,0.3*H286+0.3*I286+0.2*J286+0.1*K286+0.1*L286)</f>
        <v/>
      </c>
      <c r="T286">
        <f>IF(P286="P",IFNA(VLOOKUP(B286,Pitcher_RoleAdj!$A:$B,2,FALSE),0),IFNA(VLOOKUP(B286,Hitter_PrimaryAdj!$A:$B,2,FALSE),0))</f>
        <v/>
      </c>
      <c r="U286">
        <f>IFNA(VLOOKUP(IF(C286="","(none)",C286),SecondaryAdj!$A:$B,2,FALSE),0)</f>
        <v/>
      </c>
      <c r="V286">
        <f>IF(P286="P",0.7780+0.1628*S286+0.2957*Q286-0.1912*R286-0.1512*IF(D286="S",1,0)+0.1600*IF(E286="L",1,0)+0.0091*H286+0.0124*I286+0.0017*J286+T286+U286,-0.8294+0.1849*S286+0.1750*Q286-0.2969*R286+0.6924*IF(D286="S",1,0)+0.0457*IF(E286="L",1,0)+T286+U286)</f>
        <v/>
      </c>
      <c r="W286">
        <f>MAX(0,MIN(16,ROUND(V286,0)))</f>
        <v/>
      </c>
      <c r="X286">
        <f>IFNA(VLOOKUP(W286,Grade_Scale!$A:$B,2,FALSE),"F")</f>
        <v/>
      </c>
      <c r="Z286">
        <f>IF(Y286="","",W286-IFNA(VLOOKUP(Y286,Grade_Scale!$D:$E,2,FALSE),""))</f>
        <v/>
      </c>
    </row>
    <row r="287">
      <c r="P287">
        <f>IF(OR(B287="SP",B287="RP",B287="CP",B287="SP/RP"),"P","H")</f>
        <v/>
      </c>
      <c r="Q287">
        <f>IF(F287="",0,IFNA(VLOOKUP(F287,Trait_Polarity!$A:$C,2,FALSE),0))+IF(G287="",0,IFNA(VLOOKUP(G287,Trait_Polarity!$A:$C,2,FALSE),0))</f>
        <v/>
      </c>
      <c r="R287">
        <f>IF(F287="",0,IFNA(VLOOKUP(F287,Trait_Polarity!$A:$C,3,FALSE),0))+IF(G287="",0,IFNA(VLOOKUP(G287,Trait_Polarity!$A:$C,3,FALSE),0))</f>
        <v/>
      </c>
      <c r="S287">
        <f>IF(P287="P",(M287+N287+O287)/3,0.3*H287+0.3*I287+0.2*J287+0.1*K287+0.1*L287)</f>
        <v/>
      </c>
      <c r="T287">
        <f>IF(P287="P",IFNA(VLOOKUP(B287,Pitcher_RoleAdj!$A:$B,2,FALSE),0),IFNA(VLOOKUP(B287,Hitter_PrimaryAdj!$A:$B,2,FALSE),0))</f>
        <v/>
      </c>
      <c r="U287">
        <f>IFNA(VLOOKUP(IF(C287="","(none)",C287),SecondaryAdj!$A:$B,2,FALSE),0)</f>
        <v/>
      </c>
      <c r="V287">
        <f>IF(P287="P",0.7780+0.1628*S287+0.2957*Q287-0.1912*R287-0.1512*IF(D287="S",1,0)+0.1600*IF(E287="L",1,0)+0.0091*H287+0.0124*I287+0.0017*J287+T287+U287,-0.8294+0.1849*S287+0.1750*Q287-0.2969*R287+0.6924*IF(D287="S",1,0)+0.0457*IF(E287="L",1,0)+T287+U287)</f>
        <v/>
      </c>
      <c r="W287">
        <f>MAX(0,MIN(16,ROUND(V287,0)))</f>
        <v/>
      </c>
      <c r="X287">
        <f>IFNA(VLOOKUP(W287,Grade_Scale!$A:$B,2,FALSE),"F")</f>
        <v/>
      </c>
      <c r="Z287">
        <f>IF(Y287="","",W287-IFNA(VLOOKUP(Y287,Grade_Scale!$D:$E,2,FALSE),""))</f>
        <v/>
      </c>
    </row>
    <row r="288">
      <c r="P288">
        <f>IF(OR(B288="SP",B288="RP",B288="CP",B288="SP/RP"),"P","H")</f>
        <v/>
      </c>
      <c r="Q288">
        <f>IF(F288="",0,IFNA(VLOOKUP(F288,Trait_Polarity!$A:$C,2,FALSE),0))+IF(G288="",0,IFNA(VLOOKUP(G288,Trait_Polarity!$A:$C,2,FALSE),0))</f>
        <v/>
      </c>
      <c r="R288">
        <f>IF(F288="",0,IFNA(VLOOKUP(F288,Trait_Polarity!$A:$C,3,FALSE),0))+IF(G288="",0,IFNA(VLOOKUP(G288,Trait_Polarity!$A:$C,3,FALSE),0))</f>
        <v/>
      </c>
      <c r="S288">
        <f>IF(P288="P",(M288+N288+O288)/3,0.3*H288+0.3*I288+0.2*J288+0.1*K288+0.1*L288)</f>
        <v/>
      </c>
      <c r="T288">
        <f>IF(P288="P",IFNA(VLOOKUP(B288,Pitcher_RoleAdj!$A:$B,2,FALSE),0),IFNA(VLOOKUP(B288,Hitter_PrimaryAdj!$A:$B,2,FALSE),0))</f>
        <v/>
      </c>
      <c r="U288">
        <f>IFNA(VLOOKUP(IF(C288="","(none)",C288),SecondaryAdj!$A:$B,2,FALSE),0)</f>
        <v/>
      </c>
      <c r="V288">
        <f>IF(P288="P",0.7780+0.1628*S288+0.2957*Q288-0.1912*R288-0.1512*IF(D288="S",1,0)+0.1600*IF(E288="L",1,0)+0.0091*H288+0.0124*I288+0.0017*J288+T288+U288,-0.8294+0.1849*S288+0.1750*Q288-0.2969*R288+0.6924*IF(D288="S",1,0)+0.0457*IF(E288="L",1,0)+T288+U288)</f>
        <v/>
      </c>
      <c r="W288">
        <f>MAX(0,MIN(16,ROUND(V288,0)))</f>
        <v/>
      </c>
      <c r="X288">
        <f>IFNA(VLOOKUP(W288,Grade_Scale!$A:$B,2,FALSE),"F")</f>
        <v/>
      </c>
      <c r="Z288">
        <f>IF(Y288="","",W288-IFNA(VLOOKUP(Y288,Grade_Scale!$D:$E,2,FALSE),""))</f>
        <v/>
      </c>
    </row>
    <row r="289">
      <c r="P289">
        <f>IF(OR(B289="SP",B289="RP",B289="CP",B289="SP/RP"),"P","H")</f>
        <v/>
      </c>
      <c r="Q289">
        <f>IF(F289="",0,IFNA(VLOOKUP(F289,Trait_Polarity!$A:$C,2,FALSE),0))+IF(G289="",0,IFNA(VLOOKUP(G289,Trait_Polarity!$A:$C,2,FALSE),0))</f>
        <v/>
      </c>
      <c r="R289">
        <f>IF(F289="",0,IFNA(VLOOKUP(F289,Trait_Polarity!$A:$C,3,FALSE),0))+IF(G289="",0,IFNA(VLOOKUP(G289,Trait_Polarity!$A:$C,3,FALSE),0))</f>
        <v/>
      </c>
      <c r="S289">
        <f>IF(P289="P",(M289+N289+O289)/3,0.3*H289+0.3*I289+0.2*J289+0.1*K289+0.1*L289)</f>
        <v/>
      </c>
      <c r="T289">
        <f>IF(P289="P",IFNA(VLOOKUP(B289,Pitcher_RoleAdj!$A:$B,2,FALSE),0),IFNA(VLOOKUP(B289,Hitter_PrimaryAdj!$A:$B,2,FALSE),0))</f>
        <v/>
      </c>
      <c r="U289">
        <f>IFNA(VLOOKUP(IF(C289="","(none)",C289),SecondaryAdj!$A:$B,2,FALSE),0)</f>
        <v/>
      </c>
      <c r="V289">
        <f>IF(P289="P",0.7780+0.1628*S289+0.2957*Q289-0.1912*R289-0.1512*IF(D289="S",1,0)+0.1600*IF(E289="L",1,0)+0.0091*H289+0.0124*I289+0.0017*J289+T289+U289,-0.8294+0.1849*S289+0.1750*Q289-0.2969*R289+0.6924*IF(D289="S",1,0)+0.0457*IF(E289="L",1,0)+T289+U289)</f>
        <v/>
      </c>
      <c r="W289">
        <f>MAX(0,MIN(16,ROUND(V289,0)))</f>
        <v/>
      </c>
      <c r="X289">
        <f>IFNA(VLOOKUP(W289,Grade_Scale!$A:$B,2,FALSE),"F")</f>
        <v/>
      </c>
      <c r="Z289">
        <f>IF(Y289="","",W289-IFNA(VLOOKUP(Y289,Grade_Scale!$D:$E,2,FALSE),""))</f>
        <v/>
      </c>
    </row>
    <row r="290">
      <c r="P290">
        <f>IF(OR(B290="SP",B290="RP",B290="CP",B290="SP/RP"),"P","H")</f>
        <v/>
      </c>
      <c r="Q290">
        <f>IF(F290="",0,IFNA(VLOOKUP(F290,Trait_Polarity!$A:$C,2,FALSE),0))+IF(G290="",0,IFNA(VLOOKUP(G290,Trait_Polarity!$A:$C,2,FALSE),0))</f>
        <v/>
      </c>
      <c r="R290">
        <f>IF(F290="",0,IFNA(VLOOKUP(F290,Trait_Polarity!$A:$C,3,FALSE),0))+IF(G290="",0,IFNA(VLOOKUP(G290,Trait_Polarity!$A:$C,3,FALSE),0))</f>
        <v/>
      </c>
      <c r="S290">
        <f>IF(P290="P",(M290+N290+O290)/3,0.3*H290+0.3*I290+0.2*J290+0.1*K290+0.1*L290)</f>
        <v/>
      </c>
      <c r="T290">
        <f>IF(P290="P",IFNA(VLOOKUP(B290,Pitcher_RoleAdj!$A:$B,2,FALSE),0),IFNA(VLOOKUP(B290,Hitter_PrimaryAdj!$A:$B,2,FALSE),0))</f>
        <v/>
      </c>
      <c r="U290">
        <f>IFNA(VLOOKUP(IF(C290="","(none)",C290),SecondaryAdj!$A:$B,2,FALSE),0)</f>
        <v/>
      </c>
      <c r="V290">
        <f>IF(P290="P",0.7780+0.1628*S290+0.2957*Q290-0.1912*R290-0.1512*IF(D290="S",1,0)+0.1600*IF(E290="L",1,0)+0.0091*H290+0.0124*I290+0.0017*J290+T290+U290,-0.8294+0.1849*S290+0.1750*Q290-0.2969*R290+0.6924*IF(D290="S",1,0)+0.0457*IF(E290="L",1,0)+T290+U290)</f>
        <v/>
      </c>
      <c r="W290">
        <f>MAX(0,MIN(16,ROUND(V290,0)))</f>
        <v/>
      </c>
      <c r="X290">
        <f>IFNA(VLOOKUP(W290,Grade_Scale!$A:$B,2,FALSE),"F")</f>
        <v/>
      </c>
      <c r="Z290">
        <f>IF(Y290="","",W290-IFNA(VLOOKUP(Y290,Grade_Scale!$D:$E,2,FALSE),""))</f>
        <v/>
      </c>
    </row>
    <row r="291">
      <c r="P291">
        <f>IF(OR(B291="SP",B291="RP",B291="CP",B291="SP/RP"),"P","H")</f>
        <v/>
      </c>
      <c r="Q291">
        <f>IF(F291="",0,IFNA(VLOOKUP(F291,Trait_Polarity!$A:$C,2,FALSE),0))+IF(G291="",0,IFNA(VLOOKUP(G291,Trait_Polarity!$A:$C,2,FALSE),0))</f>
        <v/>
      </c>
      <c r="R291">
        <f>IF(F291="",0,IFNA(VLOOKUP(F291,Trait_Polarity!$A:$C,3,FALSE),0))+IF(G291="",0,IFNA(VLOOKUP(G291,Trait_Polarity!$A:$C,3,FALSE),0))</f>
        <v/>
      </c>
      <c r="S291">
        <f>IF(P291="P",(M291+N291+O291)/3,0.3*H291+0.3*I291+0.2*J291+0.1*K291+0.1*L291)</f>
        <v/>
      </c>
      <c r="T291">
        <f>IF(P291="P",IFNA(VLOOKUP(B291,Pitcher_RoleAdj!$A:$B,2,FALSE),0),IFNA(VLOOKUP(B291,Hitter_PrimaryAdj!$A:$B,2,FALSE),0))</f>
        <v/>
      </c>
      <c r="U291">
        <f>IFNA(VLOOKUP(IF(C291="","(none)",C291),SecondaryAdj!$A:$B,2,FALSE),0)</f>
        <v/>
      </c>
      <c r="V291">
        <f>IF(P291="P",0.7780+0.1628*S291+0.2957*Q291-0.1912*R291-0.1512*IF(D291="S",1,0)+0.1600*IF(E291="L",1,0)+0.0091*H291+0.0124*I291+0.0017*J291+T291+U291,-0.8294+0.1849*S291+0.1750*Q291-0.2969*R291+0.6924*IF(D291="S",1,0)+0.0457*IF(E291="L",1,0)+T291+U291)</f>
        <v/>
      </c>
      <c r="W291">
        <f>MAX(0,MIN(16,ROUND(V291,0)))</f>
        <v/>
      </c>
      <c r="X291">
        <f>IFNA(VLOOKUP(W291,Grade_Scale!$A:$B,2,FALSE),"F")</f>
        <v/>
      </c>
      <c r="Z291">
        <f>IF(Y291="","",W291-IFNA(VLOOKUP(Y291,Grade_Scale!$D:$E,2,FALSE),""))</f>
        <v/>
      </c>
    </row>
    <row r="292">
      <c r="P292">
        <f>IF(OR(B292="SP",B292="RP",B292="CP",B292="SP/RP"),"P","H")</f>
        <v/>
      </c>
      <c r="Q292">
        <f>IF(F292="",0,IFNA(VLOOKUP(F292,Trait_Polarity!$A:$C,2,FALSE),0))+IF(G292="",0,IFNA(VLOOKUP(G292,Trait_Polarity!$A:$C,2,FALSE),0))</f>
        <v/>
      </c>
      <c r="R292">
        <f>IF(F292="",0,IFNA(VLOOKUP(F292,Trait_Polarity!$A:$C,3,FALSE),0))+IF(G292="",0,IFNA(VLOOKUP(G292,Trait_Polarity!$A:$C,3,FALSE),0))</f>
        <v/>
      </c>
      <c r="S292">
        <f>IF(P292="P",(M292+N292+O292)/3,0.3*H292+0.3*I292+0.2*J292+0.1*K292+0.1*L292)</f>
        <v/>
      </c>
      <c r="T292">
        <f>IF(P292="P",IFNA(VLOOKUP(B292,Pitcher_RoleAdj!$A:$B,2,FALSE),0),IFNA(VLOOKUP(B292,Hitter_PrimaryAdj!$A:$B,2,FALSE),0))</f>
        <v/>
      </c>
      <c r="U292">
        <f>IFNA(VLOOKUP(IF(C292="","(none)",C292),SecondaryAdj!$A:$B,2,FALSE),0)</f>
        <v/>
      </c>
      <c r="V292">
        <f>IF(P292="P",0.7780+0.1628*S292+0.2957*Q292-0.1912*R292-0.1512*IF(D292="S",1,0)+0.1600*IF(E292="L",1,0)+0.0091*H292+0.0124*I292+0.0017*J292+T292+U292,-0.8294+0.1849*S292+0.1750*Q292-0.2969*R292+0.6924*IF(D292="S",1,0)+0.0457*IF(E292="L",1,0)+T292+U292)</f>
        <v/>
      </c>
      <c r="W292">
        <f>MAX(0,MIN(16,ROUND(V292,0)))</f>
        <v/>
      </c>
      <c r="X292">
        <f>IFNA(VLOOKUP(W292,Grade_Scale!$A:$B,2,FALSE),"F")</f>
        <v/>
      </c>
      <c r="Z292">
        <f>IF(Y292="","",W292-IFNA(VLOOKUP(Y292,Grade_Scale!$D:$E,2,FALSE),""))</f>
        <v/>
      </c>
    </row>
    <row r="293">
      <c r="P293">
        <f>IF(OR(B293="SP",B293="RP",B293="CP",B293="SP/RP"),"P","H")</f>
        <v/>
      </c>
      <c r="Q293">
        <f>IF(F293="",0,IFNA(VLOOKUP(F293,Trait_Polarity!$A:$C,2,FALSE),0))+IF(G293="",0,IFNA(VLOOKUP(G293,Trait_Polarity!$A:$C,2,FALSE),0))</f>
        <v/>
      </c>
      <c r="R293">
        <f>IF(F293="",0,IFNA(VLOOKUP(F293,Trait_Polarity!$A:$C,3,FALSE),0))+IF(G293="",0,IFNA(VLOOKUP(G293,Trait_Polarity!$A:$C,3,FALSE),0))</f>
        <v/>
      </c>
      <c r="S293">
        <f>IF(P293="P",(M293+N293+O293)/3,0.3*H293+0.3*I293+0.2*J293+0.1*K293+0.1*L293)</f>
        <v/>
      </c>
      <c r="T293">
        <f>IF(P293="P",IFNA(VLOOKUP(B293,Pitcher_RoleAdj!$A:$B,2,FALSE),0),IFNA(VLOOKUP(B293,Hitter_PrimaryAdj!$A:$B,2,FALSE),0))</f>
        <v/>
      </c>
      <c r="U293">
        <f>IFNA(VLOOKUP(IF(C293="","(none)",C293),SecondaryAdj!$A:$B,2,FALSE),0)</f>
        <v/>
      </c>
      <c r="V293">
        <f>IF(P293="P",0.7780+0.1628*S293+0.2957*Q293-0.1912*R293-0.1512*IF(D293="S",1,0)+0.1600*IF(E293="L",1,0)+0.0091*H293+0.0124*I293+0.0017*J293+T293+U293,-0.8294+0.1849*S293+0.1750*Q293-0.2969*R293+0.6924*IF(D293="S",1,0)+0.0457*IF(E293="L",1,0)+T293+U293)</f>
        <v/>
      </c>
      <c r="W293">
        <f>MAX(0,MIN(16,ROUND(V293,0)))</f>
        <v/>
      </c>
      <c r="X293">
        <f>IFNA(VLOOKUP(W293,Grade_Scale!$A:$B,2,FALSE),"F")</f>
        <v/>
      </c>
      <c r="Z293">
        <f>IF(Y293="","",W293-IFNA(VLOOKUP(Y293,Grade_Scale!$D:$E,2,FALSE),""))</f>
        <v/>
      </c>
    </row>
    <row r="294">
      <c r="P294">
        <f>IF(OR(B294="SP",B294="RP",B294="CP",B294="SP/RP"),"P","H")</f>
        <v/>
      </c>
      <c r="Q294">
        <f>IF(F294="",0,IFNA(VLOOKUP(F294,Trait_Polarity!$A:$C,2,FALSE),0))+IF(G294="",0,IFNA(VLOOKUP(G294,Trait_Polarity!$A:$C,2,FALSE),0))</f>
        <v/>
      </c>
      <c r="R294">
        <f>IF(F294="",0,IFNA(VLOOKUP(F294,Trait_Polarity!$A:$C,3,FALSE),0))+IF(G294="",0,IFNA(VLOOKUP(G294,Trait_Polarity!$A:$C,3,FALSE),0))</f>
        <v/>
      </c>
      <c r="S294">
        <f>IF(P294="P",(M294+N294+O294)/3,0.3*H294+0.3*I294+0.2*J294+0.1*K294+0.1*L294)</f>
        <v/>
      </c>
      <c r="T294">
        <f>IF(P294="P",IFNA(VLOOKUP(B294,Pitcher_RoleAdj!$A:$B,2,FALSE),0),IFNA(VLOOKUP(B294,Hitter_PrimaryAdj!$A:$B,2,FALSE),0))</f>
        <v/>
      </c>
      <c r="U294">
        <f>IFNA(VLOOKUP(IF(C294="","(none)",C294),SecondaryAdj!$A:$B,2,FALSE),0)</f>
        <v/>
      </c>
      <c r="V294">
        <f>IF(P294="P",0.7780+0.1628*S294+0.2957*Q294-0.1912*R294-0.1512*IF(D294="S",1,0)+0.1600*IF(E294="L",1,0)+0.0091*H294+0.0124*I294+0.0017*J294+T294+U294,-0.8294+0.1849*S294+0.1750*Q294-0.2969*R294+0.6924*IF(D294="S",1,0)+0.0457*IF(E294="L",1,0)+T294+U294)</f>
        <v/>
      </c>
      <c r="W294">
        <f>MAX(0,MIN(16,ROUND(V294,0)))</f>
        <v/>
      </c>
      <c r="X294">
        <f>IFNA(VLOOKUP(W294,Grade_Scale!$A:$B,2,FALSE),"F")</f>
        <v/>
      </c>
      <c r="Z294">
        <f>IF(Y294="","",W294-IFNA(VLOOKUP(Y294,Grade_Scale!$D:$E,2,FALSE),""))</f>
        <v/>
      </c>
    </row>
    <row r="295">
      <c r="P295">
        <f>IF(OR(B295="SP",B295="RP",B295="CP",B295="SP/RP"),"P","H")</f>
        <v/>
      </c>
      <c r="Q295">
        <f>IF(F295="",0,IFNA(VLOOKUP(F295,Trait_Polarity!$A:$C,2,FALSE),0))+IF(G295="",0,IFNA(VLOOKUP(G295,Trait_Polarity!$A:$C,2,FALSE),0))</f>
        <v/>
      </c>
      <c r="R295">
        <f>IF(F295="",0,IFNA(VLOOKUP(F295,Trait_Polarity!$A:$C,3,FALSE),0))+IF(G295="",0,IFNA(VLOOKUP(G295,Trait_Polarity!$A:$C,3,FALSE),0))</f>
        <v/>
      </c>
      <c r="S295">
        <f>IF(P295="P",(M295+N295+O295)/3,0.3*H295+0.3*I295+0.2*J295+0.1*K295+0.1*L295)</f>
        <v/>
      </c>
      <c r="T295">
        <f>IF(P295="P",IFNA(VLOOKUP(B295,Pitcher_RoleAdj!$A:$B,2,FALSE),0),IFNA(VLOOKUP(B295,Hitter_PrimaryAdj!$A:$B,2,FALSE),0))</f>
        <v/>
      </c>
      <c r="U295">
        <f>IFNA(VLOOKUP(IF(C295="","(none)",C295),SecondaryAdj!$A:$B,2,FALSE),0)</f>
        <v/>
      </c>
      <c r="V295">
        <f>IF(P295="P",0.7780+0.1628*S295+0.2957*Q295-0.1912*R295-0.1512*IF(D295="S",1,0)+0.1600*IF(E295="L",1,0)+0.0091*H295+0.0124*I295+0.0017*J295+T295+U295,-0.8294+0.1849*S295+0.1750*Q295-0.2969*R295+0.6924*IF(D295="S",1,0)+0.0457*IF(E295="L",1,0)+T295+U295)</f>
        <v/>
      </c>
      <c r="W295">
        <f>MAX(0,MIN(16,ROUND(V295,0)))</f>
        <v/>
      </c>
      <c r="X295">
        <f>IFNA(VLOOKUP(W295,Grade_Scale!$A:$B,2,FALSE),"F")</f>
        <v/>
      </c>
      <c r="Z295">
        <f>IF(Y295="","",W295-IFNA(VLOOKUP(Y295,Grade_Scale!$D:$E,2,FALSE),""))</f>
        <v/>
      </c>
    </row>
    <row r="296">
      <c r="P296">
        <f>IF(OR(B296="SP",B296="RP",B296="CP",B296="SP/RP"),"P","H")</f>
        <v/>
      </c>
      <c r="Q296">
        <f>IF(F296="",0,IFNA(VLOOKUP(F296,Trait_Polarity!$A:$C,2,FALSE),0))+IF(G296="",0,IFNA(VLOOKUP(G296,Trait_Polarity!$A:$C,2,FALSE),0))</f>
        <v/>
      </c>
      <c r="R296">
        <f>IF(F296="",0,IFNA(VLOOKUP(F296,Trait_Polarity!$A:$C,3,FALSE),0))+IF(G296="",0,IFNA(VLOOKUP(G296,Trait_Polarity!$A:$C,3,FALSE),0))</f>
        <v/>
      </c>
      <c r="S296">
        <f>IF(P296="P",(M296+N296+O296)/3,0.3*H296+0.3*I296+0.2*J296+0.1*K296+0.1*L296)</f>
        <v/>
      </c>
      <c r="T296">
        <f>IF(P296="P",IFNA(VLOOKUP(B296,Pitcher_RoleAdj!$A:$B,2,FALSE),0),IFNA(VLOOKUP(B296,Hitter_PrimaryAdj!$A:$B,2,FALSE),0))</f>
        <v/>
      </c>
      <c r="U296">
        <f>IFNA(VLOOKUP(IF(C296="","(none)",C296),SecondaryAdj!$A:$B,2,FALSE),0)</f>
        <v/>
      </c>
      <c r="V296">
        <f>IF(P296="P",0.7780+0.1628*S296+0.2957*Q296-0.1912*R296-0.1512*IF(D296="S",1,0)+0.1600*IF(E296="L",1,0)+0.0091*H296+0.0124*I296+0.0017*J296+T296+U296,-0.8294+0.1849*S296+0.1750*Q296-0.2969*R296+0.6924*IF(D296="S",1,0)+0.0457*IF(E296="L",1,0)+T296+U296)</f>
        <v/>
      </c>
      <c r="W296">
        <f>MAX(0,MIN(16,ROUND(V296,0)))</f>
        <v/>
      </c>
      <c r="X296">
        <f>IFNA(VLOOKUP(W296,Grade_Scale!$A:$B,2,FALSE),"F")</f>
        <v/>
      </c>
      <c r="Z296">
        <f>IF(Y296="","",W296-IFNA(VLOOKUP(Y296,Grade_Scale!$D:$E,2,FALSE),""))</f>
        <v/>
      </c>
    </row>
    <row r="297">
      <c r="P297">
        <f>IF(OR(B297="SP",B297="RP",B297="CP",B297="SP/RP"),"P","H")</f>
        <v/>
      </c>
      <c r="Q297">
        <f>IF(F297="",0,IFNA(VLOOKUP(F297,Trait_Polarity!$A:$C,2,FALSE),0))+IF(G297="",0,IFNA(VLOOKUP(G297,Trait_Polarity!$A:$C,2,FALSE),0))</f>
        <v/>
      </c>
      <c r="R297">
        <f>IF(F297="",0,IFNA(VLOOKUP(F297,Trait_Polarity!$A:$C,3,FALSE),0))+IF(G297="",0,IFNA(VLOOKUP(G297,Trait_Polarity!$A:$C,3,FALSE),0))</f>
        <v/>
      </c>
      <c r="S297">
        <f>IF(P297="P",(M297+N297+O297)/3,0.3*H297+0.3*I297+0.2*J297+0.1*K297+0.1*L297)</f>
        <v/>
      </c>
      <c r="T297">
        <f>IF(P297="P",IFNA(VLOOKUP(B297,Pitcher_RoleAdj!$A:$B,2,FALSE),0),IFNA(VLOOKUP(B297,Hitter_PrimaryAdj!$A:$B,2,FALSE),0))</f>
        <v/>
      </c>
      <c r="U297">
        <f>IFNA(VLOOKUP(IF(C297="","(none)",C297),SecondaryAdj!$A:$B,2,FALSE),0)</f>
        <v/>
      </c>
      <c r="V297">
        <f>IF(P297="P",0.7780+0.1628*S297+0.2957*Q297-0.1912*R297-0.1512*IF(D297="S",1,0)+0.1600*IF(E297="L",1,0)+0.0091*H297+0.0124*I297+0.0017*J297+T297+U297,-0.8294+0.1849*S297+0.1750*Q297-0.2969*R297+0.6924*IF(D297="S",1,0)+0.0457*IF(E297="L",1,0)+T297+U297)</f>
        <v/>
      </c>
      <c r="W297">
        <f>MAX(0,MIN(16,ROUND(V297,0)))</f>
        <v/>
      </c>
      <c r="X297">
        <f>IFNA(VLOOKUP(W297,Grade_Scale!$A:$B,2,FALSE),"F")</f>
        <v/>
      </c>
      <c r="Z297">
        <f>IF(Y297="","",W297-IFNA(VLOOKUP(Y297,Grade_Scale!$D:$E,2,FALSE),""))</f>
        <v/>
      </c>
    </row>
    <row r="298">
      <c r="P298">
        <f>IF(OR(B298="SP",B298="RP",B298="CP",B298="SP/RP"),"P","H")</f>
        <v/>
      </c>
      <c r="Q298">
        <f>IF(F298="",0,IFNA(VLOOKUP(F298,Trait_Polarity!$A:$C,2,FALSE),0))+IF(G298="",0,IFNA(VLOOKUP(G298,Trait_Polarity!$A:$C,2,FALSE),0))</f>
        <v/>
      </c>
      <c r="R298">
        <f>IF(F298="",0,IFNA(VLOOKUP(F298,Trait_Polarity!$A:$C,3,FALSE),0))+IF(G298="",0,IFNA(VLOOKUP(G298,Trait_Polarity!$A:$C,3,FALSE),0))</f>
        <v/>
      </c>
      <c r="S298">
        <f>IF(P298="P",(M298+N298+O298)/3,0.3*H298+0.3*I298+0.2*J298+0.1*K298+0.1*L298)</f>
        <v/>
      </c>
      <c r="T298">
        <f>IF(P298="P",IFNA(VLOOKUP(B298,Pitcher_RoleAdj!$A:$B,2,FALSE),0),IFNA(VLOOKUP(B298,Hitter_PrimaryAdj!$A:$B,2,FALSE),0))</f>
        <v/>
      </c>
      <c r="U298">
        <f>IFNA(VLOOKUP(IF(C298="","(none)",C298),SecondaryAdj!$A:$B,2,FALSE),0)</f>
        <v/>
      </c>
      <c r="V298">
        <f>IF(P298="P",0.7780+0.1628*S298+0.2957*Q298-0.1912*R298-0.1512*IF(D298="S",1,0)+0.1600*IF(E298="L",1,0)+0.0091*H298+0.0124*I298+0.0017*J298+T298+U298,-0.8294+0.1849*S298+0.1750*Q298-0.2969*R298+0.6924*IF(D298="S",1,0)+0.0457*IF(E298="L",1,0)+T298+U298)</f>
        <v/>
      </c>
      <c r="W298">
        <f>MAX(0,MIN(16,ROUND(V298,0)))</f>
        <v/>
      </c>
      <c r="X298">
        <f>IFNA(VLOOKUP(W298,Grade_Scale!$A:$B,2,FALSE),"F")</f>
        <v/>
      </c>
      <c r="Z298">
        <f>IF(Y298="","",W298-IFNA(VLOOKUP(Y298,Grade_Scale!$D:$E,2,FALSE),""))</f>
        <v/>
      </c>
    </row>
    <row r="299">
      <c r="P299">
        <f>IF(OR(B299="SP",B299="RP",B299="CP",B299="SP/RP"),"P","H")</f>
        <v/>
      </c>
      <c r="Q299">
        <f>IF(F299="",0,IFNA(VLOOKUP(F299,Trait_Polarity!$A:$C,2,FALSE),0))+IF(G299="",0,IFNA(VLOOKUP(G299,Trait_Polarity!$A:$C,2,FALSE),0))</f>
        <v/>
      </c>
      <c r="R299">
        <f>IF(F299="",0,IFNA(VLOOKUP(F299,Trait_Polarity!$A:$C,3,FALSE),0))+IF(G299="",0,IFNA(VLOOKUP(G299,Trait_Polarity!$A:$C,3,FALSE),0))</f>
        <v/>
      </c>
      <c r="S299">
        <f>IF(P299="P",(M299+N299+O299)/3,0.3*H299+0.3*I299+0.2*J299+0.1*K299+0.1*L299)</f>
        <v/>
      </c>
      <c r="T299">
        <f>IF(P299="P",IFNA(VLOOKUP(B299,Pitcher_RoleAdj!$A:$B,2,FALSE),0),IFNA(VLOOKUP(B299,Hitter_PrimaryAdj!$A:$B,2,FALSE),0))</f>
        <v/>
      </c>
      <c r="U299">
        <f>IFNA(VLOOKUP(IF(C299="","(none)",C299),SecondaryAdj!$A:$B,2,FALSE),0)</f>
        <v/>
      </c>
      <c r="V299">
        <f>IF(P299="P",0.7780+0.1628*S299+0.2957*Q299-0.1912*R299-0.1512*IF(D299="S",1,0)+0.1600*IF(E299="L",1,0)+0.0091*H299+0.0124*I299+0.0017*J299+T299+U299,-0.8294+0.1849*S299+0.1750*Q299-0.2969*R299+0.6924*IF(D299="S",1,0)+0.0457*IF(E299="L",1,0)+T299+U299)</f>
        <v/>
      </c>
      <c r="W299">
        <f>MAX(0,MIN(16,ROUND(V299,0)))</f>
        <v/>
      </c>
      <c r="X299">
        <f>IFNA(VLOOKUP(W299,Grade_Scale!$A:$B,2,FALSE),"F")</f>
        <v/>
      </c>
      <c r="Z299">
        <f>IF(Y299="","",W299-IFNA(VLOOKUP(Y299,Grade_Scale!$D:$E,2,FALSE),""))</f>
        <v/>
      </c>
    </row>
    <row r="300">
      <c r="P300">
        <f>IF(OR(B300="SP",B300="RP",B300="CP",B300="SP/RP"),"P","H")</f>
        <v/>
      </c>
      <c r="Q300">
        <f>IF(F300="",0,IFNA(VLOOKUP(F300,Trait_Polarity!$A:$C,2,FALSE),0))+IF(G300="",0,IFNA(VLOOKUP(G300,Trait_Polarity!$A:$C,2,FALSE),0))</f>
        <v/>
      </c>
      <c r="R300">
        <f>IF(F300="",0,IFNA(VLOOKUP(F300,Trait_Polarity!$A:$C,3,FALSE),0))+IF(G300="",0,IFNA(VLOOKUP(G300,Trait_Polarity!$A:$C,3,FALSE),0))</f>
        <v/>
      </c>
      <c r="S300">
        <f>IF(P300="P",(M300+N300+O300)/3,0.3*H300+0.3*I300+0.2*J300+0.1*K300+0.1*L300)</f>
        <v/>
      </c>
      <c r="T300">
        <f>IF(P300="P",IFNA(VLOOKUP(B300,Pitcher_RoleAdj!$A:$B,2,FALSE),0),IFNA(VLOOKUP(B300,Hitter_PrimaryAdj!$A:$B,2,FALSE),0))</f>
        <v/>
      </c>
      <c r="U300">
        <f>IFNA(VLOOKUP(IF(C300="","(none)",C300),SecondaryAdj!$A:$B,2,FALSE),0)</f>
        <v/>
      </c>
      <c r="V300">
        <f>IF(P300="P",0.7780+0.1628*S300+0.2957*Q300-0.1912*R300-0.1512*IF(D300="S",1,0)+0.1600*IF(E300="L",1,0)+0.0091*H300+0.0124*I300+0.0017*J300+T300+U300,-0.8294+0.1849*S300+0.1750*Q300-0.2969*R300+0.6924*IF(D300="S",1,0)+0.0457*IF(E300="L",1,0)+T300+U300)</f>
        <v/>
      </c>
      <c r="W300">
        <f>MAX(0,MIN(16,ROUND(V300,0)))</f>
        <v/>
      </c>
      <c r="X300">
        <f>IFNA(VLOOKUP(W300,Grade_Scale!$A:$B,2,FALSE),"F")</f>
        <v/>
      </c>
      <c r="Z300">
        <f>IF(Y300="","",W300-IFNA(VLOOKUP(Y300,Grade_Scale!$D:$E,2,FALSE),""))</f>
        <v/>
      </c>
    </row>
    <row r="301">
      <c r="P301">
        <f>IF(OR(B301="SP",B301="RP",B301="CP",B301="SP/RP"),"P","H")</f>
        <v/>
      </c>
      <c r="Q301">
        <f>IF(F301="",0,IFNA(VLOOKUP(F301,Trait_Polarity!$A:$C,2,FALSE),0))+IF(G301="",0,IFNA(VLOOKUP(G301,Trait_Polarity!$A:$C,2,FALSE),0))</f>
        <v/>
      </c>
      <c r="R301">
        <f>IF(F301="",0,IFNA(VLOOKUP(F301,Trait_Polarity!$A:$C,3,FALSE),0))+IF(G301="",0,IFNA(VLOOKUP(G301,Trait_Polarity!$A:$C,3,FALSE),0))</f>
        <v/>
      </c>
      <c r="S301">
        <f>IF(P301="P",(M301+N301+O301)/3,0.3*H301+0.3*I301+0.2*J301+0.1*K301+0.1*L301)</f>
        <v/>
      </c>
      <c r="T301">
        <f>IF(P301="P",IFNA(VLOOKUP(B301,Pitcher_RoleAdj!$A:$B,2,FALSE),0),IFNA(VLOOKUP(B301,Hitter_PrimaryAdj!$A:$B,2,FALSE),0))</f>
        <v/>
      </c>
      <c r="U301">
        <f>IFNA(VLOOKUP(IF(C301="","(none)",C301),SecondaryAdj!$A:$B,2,FALSE),0)</f>
        <v/>
      </c>
      <c r="V301">
        <f>IF(P301="P",0.7780+0.1628*S301+0.2957*Q301-0.1912*R301-0.1512*IF(D301="S",1,0)+0.1600*IF(E301="L",1,0)+0.0091*H301+0.0124*I301+0.0017*J301+T301+U301,-0.8294+0.1849*S301+0.1750*Q301-0.2969*R301+0.6924*IF(D301="S",1,0)+0.0457*IF(E301="L",1,0)+T301+U301)</f>
        <v/>
      </c>
      <c r="W301">
        <f>MAX(0,MIN(16,ROUND(V301,0)))</f>
        <v/>
      </c>
      <c r="X301">
        <f>IFNA(VLOOKUP(W301,Grade_Scale!$A:$B,2,FALSE),"F")</f>
        <v/>
      </c>
      <c r="Z301">
        <f>IF(Y301="","",W301-IFNA(VLOOKUP(Y301,Grade_Scale!$D:$E,2,FALSE),""))</f>
        <v/>
      </c>
    </row>
    <row r="302">
      <c r="P302">
        <f>IF(OR(B302="SP",B302="RP",B302="CP",B302="SP/RP"),"P","H")</f>
        <v/>
      </c>
      <c r="Q302">
        <f>IF(F302="",0,IFNA(VLOOKUP(F302,Trait_Polarity!$A:$C,2,FALSE),0))+IF(G302="",0,IFNA(VLOOKUP(G302,Trait_Polarity!$A:$C,2,FALSE),0))</f>
        <v/>
      </c>
      <c r="R302">
        <f>IF(F302="",0,IFNA(VLOOKUP(F302,Trait_Polarity!$A:$C,3,FALSE),0))+IF(G302="",0,IFNA(VLOOKUP(G302,Trait_Polarity!$A:$C,3,FALSE),0))</f>
        <v/>
      </c>
      <c r="S302">
        <f>IF(P302="P",(M302+N302+O302)/3,0.3*H302+0.3*I302+0.2*J302+0.1*K302+0.1*L302)</f>
        <v/>
      </c>
      <c r="T302">
        <f>IF(P302="P",IFNA(VLOOKUP(B302,Pitcher_RoleAdj!$A:$B,2,FALSE),0),IFNA(VLOOKUP(B302,Hitter_PrimaryAdj!$A:$B,2,FALSE),0))</f>
        <v/>
      </c>
      <c r="U302">
        <f>IFNA(VLOOKUP(IF(C302="","(none)",C302),SecondaryAdj!$A:$B,2,FALSE),0)</f>
        <v/>
      </c>
      <c r="V302">
        <f>IF(P302="P",0.7780+0.1628*S302+0.2957*Q302-0.1912*R302-0.1512*IF(D302="S",1,0)+0.1600*IF(E302="L",1,0)+0.0091*H302+0.0124*I302+0.0017*J302+T302+U302,-0.8294+0.1849*S302+0.1750*Q302-0.2969*R302+0.6924*IF(D302="S",1,0)+0.0457*IF(E302="L",1,0)+T302+U302)</f>
        <v/>
      </c>
      <c r="W302">
        <f>MAX(0,MIN(16,ROUND(V302,0)))</f>
        <v/>
      </c>
      <c r="X302">
        <f>IFNA(VLOOKUP(W302,Grade_Scale!$A:$B,2,FALSE),"F")</f>
        <v/>
      </c>
      <c r="Z302">
        <f>IF(Y302="","",W302-IFNA(VLOOKUP(Y302,Grade_Scale!$D:$E,2,FALSE),""))</f>
        <v/>
      </c>
    </row>
    <row r="303">
      <c r="P303">
        <f>IF(OR(B303="SP",B303="RP",B303="CP",B303="SP/RP"),"P","H")</f>
        <v/>
      </c>
      <c r="Q303">
        <f>IF(F303="",0,IFNA(VLOOKUP(F303,Trait_Polarity!$A:$C,2,FALSE),0))+IF(G303="",0,IFNA(VLOOKUP(G303,Trait_Polarity!$A:$C,2,FALSE),0))</f>
        <v/>
      </c>
      <c r="R303">
        <f>IF(F303="",0,IFNA(VLOOKUP(F303,Trait_Polarity!$A:$C,3,FALSE),0))+IF(G303="",0,IFNA(VLOOKUP(G303,Trait_Polarity!$A:$C,3,FALSE),0))</f>
        <v/>
      </c>
      <c r="S303">
        <f>IF(P303="P",(M303+N303+O303)/3,0.3*H303+0.3*I303+0.2*J303+0.1*K303+0.1*L303)</f>
        <v/>
      </c>
      <c r="T303">
        <f>IF(P303="P",IFNA(VLOOKUP(B303,Pitcher_RoleAdj!$A:$B,2,FALSE),0),IFNA(VLOOKUP(B303,Hitter_PrimaryAdj!$A:$B,2,FALSE),0))</f>
        <v/>
      </c>
      <c r="U303">
        <f>IFNA(VLOOKUP(IF(C303="","(none)",C303),SecondaryAdj!$A:$B,2,FALSE),0)</f>
        <v/>
      </c>
      <c r="V303">
        <f>IF(P303="P",0.7780+0.1628*S303+0.2957*Q303-0.1912*R303-0.1512*IF(D303="S",1,0)+0.1600*IF(E303="L",1,0)+0.0091*H303+0.0124*I303+0.0017*J303+T303+U303,-0.8294+0.1849*S303+0.1750*Q303-0.2969*R303+0.6924*IF(D303="S",1,0)+0.0457*IF(E303="L",1,0)+T303+U303)</f>
        <v/>
      </c>
      <c r="W303">
        <f>MAX(0,MIN(16,ROUND(V303,0)))</f>
        <v/>
      </c>
      <c r="X303">
        <f>IFNA(VLOOKUP(W303,Grade_Scale!$A:$B,2,FALSE),"F")</f>
        <v/>
      </c>
      <c r="Z303">
        <f>IF(Y303="","",W303-IFNA(VLOOKUP(Y303,Grade_Scale!$D:$E,2,FALSE),""))</f>
        <v/>
      </c>
    </row>
    <row r="304">
      <c r="P304">
        <f>IF(OR(B304="SP",B304="RP",B304="CP",B304="SP/RP"),"P","H")</f>
        <v/>
      </c>
      <c r="Q304">
        <f>IF(F304="",0,IFNA(VLOOKUP(F304,Trait_Polarity!$A:$C,2,FALSE),0))+IF(G304="",0,IFNA(VLOOKUP(G304,Trait_Polarity!$A:$C,2,FALSE),0))</f>
        <v/>
      </c>
      <c r="R304">
        <f>IF(F304="",0,IFNA(VLOOKUP(F304,Trait_Polarity!$A:$C,3,FALSE),0))+IF(G304="",0,IFNA(VLOOKUP(G304,Trait_Polarity!$A:$C,3,FALSE),0))</f>
        <v/>
      </c>
      <c r="S304">
        <f>IF(P304="P",(M304+N304+O304)/3,0.3*H304+0.3*I304+0.2*J304+0.1*K304+0.1*L304)</f>
        <v/>
      </c>
      <c r="T304">
        <f>IF(P304="P",IFNA(VLOOKUP(B304,Pitcher_RoleAdj!$A:$B,2,FALSE),0),IFNA(VLOOKUP(B304,Hitter_PrimaryAdj!$A:$B,2,FALSE),0))</f>
        <v/>
      </c>
      <c r="U304">
        <f>IFNA(VLOOKUP(IF(C304="","(none)",C304),SecondaryAdj!$A:$B,2,FALSE),0)</f>
        <v/>
      </c>
      <c r="V304">
        <f>IF(P304="P",0.7780+0.1628*S304+0.2957*Q304-0.1912*R304-0.1512*IF(D304="S",1,0)+0.1600*IF(E304="L",1,0)+0.0091*H304+0.0124*I304+0.0017*J304+T304+U304,-0.8294+0.1849*S304+0.1750*Q304-0.2969*R304+0.6924*IF(D304="S",1,0)+0.0457*IF(E304="L",1,0)+T304+U304)</f>
        <v/>
      </c>
      <c r="W304">
        <f>MAX(0,MIN(16,ROUND(V304,0)))</f>
        <v/>
      </c>
      <c r="X304">
        <f>IFNA(VLOOKUP(W304,Grade_Scale!$A:$B,2,FALSE),"F")</f>
        <v/>
      </c>
      <c r="Z304">
        <f>IF(Y304="","",W304-IFNA(VLOOKUP(Y304,Grade_Scale!$D:$E,2,FALSE),""))</f>
        <v/>
      </c>
    </row>
    <row r="305">
      <c r="P305">
        <f>IF(OR(B305="SP",B305="RP",B305="CP",B305="SP/RP"),"P","H")</f>
        <v/>
      </c>
      <c r="Q305">
        <f>IF(F305="",0,IFNA(VLOOKUP(F305,Trait_Polarity!$A:$C,2,FALSE),0))+IF(G305="",0,IFNA(VLOOKUP(G305,Trait_Polarity!$A:$C,2,FALSE),0))</f>
        <v/>
      </c>
      <c r="R305">
        <f>IF(F305="",0,IFNA(VLOOKUP(F305,Trait_Polarity!$A:$C,3,FALSE),0))+IF(G305="",0,IFNA(VLOOKUP(G305,Trait_Polarity!$A:$C,3,FALSE),0))</f>
        <v/>
      </c>
      <c r="S305">
        <f>IF(P305="P",(M305+N305+O305)/3,0.3*H305+0.3*I305+0.2*J305+0.1*K305+0.1*L305)</f>
        <v/>
      </c>
      <c r="T305">
        <f>IF(P305="P",IFNA(VLOOKUP(B305,Pitcher_RoleAdj!$A:$B,2,FALSE),0),IFNA(VLOOKUP(B305,Hitter_PrimaryAdj!$A:$B,2,FALSE),0))</f>
        <v/>
      </c>
      <c r="U305">
        <f>IFNA(VLOOKUP(IF(C305="","(none)",C305),SecondaryAdj!$A:$B,2,FALSE),0)</f>
        <v/>
      </c>
      <c r="V305">
        <f>IF(P305="P",0.7780+0.1628*S305+0.2957*Q305-0.1912*R305-0.1512*IF(D305="S",1,0)+0.1600*IF(E305="L",1,0)+0.0091*H305+0.0124*I305+0.0017*J305+T305+U305,-0.8294+0.1849*S305+0.1750*Q305-0.2969*R305+0.6924*IF(D305="S",1,0)+0.0457*IF(E305="L",1,0)+T305+U305)</f>
        <v/>
      </c>
      <c r="W305">
        <f>MAX(0,MIN(16,ROUND(V305,0)))</f>
        <v/>
      </c>
      <c r="X305">
        <f>IFNA(VLOOKUP(W305,Grade_Scale!$A:$B,2,FALSE),"F")</f>
        <v/>
      </c>
      <c r="Z305">
        <f>IF(Y305="","",W305-IFNA(VLOOKUP(Y305,Grade_Scale!$D:$E,2,FALSE),""))</f>
        <v/>
      </c>
    </row>
    <row r="306">
      <c r="P306">
        <f>IF(OR(B306="SP",B306="RP",B306="CP",B306="SP/RP"),"P","H")</f>
        <v/>
      </c>
      <c r="Q306">
        <f>IF(F306="",0,IFNA(VLOOKUP(F306,Trait_Polarity!$A:$C,2,FALSE),0))+IF(G306="",0,IFNA(VLOOKUP(G306,Trait_Polarity!$A:$C,2,FALSE),0))</f>
        <v/>
      </c>
      <c r="R306">
        <f>IF(F306="",0,IFNA(VLOOKUP(F306,Trait_Polarity!$A:$C,3,FALSE),0))+IF(G306="",0,IFNA(VLOOKUP(G306,Trait_Polarity!$A:$C,3,FALSE),0))</f>
        <v/>
      </c>
      <c r="S306">
        <f>IF(P306="P",(M306+N306+O306)/3,0.3*H306+0.3*I306+0.2*J306+0.1*K306+0.1*L306)</f>
        <v/>
      </c>
      <c r="T306">
        <f>IF(P306="P",IFNA(VLOOKUP(B306,Pitcher_RoleAdj!$A:$B,2,FALSE),0),IFNA(VLOOKUP(B306,Hitter_PrimaryAdj!$A:$B,2,FALSE),0))</f>
        <v/>
      </c>
      <c r="U306">
        <f>IFNA(VLOOKUP(IF(C306="","(none)",C306),SecondaryAdj!$A:$B,2,FALSE),0)</f>
        <v/>
      </c>
      <c r="V306">
        <f>IF(P306="P",0.7780+0.1628*S306+0.2957*Q306-0.1912*R306-0.1512*IF(D306="S",1,0)+0.1600*IF(E306="L",1,0)+0.0091*H306+0.0124*I306+0.0017*J306+T306+U306,-0.8294+0.1849*S306+0.1750*Q306-0.2969*R306+0.6924*IF(D306="S",1,0)+0.0457*IF(E306="L",1,0)+T306+U306)</f>
        <v/>
      </c>
      <c r="W306">
        <f>MAX(0,MIN(16,ROUND(V306,0)))</f>
        <v/>
      </c>
      <c r="X306">
        <f>IFNA(VLOOKUP(W306,Grade_Scale!$A:$B,2,FALSE),"F")</f>
        <v/>
      </c>
      <c r="Z306">
        <f>IF(Y306="","",W306-IFNA(VLOOKUP(Y306,Grade_Scale!$D:$E,2,FALSE),""))</f>
        <v/>
      </c>
    </row>
    <row r="307">
      <c r="P307">
        <f>IF(OR(B307="SP",B307="RP",B307="CP",B307="SP/RP"),"P","H")</f>
        <v/>
      </c>
      <c r="Q307">
        <f>IF(F307="",0,IFNA(VLOOKUP(F307,Trait_Polarity!$A:$C,2,FALSE),0))+IF(G307="",0,IFNA(VLOOKUP(G307,Trait_Polarity!$A:$C,2,FALSE),0))</f>
        <v/>
      </c>
      <c r="R307">
        <f>IF(F307="",0,IFNA(VLOOKUP(F307,Trait_Polarity!$A:$C,3,FALSE),0))+IF(G307="",0,IFNA(VLOOKUP(G307,Trait_Polarity!$A:$C,3,FALSE),0))</f>
        <v/>
      </c>
      <c r="S307">
        <f>IF(P307="P",(M307+N307+O307)/3,0.3*H307+0.3*I307+0.2*J307+0.1*K307+0.1*L307)</f>
        <v/>
      </c>
      <c r="T307">
        <f>IF(P307="P",IFNA(VLOOKUP(B307,Pitcher_RoleAdj!$A:$B,2,FALSE),0),IFNA(VLOOKUP(B307,Hitter_PrimaryAdj!$A:$B,2,FALSE),0))</f>
        <v/>
      </c>
      <c r="U307">
        <f>IFNA(VLOOKUP(IF(C307="","(none)",C307),SecondaryAdj!$A:$B,2,FALSE),0)</f>
        <v/>
      </c>
      <c r="V307">
        <f>IF(P307="P",0.7780+0.1628*S307+0.2957*Q307-0.1912*R307-0.1512*IF(D307="S",1,0)+0.1600*IF(E307="L",1,0)+0.0091*H307+0.0124*I307+0.0017*J307+T307+U307,-0.8294+0.1849*S307+0.1750*Q307-0.2969*R307+0.6924*IF(D307="S",1,0)+0.0457*IF(E307="L",1,0)+T307+U307)</f>
        <v/>
      </c>
      <c r="W307">
        <f>MAX(0,MIN(16,ROUND(V307,0)))</f>
        <v/>
      </c>
      <c r="X307">
        <f>IFNA(VLOOKUP(W307,Grade_Scale!$A:$B,2,FALSE),"F")</f>
        <v/>
      </c>
      <c r="Z307">
        <f>IF(Y307="","",W307-IFNA(VLOOKUP(Y307,Grade_Scale!$D:$E,2,FALSE),""))</f>
        <v/>
      </c>
    </row>
    <row r="308">
      <c r="P308">
        <f>IF(OR(B308="SP",B308="RP",B308="CP",B308="SP/RP"),"P","H")</f>
        <v/>
      </c>
      <c r="Q308">
        <f>IF(F308="",0,IFNA(VLOOKUP(F308,Trait_Polarity!$A:$C,2,FALSE),0))+IF(G308="",0,IFNA(VLOOKUP(G308,Trait_Polarity!$A:$C,2,FALSE),0))</f>
        <v/>
      </c>
      <c r="R308">
        <f>IF(F308="",0,IFNA(VLOOKUP(F308,Trait_Polarity!$A:$C,3,FALSE),0))+IF(G308="",0,IFNA(VLOOKUP(G308,Trait_Polarity!$A:$C,3,FALSE),0))</f>
        <v/>
      </c>
      <c r="S308">
        <f>IF(P308="P",(M308+N308+O308)/3,0.3*H308+0.3*I308+0.2*J308+0.1*K308+0.1*L308)</f>
        <v/>
      </c>
      <c r="T308">
        <f>IF(P308="P",IFNA(VLOOKUP(B308,Pitcher_RoleAdj!$A:$B,2,FALSE),0),IFNA(VLOOKUP(B308,Hitter_PrimaryAdj!$A:$B,2,FALSE),0))</f>
        <v/>
      </c>
      <c r="U308">
        <f>IFNA(VLOOKUP(IF(C308="","(none)",C308),SecondaryAdj!$A:$B,2,FALSE),0)</f>
        <v/>
      </c>
      <c r="V308">
        <f>IF(P308="P",0.7780+0.1628*S308+0.2957*Q308-0.1912*R308-0.1512*IF(D308="S",1,0)+0.1600*IF(E308="L",1,0)+0.0091*H308+0.0124*I308+0.0017*J308+T308+U308,-0.8294+0.1849*S308+0.1750*Q308-0.2969*R308+0.6924*IF(D308="S",1,0)+0.0457*IF(E308="L",1,0)+T308+U308)</f>
        <v/>
      </c>
      <c r="W308">
        <f>MAX(0,MIN(16,ROUND(V308,0)))</f>
        <v/>
      </c>
      <c r="X308">
        <f>IFNA(VLOOKUP(W308,Grade_Scale!$A:$B,2,FALSE),"F")</f>
        <v/>
      </c>
      <c r="Z308">
        <f>IF(Y308="","",W308-IFNA(VLOOKUP(Y308,Grade_Scale!$D:$E,2,FALSE),""))</f>
        <v/>
      </c>
    </row>
    <row r="309">
      <c r="P309">
        <f>IF(OR(B309="SP",B309="RP",B309="CP",B309="SP/RP"),"P","H")</f>
        <v/>
      </c>
      <c r="Q309">
        <f>IF(F309="",0,IFNA(VLOOKUP(F309,Trait_Polarity!$A:$C,2,FALSE),0))+IF(G309="",0,IFNA(VLOOKUP(G309,Trait_Polarity!$A:$C,2,FALSE),0))</f>
        <v/>
      </c>
      <c r="R309">
        <f>IF(F309="",0,IFNA(VLOOKUP(F309,Trait_Polarity!$A:$C,3,FALSE),0))+IF(G309="",0,IFNA(VLOOKUP(G309,Trait_Polarity!$A:$C,3,FALSE),0))</f>
        <v/>
      </c>
      <c r="S309">
        <f>IF(P309="P",(M309+N309+O309)/3,0.3*H309+0.3*I309+0.2*J309+0.1*K309+0.1*L309)</f>
        <v/>
      </c>
      <c r="T309">
        <f>IF(P309="P",IFNA(VLOOKUP(B309,Pitcher_RoleAdj!$A:$B,2,FALSE),0),IFNA(VLOOKUP(B309,Hitter_PrimaryAdj!$A:$B,2,FALSE),0))</f>
        <v/>
      </c>
      <c r="U309">
        <f>IFNA(VLOOKUP(IF(C309="","(none)",C309),SecondaryAdj!$A:$B,2,FALSE),0)</f>
        <v/>
      </c>
      <c r="V309">
        <f>IF(P309="P",0.7780+0.1628*S309+0.2957*Q309-0.1912*R309-0.1512*IF(D309="S",1,0)+0.1600*IF(E309="L",1,0)+0.0091*H309+0.0124*I309+0.0017*J309+T309+U309,-0.8294+0.1849*S309+0.1750*Q309-0.2969*R309+0.6924*IF(D309="S",1,0)+0.0457*IF(E309="L",1,0)+T309+U309)</f>
        <v/>
      </c>
      <c r="W309">
        <f>MAX(0,MIN(16,ROUND(V309,0)))</f>
        <v/>
      </c>
      <c r="X309">
        <f>IFNA(VLOOKUP(W309,Grade_Scale!$A:$B,2,FALSE),"F")</f>
        <v/>
      </c>
      <c r="Z309">
        <f>IF(Y309="","",W309-IFNA(VLOOKUP(Y309,Grade_Scale!$D:$E,2,FALSE),""))</f>
        <v/>
      </c>
    </row>
    <row r="310">
      <c r="P310">
        <f>IF(OR(B310="SP",B310="RP",B310="CP",B310="SP/RP"),"P","H")</f>
        <v/>
      </c>
      <c r="Q310">
        <f>IF(F310="",0,IFNA(VLOOKUP(F310,Trait_Polarity!$A:$C,2,FALSE),0))+IF(G310="",0,IFNA(VLOOKUP(G310,Trait_Polarity!$A:$C,2,FALSE),0))</f>
        <v/>
      </c>
      <c r="R310">
        <f>IF(F310="",0,IFNA(VLOOKUP(F310,Trait_Polarity!$A:$C,3,FALSE),0))+IF(G310="",0,IFNA(VLOOKUP(G310,Trait_Polarity!$A:$C,3,FALSE),0))</f>
        <v/>
      </c>
      <c r="S310">
        <f>IF(P310="P",(M310+N310+O310)/3,0.3*H310+0.3*I310+0.2*J310+0.1*K310+0.1*L310)</f>
        <v/>
      </c>
      <c r="T310">
        <f>IF(P310="P",IFNA(VLOOKUP(B310,Pitcher_RoleAdj!$A:$B,2,FALSE),0),IFNA(VLOOKUP(B310,Hitter_PrimaryAdj!$A:$B,2,FALSE),0))</f>
        <v/>
      </c>
      <c r="U310">
        <f>IFNA(VLOOKUP(IF(C310="","(none)",C310),SecondaryAdj!$A:$B,2,FALSE),0)</f>
        <v/>
      </c>
      <c r="V310">
        <f>IF(P310="P",0.7780+0.1628*S310+0.2957*Q310-0.1912*R310-0.1512*IF(D310="S",1,0)+0.1600*IF(E310="L",1,0)+0.0091*H310+0.0124*I310+0.0017*J310+T310+U310,-0.8294+0.1849*S310+0.1750*Q310-0.2969*R310+0.6924*IF(D310="S",1,0)+0.0457*IF(E310="L",1,0)+T310+U310)</f>
        <v/>
      </c>
      <c r="W310">
        <f>MAX(0,MIN(16,ROUND(V310,0)))</f>
        <v/>
      </c>
      <c r="X310">
        <f>IFNA(VLOOKUP(W310,Grade_Scale!$A:$B,2,FALSE),"F")</f>
        <v/>
      </c>
      <c r="Z310">
        <f>IF(Y310="","",W310-IFNA(VLOOKUP(Y310,Grade_Scale!$D:$E,2,FALSE),""))</f>
        <v/>
      </c>
    </row>
    <row r="311">
      <c r="P311">
        <f>IF(OR(B311="SP",B311="RP",B311="CP",B311="SP/RP"),"P","H")</f>
        <v/>
      </c>
      <c r="Q311">
        <f>IF(F311="",0,IFNA(VLOOKUP(F311,Trait_Polarity!$A:$C,2,FALSE),0))+IF(G311="",0,IFNA(VLOOKUP(G311,Trait_Polarity!$A:$C,2,FALSE),0))</f>
        <v/>
      </c>
      <c r="R311">
        <f>IF(F311="",0,IFNA(VLOOKUP(F311,Trait_Polarity!$A:$C,3,FALSE),0))+IF(G311="",0,IFNA(VLOOKUP(G311,Trait_Polarity!$A:$C,3,FALSE),0))</f>
        <v/>
      </c>
      <c r="S311">
        <f>IF(P311="P",(M311+N311+O311)/3,0.3*H311+0.3*I311+0.2*J311+0.1*K311+0.1*L311)</f>
        <v/>
      </c>
      <c r="T311">
        <f>IF(P311="P",IFNA(VLOOKUP(B311,Pitcher_RoleAdj!$A:$B,2,FALSE),0),IFNA(VLOOKUP(B311,Hitter_PrimaryAdj!$A:$B,2,FALSE),0))</f>
        <v/>
      </c>
      <c r="U311">
        <f>IFNA(VLOOKUP(IF(C311="","(none)",C311),SecondaryAdj!$A:$B,2,FALSE),0)</f>
        <v/>
      </c>
      <c r="V311">
        <f>IF(P311="P",0.7780+0.1628*S311+0.2957*Q311-0.1912*R311-0.1512*IF(D311="S",1,0)+0.1600*IF(E311="L",1,0)+0.0091*H311+0.0124*I311+0.0017*J311+T311+U311,-0.8294+0.1849*S311+0.1750*Q311-0.2969*R311+0.6924*IF(D311="S",1,0)+0.0457*IF(E311="L",1,0)+T311+U311)</f>
        <v/>
      </c>
      <c r="W311">
        <f>MAX(0,MIN(16,ROUND(V311,0)))</f>
        <v/>
      </c>
      <c r="X311">
        <f>IFNA(VLOOKUP(W311,Grade_Scale!$A:$B,2,FALSE),"F")</f>
        <v/>
      </c>
      <c r="Z311">
        <f>IF(Y311="","",W311-IFNA(VLOOKUP(Y311,Grade_Scale!$D:$E,2,FALSE),""))</f>
        <v/>
      </c>
    </row>
    <row r="312">
      <c r="P312">
        <f>IF(OR(B312="SP",B312="RP",B312="CP",B312="SP/RP"),"P","H")</f>
        <v/>
      </c>
      <c r="Q312">
        <f>IF(F312="",0,IFNA(VLOOKUP(F312,Trait_Polarity!$A:$C,2,FALSE),0))+IF(G312="",0,IFNA(VLOOKUP(G312,Trait_Polarity!$A:$C,2,FALSE),0))</f>
        <v/>
      </c>
      <c r="R312">
        <f>IF(F312="",0,IFNA(VLOOKUP(F312,Trait_Polarity!$A:$C,3,FALSE),0))+IF(G312="",0,IFNA(VLOOKUP(G312,Trait_Polarity!$A:$C,3,FALSE),0))</f>
        <v/>
      </c>
      <c r="S312">
        <f>IF(P312="P",(M312+N312+O312)/3,0.3*H312+0.3*I312+0.2*J312+0.1*K312+0.1*L312)</f>
        <v/>
      </c>
      <c r="T312">
        <f>IF(P312="P",IFNA(VLOOKUP(B312,Pitcher_RoleAdj!$A:$B,2,FALSE),0),IFNA(VLOOKUP(B312,Hitter_PrimaryAdj!$A:$B,2,FALSE),0))</f>
        <v/>
      </c>
      <c r="U312">
        <f>IFNA(VLOOKUP(IF(C312="","(none)",C312),SecondaryAdj!$A:$B,2,FALSE),0)</f>
        <v/>
      </c>
      <c r="V312">
        <f>IF(P312="P",0.7780+0.1628*S312+0.2957*Q312-0.1912*R312-0.1512*IF(D312="S",1,0)+0.1600*IF(E312="L",1,0)+0.0091*H312+0.0124*I312+0.0017*J312+T312+U312,-0.8294+0.1849*S312+0.1750*Q312-0.2969*R312+0.6924*IF(D312="S",1,0)+0.0457*IF(E312="L",1,0)+T312+U312)</f>
        <v/>
      </c>
      <c r="W312">
        <f>MAX(0,MIN(16,ROUND(V312,0)))</f>
        <v/>
      </c>
      <c r="X312">
        <f>IFNA(VLOOKUP(W312,Grade_Scale!$A:$B,2,FALSE),"F")</f>
        <v/>
      </c>
      <c r="Z312">
        <f>IF(Y312="","",W312-IFNA(VLOOKUP(Y312,Grade_Scale!$D:$E,2,FALSE),""))</f>
        <v/>
      </c>
    </row>
    <row r="313">
      <c r="P313">
        <f>IF(OR(B313="SP",B313="RP",B313="CP",B313="SP/RP"),"P","H")</f>
        <v/>
      </c>
      <c r="Q313">
        <f>IF(F313="",0,IFNA(VLOOKUP(F313,Trait_Polarity!$A:$C,2,FALSE),0))+IF(G313="",0,IFNA(VLOOKUP(G313,Trait_Polarity!$A:$C,2,FALSE),0))</f>
        <v/>
      </c>
      <c r="R313">
        <f>IF(F313="",0,IFNA(VLOOKUP(F313,Trait_Polarity!$A:$C,3,FALSE),0))+IF(G313="",0,IFNA(VLOOKUP(G313,Trait_Polarity!$A:$C,3,FALSE),0))</f>
        <v/>
      </c>
      <c r="S313">
        <f>IF(P313="P",(M313+N313+O313)/3,0.3*H313+0.3*I313+0.2*J313+0.1*K313+0.1*L313)</f>
        <v/>
      </c>
      <c r="T313">
        <f>IF(P313="P",IFNA(VLOOKUP(B313,Pitcher_RoleAdj!$A:$B,2,FALSE),0),IFNA(VLOOKUP(B313,Hitter_PrimaryAdj!$A:$B,2,FALSE),0))</f>
        <v/>
      </c>
      <c r="U313">
        <f>IFNA(VLOOKUP(IF(C313="","(none)",C313),SecondaryAdj!$A:$B,2,FALSE),0)</f>
        <v/>
      </c>
      <c r="V313">
        <f>IF(P313="P",0.7780+0.1628*S313+0.2957*Q313-0.1912*R313-0.1512*IF(D313="S",1,0)+0.1600*IF(E313="L",1,0)+0.0091*H313+0.0124*I313+0.0017*J313+T313+U313,-0.8294+0.1849*S313+0.1750*Q313-0.2969*R313+0.6924*IF(D313="S",1,0)+0.0457*IF(E313="L",1,0)+T313+U313)</f>
        <v/>
      </c>
      <c r="W313">
        <f>MAX(0,MIN(16,ROUND(V313,0)))</f>
        <v/>
      </c>
      <c r="X313">
        <f>IFNA(VLOOKUP(W313,Grade_Scale!$A:$B,2,FALSE),"F")</f>
        <v/>
      </c>
      <c r="Z313">
        <f>IF(Y313="","",W313-IFNA(VLOOKUP(Y313,Grade_Scale!$D:$E,2,FALSE),""))</f>
        <v/>
      </c>
    </row>
    <row r="314">
      <c r="P314">
        <f>IF(OR(B314="SP",B314="RP",B314="CP",B314="SP/RP"),"P","H")</f>
        <v/>
      </c>
      <c r="Q314">
        <f>IF(F314="",0,IFNA(VLOOKUP(F314,Trait_Polarity!$A:$C,2,FALSE),0))+IF(G314="",0,IFNA(VLOOKUP(G314,Trait_Polarity!$A:$C,2,FALSE),0))</f>
        <v/>
      </c>
      <c r="R314">
        <f>IF(F314="",0,IFNA(VLOOKUP(F314,Trait_Polarity!$A:$C,3,FALSE),0))+IF(G314="",0,IFNA(VLOOKUP(G314,Trait_Polarity!$A:$C,3,FALSE),0))</f>
        <v/>
      </c>
      <c r="S314">
        <f>IF(P314="P",(M314+N314+O314)/3,0.3*H314+0.3*I314+0.2*J314+0.1*K314+0.1*L314)</f>
        <v/>
      </c>
      <c r="T314">
        <f>IF(P314="P",IFNA(VLOOKUP(B314,Pitcher_RoleAdj!$A:$B,2,FALSE),0),IFNA(VLOOKUP(B314,Hitter_PrimaryAdj!$A:$B,2,FALSE),0))</f>
        <v/>
      </c>
      <c r="U314">
        <f>IFNA(VLOOKUP(IF(C314="","(none)",C314),SecondaryAdj!$A:$B,2,FALSE),0)</f>
        <v/>
      </c>
      <c r="V314">
        <f>IF(P314="P",0.7780+0.1628*S314+0.2957*Q314-0.1912*R314-0.1512*IF(D314="S",1,0)+0.1600*IF(E314="L",1,0)+0.0091*H314+0.0124*I314+0.0017*J314+T314+U314,-0.8294+0.1849*S314+0.1750*Q314-0.2969*R314+0.6924*IF(D314="S",1,0)+0.0457*IF(E314="L",1,0)+T314+U314)</f>
        <v/>
      </c>
      <c r="W314">
        <f>MAX(0,MIN(16,ROUND(V314,0)))</f>
        <v/>
      </c>
      <c r="X314">
        <f>IFNA(VLOOKUP(W314,Grade_Scale!$A:$B,2,FALSE),"F")</f>
        <v/>
      </c>
      <c r="Z314">
        <f>IF(Y314="","",W314-IFNA(VLOOKUP(Y314,Grade_Scale!$D:$E,2,FALSE),""))</f>
        <v/>
      </c>
    </row>
    <row r="315">
      <c r="P315">
        <f>IF(OR(B315="SP",B315="RP",B315="CP",B315="SP/RP"),"P","H")</f>
        <v/>
      </c>
      <c r="Q315">
        <f>IF(F315="",0,IFNA(VLOOKUP(F315,Trait_Polarity!$A:$C,2,FALSE),0))+IF(G315="",0,IFNA(VLOOKUP(G315,Trait_Polarity!$A:$C,2,FALSE),0))</f>
        <v/>
      </c>
      <c r="R315">
        <f>IF(F315="",0,IFNA(VLOOKUP(F315,Trait_Polarity!$A:$C,3,FALSE),0))+IF(G315="",0,IFNA(VLOOKUP(G315,Trait_Polarity!$A:$C,3,FALSE),0))</f>
        <v/>
      </c>
      <c r="S315">
        <f>IF(P315="P",(M315+N315+O315)/3,0.3*H315+0.3*I315+0.2*J315+0.1*K315+0.1*L315)</f>
        <v/>
      </c>
      <c r="T315">
        <f>IF(P315="P",IFNA(VLOOKUP(B315,Pitcher_RoleAdj!$A:$B,2,FALSE),0),IFNA(VLOOKUP(B315,Hitter_PrimaryAdj!$A:$B,2,FALSE),0))</f>
        <v/>
      </c>
      <c r="U315">
        <f>IFNA(VLOOKUP(IF(C315="","(none)",C315),SecondaryAdj!$A:$B,2,FALSE),0)</f>
        <v/>
      </c>
      <c r="V315">
        <f>IF(P315="P",0.7780+0.1628*S315+0.2957*Q315-0.1912*R315-0.1512*IF(D315="S",1,0)+0.1600*IF(E315="L",1,0)+0.0091*H315+0.0124*I315+0.0017*J315+T315+U315,-0.8294+0.1849*S315+0.1750*Q315-0.2969*R315+0.6924*IF(D315="S",1,0)+0.0457*IF(E315="L",1,0)+T315+U315)</f>
        <v/>
      </c>
      <c r="W315">
        <f>MAX(0,MIN(16,ROUND(V315,0)))</f>
        <v/>
      </c>
      <c r="X315">
        <f>IFNA(VLOOKUP(W315,Grade_Scale!$A:$B,2,FALSE),"F")</f>
        <v/>
      </c>
      <c r="Z315">
        <f>IF(Y315="","",W315-IFNA(VLOOKUP(Y315,Grade_Scale!$D:$E,2,FALSE),""))</f>
        <v/>
      </c>
    </row>
    <row r="316">
      <c r="P316">
        <f>IF(OR(B316="SP",B316="RP",B316="CP",B316="SP/RP"),"P","H")</f>
        <v/>
      </c>
      <c r="Q316">
        <f>IF(F316="",0,IFNA(VLOOKUP(F316,Trait_Polarity!$A:$C,2,FALSE),0))+IF(G316="",0,IFNA(VLOOKUP(G316,Trait_Polarity!$A:$C,2,FALSE),0))</f>
        <v/>
      </c>
      <c r="R316">
        <f>IF(F316="",0,IFNA(VLOOKUP(F316,Trait_Polarity!$A:$C,3,FALSE),0))+IF(G316="",0,IFNA(VLOOKUP(G316,Trait_Polarity!$A:$C,3,FALSE),0))</f>
        <v/>
      </c>
      <c r="S316">
        <f>IF(P316="P",(M316+N316+O316)/3,0.3*H316+0.3*I316+0.2*J316+0.1*K316+0.1*L316)</f>
        <v/>
      </c>
      <c r="T316">
        <f>IF(P316="P",IFNA(VLOOKUP(B316,Pitcher_RoleAdj!$A:$B,2,FALSE),0),IFNA(VLOOKUP(B316,Hitter_PrimaryAdj!$A:$B,2,FALSE),0))</f>
        <v/>
      </c>
      <c r="U316">
        <f>IFNA(VLOOKUP(IF(C316="","(none)",C316),SecondaryAdj!$A:$B,2,FALSE),0)</f>
        <v/>
      </c>
      <c r="V316">
        <f>IF(P316="P",0.7780+0.1628*S316+0.2957*Q316-0.1912*R316-0.1512*IF(D316="S",1,0)+0.1600*IF(E316="L",1,0)+0.0091*H316+0.0124*I316+0.0017*J316+T316+U316,-0.8294+0.1849*S316+0.1750*Q316-0.2969*R316+0.6924*IF(D316="S",1,0)+0.0457*IF(E316="L",1,0)+T316+U316)</f>
        <v/>
      </c>
      <c r="W316">
        <f>MAX(0,MIN(16,ROUND(V316,0)))</f>
        <v/>
      </c>
      <c r="X316">
        <f>IFNA(VLOOKUP(W316,Grade_Scale!$A:$B,2,FALSE),"F")</f>
        <v/>
      </c>
      <c r="Z316">
        <f>IF(Y316="","",W316-IFNA(VLOOKUP(Y316,Grade_Scale!$D:$E,2,FALSE),""))</f>
        <v/>
      </c>
    </row>
    <row r="317">
      <c r="P317">
        <f>IF(OR(B317="SP",B317="RP",B317="CP",B317="SP/RP"),"P","H")</f>
        <v/>
      </c>
      <c r="Q317">
        <f>IF(F317="",0,IFNA(VLOOKUP(F317,Trait_Polarity!$A:$C,2,FALSE),0))+IF(G317="",0,IFNA(VLOOKUP(G317,Trait_Polarity!$A:$C,2,FALSE),0))</f>
        <v/>
      </c>
      <c r="R317">
        <f>IF(F317="",0,IFNA(VLOOKUP(F317,Trait_Polarity!$A:$C,3,FALSE),0))+IF(G317="",0,IFNA(VLOOKUP(G317,Trait_Polarity!$A:$C,3,FALSE),0))</f>
        <v/>
      </c>
      <c r="S317">
        <f>IF(P317="P",(M317+N317+O317)/3,0.3*H317+0.3*I317+0.2*J317+0.1*K317+0.1*L317)</f>
        <v/>
      </c>
      <c r="T317">
        <f>IF(P317="P",IFNA(VLOOKUP(B317,Pitcher_RoleAdj!$A:$B,2,FALSE),0),IFNA(VLOOKUP(B317,Hitter_PrimaryAdj!$A:$B,2,FALSE),0))</f>
        <v/>
      </c>
      <c r="U317">
        <f>IFNA(VLOOKUP(IF(C317="","(none)",C317),SecondaryAdj!$A:$B,2,FALSE),0)</f>
        <v/>
      </c>
      <c r="V317">
        <f>IF(P317="P",0.7780+0.1628*S317+0.2957*Q317-0.1912*R317-0.1512*IF(D317="S",1,0)+0.1600*IF(E317="L",1,0)+0.0091*H317+0.0124*I317+0.0017*J317+T317+U317,-0.8294+0.1849*S317+0.1750*Q317-0.2969*R317+0.6924*IF(D317="S",1,0)+0.0457*IF(E317="L",1,0)+T317+U317)</f>
        <v/>
      </c>
      <c r="W317">
        <f>MAX(0,MIN(16,ROUND(V317,0)))</f>
        <v/>
      </c>
      <c r="X317">
        <f>IFNA(VLOOKUP(W317,Grade_Scale!$A:$B,2,FALSE),"F")</f>
        <v/>
      </c>
      <c r="Z317">
        <f>IF(Y317="","",W317-IFNA(VLOOKUP(Y317,Grade_Scale!$D:$E,2,FALSE),""))</f>
        <v/>
      </c>
    </row>
    <row r="318">
      <c r="P318">
        <f>IF(OR(B318="SP",B318="RP",B318="CP",B318="SP/RP"),"P","H")</f>
        <v/>
      </c>
      <c r="Q318">
        <f>IF(F318="",0,IFNA(VLOOKUP(F318,Trait_Polarity!$A:$C,2,FALSE),0))+IF(G318="",0,IFNA(VLOOKUP(G318,Trait_Polarity!$A:$C,2,FALSE),0))</f>
        <v/>
      </c>
      <c r="R318">
        <f>IF(F318="",0,IFNA(VLOOKUP(F318,Trait_Polarity!$A:$C,3,FALSE),0))+IF(G318="",0,IFNA(VLOOKUP(G318,Trait_Polarity!$A:$C,3,FALSE),0))</f>
        <v/>
      </c>
      <c r="S318">
        <f>IF(P318="P",(M318+N318+O318)/3,0.3*H318+0.3*I318+0.2*J318+0.1*K318+0.1*L318)</f>
        <v/>
      </c>
      <c r="T318">
        <f>IF(P318="P",IFNA(VLOOKUP(B318,Pitcher_RoleAdj!$A:$B,2,FALSE),0),IFNA(VLOOKUP(B318,Hitter_PrimaryAdj!$A:$B,2,FALSE),0))</f>
        <v/>
      </c>
      <c r="U318">
        <f>IFNA(VLOOKUP(IF(C318="","(none)",C318),SecondaryAdj!$A:$B,2,FALSE),0)</f>
        <v/>
      </c>
      <c r="V318">
        <f>IF(P318="P",0.7780+0.1628*S318+0.2957*Q318-0.1912*R318-0.1512*IF(D318="S",1,0)+0.1600*IF(E318="L",1,0)+0.0091*H318+0.0124*I318+0.0017*J318+T318+U318,-0.8294+0.1849*S318+0.1750*Q318-0.2969*R318+0.6924*IF(D318="S",1,0)+0.0457*IF(E318="L",1,0)+T318+U318)</f>
        <v/>
      </c>
      <c r="W318">
        <f>MAX(0,MIN(16,ROUND(V318,0)))</f>
        <v/>
      </c>
      <c r="X318">
        <f>IFNA(VLOOKUP(W318,Grade_Scale!$A:$B,2,FALSE),"F")</f>
        <v/>
      </c>
      <c r="Z318">
        <f>IF(Y318="","",W318-IFNA(VLOOKUP(Y318,Grade_Scale!$D:$E,2,FALSE),""))</f>
        <v/>
      </c>
    </row>
    <row r="319">
      <c r="P319">
        <f>IF(OR(B319="SP",B319="RP",B319="CP",B319="SP/RP"),"P","H")</f>
        <v/>
      </c>
      <c r="Q319">
        <f>IF(F319="",0,IFNA(VLOOKUP(F319,Trait_Polarity!$A:$C,2,FALSE),0))+IF(G319="",0,IFNA(VLOOKUP(G319,Trait_Polarity!$A:$C,2,FALSE),0))</f>
        <v/>
      </c>
      <c r="R319">
        <f>IF(F319="",0,IFNA(VLOOKUP(F319,Trait_Polarity!$A:$C,3,FALSE),0))+IF(G319="",0,IFNA(VLOOKUP(G319,Trait_Polarity!$A:$C,3,FALSE),0))</f>
        <v/>
      </c>
      <c r="S319">
        <f>IF(P319="P",(M319+N319+O319)/3,0.3*H319+0.3*I319+0.2*J319+0.1*K319+0.1*L319)</f>
        <v/>
      </c>
      <c r="T319">
        <f>IF(P319="P",IFNA(VLOOKUP(B319,Pitcher_RoleAdj!$A:$B,2,FALSE),0),IFNA(VLOOKUP(B319,Hitter_PrimaryAdj!$A:$B,2,FALSE),0))</f>
        <v/>
      </c>
      <c r="U319">
        <f>IFNA(VLOOKUP(IF(C319="","(none)",C319),SecondaryAdj!$A:$B,2,FALSE),0)</f>
        <v/>
      </c>
      <c r="V319">
        <f>IF(P319="P",0.7780+0.1628*S319+0.2957*Q319-0.1912*R319-0.1512*IF(D319="S",1,0)+0.1600*IF(E319="L",1,0)+0.0091*H319+0.0124*I319+0.0017*J319+T319+U319,-0.8294+0.1849*S319+0.1750*Q319-0.2969*R319+0.6924*IF(D319="S",1,0)+0.0457*IF(E319="L",1,0)+T319+U319)</f>
        <v/>
      </c>
      <c r="W319">
        <f>MAX(0,MIN(16,ROUND(V319,0)))</f>
        <v/>
      </c>
      <c r="X319">
        <f>IFNA(VLOOKUP(W319,Grade_Scale!$A:$B,2,FALSE),"F")</f>
        <v/>
      </c>
      <c r="Z319">
        <f>IF(Y319="","",W319-IFNA(VLOOKUP(Y319,Grade_Scale!$D:$E,2,FALSE),""))</f>
        <v/>
      </c>
    </row>
    <row r="320">
      <c r="P320">
        <f>IF(OR(B320="SP",B320="RP",B320="CP",B320="SP/RP"),"P","H")</f>
        <v/>
      </c>
      <c r="Q320">
        <f>IF(F320="",0,IFNA(VLOOKUP(F320,Trait_Polarity!$A:$C,2,FALSE),0))+IF(G320="",0,IFNA(VLOOKUP(G320,Trait_Polarity!$A:$C,2,FALSE),0))</f>
        <v/>
      </c>
      <c r="R320">
        <f>IF(F320="",0,IFNA(VLOOKUP(F320,Trait_Polarity!$A:$C,3,FALSE),0))+IF(G320="",0,IFNA(VLOOKUP(G320,Trait_Polarity!$A:$C,3,FALSE),0))</f>
        <v/>
      </c>
      <c r="S320">
        <f>IF(P320="P",(M320+N320+O320)/3,0.3*H320+0.3*I320+0.2*J320+0.1*K320+0.1*L320)</f>
        <v/>
      </c>
      <c r="T320">
        <f>IF(P320="P",IFNA(VLOOKUP(B320,Pitcher_RoleAdj!$A:$B,2,FALSE),0),IFNA(VLOOKUP(B320,Hitter_PrimaryAdj!$A:$B,2,FALSE),0))</f>
        <v/>
      </c>
      <c r="U320">
        <f>IFNA(VLOOKUP(IF(C320="","(none)",C320),SecondaryAdj!$A:$B,2,FALSE),0)</f>
        <v/>
      </c>
      <c r="V320">
        <f>IF(P320="P",0.7780+0.1628*S320+0.2957*Q320-0.1912*R320-0.1512*IF(D320="S",1,0)+0.1600*IF(E320="L",1,0)+0.0091*H320+0.0124*I320+0.0017*J320+T320+U320,-0.8294+0.1849*S320+0.1750*Q320-0.2969*R320+0.6924*IF(D320="S",1,0)+0.0457*IF(E320="L",1,0)+T320+U320)</f>
        <v/>
      </c>
      <c r="W320">
        <f>MAX(0,MIN(16,ROUND(V320,0)))</f>
        <v/>
      </c>
      <c r="X320">
        <f>IFNA(VLOOKUP(W320,Grade_Scale!$A:$B,2,FALSE),"F")</f>
        <v/>
      </c>
      <c r="Z320">
        <f>IF(Y320="","",W320-IFNA(VLOOKUP(Y320,Grade_Scale!$D:$E,2,FALSE),""))</f>
        <v/>
      </c>
    </row>
    <row r="321">
      <c r="P321">
        <f>IF(OR(B321="SP",B321="RP",B321="CP",B321="SP/RP"),"P","H")</f>
        <v/>
      </c>
      <c r="Q321">
        <f>IF(F321="",0,IFNA(VLOOKUP(F321,Trait_Polarity!$A:$C,2,FALSE),0))+IF(G321="",0,IFNA(VLOOKUP(G321,Trait_Polarity!$A:$C,2,FALSE),0))</f>
        <v/>
      </c>
      <c r="R321">
        <f>IF(F321="",0,IFNA(VLOOKUP(F321,Trait_Polarity!$A:$C,3,FALSE),0))+IF(G321="",0,IFNA(VLOOKUP(G321,Trait_Polarity!$A:$C,3,FALSE),0))</f>
        <v/>
      </c>
      <c r="S321">
        <f>IF(P321="P",(M321+N321+O321)/3,0.3*H321+0.3*I321+0.2*J321+0.1*K321+0.1*L321)</f>
        <v/>
      </c>
      <c r="T321">
        <f>IF(P321="P",IFNA(VLOOKUP(B321,Pitcher_RoleAdj!$A:$B,2,FALSE),0),IFNA(VLOOKUP(B321,Hitter_PrimaryAdj!$A:$B,2,FALSE),0))</f>
        <v/>
      </c>
      <c r="U321">
        <f>IFNA(VLOOKUP(IF(C321="","(none)",C321),SecondaryAdj!$A:$B,2,FALSE),0)</f>
        <v/>
      </c>
      <c r="V321">
        <f>IF(P321="P",0.7780+0.1628*S321+0.2957*Q321-0.1912*R321-0.1512*IF(D321="S",1,0)+0.1600*IF(E321="L",1,0)+0.0091*H321+0.0124*I321+0.0017*J321+T321+U321,-0.8294+0.1849*S321+0.1750*Q321-0.2969*R321+0.6924*IF(D321="S",1,0)+0.0457*IF(E321="L",1,0)+T321+U321)</f>
        <v/>
      </c>
      <c r="W321">
        <f>MAX(0,MIN(16,ROUND(V321,0)))</f>
        <v/>
      </c>
      <c r="X321">
        <f>IFNA(VLOOKUP(W321,Grade_Scale!$A:$B,2,FALSE),"F")</f>
        <v/>
      </c>
      <c r="Z321">
        <f>IF(Y321="","",W321-IFNA(VLOOKUP(Y321,Grade_Scale!$D:$E,2,FALSE),""))</f>
        <v/>
      </c>
    </row>
    <row r="322">
      <c r="P322">
        <f>IF(OR(B322="SP",B322="RP",B322="CP",B322="SP/RP"),"P","H")</f>
        <v/>
      </c>
      <c r="Q322">
        <f>IF(F322="",0,IFNA(VLOOKUP(F322,Trait_Polarity!$A:$C,2,FALSE),0))+IF(G322="",0,IFNA(VLOOKUP(G322,Trait_Polarity!$A:$C,2,FALSE),0))</f>
        <v/>
      </c>
      <c r="R322">
        <f>IF(F322="",0,IFNA(VLOOKUP(F322,Trait_Polarity!$A:$C,3,FALSE),0))+IF(G322="",0,IFNA(VLOOKUP(G322,Trait_Polarity!$A:$C,3,FALSE),0))</f>
        <v/>
      </c>
      <c r="S322">
        <f>IF(P322="P",(M322+N322+O322)/3,0.3*H322+0.3*I322+0.2*J322+0.1*K322+0.1*L322)</f>
        <v/>
      </c>
      <c r="T322">
        <f>IF(P322="P",IFNA(VLOOKUP(B322,Pitcher_RoleAdj!$A:$B,2,FALSE),0),IFNA(VLOOKUP(B322,Hitter_PrimaryAdj!$A:$B,2,FALSE),0))</f>
        <v/>
      </c>
      <c r="U322">
        <f>IFNA(VLOOKUP(IF(C322="","(none)",C322),SecondaryAdj!$A:$B,2,FALSE),0)</f>
        <v/>
      </c>
      <c r="V322">
        <f>IF(P322="P",0.7780+0.1628*S322+0.2957*Q322-0.1912*R322-0.1512*IF(D322="S",1,0)+0.1600*IF(E322="L",1,0)+0.0091*H322+0.0124*I322+0.0017*J322+T322+U322,-0.8294+0.1849*S322+0.1750*Q322-0.2969*R322+0.6924*IF(D322="S",1,0)+0.0457*IF(E322="L",1,0)+T322+U322)</f>
        <v/>
      </c>
      <c r="W322">
        <f>MAX(0,MIN(16,ROUND(V322,0)))</f>
        <v/>
      </c>
      <c r="X322">
        <f>IFNA(VLOOKUP(W322,Grade_Scale!$A:$B,2,FALSE),"F")</f>
        <v/>
      </c>
      <c r="Z322">
        <f>IF(Y322="","",W322-IFNA(VLOOKUP(Y322,Grade_Scale!$D:$E,2,FALSE),""))</f>
        <v/>
      </c>
    </row>
    <row r="323">
      <c r="P323">
        <f>IF(OR(B323="SP",B323="RP",B323="CP",B323="SP/RP"),"P","H")</f>
        <v/>
      </c>
      <c r="Q323">
        <f>IF(F323="",0,IFNA(VLOOKUP(F323,Trait_Polarity!$A:$C,2,FALSE),0))+IF(G323="",0,IFNA(VLOOKUP(G323,Trait_Polarity!$A:$C,2,FALSE),0))</f>
        <v/>
      </c>
      <c r="R323">
        <f>IF(F323="",0,IFNA(VLOOKUP(F323,Trait_Polarity!$A:$C,3,FALSE),0))+IF(G323="",0,IFNA(VLOOKUP(G323,Trait_Polarity!$A:$C,3,FALSE),0))</f>
        <v/>
      </c>
      <c r="S323">
        <f>IF(P323="P",(M323+N323+O323)/3,0.3*H323+0.3*I323+0.2*J323+0.1*K323+0.1*L323)</f>
        <v/>
      </c>
      <c r="T323">
        <f>IF(P323="P",IFNA(VLOOKUP(B323,Pitcher_RoleAdj!$A:$B,2,FALSE),0),IFNA(VLOOKUP(B323,Hitter_PrimaryAdj!$A:$B,2,FALSE),0))</f>
        <v/>
      </c>
      <c r="U323">
        <f>IFNA(VLOOKUP(IF(C323="","(none)",C323),SecondaryAdj!$A:$B,2,FALSE),0)</f>
        <v/>
      </c>
      <c r="V323">
        <f>IF(P323="P",0.7780+0.1628*S323+0.2957*Q323-0.1912*R323-0.1512*IF(D323="S",1,0)+0.1600*IF(E323="L",1,0)+0.0091*H323+0.0124*I323+0.0017*J323+T323+U323,-0.8294+0.1849*S323+0.1750*Q323-0.2969*R323+0.6924*IF(D323="S",1,0)+0.0457*IF(E323="L",1,0)+T323+U323)</f>
        <v/>
      </c>
      <c r="W323">
        <f>MAX(0,MIN(16,ROUND(V323,0)))</f>
        <v/>
      </c>
      <c r="X323">
        <f>IFNA(VLOOKUP(W323,Grade_Scale!$A:$B,2,FALSE),"F")</f>
        <v/>
      </c>
      <c r="Z323">
        <f>IF(Y323="","",W323-IFNA(VLOOKUP(Y323,Grade_Scale!$D:$E,2,FALSE),""))</f>
        <v/>
      </c>
    </row>
    <row r="324">
      <c r="P324">
        <f>IF(OR(B324="SP",B324="RP",B324="CP",B324="SP/RP"),"P","H")</f>
        <v/>
      </c>
      <c r="Q324">
        <f>IF(F324="",0,IFNA(VLOOKUP(F324,Trait_Polarity!$A:$C,2,FALSE),0))+IF(G324="",0,IFNA(VLOOKUP(G324,Trait_Polarity!$A:$C,2,FALSE),0))</f>
        <v/>
      </c>
      <c r="R324">
        <f>IF(F324="",0,IFNA(VLOOKUP(F324,Trait_Polarity!$A:$C,3,FALSE),0))+IF(G324="",0,IFNA(VLOOKUP(G324,Trait_Polarity!$A:$C,3,FALSE),0))</f>
        <v/>
      </c>
      <c r="S324">
        <f>IF(P324="P",(M324+N324+O324)/3,0.3*H324+0.3*I324+0.2*J324+0.1*K324+0.1*L324)</f>
        <v/>
      </c>
      <c r="T324">
        <f>IF(P324="P",IFNA(VLOOKUP(B324,Pitcher_RoleAdj!$A:$B,2,FALSE),0),IFNA(VLOOKUP(B324,Hitter_PrimaryAdj!$A:$B,2,FALSE),0))</f>
        <v/>
      </c>
      <c r="U324">
        <f>IFNA(VLOOKUP(IF(C324="","(none)",C324),SecondaryAdj!$A:$B,2,FALSE),0)</f>
        <v/>
      </c>
      <c r="V324">
        <f>IF(P324="P",0.7780+0.1628*S324+0.2957*Q324-0.1912*R324-0.1512*IF(D324="S",1,0)+0.1600*IF(E324="L",1,0)+0.0091*H324+0.0124*I324+0.0017*J324+T324+U324,-0.8294+0.1849*S324+0.1750*Q324-0.2969*R324+0.6924*IF(D324="S",1,0)+0.0457*IF(E324="L",1,0)+T324+U324)</f>
        <v/>
      </c>
      <c r="W324">
        <f>MAX(0,MIN(16,ROUND(V324,0)))</f>
        <v/>
      </c>
      <c r="X324">
        <f>IFNA(VLOOKUP(W324,Grade_Scale!$A:$B,2,FALSE),"F")</f>
        <v/>
      </c>
      <c r="Z324">
        <f>IF(Y324="","",W324-IFNA(VLOOKUP(Y324,Grade_Scale!$D:$E,2,FALSE),""))</f>
        <v/>
      </c>
    </row>
    <row r="325">
      <c r="P325">
        <f>IF(OR(B325="SP",B325="RP",B325="CP",B325="SP/RP"),"P","H")</f>
        <v/>
      </c>
      <c r="Q325">
        <f>IF(F325="",0,IFNA(VLOOKUP(F325,Trait_Polarity!$A:$C,2,FALSE),0))+IF(G325="",0,IFNA(VLOOKUP(G325,Trait_Polarity!$A:$C,2,FALSE),0))</f>
        <v/>
      </c>
      <c r="R325">
        <f>IF(F325="",0,IFNA(VLOOKUP(F325,Trait_Polarity!$A:$C,3,FALSE),0))+IF(G325="",0,IFNA(VLOOKUP(G325,Trait_Polarity!$A:$C,3,FALSE),0))</f>
        <v/>
      </c>
      <c r="S325">
        <f>IF(P325="P",(M325+N325+O325)/3,0.3*H325+0.3*I325+0.2*J325+0.1*K325+0.1*L325)</f>
        <v/>
      </c>
      <c r="T325">
        <f>IF(P325="P",IFNA(VLOOKUP(B325,Pitcher_RoleAdj!$A:$B,2,FALSE),0),IFNA(VLOOKUP(B325,Hitter_PrimaryAdj!$A:$B,2,FALSE),0))</f>
        <v/>
      </c>
      <c r="U325">
        <f>IFNA(VLOOKUP(IF(C325="","(none)",C325),SecondaryAdj!$A:$B,2,FALSE),0)</f>
        <v/>
      </c>
      <c r="V325">
        <f>IF(P325="P",0.7780+0.1628*S325+0.2957*Q325-0.1912*R325-0.1512*IF(D325="S",1,0)+0.1600*IF(E325="L",1,0)+0.0091*H325+0.0124*I325+0.0017*J325+T325+U325,-0.8294+0.1849*S325+0.1750*Q325-0.2969*R325+0.6924*IF(D325="S",1,0)+0.0457*IF(E325="L",1,0)+T325+U325)</f>
        <v/>
      </c>
      <c r="W325">
        <f>MAX(0,MIN(16,ROUND(V325,0)))</f>
        <v/>
      </c>
      <c r="X325">
        <f>IFNA(VLOOKUP(W325,Grade_Scale!$A:$B,2,FALSE),"F")</f>
        <v/>
      </c>
      <c r="Z325">
        <f>IF(Y325="","",W325-IFNA(VLOOKUP(Y325,Grade_Scale!$D:$E,2,FALSE),""))</f>
        <v/>
      </c>
    </row>
    <row r="326">
      <c r="P326">
        <f>IF(OR(B326="SP",B326="RP",B326="CP",B326="SP/RP"),"P","H")</f>
        <v/>
      </c>
      <c r="Q326">
        <f>IF(F326="",0,IFNA(VLOOKUP(F326,Trait_Polarity!$A:$C,2,FALSE),0))+IF(G326="",0,IFNA(VLOOKUP(G326,Trait_Polarity!$A:$C,2,FALSE),0))</f>
        <v/>
      </c>
      <c r="R326">
        <f>IF(F326="",0,IFNA(VLOOKUP(F326,Trait_Polarity!$A:$C,3,FALSE),0))+IF(G326="",0,IFNA(VLOOKUP(G326,Trait_Polarity!$A:$C,3,FALSE),0))</f>
        <v/>
      </c>
      <c r="S326">
        <f>IF(P326="P",(M326+N326+O326)/3,0.3*H326+0.3*I326+0.2*J326+0.1*K326+0.1*L326)</f>
        <v/>
      </c>
      <c r="T326">
        <f>IF(P326="P",IFNA(VLOOKUP(B326,Pitcher_RoleAdj!$A:$B,2,FALSE),0),IFNA(VLOOKUP(B326,Hitter_PrimaryAdj!$A:$B,2,FALSE),0))</f>
        <v/>
      </c>
      <c r="U326">
        <f>IFNA(VLOOKUP(IF(C326="","(none)",C326),SecondaryAdj!$A:$B,2,FALSE),0)</f>
        <v/>
      </c>
      <c r="V326">
        <f>IF(P326="P",0.7780+0.1628*S326+0.2957*Q326-0.1912*R326-0.1512*IF(D326="S",1,0)+0.1600*IF(E326="L",1,0)+0.0091*H326+0.0124*I326+0.0017*J326+T326+U326,-0.8294+0.1849*S326+0.1750*Q326-0.2969*R326+0.6924*IF(D326="S",1,0)+0.0457*IF(E326="L",1,0)+T326+U326)</f>
        <v/>
      </c>
      <c r="W326">
        <f>MAX(0,MIN(16,ROUND(V326,0)))</f>
        <v/>
      </c>
      <c r="X326">
        <f>IFNA(VLOOKUP(W326,Grade_Scale!$A:$B,2,FALSE),"F")</f>
        <v/>
      </c>
      <c r="Z326">
        <f>IF(Y326="","",W326-IFNA(VLOOKUP(Y326,Grade_Scale!$D:$E,2,FALSE),""))</f>
        <v/>
      </c>
    </row>
    <row r="327">
      <c r="P327">
        <f>IF(OR(B327="SP",B327="RP",B327="CP",B327="SP/RP"),"P","H")</f>
        <v/>
      </c>
      <c r="Q327">
        <f>IF(F327="",0,IFNA(VLOOKUP(F327,Trait_Polarity!$A:$C,2,FALSE),0))+IF(G327="",0,IFNA(VLOOKUP(G327,Trait_Polarity!$A:$C,2,FALSE),0))</f>
        <v/>
      </c>
      <c r="R327">
        <f>IF(F327="",0,IFNA(VLOOKUP(F327,Trait_Polarity!$A:$C,3,FALSE),0))+IF(G327="",0,IFNA(VLOOKUP(G327,Trait_Polarity!$A:$C,3,FALSE),0))</f>
        <v/>
      </c>
      <c r="S327">
        <f>IF(P327="P",(M327+N327+O327)/3,0.3*H327+0.3*I327+0.2*J327+0.1*K327+0.1*L327)</f>
        <v/>
      </c>
      <c r="T327">
        <f>IF(P327="P",IFNA(VLOOKUP(B327,Pitcher_RoleAdj!$A:$B,2,FALSE),0),IFNA(VLOOKUP(B327,Hitter_PrimaryAdj!$A:$B,2,FALSE),0))</f>
        <v/>
      </c>
      <c r="U327">
        <f>IFNA(VLOOKUP(IF(C327="","(none)",C327),SecondaryAdj!$A:$B,2,FALSE),0)</f>
        <v/>
      </c>
      <c r="V327">
        <f>IF(P327="P",0.7780+0.1628*S327+0.2957*Q327-0.1912*R327-0.1512*IF(D327="S",1,0)+0.1600*IF(E327="L",1,0)+0.0091*H327+0.0124*I327+0.0017*J327+T327+U327,-0.8294+0.1849*S327+0.1750*Q327-0.2969*R327+0.6924*IF(D327="S",1,0)+0.0457*IF(E327="L",1,0)+T327+U327)</f>
        <v/>
      </c>
      <c r="W327">
        <f>MAX(0,MIN(16,ROUND(V327,0)))</f>
        <v/>
      </c>
      <c r="X327">
        <f>IFNA(VLOOKUP(W327,Grade_Scale!$A:$B,2,FALSE),"F")</f>
        <v/>
      </c>
      <c r="Z327">
        <f>IF(Y327="","",W327-IFNA(VLOOKUP(Y327,Grade_Scale!$D:$E,2,FALSE),""))</f>
        <v/>
      </c>
    </row>
    <row r="328">
      <c r="P328">
        <f>IF(OR(B328="SP",B328="RP",B328="CP",B328="SP/RP"),"P","H")</f>
        <v/>
      </c>
      <c r="Q328">
        <f>IF(F328="",0,IFNA(VLOOKUP(F328,Trait_Polarity!$A:$C,2,FALSE),0))+IF(G328="",0,IFNA(VLOOKUP(G328,Trait_Polarity!$A:$C,2,FALSE),0))</f>
        <v/>
      </c>
      <c r="R328">
        <f>IF(F328="",0,IFNA(VLOOKUP(F328,Trait_Polarity!$A:$C,3,FALSE),0))+IF(G328="",0,IFNA(VLOOKUP(G328,Trait_Polarity!$A:$C,3,FALSE),0))</f>
        <v/>
      </c>
      <c r="S328">
        <f>IF(P328="P",(M328+N328+O328)/3,0.3*H328+0.3*I328+0.2*J328+0.1*K328+0.1*L328)</f>
        <v/>
      </c>
      <c r="T328">
        <f>IF(P328="P",IFNA(VLOOKUP(B328,Pitcher_RoleAdj!$A:$B,2,FALSE),0),IFNA(VLOOKUP(B328,Hitter_PrimaryAdj!$A:$B,2,FALSE),0))</f>
        <v/>
      </c>
      <c r="U328">
        <f>IFNA(VLOOKUP(IF(C328="","(none)",C328),SecondaryAdj!$A:$B,2,FALSE),0)</f>
        <v/>
      </c>
      <c r="V328">
        <f>IF(P328="P",0.7780+0.1628*S328+0.2957*Q328-0.1912*R328-0.1512*IF(D328="S",1,0)+0.1600*IF(E328="L",1,0)+0.0091*H328+0.0124*I328+0.0017*J328+T328+U328,-0.8294+0.1849*S328+0.1750*Q328-0.2969*R328+0.6924*IF(D328="S",1,0)+0.0457*IF(E328="L",1,0)+T328+U328)</f>
        <v/>
      </c>
      <c r="W328">
        <f>MAX(0,MIN(16,ROUND(V328,0)))</f>
        <v/>
      </c>
      <c r="X328">
        <f>IFNA(VLOOKUP(W328,Grade_Scale!$A:$B,2,FALSE),"F")</f>
        <v/>
      </c>
      <c r="Z328">
        <f>IF(Y328="","",W328-IFNA(VLOOKUP(Y328,Grade_Scale!$D:$E,2,FALSE),""))</f>
        <v/>
      </c>
    </row>
    <row r="329">
      <c r="P329">
        <f>IF(OR(B329="SP",B329="RP",B329="CP",B329="SP/RP"),"P","H")</f>
        <v/>
      </c>
      <c r="Q329">
        <f>IF(F329="",0,IFNA(VLOOKUP(F329,Trait_Polarity!$A:$C,2,FALSE),0))+IF(G329="",0,IFNA(VLOOKUP(G329,Trait_Polarity!$A:$C,2,FALSE),0))</f>
        <v/>
      </c>
      <c r="R329">
        <f>IF(F329="",0,IFNA(VLOOKUP(F329,Trait_Polarity!$A:$C,3,FALSE),0))+IF(G329="",0,IFNA(VLOOKUP(G329,Trait_Polarity!$A:$C,3,FALSE),0))</f>
        <v/>
      </c>
      <c r="S329">
        <f>IF(P329="P",(M329+N329+O329)/3,0.3*H329+0.3*I329+0.2*J329+0.1*K329+0.1*L329)</f>
        <v/>
      </c>
      <c r="T329">
        <f>IF(P329="P",IFNA(VLOOKUP(B329,Pitcher_RoleAdj!$A:$B,2,FALSE),0),IFNA(VLOOKUP(B329,Hitter_PrimaryAdj!$A:$B,2,FALSE),0))</f>
        <v/>
      </c>
      <c r="U329">
        <f>IFNA(VLOOKUP(IF(C329="","(none)",C329),SecondaryAdj!$A:$B,2,FALSE),0)</f>
        <v/>
      </c>
      <c r="V329">
        <f>IF(P329="P",0.7780+0.1628*S329+0.2957*Q329-0.1912*R329-0.1512*IF(D329="S",1,0)+0.1600*IF(E329="L",1,0)+0.0091*H329+0.0124*I329+0.0017*J329+T329+U329,-0.8294+0.1849*S329+0.1750*Q329-0.2969*R329+0.6924*IF(D329="S",1,0)+0.0457*IF(E329="L",1,0)+T329+U329)</f>
        <v/>
      </c>
      <c r="W329">
        <f>MAX(0,MIN(16,ROUND(V329,0)))</f>
        <v/>
      </c>
      <c r="X329">
        <f>IFNA(VLOOKUP(W329,Grade_Scale!$A:$B,2,FALSE),"F")</f>
        <v/>
      </c>
      <c r="Z329">
        <f>IF(Y329="","",W329-IFNA(VLOOKUP(Y329,Grade_Scale!$D:$E,2,FALSE),""))</f>
        <v/>
      </c>
    </row>
    <row r="330">
      <c r="P330">
        <f>IF(OR(B330="SP",B330="RP",B330="CP",B330="SP/RP"),"P","H")</f>
        <v/>
      </c>
      <c r="Q330">
        <f>IF(F330="",0,IFNA(VLOOKUP(F330,Trait_Polarity!$A:$C,2,FALSE),0))+IF(G330="",0,IFNA(VLOOKUP(G330,Trait_Polarity!$A:$C,2,FALSE),0))</f>
        <v/>
      </c>
      <c r="R330">
        <f>IF(F330="",0,IFNA(VLOOKUP(F330,Trait_Polarity!$A:$C,3,FALSE),0))+IF(G330="",0,IFNA(VLOOKUP(G330,Trait_Polarity!$A:$C,3,FALSE),0))</f>
        <v/>
      </c>
      <c r="S330">
        <f>IF(P330="P",(M330+N330+O330)/3,0.3*H330+0.3*I330+0.2*J330+0.1*K330+0.1*L330)</f>
        <v/>
      </c>
      <c r="T330">
        <f>IF(P330="P",IFNA(VLOOKUP(B330,Pitcher_RoleAdj!$A:$B,2,FALSE),0),IFNA(VLOOKUP(B330,Hitter_PrimaryAdj!$A:$B,2,FALSE),0))</f>
        <v/>
      </c>
      <c r="U330">
        <f>IFNA(VLOOKUP(IF(C330="","(none)",C330),SecondaryAdj!$A:$B,2,FALSE),0)</f>
        <v/>
      </c>
      <c r="V330">
        <f>IF(P330="P",0.7780+0.1628*S330+0.2957*Q330-0.1912*R330-0.1512*IF(D330="S",1,0)+0.1600*IF(E330="L",1,0)+0.0091*H330+0.0124*I330+0.0017*J330+T330+U330,-0.8294+0.1849*S330+0.1750*Q330-0.2969*R330+0.6924*IF(D330="S",1,0)+0.0457*IF(E330="L",1,0)+T330+U330)</f>
        <v/>
      </c>
      <c r="W330">
        <f>MAX(0,MIN(16,ROUND(V330,0)))</f>
        <v/>
      </c>
      <c r="X330">
        <f>IFNA(VLOOKUP(W330,Grade_Scale!$A:$B,2,FALSE),"F")</f>
        <v/>
      </c>
      <c r="Z330">
        <f>IF(Y330="","",W330-IFNA(VLOOKUP(Y330,Grade_Scale!$D:$E,2,FALSE),""))</f>
        <v/>
      </c>
    </row>
    <row r="331">
      <c r="P331">
        <f>IF(OR(B331="SP",B331="RP",B331="CP",B331="SP/RP"),"P","H")</f>
        <v/>
      </c>
      <c r="Q331">
        <f>IF(F331="",0,IFNA(VLOOKUP(F331,Trait_Polarity!$A:$C,2,FALSE),0))+IF(G331="",0,IFNA(VLOOKUP(G331,Trait_Polarity!$A:$C,2,FALSE),0))</f>
        <v/>
      </c>
      <c r="R331">
        <f>IF(F331="",0,IFNA(VLOOKUP(F331,Trait_Polarity!$A:$C,3,FALSE),0))+IF(G331="",0,IFNA(VLOOKUP(G331,Trait_Polarity!$A:$C,3,FALSE),0))</f>
        <v/>
      </c>
      <c r="S331">
        <f>IF(P331="P",(M331+N331+O331)/3,0.3*H331+0.3*I331+0.2*J331+0.1*K331+0.1*L331)</f>
        <v/>
      </c>
      <c r="T331">
        <f>IF(P331="P",IFNA(VLOOKUP(B331,Pitcher_RoleAdj!$A:$B,2,FALSE),0),IFNA(VLOOKUP(B331,Hitter_PrimaryAdj!$A:$B,2,FALSE),0))</f>
        <v/>
      </c>
      <c r="U331">
        <f>IFNA(VLOOKUP(IF(C331="","(none)",C331),SecondaryAdj!$A:$B,2,FALSE),0)</f>
        <v/>
      </c>
      <c r="V331">
        <f>IF(P331="P",0.7780+0.1628*S331+0.2957*Q331-0.1912*R331-0.1512*IF(D331="S",1,0)+0.1600*IF(E331="L",1,0)+0.0091*H331+0.0124*I331+0.0017*J331+T331+U331,-0.8294+0.1849*S331+0.1750*Q331-0.2969*R331+0.6924*IF(D331="S",1,0)+0.0457*IF(E331="L",1,0)+T331+U331)</f>
        <v/>
      </c>
      <c r="W331">
        <f>MAX(0,MIN(16,ROUND(V331,0)))</f>
        <v/>
      </c>
      <c r="X331">
        <f>IFNA(VLOOKUP(W331,Grade_Scale!$A:$B,2,FALSE),"F")</f>
        <v/>
      </c>
      <c r="Z331">
        <f>IF(Y331="","",W331-IFNA(VLOOKUP(Y331,Grade_Scale!$D:$E,2,FALSE),""))</f>
        <v/>
      </c>
    </row>
    <row r="332">
      <c r="P332">
        <f>IF(OR(B332="SP",B332="RP",B332="CP",B332="SP/RP"),"P","H")</f>
        <v/>
      </c>
      <c r="Q332">
        <f>IF(F332="",0,IFNA(VLOOKUP(F332,Trait_Polarity!$A:$C,2,FALSE),0))+IF(G332="",0,IFNA(VLOOKUP(G332,Trait_Polarity!$A:$C,2,FALSE),0))</f>
        <v/>
      </c>
      <c r="R332">
        <f>IF(F332="",0,IFNA(VLOOKUP(F332,Trait_Polarity!$A:$C,3,FALSE),0))+IF(G332="",0,IFNA(VLOOKUP(G332,Trait_Polarity!$A:$C,3,FALSE),0))</f>
        <v/>
      </c>
      <c r="S332">
        <f>IF(P332="P",(M332+N332+O332)/3,0.3*H332+0.3*I332+0.2*J332+0.1*K332+0.1*L332)</f>
        <v/>
      </c>
      <c r="T332">
        <f>IF(P332="P",IFNA(VLOOKUP(B332,Pitcher_RoleAdj!$A:$B,2,FALSE),0),IFNA(VLOOKUP(B332,Hitter_PrimaryAdj!$A:$B,2,FALSE),0))</f>
        <v/>
      </c>
      <c r="U332">
        <f>IFNA(VLOOKUP(IF(C332="","(none)",C332),SecondaryAdj!$A:$B,2,FALSE),0)</f>
        <v/>
      </c>
      <c r="V332">
        <f>IF(P332="P",0.7780+0.1628*S332+0.2957*Q332-0.1912*R332-0.1512*IF(D332="S",1,0)+0.1600*IF(E332="L",1,0)+0.0091*H332+0.0124*I332+0.0017*J332+T332+U332,-0.8294+0.1849*S332+0.1750*Q332-0.2969*R332+0.6924*IF(D332="S",1,0)+0.0457*IF(E332="L",1,0)+T332+U332)</f>
        <v/>
      </c>
      <c r="W332">
        <f>MAX(0,MIN(16,ROUND(V332,0)))</f>
        <v/>
      </c>
      <c r="X332">
        <f>IFNA(VLOOKUP(W332,Grade_Scale!$A:$B,2,FALSE),"F")</f>
        <v/>
      </c>
      <c r="Z332">
        <f>IF(Y332="","",W332-IFNA(VLOOKUP(Y332,Grade_Scale!$D:$E,2,FALSE),""))</f>
        <v/>
      </c>
    </row>
    <row r="333">
      <c r="P333">
        <f>IF(OR(B333="SP",B333="RP",B333="CP",B333="SP/RP"),"P","H")</f>
        <v/>
      </c>
      <c r="Q333">
        <f>IF(F333="",0,IFNA(VLOOKUP(F333,Trait_Polarity!$A:$C,2,FALSE),0))+IF(G333="",0,IFNA(VLOOKUP(G333,Trait_Polarity!$A:$C,2,FALSE),0))</f>
        <v/>
      </c>
      <c r="R333">
        <f>IF(F333="",0,IFNA(VLOOKUP(F333,Trait_Polarity!$A:$C,3,FALSE),0))+IF(G333="",0,IFNA(VLOOKUP(G333,Trait_Polarity!$A:$C,3,FALSE),0))</f>
        <v/>
      </c>
      <c r="S333">
        <f>IF(P333="P",(M333+N333+O333)/3,0.3*H333+0.3*I333+0.2*J333+0.1*K333+0.1*L333)</f>
        <v/>
      </c>
      <c r="T333">
        <f>IF(P333="P",IFNA(VLOOKUP(B333,Pitcher_RoleAdj!$A:$B,2,FALSE),0),IFNA(VLOOKUP(B333,Hitter_PrimaryAdj!$A:$B,2,FALSE),0))</f>
        <v/>
      </c>
      <c r="U333">
        <f>IFNA(VLOOKUP(IF(C333="","(none)",C333),SecondaryAdj!$A:$B,2,FALSE),0)</f>
        <v/>
      </c>
      <c r="V333">
        <f>IF(P333="P",0.7780+0.1628*S333+0.2957*Q333-0.1912*R333-0.1512*IF(D333="S",1,0)+0.1600*IF(E333="L",1,0)+0.0091*H333+0.0124*I333+0.0017*J333+T333+U333,-0.8294+0.1849*S333+0.1750*Q333-0.2969*R333+0.6924*IF(D333="S",1,0)+0.0457*IF(E333="L",1,0)+T333+U333)</f>
        <v/>
      </c>
      <c r="W333">
        <f>MAX(0,MIN(16,ROUND(V333,0)))</f>
        <v/>
      </c>
      <c r="X333">
        <f>IFNA(VLOOKUP(W333,Grade_Scale!$A:$B,2,FALSE),"F")</f>
        <v/>
      </c>
      <c r="Z333">
        <f>IF(Y333="","",W333-IFNA(VLOOKUP(Y333,Grade_Scale!$D:$E,2,FALSE),""))</f>
        <v/>
      </c>
    </row>
    <row r="334">
      <c r="P334">
        <f>IF(OR(B334="SP",B334="RP",B334="CP",B334="SP/RP"),"P","H")</f>
        <v/>
      </c>
      <c r="Q334">
        <f>IF(F334="",0,IFNA(VLOOKUP(F334,Trait_Polarity!$A:$C,2,FALSE),0))+IF(G334="",0,IFNA(VLOOKUP(G334,Trait_Polarity!$A:$C,2,FALSE),0))</f>
        <v/>
      </c>
      <c r="R334">
        <f>IF(F334="",0,IFNA(VLOOKUP(F334,Trait_Polarity!$A:$C,3,FALSE),0))+IF(G334="",0,IFNA(VLOOKUP(G334,Trait_Polarity!$A:$C,3,FALSE),0))</f>
        <v/>
      </c>
      <c r="S334">
        <f>IF(P334="P",(M334+N334+O334)/3,0.3*H334+0.3*I334+0.2*J334+0.1*K334+0.1*L334)</f>
        <v/>
      </c>
      <c r="T334">
        <f>IF(P334="P",IFNA(VLOOKUP(B334,Pitcher_RoleAdj!$A:$B,2,FALSE),0),IFNA(VLOOKUP(B334,Hitter_PrimaryAdj!$A:$B,2,FALSE),0))</f>
        <v/>
      </c>
      <c r="U334">
        <f>IFNA(VLOOKUP(IF(C334="","(none)",C334),SecondaryAdj!$A:$B,2,FALSE),0)</f>
        <v/>
      </c>
      <c r="V334">
        <f>IF(P334="P",0.7780+0.1628*S334+0.2957*Q334-0.1912*R334-0.1512*IF(D334="S",1,0)+0.1600*IF(E334="L",1,0)+0.0091*H334+0.0124*I334+0.0017*J334+T334+U334,-0.8294+0.1849*S334+0.1750*Q334-0.2969*R334+0.6924*IF(D334="S",1,0)+0.0457*IF(E334="L",1,0)+T334+U334)</f>
        <v/>
      </c>
      <c r="W334">
        <f>MAX(0,MIN(16,ROUND(V334,0)))</f>
        <v/>
      </c>
      <c r="X334">
        <f>IFNA(VLOOKUP(W334,Grade_Scale!$A:$B,2,FALSE),"F")</f>
        <v/>
      </c>
      <c r="Z334">
        <f>IF(Y334="","",W334-IFNA(VLOOKUP(Y334,Grade_Scale!$D:$E,2,FALSE),""))</f>
        <v/>
      </c>
    </row>
    <row r="335">
      <c r="P335">
        <f>IF(OR(B335="SP",B335="RP",B335="CP",B335="SP/RP"),"P","H")</f>
        <v/>
      </c>
      <c r="Q335">
        <f>IF(F335="",0,IFNA(VLOOKUP(F335,Trait_Polarity!$A:$C,2,FALSE),0))+IF(G335="",0,IFNA(VLOOKUP(G335,Trait_Polarity!$A:$C,2,FALSE),0))</f>
        <v/>
      </c>
      <c r="R335">
        <f>IF(F335="",0,IFNA(VLOOKUP(F335,Trait_Polarity!$A:$C,3,FALSE),0))+IF(G335="",0,IFNA(VLOOKUP(G335,Trait_Polarity!$A:$C,3,FALSE),0))</f>
        <v/>
      </c>
      <c r="S335">
        <f>IF(P335="P",(M335+N335+O335)/3,0.3*H335+0.3*I335+0.2*J335+0.1*K335+0.1*L335)</f>
        <v/>
      </c>
      <c r="T335">
        <f>IF(P335="P",IFNA(VLOOKUP(B335,Pitcher_RoleAdj!$A:$B,2,FALSE),0),IFNA(VLOOKUP(B335,Hitter_PrimaryAdj!$A:$B,2,FALSE),0))</f>
        <v/>
      </c>
      <c r="U335">
        <f>IFNA(VLOOKUP(IF(C335="","(none)",C335),SecondaryAdj!$A:$B,2,FALSE),0)</f>
        <v/>
      </c>
      <c r="V335">
        <f>IF(P335="P",0.7780+0.1628*S335+0.2957*Q335-0.1912*R335-0.1512*IF(D335="S",1,0)+0.1600*IF(E335="L",1,0)+0.0091*H335+0.0124*I335+0.0017*J335+T335+U335,-0.8294+0.1849*S335+0.1750*Q335-0.2969*R335+0.6924*IF(D335="S",1,0)+0.0457*IF(E335="L",1,0)+T335+U335)</f>
        <v/>
      </c>
      <c r="W335">
        <f>MAX(0,MIN(16,ROUND(V335,0)))</f>
        <v/>
      </c>
      <c r="X335">
        <f>IFNA(VLOOKUP(W335,Grade_Scale!$A:$B,2,FALSE),"F")</f>
        <v/>
      </c>
      <c r="Z335">
        <f>IF(Y335="","",W335-IFNA(VLOOKUP(Y335,Grade_Scale!$D:$E,2,FALSE),""))</f>
        <v/>
      </c>
    </row>
    <row r="336">
      <c r="P336">
        <f>IF(OR(B336="SP",B336="RP",B336="CP",B336="SP/RP"),"P","H")</f>
        <v/>
      </c>
      <c r="Q336">
        <f>IF(F336="",0,IFNA(VLOOKUP(F336,Trait_Polarity!$A:$C,2,FALSE),0))+IF(G336="",0,IFNA(VLOOKUP(G336,Trait_Polarity!$A:$C,2,FALSE),0))</f>
        <v/>
      </c>
      <c r="R336">
        <f>IF(F336="",0,IFNA(VLOOKUP(F336,Trait_Polarity!$A:$C,3,FALSE),0))+IF(G336="",0,IFNA(VLOOKUP(G336,Trait_Polarity!$A:$C,3,FALSE),0))</f>
        <v/>
      </c>
      <c r="S336">
        <f>IF(P336="P",(M336+N336+O336)/3,0.3*H336+0.3*I336+0.2*J336+0.1*K336+0.1*L336)</f>
        <v/>
      </c>
      <c r="T336">
        <f>IF(P336="P",IFNA(VLOOKUP(B336,Pitcher_RoleAdj!$A:$B,2,FALSE),0),IFNA(VLOOKUP(B336,Hitter_PrimaryAdj!$A:$B,2,FALSE),0))</f>
        <v/>
      </c>
      <c r="U336">
        <f>IFNA(VLOOKUP(IF(C336="","(none)",C336),SecondaryAdj!$A:$B,2,FALSE),0)</f>
        <v/>
      </c>
      <c r="V336">
        <f>IF(P336="P",0.7780+0.1628*S336+0.2957*Q336-0.1912*R336-0.1512*IF(D336="S",1,0)+0.1600*IF(E336="L",1,0)+0.0091*H336+0.0124*I336+0.0017*J336+T336+U336,-0.8294+0.1849*S336+0.1750*Q336-0.2969*R336+0.6924*IF(D336="S",1,0)+0.0457*IF(E336="L",1,0)+T336+U336)</f>
        <v/>
      </c>
      <c r="W336">
        <f>MAX(0,MIN(16,ROUND(V336,0)))</f>
        <v/>
      </c>
      <c r="X336">
        <f>IFNA(VLOOKUP(W336,Grade_Scale!$A:$B,2,FALSE),"F")</f>
        <v/>
      </c>
      <c r="Z336">
        <f>IF(Y336="","",W336-IFNA(VLOOKUP(Y336,Grade_Scale!$D:$E,2,FALSE),""))</f>
        <v/>
      </c>
    </row>
    <row r="337">
      <c r="P337">
        <f>IF(OR(B337="SP",B337="RP",B337="CP",B337="SP/RP"),"P","H")</f>
        <v/>
      </c>
      <c r="Q337">
        <f>IF(F337="",0,IFNA(VLOOKUP(F337,Trait_Polarity!$A:$C,2,FALSE),0))+IF(G337="",0,IFNA(VLOOKUP(G337,Trait_Polarity!$A:$C,2,FALSE),0))</f>
        <v/>
      </c>
      <c r="R337">
        <f>IF(F337="",0,IFNA(VLOOKUP(F337,Trait_Polarity!$A:$C,3,FALSE),0))+IF(G337="",0,IFNA(VLOOKUP(G337,Trait_Polarity!$A:$C,3,FALSE),0))</f>
        <v/>
      </c>
      <c r="S337">
        <f>IF(P337="P",(M337+N337+O337)/3,0.3*H337+0.3*I337+0.2*J337+0.1*K337+0.1*L337)</f>
        <v/>
      </c>
      <c r="T337">
        <f>IF(P337="P",IFNA(VLOOKUP(B337,Pitcher_RoleAdj!$A:$B,2,FALSE),0),IFNA(VLOOKUP(B337,Hitter_PrimaryAdj!$A:$B,2,FALSE),0))</f>
        <v/>
      </c>
      <c r="U337">
        <f>IFNA(VLOOKUP(IF(C337="","(none)",C337),SecondaryAdj!$A:$B,2,FALSE),0)</f>
        <v/>
      </c>
      <c r="V337">
        <f>IF(P337="P",0.7780+0.1628*S337+0.2957*Q337-0.1912*R337-0.1512*IF(D337="S",1,0)+0.1600*IF(E337="L",1,0)+0.0091*H337+0.0124*I337+0.0017*J337+T337+U337,-0.8294+0.1849*S337+0.1750*Q337-0.2969*R337+0.6924*IF(D337="S",1,0)+0.0457*IF(E337="L",1,0)+T337+U337)</f>
        <v/>
      </c>
      <c r="W337">
        <f>MAX(0,MIN(16,ROUND(V337,0)))</f>
        <v/>
      </c>
      <c r="X337">
        <f>IFNA(VLOOKUP(W337,Grade_Scale!$A:$B,2,FALSE),"F")</f>
        <v/>
      </c>
      <c r="Z337">
        <f>IF(Y337="","",W337-IFNA(VLOOKUP(Y337,Grade_Scale!$D:$E,2,FALSE),""))</f>
        <v/>
      </c>
    </row>
    <row r="338">
      <c r="P338">
        <f>IF(OR(B338="SP",B338="RP",B338="CP",B338="SP/RP"),"P","H")</f>
        <v/>
      </c>
      <c r="Q338">
        <f>IF(F338="",0,IFNA(VLOOKUP(F338,Trait_Polarity!$A:$C,2,FALSE),0))+IF(G338="",0,IFNA(VLOOKUP(G338,Trait_Polarity!$A:$C,2,FALSE),0))</f>
        <v/>
      </c>
      <c r="R338">
        <f>IF(F338="",0,IFNA(VLOOKUP(F338,Trait_Polarity!$A:$C,3,FALSE),0))+IF(G338="",0,IFNA(VLOOKUP(G338,Trait_Polarity!$A:$C,3,FALSE),0))</f>
        <v/>
      </c>
      <c r="S338">
        <f>IF(P338="P",(M338+N338+O338)/3,0.3*H338+0.3*I338+0.2*J338+0.1*K338+0.1*L338)</f>
        <v/>
      </c>
      <c r="T338">
        <f>IF(P338="P",IFNA(VLOOKUP(B338,Pitcher_RoleAdj!$A:$B,2,FALSE),0),IFNA(VLOOKUP(B338,Hitter_PrimaryAdj!$A:$B,2,FALSE),0))</f>
        <v/>
      </c>
      <c r="U338">
        <f>IFNA(VLOOKUP(IF(C338="","(none)",C338),SecondaryAdj!$A:$B,2,FALSE),0)</f>
        <v/>
      </c>
      <c r="V338">
        <f>IF(P338="P",0.7780+0.1628*S338+0.2957*Q338-0.1912*R338-0.1512*IF(D338="S",1,0)+0.1600*IF(E338="L",1,0)+0.0091*H338+0.0124*I338+0.0017*J338+T338+U338,-0.8294+0.1849*S338+0.1750*Q338-0.2969*R338+0.6924*IF(D338="S",1,0)+0.0457*IF(E338="L",1,0)+T338+U338)</f>
        <v/>
      </c>
      <c r="W338">
        <f>MAX(0,MIN(16,ROUND(V338,0)))</f>
        <v/>
      </c>
      <c r="X338">
        <f>IFNA(VLOOKUP(W338,Grade_Scale!$A:$B,2,FALSE),"F")</f>
        <v/>
      </c>
      <c r="Z338">
        <f>IF(Y338="","",W338-IFNA(VLOOKUP(Y338,Grade_Scale!$D:$E,2,FALSE),""))</f>
        <v/>
      </c>
    </row>
    <row r="339">
      <c r="P339">
        <f>IF(OR(B339="SP",B339="RP",B339="CP",B339="SP/RP"),"P","H")</f>
        <v/>
      </c>
      <c r="Q339">
        <f>IF(F339="",0,IFNA(VLOOKUP(F339,Trait_Polarity!$A:$C,2,FALSE),0))+IF(G339="",0,IFNA(VLOOKUP(G339,Trait_Polarity!$A:$C,2,FALSE),0))</f>
        <v/>
      </c>
      <c r="R339">
        <f>IF(F339="",0,IFNA(VLOOKUP(F339,Trait_Polarity!$A:$C,3,FALSE),0))+IF(G339="",0,IFNA(VLOOKUP(G339,Trait_Polarity!$A:$C,3,FALSE),0))</f>
        <v/>
      </c>
      <c r="S339">
        <f>IF(P339="P",(M339+N339+O339)/3,0.3*H339+0.3*I339+0.2*J339+0.1*K339+0.1*L339)</f>
        <v/>
      </c>
      <c r="T339">
        <f>IF(P339="P",IFNA(VLOOKUP(B339,Pitcher_RoleAdj!$A:$B,2,FALSE),0),IFNA(VLOOKUP(B339,Hitter_PrimaryAdj!$A:$B,2,FALSE),0))</f>
        <v/>
      </c>
      <c r="U339">
        <f>IFNA(VLOOKUP(IF(C339="","(none)",C339),SecondaryAdj!$A:$B,2,FALSE),0)</f>
        <v/>
      </c>
      <c r="V339">
        <f>IF(P339="P",0.7780+0.1628*S339+0.2957*Q339-0.1912*R339-0.1512*IF(D339="S",1,0)+0.1600*IF(E339="L",1,0)+0.0091*H339+0.0124*I339+0.0017*J339+T339+U339,-0.8294+0.1849*S339+0.1750*Q339-0.2969*R339+0.6924*IF(D339="S",1,0)+0.0457*IF(E339="L",1,0)+T339+U339)</f>
        <v/>
      </c>
      <c r="W339">
        <f>MAX(0,MIN(16,ROUND(V339,0)))</f>
        <v/>
      </c>
      <c r="X339">
        <f>IFNA(VLOOKUP(W339,Grade_Scale!$A:$B,2,FALSE),"F")</f>
        <v/>
      </c>
      <c r="Z339">
        <f>IF(Y339="","",W339-IFNA(VLOOKUP(Y339,Grade_Scale!$D:$E,2,FALSE),""))</f>
        <v/>
      </c>
    </row>
    <row r="340">
      <c r="P340">
        <f>IF(OR(B340="SP",B340="RP",B340="CP",B340="SP/RP"),"P","H")</f>
        <v/>
      </c>
      <c r="Q340">
        <f>IF(F340="",0,IFNA(VLOOKUP(F340,Trait_Polarity!$A:$C,2,FALSE),0))+IF(G340="",0,IFNA(VLOOKUP(G340,Trait_Polarity!$A:$C,2,FALSE),0))</f>
        <v/>
      </c>
      <c r="R340">
        <f>IF(F340="",0,IFNA(VLOOKUP(F340,Trait_Polarity!$A:$C,3,FALSE),0))+IF(G340="",0,IFNA(VLOOKUP(G340,Trait_Polarity!$A:$C,3,FALSE),0))</f>
        <v/>
      </c>
      <c r="S340">
        <f>IF(P340="P",(M340+N340+O340)/3,0.3*H340+0.3*I340+0.2*J340+0.1*K340+0.1*L340)</f>
        <v/>
      </c>
      <c r="T340">
        <f>IF(P340="P",IFNA(VLOOKUP(B340,Pitcher_RoleAdj!$A:$B,2,FALSE),0),IFNA(VLOOKUP(B340,Hitter_PrimaryAdj!$A:$B,2,FALSE),0))</f>
        <v/>
      </c>
      <c r="U340">
        <f>IFNA(VLOOKUP(IF(C340="","(none)",C340),SecondaryAdj!$A:$B,2,FALSE),0)</f>
        <v/>
      </c>
      <c r="V340">
        <f>IF(P340="P",0.7780+0.1628*S340+0.2957*Q340-0.1912*R340-0.1512*IF(D340="S",1,0)+0.1600*IF(E340="L",1,0)+0.0091*H340+0.0124*I340+0.0017*J340+T340+U340,-0.8294+0.1849*S340+0.1750*Q340-0.2969*R340+0.6924*IF(D340="S",1,0)+0.0457*IF(E340="L",1,0)+T340+U340)</f>
        <v/>
      </c>
      <c r="W340">
        <f>MAX(0,MIN(16,ROUND(V340,0)))</f>
        <v/>
      </c>
      <c r="X340">
        <f>IFNA(VLOOKUP(W340,Grade_Scale!$A:$B,2,FALSE),"F")</f>
        <v/>
      </c>
      <c r="Z340">
        <f>IF(Y340="","",W340-IFNA(VLOOKUP(Y340,Grade_Scale!$D:$E,2,FALSE),""))</f>
        <v/>
      </c>
    </row>
    <row r="341">
      <c r="P341">
        <f>IF(OR(B341="SP",B341="RP",B341="CP",B341="SP/RP"),"P","H")</f>
        <v/>
      </c>
      <c r="Q341">
        <f>IF(F341="",0,IFNA(VLOOKUP(F341,Trait_Polarity!$A:$C,2,FALSE),0))+IF(G341="",0,IFNA(VLOOKUP(G341,Trait_Polarity!$A:$C,2,FALSE),0))</f>
        <v/>
      </c>
      <c r="R341">
        <f>IF(F341="",0,IFNA(VLOOKUP(F341,Trait_Polarity!$A:$C,3,FALSE),0))+IF(G341="",0,IFNA(VLOOKUP(G341,Trait_Polarity!$A:$C,3,FALSE),0))</f>
        <v/>
      </c>
      <c r="S341">
        <f>IF(P341="P",(M341+N341+O341)/3,0.3*H341+0.3*I341+0.2*J341+0.1*K341+0.1*L341)</f>
        <v/>
      </c>
      <c r="T341">
        <f>IF(P341="P",IFNA(VLOOKUP(B341,Pitcher_RoleAdj!$A:$B,2,FALSE),0),IFNA(VLOOKUP(B341,Hitter_PrimaryAdj!$A:$B,2,FALSE),0))</f>
        <v/>
      </c>
      <c r="U341">
        <f>IFNA(VLOOKUP(IF(C341="","(none)",C341),SecondaryAdj!$A:$B,2,FALSE),0)</f>
        <v/>
      </c>
      <c r="V341">
        <f>IF(P341="P",0.7780+0.1628*S341+0.2957*Q341-0.1912*R341-0.1512*IF(D341="S",1,0)+0.1600*IF(E341="L",1,0)+0.0091*H341+0.0124*I341+0.0017*J341+T341+U341,-0.8294+0.1849*S341+0.1750*Q341-0.2969*R341+0.6924*IF(D341="S",1,0)+0.0457*IF(E341="L",1,0)+T341+U341)</f>
        <v/>
      </c>
      <c r="W341">
        <f>MAX(0,MIN(16,ROUND(V341,0)))</f>
        <v/>
      </c>
      <c r="X341">
        <f>IFNA(VLOOKUP(W341,Grade_Scale!$A:$B,2,FALSE),"F")</f>
        <v/>
      </c>
      <c r="Z341">
        <f>IF(Y341="","",W341-IFNA(VLOOKUP(Y341,Grade_Scale!$D:$E,2,FALSE),""))</f>
        <v/>
      </c>
    </row>
    <row r="342">
      <c r="P342">
        <f>IF(OR(B342="SP",B342="RP",B342="CP",B342="SP/RP"),"P","H")</f>
        <v/>
      </c>
      <c r="Q342">
        <f>IF(F342="",0,IFNA(VLOOKUP(F342,Trait_Polarity!$A:$C,2,FALSE),0))+IF(G342="",0,IFNA(VLOOKUP(G342,Trait_Polarity!$A:$C,2,FALSE),0))</f>
        <v/>
      </c>
      <c r="R342">
        <f>IF(F342="",0,IFNA(VLOOKUP(F342,Trait_Polarity!$A:$C,3,FALSE),0))+IF(G342="",0,IFNA(VLOOKUP(G342,Trait_Polarity!$A:$C,3,FALSE),0))</f>
        <v/>
      </c>
      <c r="S342">
        <f>IF(P342="P",(M342+N342+O342)/3,0.3*H342+0.3*I342+0.2*J342+0.1*K342+0.1*L342)</f>
        <v/>
      </c>
      <c r="T342">
        <f>IF(P342="P",IFNA(VLOOKUP(B342,Pitcher_RoleAdj!$A:$B,2,FALSE),0),IFNA(VLOOKUP(B342,Hitter_PrimaryAdj!$A:$B,2,FALSE),0))</f>
        <v/>
      </c>
      <c r="U342">
        <f>IFNA(VLOOKUP(IF(C342="","(none)",C342),SecondaryAdj!$A:$B,2,FALSE),0)</f>
        <v/>
      </c>
      <c r="V342">
        <f>IF(P342="P",0.7780+0.1628*S342+0.2957*Q342-0.1912*R342-0.1512*IF(D342="S",1,0)+0.1600*IF(E342="L",1,0)+0.0091*H342+0.0124*I342+0.0017*J342+T342+U342,-0.8294+0.1849*S342+0.1750*Q342-0.2969*R342+0.6924*IF(D342="S",1,0)+0.0457*IF(E342="L",1,0)+T342+U342)</f>
        <v/>
      </c>
      <c r="W342">
        <f>MAX(0,MIN(16,ROUND(V342,0)))</f>
        <v/>
      </c>
      <c r="X342">
        <f>IFNA(VLOOKUP(W342,Grade_Scale!$A:$B,2,FALSE),"F")</f>
        <v/>
      </c>
      <c r="Z342">
        <f>IF(Y342="","",W342-IFNA(VLOOKUP(Y342,Grade_Scale!$D:$E,2,FALSE),""))</f>
        <v/>
      </c>
    </row>
    <row r="343">
      <c r="P343">
        <f>IF(OR(B343="SP",B343="RP",B343="CP",B343="SP/RP"),"P","H")</f>
        <v/>
      </c>
      <c r="Q343">
        <f>IF(F343="",0,IFNA(VLOOKUP(F343,Trait_Polarity!$A:$C,2,FALSE),0))+IF(G343="",0,IFNA(VLOOKUP(G343,Trait_Polarity!$A:$C,2,FALSE),0))</f>
        <v/>
      </c>
      <c r="R343">
        <f>IF(F343="",0,IFNA(VLOOKUP(F343,Trait_Polarity!$A:$C,3,FALSE),0))+IF(G343="",0,IFNA(VLOOKUP(G343,Trait_Polarity!$A:$C,3,FALSE),0))</f>
        <v/>
      </c>
      <c r="S343">
        <f>IF(P343="P",(M343+N343+O343)/3,0.3*H343+0.3*I343+0.2*J343+0.1*K343+0.1*L343)</f>
        <v/>
      </c>
      <c r="T343">
        <f>IF(P343="P",IFNA(VLOOKUP(B343,Pitcher_RoleAdj!$A:$B,2,FALSE),0),IFNA(VLOOKUP(B343,Hitter_PrimaryAdj!$A:$B,2,FALSE),0))</f>
        <v/>
      </c>
      <c r="U343">
        <f>IFNA(VLOOKUP(IF(C343="","(none)",C343),SecondaryAdj!$A:$B,2,FALSE),0)</f>
        <v/>
      </c>
      <c r="V343">
        <f>IF(P343="P",0.7780+0.1628*S343+0.2957*Q343-0.1912*R343-0.1512*IF(D343="S",1,0)+0.1600*IF(E343="L",1,0)+0.0091*H343+0.0124*I343+0.0017*J343+T343+U343,-0.8294+0.1849*S343+0.1750*Q343-0.2969*R343+0.6924*IF(D343="S",1,0)+0.0457*IF(E343="L",1,0)+T343+U343)</f>
        <v/>
      </c>
      <c r="W343">
        <f>MAX(0,MIN(16,ROUND(V343,0)))</f>
        <v/>
      </c>
      <c r="X343">
        <f>IFNA(VLOOKUP(W343,Grade_Scale!$A:$B,2,FALSE),"F")</f>
        <v/>
      </c>
      <c r="Z343">
        <f>IF(Y343="","",W343-IFNA(VLOOKUP(Y343,Grade_Scale!$D:$E,2,FALSE),""))</f>
        <v/>
      </c>
    </row>
    <row r="344">
      <c r="P344">
        <f>IF(OR(B344="SP",B344="RP",B344="CP",B344="SP/RP"),"P","H")</f>
        <v/>
      </c>
      <c r="Q344">
        <f>IF(F344="",0,IFNA(VLOOKUP(F344,Trait_Polarity!$A:$C,2,FALSE),0))+IF(G344="",0,IFNA(VLOOKUP(G344,Trait_Polarity!$A:$C,2,FALSE),0))</f>
        <v/>
      </c>
      <c r="R344">
        <f>IF(F344="",0,IFNA(VLOOKUP(F344,Trait_Polarity!$A:$C,3,FALSE),0))+IF(G344="",0,IFNA(VLOOKUP(G344,Trait_Polarity!$A:$C,3,FALSE),0))</f>
        <v/>
      </c>
      <c r="S344">
        <f>IF(P344="P",(M344+N344+O344)/3,0.3*H344+0.3*I344+0.2*J344+0.1*K344+0.1*L344)</f>
        <v/>
      </c>
      <c r="T344">
        <f>IF(P344="P",IFNA(VLOOKUP(B344,Pitcher_RoleAdj!$A:$B,2,FALSE),0),IFNA(VLOOKUP(B344,Hitter_PrimaryAdj!$A:$B,2,FALSE),0))</f>
        <v/>
      </c>
      <c r="U344">
        <f>IFNA(VLOOKUP(IF(C344="","(none)",C344),SecondaryAdj!$A:$B,2,FALSE),0)</f>
        <v/>
      </c>
      <c r="V344">
        <f>IF(P344="P",0.7780+0.1628*S344+0.2957*Q344-0.1912*R344-0.1512*IF(D344="S",1,0)+0.1600*IF(E344="L",1,0)+0.0091*H344+0.0124*I344+0.0017*J344+T344+U344,-0.8294+0.1849*S344+0.1750*Q344-0.2969*R344+0.6924*IF(D344="S",1,0)+0.0457*IF(E344="L",1,0)+T344+U344)</f>
        <v/>
      </c>
      <c r="W344">
        <f>MAX(0,MIN(16,ROUND(V344,0)))</f>
        <v/>
      </c>
      <c r="X344">
        <f>IFNA(VLOOKUP(W344,Grade_Scale!$A:$B,2,FALSE),"F")</f>
        <v/>
      </c>
      <c r="Z344">
        <f>IF(Y344="","",W344-IFNA(VLOOKUP(Y344,Grade_Scale!$D:$E,2,FALSE),""))</f>
        <v/>
      </c>
    </row>
    <row r="345">
      <c r="P345">
        <f>IF(OR(B345="SP",B345="RP",B345="CP",B345="SP/RP"),"P","H")</f>
        <v/>
      </c>
      <c r="Q345">
        <f>IF(F345="",0,IFNA(VLOOKUP(F345,Trait_Polarity!$A:$C,2,FALSE),0))+IF(G345="",0,IFNA(VLOOKUP(G345,Trait_Polarity!$A:$C,2,FALSE),0))</f>
        <v/>
      </c>
      <c r="R345">
        <f>IF(F345="",0,IFNA(VLOOKUP(F345,Trait_Polarity!$A:$C,3,FALSE),0))+IF(G345="",0,IFNA(VLOOKUP(G345,Trait_Polarity!$A:$C,3,FALSE),0))</f>
        <v/>
      </c>
      <c r="S345">
        <f>IF(P345="P",(M345+N345+O345)/3,0.3*H345+0.3*I345+0.2*J345+0.1*K345+0.1*L345)</f>
        <v/>
      </c>
      <c r="T345">
        <f>IF(P345="P",IFNA(VLOOKUP(B345,Pitcher_RoleAdj!$A:$B,2,FALSE),0),IFNA(VLOOKUP(B345,Hitter_PrimaryAdj!$A:$B,2,FALSE),0))</f>
        <v/>
      </c>
      <c r="U345">
        <f>IFNA(VLOOKUP(IF(C345="","(none)",C345),SecondaryAdj!$A:$B,2,FALSE),0)</f>
        <v/>
      </c>
      <c r="V345">
        <f>IF(P345="P",0.7780+0.1628*S345+0.2957*Q345-0.1912*R345-0.1512*IF(D345="S",1,0)+0.1600*IF(E345="L",1,0)+0.0091*H345+0.0124*I345+0.0017*J345+T345+U345,-0.8294+0.1849*S345+0.1750*Q345-0.2969*R345+0.6924*IF(D345="S",1,0)+0.0457*IF(E345="L",1,0)+T345+U345)</f>
        <v/>
      </c>
      <c r="W345">
        <f>MAX(0,MIN(16,ROUND(V345,0)))</f>
        <v/>
      </c>
      <c r="X345">
        <f>IFNA(VLOOKUP(W345,Grade_Scale!$A:$B,2,FALSE),"F")</f>
        <v/>
      </c>
      <c r="Z345">
        <f>IF(Y345="","",W345-IFNA(VLOOKUP(Y345,Grade_Scale!$D:$E,2,FALSE),""))</f>
        <v/>
      </c>
    </row>
    <row r="346">
      <c r="P346">
        <f>IF(OR(B346="SP",B346="RP",B346="CP",B346="SP/RP"),"P","H")</f>
        <v/>
      </c>
      <c r="Q346">
        <f>IF(F346="",0,IFNA(VLOOKUP(F346,Trait_Polarity!$A:$C,2,FALSE),0))+IF(G346="",0,IFNA(VLOOKUP(G346,Trait_Polarity!$A:$C,2,FALSE),0))</f>
        <v/>
      </c>
      <c r="R346">
        <f>IF(F346="",0,IFNA(VLOOKUP(F346,Trait_Polarity!$A:$C,3,FALSE),0))+IF(G346="",0,IFNA(VLOOKUP(G346,Trait_Polarity!$A:$C,3,FALSE),0))</f>
        <v/>
      </c>
      <c r="S346">
        <f>IF(P346="P",(M346+N346+O346)/3,0.3*H346+0.3*I346+0.2*J346+0.1*K346+0.1*L346)</f>
        <v/>
      </c>
      <c r="T346">
        <f>IF(P346="P",IFNA(VLOOKUP(B346,Pitcher_RoleAdj!$A:$B,2,FALSE),0),IFNA(VLOOKUP(B346,Hitter_PrimaryAdj!$A:$B,2,FALSE),0))</f>
        <v/>
      </c>
      <c r="U346">
        <f>IFNA(VLOOKUP(IF(C346="","(none)",C346),SecondaryAdj!$A:$B,2,FALSE),0)</f>
        <v/>
      </c>
      <c r="V346">
        <f>IF(P346="P",0.7780+0.1628*S346+0.2957*Q346-0.1912*R346-0.1512*IF(D346="S",1,0)+0.1600*IF(E346="L",1,0)+0.0091*H346+0.0124*I346+0.0017*J346+T346+U346,-0.8294+0.1849*S346+0.1750*Q346-0.2969*R346+0.6924*IF(D346="S",1,0)+0.0457*IF(E346="L",1,0)+T346+U346)</f>
        <v/>
      </c>
      <c r="W346">
        <f>MAX(0,MIN(16,ROUND(V346,0)))</f>
        <v/>
      </c>
      <c r="X346">
        <f>IFNA(VLOOKUP(W346,Grade_Scale!$A:$B,2,FALSE),"F")</f>
        <v/>
      </c>
      <c r="Z346">
        <f>IF(Y346="","",W346-IFNA(VLOOKUP(Y346,Grade_Scale!$D:$E,2,FALSE),""))</f>
        <v/>
      </c>
    </row>
    <row r="347">
      <c r="P347">
        <f>IF(OR(B347="SP",B347="RP",B347="CP",B347="SP/RP"),"P","H")</f>
        <v/>
      </c>
      <c r="Q347">
        <f>IF(F347="",0,IFNA(VLOOKUP(F347,Trait_Polarity!$A:$C,2,FALSE),0))+IF(G347="",0,IFNA(VLOOKUP(G347,Trait_Polarity!$A:$C,2,FALSE),0))</f>
        <v/>
      </c>
      <c r="R347">
        <f>IF(F347="",0,IFNA(VLOOKUP(F347,Trait_Polarity!$A:$C,3,FALSE),0))+IF(G347="",0,IFNA(VLOOKUP(G347,Trait_Polarity!$A:$C,3,FALSE),0))</f>
        <v/>
      </c>
      <c r="S347">
        <f>IF(P347="P",(M347+N347+O347)/3,0.3*H347+0.3*I347+0.2*J347+0.1*K347+0.1*L347)</f>
        <v/>
      </c>
      <c r="T347">
        <f>IF(P347="P",IFNA(VLOOKUP(B347,Pitcher_RoleAdj!$A:$B,2,FALSE),0),IFNA(VLOOKUP(B347,Hitter_PrimaryAdj!$A:$B,2,FALSE),0))</f>
        <v/>
      </c>
      <c r="U347">
        <f>IFNA(VLOOKUP(IF(C347="","(none)",C347),SecondaryAdj!$A:$B,2,FALSE),0)</f>
        <v/>
      </c>
      <c r="V347">
        <f>IF(P347="P",0.7780+0.1628*S347+0.2957*Q347-0.1912*R347-0.1512*IF(D347="S",1,0)+0.1600*IF(E347="L",1,0)+0.0091*H347+0.0124*I347+0.0017*J347+T347+U347,-0.8294+0.1849*S347+0.1750*Q347-0.2969*R347+0.6924*IF(D347="S",1,0)+0.0457*IF(E347="L",1,0)+T347+U347)</f>
        <v/>
      </c>
      <c r="W347">
        <f>MAX(0,MIN(16,ROUND(V347,0)))</f>
        <v/>
      </c>
      <c r="X347">
        <f>IFNA(VLOOKUP(W347,Grade_Scale!$A:$B,2,FALSE),"F")</f>
        <v/>
      </c>
      <c r="Z347">
        <f>IF(Y347="","",W347-IFNA(VLOOKUP(Y347,Grade_Scale!$D:$E,2,FALSE),""))</f>
        <v/>
      </c>
    </row>
    <row r="348">
      <c r="P348">
        <f>IF(OR(B348="SP",B348="RP",B348="CP",B348="SP/RP"),"P","H")</f>
        <v/>
      </c>
      <c r="Q348">
        <f>IF(F348="",0,IFNA(VLOOKUP(F348,Trait_Polarity!$A:$C,2,FALSE),0))+IF(G348="",0,IFNA(VLOOKUP(G348,Trait_Polarity!$A:$C,2,FALSE),0))</f>
        <v/>
      </c>
      <c r="R348">
        <f>IF(F348="",0,IFNA(VLOOKUP(F348,Trait_Polarity!$A:$C,3,FALSE),0))+IF(G348="",0,IFNA(VLOOKUP(G348,Trait_Polarity!$A:$C,3,FALSE),0))</f>
        <v/>
      </c>
      <c r="S348">
        <f>IF(P348="P",(M348+N348+O348)/3,0.3*H348+0.3*I348+0.2*J348+0.1*K348+0.1*L348)</f>
        <v/>
      </c>
      <c r="T348">
        <f>IF(P348="P",IFNA(VLOOKUP(B348,Pitcher_RoleAdj!$A:$B,2,FALSE),0),IFNA(VLOOKUP(B348,Hitter_PrimaryAdj!$A:$B,2,FALSE),0))</f>
        <v/>
      </c>
      <c r="U348">
        <f>IFNA(VLOOKUP(IF(C348="","(none)",C348),SecondaryAdj!$A:$B,2,FALSE),0)</f>
        <v/>
      </c>
      <c r="V348">
        <f>IF(P348="P",0.7780+0.1628*S348+0.2957*Q348-0.1912*R348-0.1512*IF(D348="S",1,0)+0.1600*IF(E348="L",1,0)+0.0091*H348+0.0124*I348+0.0017*J348+T348+U348,-0.8294+0.1849*S348+0.1750*Q348-0.2969*R348+0.6924*IF(D348="S",1,0)+0.0457*IF(E348="L",1,0)+T348+U348)</f>
        <v/>
      </c>
      <c r="W348">
        <f>MAX(0,MIN(16,ROUND(V348,0)))</f>
        <v/>
      </c>
      <c r="X348">
        <f>IFNA(VLOOKUP(W348,Grade_Scale!$A:$B,2,FALSE),"F")</f>
        <v/>
      </c>
      <c r="Z348">
        <f>IF(Y348="","",W348-IFNA(VLOOKUP(Y348,Grade_Scale!$D:$E,2,FALSE),""))</f>
        <v/>
      </c>
    </row>
    <row r="349">
      <c r="P349">
        <f>IF(OR(B349="SP",B349="RP",B349="CP",B349="SP/RP"),"P","H")</f>
        <v/>
      </c>
      <c r="Q349">
        <f>IF(F349="",0,IFNA(VLOOKUP(F349,Trait_Polarity!$A:$C,2,FALSE),0))+IF(G349="",0,IFNA(VLOOKUP(G349,Trait_Polarity!$A:$C,2,FALSE),0))</f>
        <v/>
      </c>
      <c r="R349">
        <f>IF(F349="",0,IFNA(VLOOKUP(F349,Trait_Polarity!$A:$C,3,FALSE),0))+IF(G349="",0,IFNA(VLOOKUP(G349,Trait_Polarity!$A:$C,3,FALSE),0))</f>
        <v/>
      </c>
      <c r="S349">
        <f>IF(P349="P",(M349+N349+O349)/3,0.3*H349+0.3*I349+0.2*J349+0.1*K349+0.1*L349)</f>
        <v/>
      </c>
      <c r="T349">
        <f>IF(P349="P",IFNA(VLOOKUP(B349,Pitcher_RoleAdj!$A:$B,2,FALSE),0),IFNA(VLOOKUP(B349,Hitter_PrimaryAdj!$A:$B,2,FALSE),0))</f>
        <v/>
      </c>
      <c r="U349">
        <f>IFNA(VLOOKUP(IF(C349="","(none)",C349),SecondaryAdj!$A:$B,2,FALSE),0)</f>
        <v/>
      </c>
      <c r="V349">
        <f>IF(P349="P",0.7780+0.1628*S349+0.2957*Q349-0.1912*R349-0.1512*IF(D349="S",1,0)+0.1600*IF(E349="L",1,0)+0.0091*H349+0.0124*I349+0.0017*J349+T349+U349,-0.8294+0.1849*S349+0.1750*Q349-0.2969*R349+0.6924*IF(D349="S",1,0)+0.0457*IF(E349="L",1,0)+T349+U349)</f>
        <v/>
      </c>
      <c r="W349">
        <f>MAX(0,MIN(16,ROUND(V349,0)))</f>
        <v/>
      </c>
      <c r="X349">
        <f>IFNA(VLOOKUP(W349,Grade_Scale!$A:$B,2,FALSE),"F")</f>
        <v/>
      </c>
      <c r="Z349">
        <f>IF(Y349="","",W349-IFNA(VLOOKUP(Y349,Grade_Scale!$D:$E,2,FALSE),""))</f>
        <v/>
      </c>
    </row>
    <row r="350">
      <c r="P350">
        <f>IF(OR(B350="SP",B350="RP",B350="CP",B350="SP/RP"),"P","H")</f>
        <v/>
      </c>
      <c r="Q350">
        <f>IF(F350="",0,IFNA(VLOOKUP(F350,Trait_Polarity!$A:$C,2,FALSE),0))+IF(G350="",0,IFNA(VLOOKUP(G350,Trait_Polarity!$A:$C,2,FALSE),0))</f>
        <v/>
      </c>
      <c r="R350">
        <f>IF(F350="",0,IFNA(VLOOKUP(F350,Trait_Polarity!$A:$C,3,FALSE),0))+IF(G350="",0,IFNA(VLOOKUP(G350,Trait_Polarity!$A:$C,3,FALSE),0))</f>
        <v/>
      </c>
      <c r="S350">
        <f>IF(P350="P",(M350+N350+O350)/3,0.3*H350+0.3*I350+0.2*J350+0.1*K350+0.1*L350)</f>
        <v/>
      </c>
      <c r="T350">
        <f>IF(P350="P",IFNA(VLOOKUP(B350,Pitcher_RoleAdj!$A:$B,2,FALSE),0),IFNA(VLOOKUP(B350,Hitter_PrimaryAdj!$A:$B,2,FALSE),0))</f>
        <v/>
      </c>
      <c r="U350">
        <f>IFNA(VLOOKUP(IF(C350="","(none)",C350),SecondaryAdj!$A:$B,2,FALSE),0)</f>
        <v/>
      </c>
      <c r="V350">
        <f>IF(P350="P",0.7780+0.1628*S350+0.2957*Q350-0.1912*R350-0.1512*IF(D350="S",1,0)+0.1600*IF(E350="L",1,0)+0.0091*H350+0.0124*I350+0.0017*J350+T350+U350,-0.8294+0.1849*S350+0.1750*Q350-0.2969*R350+0.6924*IF(D350="S",1,0)+0.0457*IF(E350="L",1,0)+T350+U350)</f>
        <v/>
      </c>
      <c r="W350">
        <f>MAX(0,MIN(16,ROUND(V350,0)))</f>
        <v/>
      </c>
      <c r="X350">
        <f>IFNA(VLOOKUP(W350,Grade_Scale!$A:$B,2,FALSE),"F")</f>
        <v/>
      </c>
      <c r="Z350">
        <f>IF(Y350="","",W350-IFNA(VLOOKUP(Y350,Grade_Scale!$D:$E,2,FALSE),""))</f>
        <v/>
      </c>
    </row>
    <row r="351">
      <c r="P351">
        <f>IF(OR(B351="SP",B351="RP",B351="CP",B351="SP/RP"),"P","H")</f>
        <v/>
      </c>
      <c r="Q351">
        <f>IF(F351="",0,IFNA(VLOOKUP(F351,Trait_Polarity!$A:$C,2,FALSE),0))+IF(G351="",0,IFNA(VLOOKUP(G351,Trait_Polarity!$A:$C,2,FALSE),0))</f>
        <v/>
      </c>
      <c r="R351">
        <f>IF(F351="",0,IFNA(VLOOKUP(F351,Trait_Polarity!$A:$C,3,FALSE),0))+IF(G351="",0,IFNA(VLOOKUP(G351,Trait_Polarity!$A:$C,3,FALSE),0))</f>
        <v/>
      </c>
      <c r="S351">
        <f>IF(P351="P",(M351+N351+O351)/3,0.3*H351+0.3*I351+0.2*J351+0.1*K351+0.1*L351)</f>
        <v/>
      </c>
      <c r="T351">
        <f>IF(P351="P",IFNA(VLOOKUP(B351,Pitcher_RoleAdj!$A:$B,2,FALSE),0),IFNA(VLOOKUP(B351,Hitter_PrimaryAdj!$A:$B,2,FALSE),0))</f>
        <v/>
      </c>
      <c r="U351">
        <f>IFNA(VLOOKUP(IF(C351="","(none)",C351),SecondaryAdj!$A:$B,2,FALSE),0)</f>
        <v/>
      </c>
      <c r="V351">
        <f>IF(P351="P",0.7780+0.1628*S351+0.2957*Q351-0.1912*R351-0.1512*IF(D351="S",1,0)+0.1600*IF(E351="L",1,0)+0.0091*H351+0.0124*I351+0.0017*J351+T351+U351,-0.8294+0.1849*S351+0.1750*Q351-0.2969*R351+0.6924*IF(D351="S",1,0)+0.0457*IF(E351="L",1,0)+T351+U351)</f>
        <v/>
      </c>
      <c r="W351">
        <f>MAX(0,MIN(16,ROUND(V351,0)))</f>
        <v/>
      </c>
      <c r="X351">
        <f>IFNA(VLOOKUP(W351,Grade_Scale!$A:$B,2,FALSE),"F")</f>
        <v/>
      </c>
      <c r="Z351">
        <f>IF(Y351="","",W351-IFNA(VLOOKUP(Y351,Grade_Scale!$D:$E,2,FALSE),""))</f>
        <v/>
      </c>
    </row>
    <row r="352">
      <c r="P352">
        <f>IF(OR(B352="SP",B352="RP",B352="CP",B352="SP/RP"),"P","H")</f>
        <v/>
      </c>
      <c r="Q352">
        <f>IF(F352="",0,IFNA(VLOOKUP(F352,Trait_Polarity!$A:$C,2,FALSE),0))+IF(G352="",0,IFNA(VLOOKUP(G352,Trait_Polarity!$A:$C,2,FALSE),0))</f>
        <v/>
      </c>
      <c r="R352">
        <f>IF(F352="",0,IFNA(VLOOKUP(F352,Trait_Polarity!$A:$C,3,FALSE),0))+IF(G352="",0,IFNA(VLOOKUP(G352,Trait_Polarity!$A:$C,3,FALSE),0))</f>
        <v/>
      </c>
      <c r="S352">
        <f>IF(P352="P",(M352+N352+O352)/3,0.3*H352+0.3*I352+0.2*J352+0.1*K352+0.1*L352)</f>
        <v/>
      </c>
      <c r="T352">
        <f>IF(P352="P",IFNA(VLOOKUP(B352,Pitcher_RoleAdj!$A:$B,2,FALSE),0),IFNA(VLOOKUP(B352,Hitter_PrimaryAdj!$A:$B,2,FALSE),0))</f>
        <v/>
      </c>
      <c r="U352">
        <f>IFNA(VLOOKUP(IF(C352="","(none)",C352),SecondaryAdj!$A:$B,2,FALSE),0)</f>
        <v/>
      </c>
      <c r="V352">
        <f>IF(P352="P",0.7780+0.1628*S352+0.2957*Q352-0.1912*R352-0.1512*IF(D352="S",1,0)+0.1600*IF(E352="L",1,0)+0.0091*H352+0.0124*I352+0.0017*J352+T352+U352,-0.8294+0.1849*S352+0.1750*Q352-0.2969*R352+0.6924*IF(D352="S",1,0)+0.0457*IF(E352="L",1,0)+T352+U352)</f>
        <v/>
      </c>
      <c r="W352">
        <f>MAX(0,MIN(16,ROUND(V352,0)))</f>
        <v/>
      </c>
      <c r="X352">
        <f>IFNA(VLOOKUP(W352,Grade_Scale!$A:$B,2,FALSE),"F")</f>
        <v/>
      </c>
      <c r="Z352">
        <f>IF(Y352="","",W352-IFNA(VLOOKUP(Y352,Grade_Scale!$D:$E,2,FALSE),""))</f>
        <v/>
      </c>
    </row>
    <row r="353">
      <c r="P353">
        <f>IF(OR(B353="SP",B353="RP",B353="CP",B353="SP/RP"),"P","H")</f>
        <v/>
      </c>
      <c r="Q353">
        <f>IF(F353="",0,IFNA(VLOOKUP(F353,Trait_Polarity!$A:$C,2,FALSE),0))+IF(G353="",0,IFNA(VLOOKUP(G353,Trait_Polarity!$A:$C,2,FALSE),0))</f>
        <v/>
      </c>
      <c r="R353">
        <f>IF(F353="",0,IFNA(VLOOKUP(F353,Trait_Polarity!$A:$C,3,FALSE),0))+IF(G353="",0,IFNA(VLOOKUP(G353,Trait_Polarity!$A:$C,3,FALSE),0))</f>
        <v/>
      </c>
      <c r="S353">
        <f>IF(P353="P",(M353+N353+O353)/3,0.3*H353+0.3*I353+0.2*J353+0.1*K353+0.1*L353)</f>
        <v/>
      </c>
      <c r="T353">
        <f>IF(P353="P",IFNA(VLOOKUP(B353,Pitcher_RoleAdj!$A:$B,2,FALSE),0),IFNA(VLOOKUP(B353,Hitter_PrimaryAdj!$A:$B,2,FALSE),0))</f>
        <v/>
      </c>
      <c r="U353">
        <f>IFNA(VLOOKUP(IF(C353="","(none)",C353),SecondaryAdj!$A:$B,2,FALSE),0)</f>
        <v/>
      </c>
      <c r="V353">
        <f>IF(P353="P",0.7780+0.1628*S353+0.2957*Q353-0.1912*R353-0.1512*IF(D353="S",1,0)+0.1600*IF(E353="L",1,0)+0.0091*H353+0.0124*I353+0.0017*J353+T353+U353,-0.8294+0.1849*S353+0.1750*Q353-0.2969*R353+0.6924*IF(D353="S",1,0)+0.0457*IF(E353="L",1,0)+T353+U353)</f>
        <v/>
      </c>
      <c r="W353">
        <f>MAX(0,MIN(16,ROUND(V353,0)))</f>
        <v/>
      </c>
      <c r="X353">
        <f>IFNA(VLOOKUP(W353,Grade_Scale!$A:$B,2,FALSE),"F")</f>
        <v/>
      </c>
      <c r="Z353">
        <f>IF(Y353="","",W353-IFNA(VLOOKUP(Y353,Grade_Scale!$D:$E,2,FALSE),""))</f>
        <v/>
      </c>
    </row>
    <row r="354">
      <c r="P354">
        <f>IF(OR(B354="SP",B354="RP",B354="CP",B354="SP/RP"),"P","H")</f>
        <v/>
      </c>
      <c r="Q354">
        <f>IF(F354="",0,IFNA(VLOOKUP(F354,Trait_Polarity!$A:$C,2,FALSE),0))+IF(G354="",0,IFNA(VLOOKUP(G354,Trait_Polarity!$A:$C,2,FALSE),0))</f>
        <v/>
      </c>
      <c r="R354">
        <f>IF(F354="",0,IFNA(VLOOKUP(F354,Trait_Polarity!$A:$C,3,FALSE),0))+IF(G354="",0,IFNA(VLOOKUP(G354,Trait_Polarity!$A:$C,3,FALSE),0))</f>
        <v/>
      </c>
      <c r="S354">
        <f>IF(P354="P",(M354+N354+O354)/3,0.3*H354+0.3*I354+0.2*J354+0.1*K354+0.1*L354)</f>
        <v/>
      </c>
      <c r="T354">
        <f>IF(P354="P",IFNA(VLOOKUP(B354,Pitcher_RoleAdj!$A:$B,2,FALSE),0),IFNA(VLOOKUP(B354,Hitter_PrimaryAdj!$A:$B,2,FALSE),0))</f>
        <v/>
      </c>
      <c r="U354">
        <f>IFNA(VLOOKUP(IF(C354="","(none)",C354),SecondaryAdj!$A:$B,2,FALSE),0)</f>
        <v/>
      </c>
      <c r="V354">
        <f>IF(P354="P",0.7780+0.1628*S354+0.2957*Q354-0.1912*R354-0.1512*IF(D354="S",1,0)+0.1600*IF(E354="L",1,0)+0.0091*H354+0.0124*I354+0.0017*J354+T354+U354,-0.8294+0.1849*S354+0.1750*Q354-0.2969*R354+0.6924*IF(D354="S",1,0)+0.0457*IF(E354="L",1,0)+T354+U354)</f>
        <v/>
      </c>
      <c r="W354">
        <f>MAX(0,MIN(16,ROUND(V354,0)))</f>
        <v/>
      </c>
      <c r="X354">
        <f>IFNA(VLOOKUP(W354,Grade_Scale!$A:$B,2,FALSE),"F")</f>
        <v/>
      </c>
      <c r="Z354">
        <f>IF(Y354="","",W354-IFNA(VLOOKUP(Y354,Grade_Scale!$D:$E,2,FALSE),""))</f>
        <v/>
      </c>
    </row>
    <row r="355">
      <c r="P355">
        <f>IF(OR(B355="SP",B355="RP",B355="CP",B355="SP/RP"),"P","H")</f>
        <v/>
      </c>
      <c r="Q355">
        <f>IF(F355="",0,IFNA(VLOOKUP(F355,Trait_Polarity!$A:$C,2,FALSE),0))+IF(G355="",0,IFNA(VLOOKUP(G355,Trait_Polarity!$A:$C,2,FALSE),0))</f>
        <v/>
      </c>
      <c r="R355">
        <f>IF(F355="",0,IFNA(VLOOKUP(F355,Trait_Polarity!$A:$C,3,FALSE),0))+IF(G355="",0,IFNA(VLOOKUP(G355,Trait_Polarity!$A:$C,3,FALSE),0))</f>
        <v/>
      </c>
      <c r="S355">
        <f>IF(P355="P",(M355+N355+O355)/3,0.3*H355+0.3*I355+0.2*J355+0.1*K355+0.1*L355)</f>
        <v/>
      </c>
      <c r="T355">
        <f>IF(P355="P",IFNA(VLOOKUP(B355,Pitcher_RoleAdj!$A:$B,2,FALSE),0),IFNA(VLOOKUP(B355,Hitter_PrimaryAdj!$A:$B,2,FALSE),0))</f>
        <v/>
      </c>
      <c r="U355">
        <f>IFNA(VLOOKUP(IF(C355="","(none)",C355),SecondaryAdj!$A:$B,2,FALSE),0)</f>
        <v/>
      </c>
      <c r="V355">
        <f>IF(P355="P",0.7780+0.1628*S355+0.2957*Q355-0.1912*R355-0.1512*IF(D355="S",1,0)+0.1600*IF(E355="L",1,0)+0.0091*H355+0.0124*I355+0.0017*J355+T355+U355,-0.8294+0.1849*S355+0.1750*Q355-0.2969*R355+0.6924*IF(D355="S",1,0)+0.0457*IF(E355="L",1,0)+T355+U355)</f>
        <v/>
      </c>
      <c r="W355">
        <f>MAX(0,MIN(16,ROUND(V355,0)))</f>
        <v/>
      </c>
      <c r="X355">
        <f>IFNA(VLOOKUP(W355,Grade_Scale!$A:$B,2,FALSE),"F")</f>
        <v/>
      </c>
      <c r="Z355">
        <f>IF(Y355="","",W355-IFNA(VLOOKUP(Y355,Grade_Scale!$D:$E,2,FALSE),""))</f>
        <v/>
      </c>
    </row>
    <row r="356">
      <c r="P356">
        <f>IF(OR(B356="SP",B356="RP",B356="CP",B356="SP/RP"),"P","H")</f>
        <v/>
      </c>
      <c r="Q356">
        <f>IF(F356="",0,IFNA(VLOOKUP(F356,Trait_Polarity!$A:$C,2,FALSE),0))+IF(G356="",0,IFNA(VLOOKUP(G356,Trait_Polarity!$A:$C,2,FALSE),0))</f>
        <v/>
      </c>
      <c r="R356">
        <f>IF(F356="",0,IFNA(VLOOKUP(F356,Trait_Polarity!$A:$C,3,FALSE),0))+IF(G356="",0,IFNA(VLOOKUP(G356,Trait_Polarity!$A:$C,3,FALSE),0))</f>
        <v/>
      </c>
      <c r="S356">
        <f>IF(P356="P",(M356+N356+O356)/3,0.3*H356+0.3*I356+0.2*J356+0.1*K356+0.1*L356)</f>
        <v/>
      </c>
      <c r="T356">
        <f>IF(P356="P",IFNA(VLOOKUP(B356,Pitcher_RoleAdj!$A:$B,2,FALSE),0),IFNA(VLOOKUP(B356,Hitter_PrimaryAdj!$A:$B,2,FALSE),0))</f>
        <v/>
      </c>
      <c r="U356">
        <f>IFNA(VLOOKUP(IF(C356="","(none)",C356),SecondaryAdj!$A:$B,2,FALSE),0)</f>
        <v/>
      </c>
      <c r="V356">
        <f>IF(P356="P",0.7780+0.1628*S356+0.2957*Q356-0.1912*R356-0.1512*IF(D356="S",1,0)+0.1600*IF(E356="L",1,0)+0.0091*H356+0.0124*I356+0.0017*J356+T356+U356,-0.8294+0.1849*S356+0.1750*Q356-0.2969*R356+0.6924*IF(D356="S",1,0)+0.0457*IF(E356="L",1,0)+T356+U356)</f>
        <v/>
      </c>
      <c r="W356">
        <f>MAX(0,MIN(16,ROUND(V356,0)))</f>
        <v/>
      </c>
      <c r="X356">
        <f>IFNA(VLOOKUP(W356,Grade_Scale!$A:$B,2,FALSE),"F")</f>
        <v/>
      </c>
      <c r="Z356">
        <f>IF(Y356="","",W356-IFNA(VLOOKUP(Y356,Grade_Scale!$D:$E,2,FALSE),""))</f>
        <v/>
      </c>
    </row>
    <row r="357">
      <c r="P357">
        <f>IF(OR(B357="SP",B357="RP",B357="CP",B357="SP/RP"),"P","H")</f>
        <v/>
      </c>
      <c r="Q357">
        <f>IF(F357="",0,IFNA(VLOOKUP(F357,Trait_Polarity!$A:$C,2,FALSE),0))+IF(G357="",0,IFNA(VLOOKUP(G357,Trait_Polarity!$A:$C,2,FALSE),0))</f>
        <v/>
      </c>
      <c r="R357">
        <f>IF(F357="",0,IFNA(VLOOKUP(F357,Trait_Polarity!$A:$C,3,FALSE),0))+IF(G357="",0,IFNA(VLOOKUP(G357,Trait_Polarity!$A:$C,3,FALSE),0))</f>
        <v/>
      </c>
      <c r="S357">
        <f>IF(P357="P",(M357+N357+O357)/3,0.3*H357+0.3*I357+0.2*J357+0.1*K357+0.1*L357)</f>
        <v/>
      </c>
      <c r="T357">
        <f>IF(P357="P",IFNA(VLOOKUP(B357,Pitcher_RoleAdj!$A:$B,2,FALSE),0),IFNA(VLOOKUP(B357,Hitter_PrimaryAdj!$A:$B,2,FALSE),0))</f>
        <v/>
      </c>
      <c r="U357">
        <f>IFNA(VLOOKUP(IF(C357="","(none)",C357),SecondaryAdj!$A:$B,2,FALSE),0)</f>
        <v/>
      </c>
      <c r="V357">
        <f>IF(P357="P",0.7780+0.1628*S357+0.2957*Q357-0.1912*R357-0.1512*IF(D357="S",1,0)+0.1600*IF(E357="L",1,0)+0.0091*H357+0.0124*I357+0.0017*J357+T357+U357,-0.8294+0.1849*S357+0.1750*Q357-0.2969*R357+0.6924*IF(D357="S",1,0)+0.0457*IF(E357="L",1,0)+T357+U357)</f>
        <v/>
      </c>
      <c r="W357">
        <f>MAX(0,MIN(16,ROUND(V357,0)))</f>
        <v/>
      </c>
      <c r="X357">
        <f>IFNA(VLOOKUP(W357,Grade_Scale!$A:$B,2,FALSE),"F")</f>
        <v/>
      </c>
      <c r="Z357">
        <f>IF(Y357="","",W357-IFNA(VLOOKUP(Y357,Grade_Scale!$D:$E,2,FALSE),""))</f>
        <v/>
      </c>
    </row>
    <row r="358">
      <c r="P358">
        <f>IF(OR(B358="SP",B358="RP",B358="CP",B358="SP/RP"),"P","H")</f>
        <v/>
      </c>
      <c r="Q358">
        <f>IF(F358="",0,IFNA(VLOOKUP(F358,Trait_Polarity!$A:$C,2,FALSE),0))+IF(G358="",0,IFNA(VLOOKUP(G358,Trait_Polarity!$A:$C,2,FALSE),0))</f>
        <v/>
      </c>
      <c r="R358">
        <f>IF(F358="",0,IFNA(VLOOKUP(F358,Trait_Polarity!$A:$C,3,FALSE),0))+IF(G358="",0,IFNA(VLOOKUP(G358,Trait_Polarity!$A:$C,3,FALSE),0))</f>
        <v/>
      </c>
      <c r="S358">
        <f>IF(P358="P",(M358+N358+O358)/3,0.3*H358+0.3*I358+0.2*J358+0.1*K358+0.1*L358)</f>
        <v/>
      </c>
      <c r="T358">
        <f>IF(P358="P",IFNA(VLOOKUP(B358,Pitcher_RoleAdj!$A:$B,2,FALSE),0),IFNA(VLOOKUP(B358,Hitter_PrimaryAdj!$A:$B,2,FALSE),0))</f>
        <v/>
      </c>
      <c r="U358">
        <f>IFNA(VLOOKUP(IF(C358="","(none)",C358),SecondaryAdj!$A:$B,2,FALSE),0)</f>
        <v/>
      </c>
      <c r="V358">
        <f>IF(P358="P",0.7780+0.1628*S358+0.2957*Q358-0.1912*R358-0.1512*IF(D358="S",1,0)+0.1600*IF(E358="L",1,0)+0.0091*H358+0.0124*I358+0.0017*J358+T358+U358,-0.8294+0.1849*S358+0.1750*Q358-0.2969*R358+0.6924*IF(D358="S",1,0)+0.0457*IF(E358="L",1,0)+T358+U358)</f>
        <v/>
      </c>
      <c r="W358">
        <f>MAX(0,MIN(16,ROUND(V358,0)))</f>
        <v/>
      </c>
      <c r="X358">
        <f>IFNA(VLOOKUP(W358,Grade_Scale!$A:$B,2,FALSE),"F")</f>
        <v/>
      </c>
      <c r="Z358">
        <f>IF(Y358="","",W358-IFNA(VLOOKUP(Y358,Grade_Scale!$D:$E,2,FALSE),""))</f>
        <v/>
      </c>
    </row>
    <row r="359">
      <c r="P359">
        <f>IF(OR(B359="SP",B359="RP",B359="CP",B359="SP/RP"),"P","H")</f>
        <v/>
      </c>
      <c r="Q359">
        <f>IF(F359="",0,IFNA(VLOOKUP(F359,Trait_Polarity!$A:$C,2,FALSE),0))+IF(G359="",0,IFNA(VLOOKUP(G359,Trait_Polarity!$A:$C,2,FALSE),0))</f>
        <v/>
      </c>
      <c r="R359">
        <f>IF(F359="",0,IFNA(VLOOKUP(F359,Trait_Polarity!$A:$C,3,FALSE),0))+IF(G359="",0,IFNA(VLOOKUP(G359,Trait_Polarity!$A:$C,3,FALSE),0))</f>
        <v/>
      </c>
      <c r="S359">
        <f>IF(P359="P",(M359+N359+O359)/3,0.3*H359+0.3*I359+0.2*J359+0.1*K359+0.1*L359)</f>
        <v/>
      </c>
      <c r="T359">
        <f>IF(P359="P",IFNA(VLOOKUP(B359,Pitcher_RoleAdj!$A:$B,2,FALSE),0),IFNA(VLOOKUP(B359,Hitter_PrimaryAdj!$A:$B,2,FALSE),0))</f>
        <v/>
      </c>
      <c r="U359">
        <f>IFNA(VLOOKUP(IF(C359="","(none)",C359),SecondaryAdj!$A:$B,2,FALSE),0)</f>
        <v/>
      </c>
      <c r="V359">
        <f>IF(P359="P",0.7780+0.1628*S359+0.2957*Q359-0.1912*R359-0.1512*IF(D359="S",1,0)+0.1600*IF(E359="L",1,0)+0.0091*H359+0.0124*I359+0.0017*J359+T359+U359,-0.8294+0.1849*S359+0.1750*Q359-0.2969*R359+0.6924*IF(D359="S",1,0)+0.0457*IF(E359="L",1,0)+T359+U359)</f>
        <v/>
      </c>
      <c r="W359">
        <f>MAX(0,MIN(16,ROUND(V359,0)))</f>
        <v/>
      </c>
      <c r="X359">
        <f>IFNA(VLOOKUP(W359,Grade_Scale!$A:$B,2,FALSE),"F")</f>
        <v/>
      </c>
      <c r="Z359">
        <f>IF(Y359="","",W359-IFNA(VLOOKUP(Y359,Grade_Scale!$D:$E,2,FALSE),""))</f>
        <v/>
      </c>
    </row>
    <row r="360">
      <c r="P360">
        <f>IF(OR(B360="SP",B360="RP",B360="CP",B360="SP/RP"),"P","H")</f>
        <v/>
      </c>
      <c r="Q360">
        <f>IF(F360="",0,IFNA(VLOOKUP(F360,Trait_Polarity!$A:$C,2,FALSE),0))+IF(G360="",0,IFNA(VLOOKUP(G360,Trait_Polarity!$A:$C,2,FALSE),0))</f>
        <v/>
      </c>
      <c r="R360">
        <f>IF(F360="",0,IFNA(VLOOKUP(F360,Trait_Polarity!$A:$C,3,FALSE),0))+IF(G360="",0,IFNA(VLOOKUP(G360,Trait_Polarity!$A:$C,3,FALSE),0))</f>
        <v/>
      </c>
      <c r="S360">
        <f>IF(P360="P",(M360+N360+O360)/3,0.3*H360+0.3*I360+0.2*J360+0.1*K360+0.1*L360)</f>
        <v/>
      </c>
      <c r="T360">
        <f>IF(P360="P",IFNA(VLOOKUP(B360,Pitcher_RoleAdj!$A:$B,2,FALSE),0),IFNA(VLOOKUP(B360,Hitter_PrimaryAdj!$A:$B,2,FALSE),0))</f>
        <v/>
      </c>
      <c r="U360">
        <f>IFNA(VLOOKUP(IF(C360="","(none)",C360),SecondaryAdj!$A:$B,2,FALSE),0)</f>
        <v/>
      </c>
      <c r="V360">
        <f>IF(P360="P",0.7780+0.1628*S360+0.2957*Q360-0.1912*R360-0.1512*IF(D360="S",1,0)+0.1600*IF(E360="L",1,0)+0.0091*H360+0.0124*I360+0.0017*J360+T360+U360,-0.8294+0.1849*S360+0.1750*Q360-0.2969*R360+0.6924*IF(D360="S",1,0)+0.0457*IF(E360="L",1,0)+T360+U360)</f>
        <v/>
      </c>
      <c r="W360">
        <f>MAX(0,MIN(16,ROUND(V360,0)))</f>
        <v/>
      </c>
      <c r="X360">
        <f>IFNA(VLOOKUP(W360,Grade_Scale!$A:$B,2,FALSE),"F")</f>
        <v/>
      </c>
      <c r="Z360">
        <f>IF(Y360="","",W360-IFNA(VLOOKUP(Y360,Grade_Scale!$D:$E,2,FALSE),""))</f>
        <v/>
      </c>
    </row>
    <row r="361">
      <c r="P361">
        <f>IF(OR(B361="SP",B361="RP",B361="CP",B361="SP/RP"),"P","H")</f>
        <v/>
      </c>
      <c r="Q361">
        <f>IF(F361="",0,IFNA(VLOOKUP(F361,Trait_Polarity!$A:$C,2,FALSE),0))+IF(G361="",0,IFNA(VLOOKUP(G361,Trait_Polarity!$A:$C,2,FALSE),0))</f>
        <v/>
      </c>
      <c r="R361">
        <f>IF(F361="",0,IFNA(VLOOKUP(F361,Trait_Polarity!$A:$C,3,FALSE),0))+IF(G361="",0,IFNA(VLOOKUP(G361,Trait_Polarity!$A:$C,3,FALSE),0))</f>
        <v/>
      </c>
      <c r="S361">
        <f>IF(P361="P",(M361+N361+O361)/3,0.3*H361+0.3*I361+0.2*J361+0.1*K361+0.1*L361)</f>
        <v/>
      </c>
      <c r="T361">
        <f>IF(P361="P",IFNA(VLOOKUP(B361,Pitcher_RoleAdj!$A:$B,2,FALSE),0),IFNA(VLOOKUP(B361,Hitter_PrimaryAdj!$A:$B,2,FALSE),0))</f>
        <v/>
      </c>
      <c r="U361">
        <f>IFNA(VLOOKUP(IF(C361="","(none)",C361),SecondaryAdj!$A:$B,2,FALSE),0)</f>
        <v/>
      </c>
      <c r="V361">
        <f>IF(P361="P",0.7780+0.1628*S361+0.2957*Q361-0.1912*R361-0.1512*IF(D361="S",1,0)+0.1600*IF(E361="L",1,0)+0.0091*H361+0.0124*I361+0.0017*J361+T361+U361,-0.8294+0.1849*S361+0.1750*Q361-0.2969*R361+0.6924*IF(D361="S",1,0)+0.0457*IF(E361="L",1,0)+T361+U361)</f>
        <v/>
      </c>
      <c r="W361">
        <f>MAX(0,MIN(16,ROUND(V361,0)))</f>
        <v/>
      </c>
      <c r="X361">
        <f>IFNA(VLOOKUP(W361,Grade_Scale!$A:$B,2,FALSE),"F")</f>
        <v/>
      </c>
      <c r="Z361">
        <f>IF(Y361="","",W361-IFNA(VLOOKUP(Y361,Grade_Scale!$D:$E,2,FALSE),""))</f>
        <v/>
      </c>
    </row>
    <row r="362">
      <c r="P362">
        <f>IF(OR(B362="SP",B362="RP",B362="CP",B362="SP/RP"),"P","H")</f>
        <v/>
      </c>
      <c r="Q362">
        <f>IF(F362="",0,IFNA(VLOOKUP(F362,Trait_Polarity!$A:$C,2,FALSE),0))+IF(G362="",0,IFNA(VLOOKUP(G362,Trait_Polarity!$A:$C,2,FALSE),0))</f>
        <v/>
      </c>
      <c r="R362">
        <f>IF(F362="",0,IFNA(VLOOKUP(F362,Trait_Polarity!$A:$C,3,FALSE),0))+IF(G362="",0,IFNA(VLOOKUP(G362,Trait_Polarity!$A:$C,3,FALSE),0))</f>
        <v/>
      </c>
      <c r="S362">
        <f>IF(P362="P",(M362+N362+O362)/3,0.3*H362+0.3*I362+0.2*J362+0.1*K362+0.1*L362)</f>
        <v/>
      </c>
      <c r="T362">
        <f>IF(P362="P",IFNA(VLOOKUP(B362,Pitcher_RoleAdj!$A:$B,2,FALSE),0),IFNA(VLOOKUP(B362,Hitter_PrimaryAdj!$A:$B,2,FALSE),0))</f>
        <v/>
      </c>
      <c r="U362">
        <f>IFNA(VLOOKUP(IF(C362="","(none)",C362),SecondaryAdj!$A:$B,2,FALSE),0)</f>
        <v/>
      </c>
      <c r="V362">
        <f>IF(P362="P",0.7780+0.1628*S362+0.2957*Q362-0.1912*R362-0.1512*IF(D362="S",1,0)+0.1600*IF(E362="L",1,0)+0.0091*H362+0.0124*I362+0.0017*J362+T362+U362,-0.8294+0.1849*S362+0.1750*Q362-0.2969*R362+0.6924*IF(D362="S",1,0)+0.0457*IF(E362="L",1,0)+T362+U362)</f>
        <v/>
      </c>
      <c r="W362">
        <f>MAX(0,MIN(16,ROUND(V362,0)))</f>
        <v/>
      </c>
      <c r="X362">
        <f>IFNA(VLOOKUP(W362,Grade_Scale!$A:$B,2,FALSE),"F")</f>
        <v/>
      </c>
      <c r="Z362">
        <f>IF(Y362="","",W362-IFNA(VLOOKUP(Y362,Grade_Scale!$D:$E,2,FALSE),""))</f>
        <v/>
      </c>
    </row>
    <row r="363">
      <c r="P363">
        <f>IF(OR(B363="SP",B363="RP",B363="CP",B363="SP/RP"),"P","H")</f>
        <v/>
      </c>
      <c r="Q363">
        <f>IF(F363="",0,IFNA(VLOOKUP(F363,Trait_Polarity!$A:$C,2,FALSE),0))+IF(G363="",0,IFNA(VLOOKUP(G363,Trait_Polarity!$A:$C,2,FALSE),0))</f>
        <v/>
      </c>
      <c r="R363">
        <f>IF(F363="",0,IFNA(VLOOKUP(F363,Trait_Polarity!$A:$C,3,FALSE),0))+IF(G363="",0,IFNA(VLOOKUP(G363,Trait_Polarity!$A:$C,3,FALSE),0))</f>
        <v/>
      </c>
      <c r="S363">
        <f>IF(P363="P",(M363+N363+O363)/3,0.3*H363+0.3*I363+0.2*J363+0.1*K363+0.1*L363)</f>
        <v/>
      </c>
      <c r="T363">
        <f>IF(P363="P",IFNA(VLOOKUP(B363,Pitcher_RoleAdj!$A:$B,2,FALSE),0),IFNA(VLOOKUP(B363,Hitter_PrimaryAdj!$A:$B,2,FALSE),0))</f>
        <v/>
      </c>
      <c r="U363">
        <f>IFNA(VLOOKUP(IF(C363="","(none)",C363),SecondaryAdj!$A:$B,2,FALSE),0)</f>
        <v/>
      </c>
      <c r="V363">
        <f>IF(P363="P",0.7780+0.1628*S363+0.2957*Q363-0.1912*R363-0.1512*IF(D363="S",1,0)+0.1600*IF(E363="L",1,0)+0.0091*H363+0.0124*I363+0.0017*J363+T363+U363,-0.8294+0.1849*S363+0.1750*Q363-0.2969*R363+0.6924*IF(D363="S",1,0)+0.0457*IF(E363="L",1,0)+T363+U363)</f>
        <v/>
      </c>
      <c r="W363">
        <f>MAX(0,MIN(16,ROUND(V363,0)))</f>
        <v/>
      </c>
      <c r="X363">
        <f>IFNA(VLOOKUP(W363,Grade_Scale!$A:$B,2,FALSE),"F")</f>
        <v/>
      </c>
      <c r="Z363">
        <f>IF(Y363="","",W363-IFNA(VLOOKUP(Y363,Grade_Scale!$D:$E,2,FALSE),""))</f>
        <v/>
      </c>
    </row>
    <row r="364">
      <c r="P364">
        <f>IF(OR(B364="SP",B364="RP",B364="CP",B364="SP/RP"),"P","H")</f>
        <v/>
      </c>
      <c r="Q364">
        <f>IF(F364="",0,IFNA(VLOOKUP(F364,Trait_Polarity!$A:$C,2,FALSE),0))+IF(G364="",0,IFNA(VLOOKUP(G364,Trait_Polarity!$A:$C,2,FALSE),0))</f>
        <v/>
      </c>
      <c r="R364">
        <f>IF(F364="",0,IFNA(VLOOKUP(F364,Trait_Polarity!$A:$C,3,FALSE),0))+IF(G364="",0,IFNA(VLOOKUP(G364,Trait_Polarity!$A:$C,3,FALSE),0))</f>
        <v/>
      </c>
      <c r="S364">
        <f>IF(P364="P",(M364+N364+O364)/3,0.3*H364+0.3*I364+0.2*J364+0.1*K364+0.1*L364)</f>
        <v/>
      </c>
      <c r="T364">
        <f>IF(P364="P",IFNA(VLOOKUP(B364,Pitcher_RoleAdj!$A:$B,2,FALSE),0),IFNA(VLOOKUP(B364,Hitter_PrimaryAdj!$A:$B,2,FALSE),0))</f>
        <v/>
      </c>
      <c r="U364">
        <f>IFNA(VLOOKUP(IF(C364="","(none)",C364),SecondaryAdj!$A:$B,2,FALSE),0)</f>
        <v/>
      </c>
      <c r="V364">
        <f>IF(P364="P",0.7780+0.1628*S364+0.2957*Q364-0.1912*R364-0.1512*IF(D364="S",1,0)+0.1600*IF(E364="L",1,0)+0.0091*H364+0.0124*I364+0.0017*J364+T364+U364,-0.8294+0.1849*S364+0.1750*Q364-0.2969*R364+0.6924*IF(D364="S",1,0)+0.0457*IF(E364="L",1,0)+T364+U364)</f>
        <v/>
      </c>
      <c r="W364">
        <f>MAX(0,MIN(16,ROUND(V364,0)))</f>
        <v/>
      </c>
      <c r="X364">
        <f>IFNA(VLOOKUP(W364,Grade_Scale!$A:$B,2,FALSE),"F")</f>
        <v/>
      </c>
      <c r="Z364">
        <f>IF(Y364="","",W364-IFNA(VLOOKUP(Y364,Grade_Scale!$D:$E,2,FALSE),""))</f>
        <v/>
      </c>
    </row>
    <row r="365">
      <c r="P365">
        <f>IF(OR(B365="SP",B365="RP",B365="CP",B365="SP/RP"),"P","H")</f>
        <v/>
      </c>
      <c r="Q365">
        <f>IF(F365="",0,IFNA(VLOOKUP(F365,Trait_Polarity!$A:$C,2,FALSE),0))+IF(G365="",0,IFNA(VLOOKUP(G365,Trait_Polarity!$A:$C,2,FALSE),0))</f>
        <v/>
      </c>
      <c r="R365">
        <f>IF(F365="",0,IFNA(VLOOKUP(F365,Trait_Polarity!$A:$C,3,FALSE),0))+IF(G365="",0,IFNA(VLOOKUP(G365,Trait_Polarity!$A:$C,3,FALSE),0))</f>
        <v/>
      </c>
      <c r="S365">
        <f>IF(P365="P",(M365+N365+O365)/3,0.3*H365+0.3*I365+0.2*J365+0.1*K365+0.1*L365)</f>
        <v/>
      </c>
      <c r="T365">
        <f>IF(P365="P",IFNA(VLOOKUP(B365,Pitcher_RoleAdj!$A:$B,2,FALSE),0),IFNA(VLOOKUP(B365,Hitter_PrimaryAdj!$A:$B,2,FALSE),0))</f>
        <v/>
      </c>
      <c r="U365">
        <f>IFNA(VLOOKUP(IF(C365="","(none)",C365),SecondaryAdj!$A:$B,2,FALSE),0)</f>
        <v/>
      </c>
      <c r="V365">
        <f>IF(P365="P",0.7780+0.1628*S365+0.2957*Q365-0.1912*R365-0.1512*IF(D365="S",1,0)+0.1600*IF(E365="L",1,0)+0.0091*H365+0.0124*I365+0.0017*J365+T365+U365,-0.8294+0.1849*S365+0.1750*Q365-0.2969*R365+0.6924*IF(D365="S",1,0)+0.0457*IF(E365="L",1,0)+T365+U365)</f>
        <v/>
      </c>
      <c r="W365">
        <f>MAX(0,MIN(16,ROUND(V365,0)))</f>
        <v/>
      </c>
      <c r="X365">
        <f>IFNA(VLOOKUP(W365,Grade_Scale!$A:$B,2,FALSE),"F")</f>
        <v/>
      </c>
      <c r="Z365">
        <f>IF(Y365="","",W365-IFNA(VLOOKUP(Y365,Grade_Scale!$D:$E,2,FALSE),""))</f>
        <v/>
      </c>
    </row>
    <row r="366">
      <c r="P366">
        <f>IF(OR(B366="SP",B366="RP",B366="CP",B366="SP/RP"),"P","H")</f>
        <v/>
      </c>
      <c r="Q366">
        <f>IF(F366="",0,IFNA(VLOOKUP(F366,Trait_Polarity!$A:$C,2,FALSE),0))+IF(G366="",0,IFNA(VLOOKUP(G366,Trait_Polarity!$A:$C,2,FALSE),0))</f>
        <v/>
      </c>
      <c r="R366">
        <f>IF(F366="",0,IFNA(VLOOKUP(F366,Trait_Polarity!$A:$C,3,FALSE),0))+IF(G366="",0,IFNA(VLOOKUP(G366,Trait_Polarity!$A:$C,3,FALSE),0))</f>
        <v/>
      </c>
      <c r="S366">
        <f>IF(P366="P",(M366+N366+O366)/3,0.3*H366+0.3*I366+0.2*J366+0.1*K366+0.1*L366)</f>
        <v/>
      </c>
      <c r="T366">
        <f>IF(P366="P",IFNA(VLOOKUP(B366,Pitcher_RoleAdj!$A:$B,2,FALSE),0),IFNA(VLOOKUP(B366,Hitter_PrimaryAdj!$A:$B,2,FALSE),0))</f>
        <v/>
      </c>
      <c r="U366">
        <f>IFNA(VLOOKUP(IF(C366="","(none)",C366),SecondaryAdj!$A:$B,2,FALSE),0)</f>
        <v/>
      </c>
      <c r="V366">
        <f>IF(P366="P",0.7780+0.1628*S366+0.2957*Q366-0.1912*R366-0.1512*IF(D366="S",1,0)+0.1600*IF(E366="L",1,0)+0.0091*H366+0.0124*I366+0.0017*J366+T366+U366,-0.8294+0.1849*S366+0.1750*Q366-0.2969*R366+0.6924*IF(D366="S",1,0)+0.0457*IF(E366="L",1,0)+T366+U366)</f>
        <v/>
      </c>
      <c r="W366">
        <f>MAX(0,MIN(16,ROUND(V366,0)))</f>
        <v/>
      </c>
      <c r="X366">
        <f>IFNA(VLOOKUP(W366,Grade_Scale!$A:$B,2,FALSE),"F")</f>
        <v/>
      </c>
      <c r="Z366">
        <f>IF(Y366="","",W366-IFNA(VLOOKUP(Y366,Grade_Scale!$D:$E,2,FALSE),""))</f>
        <v/>
      </c>
    </row>
    <row r="367">
      <c r="P367">
        <f>IF(OR(B367="SP",B367="RP",B367="CP",B367="SP/RP"),"P","H")</f>
        <v/>
      </c>
      <c r="Q367">
        <f>IF(F367="",0,IFNA(VLOOKUP(F367,Trait_Polarity!$A:$C,2,FALSE),0))+IF(G367="",0,IFNA(VLOOKUP(G367,Trait_Polarity!$A:$C,2,FALSE),0))</f>
        <v/>
      </c>
      <c r="R367">
        <f>IF(F367="",0,IFNA(VLOOKUP(F367,Trait_Polarity!$A:$C,3,FALSE),0))+IF(G367="",0,IFNA(VLOOKUP(G367,Trait_Polarity!$A:$C,3,FALSE),0))</f>
        <v/>
      </c>
      <c r="S367">
        <f>IF(P367="P",(M367+N367+O367)/3,0.3*H367+0.3*I367+0.2*J367+0.1*K367+0.1*L367)</f>
        <v/>
      </c>
      <c r="T367">
        <f>IF(P367="P",IFNA(VLOOKUP(B367,Pitcher_RoleAdj!$A:$B,2,FALSE),0),IFNA(VLOOKUP(B367,Hitter_PrimaryAdj!$A:$B,2,FALSE),0))</f>
        <v/>
      </c>
      <c r="U367">
        <f>IFNA(VLOOKUP(IF(C367="","(none)",C367),SecondaryAdj!$A:$B,2,FALSE),0)</f>
        <v/>
      </c>
      <c r="V367">
        <f>IF(P367="P",0.7780+0.1628*S367+0.2957*Q367-0.1912*R367-0.1512*IF(D367="S",1,0)+0.1600*IF(E367="L",1,0)+0.0091*H367+0.0124*I367+0.0017*J367+T367+U367,-0.8294+0.1849*S367+0.1750*Q367-0.2969*R367+0.6924*IF(D367="S",1,0)+0.0457*IF(E367="L",1,0)+T367+U367)</f>
        <v/>
      </c>
      <c r="W367">
        <f>MAX(0,MIN(16,ROUND(V367,0)))</f>
        <v/>
      </c>
      <c r="X367">
        <f>IFNA(VLOOKUP(W367,Grade_Scale!$A:$B,2,FALSE),"F")</f>
        <v/>
      </c>
      <c r="Z367">
        <f>IF(Y367="","",W367-IFNA(VLOOKUP(Y367,Grade_Scale!$D:$E,2,FALSE),""))</f>
        <v/>
      </c>
    </row>
    <row r="368">
      <c r="P368">
        <f>IF(OR(B368="SP",B368="RP",B368="CP",B368="SP/RP"),"P","H")</f>
        <v/>
      </c>
      <c r="Q368">
        <f>IF(F368="",0,IFNA(VLOOKUP(F368,Trait_Polarity!$A:$C,2,FALSE),0))+IF(G368="",0,IFNA(VLOOKUP(G368,Trait_Polarity!$A:$C,2,FALSE),0))</f>
        <v/>
      </c>
      <c r="R368">
        <f>IF(F368="",0,IFNA(VLOOKUP(F368,Trait_Polarity!$A:$C,3,FALSE),0))+IF(G368="",0,IFNA(VLOOKUP(G368,Trait_Polarity!$A:$C,3,FALSE),0))</f>
        <v/>
      </c>
      <c r="S368">
        <f>IF(P368="P",(M368+N368+O368)/3,0.3*H368+0.3*I368+0.2*J368+0.1*K368+0.1*L368)</f>
        <v/>
      </c>
      <c r="T368">
        <f>IF(P368="P",IFNA(VLOOKUP(B368,Pitcher_RoleAdj!$A:$B,2,FALSE),0),IFNA(VLOOKUP(B368,Hitter_PrimaryAdj!$A:$B,2,FALSE),0))</f>
        <v/>
      </c>
      <c r="U368">
        <f>IFNA(VLOOKUP(IF(C368="","(none)",C368),SecondaryAdj!$A:$B,2,FALSE),0)</f>
        <v/>
      </c>
      <c r="V368">
        <f>IF(P368="P",0.7780+0.1628*S368+0.2957*Q368-0.1912*R368-0.1512*IF(D368="S",1,0)+0.1600*IF(E368="L",1,0)+0.0091*H368+0.0124*I368+0.0017*J368+T368+U368,-0.8294+0.1849*S368+0.1750*Q368-0.2969*R368+0.6924*IF(D368="S",1,0)+0.0457*IF(E368="L",1,0)+T368+U368)</f>
        <v/>
      </c>
      <c r="W368">
        <f>MAX(0,MIN(16,ROUND(V368,0)))</f>
        <v/>
      </c>
      <c r="X368">
        <f>IFNA(VLOOKUP(W368,Grade_Scale!$A:$B,2,FALSE),"F")</f>
        <v/>
      </c>
      <c r="Z368">
        <f>IF(Y368="","",W368-IFNA(VLOOKUP(Y368,Grade_Scale!$D:$E,2,FALSE),""))</f>
        <v/>
      </c>
    </row>
    <row r="369">
      <c r="P369">
        <f>IF(OR(B369="SP",B369="RP",B369="CP",B369="SP/RP"),"P","H")</f>
        <v/>
      </c>
      <c r="Q369">
        <f>IF(F369="",0,IFNA(VLOOKUP(F369,Trait_Polarity!$A:$C,2,FALSE),0))+IF(G369="",0,IFNA(VLOOKUP(G369,Trait_Polarity!$A:$C,2,FALSE),0))</f>
        <v/>
      </c>
      <c r="R369">
        <f>IF(F369="",0,IFNA(VLOOKUP(F369,Trait_Polarity!$A:$C,3,FALSE),0))+IF(G369="",0,IFNA(VLOOKUP(G369,Trait_Polarity!$A:$C,3,FALSE),0))</f>
        <v/>
      </c>
      <c r="S369">
        <f>IF(P369="P",(M369+N369+O369)/3,0.3*H369+0.3*I369+0.2*J369+0.1*K369+0.1*L369)</f>
        <v/>
      </c>
      <c r="T369">
        <f>IF(P369="P",IFNA(VLOOKUP(B369,Pitcher_RoleAdj!$A:$B,2,FALSE),0),IFNA(VLOOKUP(B369,Hitter_PrimaryAdj!$A:$B,2,FALSE),0))</f>
        <v/>
      </c>
      <c r="U369">
        <f>IFNA(VLOOKUP(IF(C369="","(none)",C369),SecondaryAdj!$A:$B,2,FALSE),0)</f>
        <v/>
      </c>
      <c r="V369">
        <f>IF(P369="P",0.7780+0.1628*S369+0.2957*Q369-0.1912*R369-0.1512*IF(D369="S",1,0)+0.1600*IF(E369="L",1,0)+0.0091*H369+0.0124*I369+0.0017*J369+T369+U369,-0.8294+0.1849*S369+0.1750*Q369-0.2969*R369+0.6924*IF(D369="S",1,0)+0.0457*IF(E369="L",1,0)+T369+U369)</f>
        <v/>
      </c>
      <c r="W369">
        <f>MAX(0,MIN(16,ROUND(V369,0)))</f>
        <v/>
      </c>
      <c r="X369">
        <f>IFNA(VLOOKUP(W369,Grade_Scale!$A:$B,2,FALSE),"F")</f>
        <v/>
      </c>
      <c r="Z369">
        <f>IF(Y369="","",W369-IFNA(VLOOKUP(Y369,Grade_Scale!$D:$E,2,FALSE),""))</f>
        <v/>
      </c>
    </row>
    <row r="370">
      <c r="P370">
        <f>IF(OR(B370="SP",B370="RP",B370="CP",B370="SP/RP"),"P","H")</f>
        <v/>
      </c>
      <c r="Q370">
        <f>IF(F370="",0,IFNA(VLOOKUP(F370,Trait_Polarity!$A:$C,2,FALSE),0))+IF(G370="",0,IFNA(VLOOKUP(G370,Trait_Polarity!$A:$C,2,FALSE),0))</f>
        <v/>
      </c>
      <c r="R370">
        <f>IF(F370="",0,IFNA(VLOOKUP(F370,Trait_Polarity!$A:$C,3,FALSE),0))+IF(G370="",0,IFNA(VLOOKUP(G370,Trait_Polarity!$A:$C,3,FALSE),0))</f>
        <v/>
      </c>
      <c r="S370">
        <f>IF(P370="P",(M370+N370+O370)/3,0.3*H370+0.3*I370+0.2*J370+0.1*K370+0.1*L370)</f>
        <v/>
      </c>
      <c r="T370">
        <f>IF(P370="P",IFNA(VLOOKUP(B370,Pitcher_RoleAdj!$A:$B,2,FALSE),0),IFNA(VLOOKUP(B370,Hitter_PrimaryAdj!$A:$B,2,FALSE),0))</f>
        <v/>
      </c>
      <c r="U370">
        <f>IFNA(VLOOKUP(IF(C370="","(none)",C370),SecondaryAdj!$A:$B,2,FALSE),0)</f>
        <v/>
      </c>
      <c r="V370">
        <f>IF(P370="P",0.7780+0.1628*S370+0.2957*Q370-0.1912*R370-0.1512*IF(D370="S",1,0)+0.1600*IF(E370="L",1,0)+0.0091*H370+0.0124*I370+0.0017*J370+T370+U370,-0.8294+0.1849*S370+0.1750*Q370-0.2969*R370+0.6924*IF(D370="S",1,0)+0.0457*IF(E370="L",1,0)+T370+U370)</f>
        <v/>
      </c>
      <c r="W370">
        <f>MAX(0,MIN(16,ROUND(V370,0)))</f>
        <v/>
      </c>
      <c r="X370">
        <f>IFNA(VLOOKUP(W370,Grade_Scale!$A:$B,2,FALSE),"F")</f>
        <v/>
      </c>
      <c r="Z370">
        <f>IF(Y370="","",W370-IFNA(VLOOKUP(Y370,Grade_Scale!$D:$E,2,FALSE),""))</f>
        <v/>
      </c>
    </row>
    <row r="371">
      <c r="P371">
        <f>IF(OR(B371="SP",B371="RP",B371="CP",B371="SP/RP"),"P","H")</f>
        <v/>
      </c>
      <c r="Q371">
        <f>IF(F371="",0,IFNA(VLOOKUP(F371,Trait_Polarity!$A:$C,2,FALSE),0))+IF(G371="",0,IFNA(VLOOKUP(G371,Trait_Polarity!$A:$C,2,FALSE),0))</f>
        <v/>
      </c>
      <c r="R371">
        <f>IF(F371="",0,IFNA(VLOOKUP(F371,Trait_Polarity!$A:$C,3,FALSE),0))+IF(G371="",0,IFNA(VLOOKUP(G371,Trait_Polarity!$A:$C,3,FALSE),0))</f>
        <v/>
      </c>
      <c r="S371">
        <f>IF(P371="P",(M371+N371+O371)/3,0.3*H371+0.3*I371+0.2*J371+0.1*K371+0.1*L371)</f>
        <v/>
      </c>
      <c r="T371">
        <f>IF(P371="P",IFNA(VLOOKUP(B371,Pitcher_RoleAdj!$A:$B,2,FALSE),0),IFNA(VLOOKUP(B371,Hitter_PrimaryAdj!$A:$B,2,FALSE),0))</f>
        <v/>
      </c>
      <c r="U371">
        <f>IFNA(VLOOKUP(IF(C371="","(none)",C371),SecondaryAdj!$A:$B,2,FALSE),0)</f>
        <v/>
      </c>
      <c r="V371">
        <f>IF(P371="P",0.7780+0.1628*S371+0.2957*Q371-0.1912*R371-0.1512*IF(D371="S",1,0)+0.1600*IF(E371="L",1,0)+0.0091*H371+0.0124*I371+0.0017*J371+T371+U371,-0.8294+0.1849*S371+0.1750*Q371-0.2969*R371+0.6924*IF(D371="S",1,0)+0.0457*IF(E371="L",1,0)+T371+U371)</f>
        <v/>
      </c>
      <c r="W371">
        <f>MAX(0,MIN(16,ROUND(V371,0)))</f>
        <v/>
      </c>
      <c r="X371">
        <f>IFNA(VLOOKUP(W371,Grade_Scale!$A:$B,2,FALSE),"F")</f>
        <v/>
      </c>
      <c r="Z371">
        <f>IF(Y371="","",W371-IFNA(VLOOKUP(Y371,Grade_Scale!$D:$E,2,FALSE),""))</f>
        <v/>
      </c>
    </row>
    <row r="372">
      <c r="P372">
        <f>IF(OR(B372="SP",B372="RP",B372="CP",B372="SP/RP"),"P","H")</f>
        <v/>
      </c>
      <c r="Q372">
        <f>IF(F372="",0,IFNA(VLOOKUP(F372,Trait_Polarity!$A:$C,2,FALSE),0))+IF(G372="",0,IFNA(VLOOKUP(G372,Trait_Polarity!$A:$C,2,FALSE),0))</f>
        <v/>
      </c>
      <c r="R372">
        <f>IF(F372="",0,IFNA(VLOOKUP(F372,Trait_Polarity!$A:$C,3,FALSE),0))+IF(G372="",0,IFNA(VLOOKUP(G372,Trait_Polarity!$A:$C,3,FALSE),0))</f>
        <v/>
      </c>
      <c r="S372">
        <f>IF(P372="P",(M372+N372+O372)/3,0.3*H372+0.3*I372+0.2*J372+0.1*K372+0.1*L372)</f>
        <v/>
      </c>
      <c r="T372">
        <f>IF(P372="P",IFNA(VLOOKUP(B372,Pitcher_RoleAdj!$A:$B,2,FALSE),0),IFNA(VLOOKUP(B372,Hitter_PrimaryAdj!$A:$B,2,FALSE),0))</f>
        <v/>
      </c>
      <c r="U372">
        <f>IFNA(VLOOKUP(IF(C372="","(none)",C372),SecondaryAdj!$A:$B,2,FALSE),0)</f>
        <v/>
      </c>
      <c r="V372">
        <f>IF(P372="P",0.7780+0.1628*S372+0.2957*Q372-0.1912*R372-0.1512*IF(D372="S",1,0)+0.1600*IF(E372="L",1,0)+0.0091*H372+0.0124*I372+0.0017*J372+T372+U372,-0.8294+0.1849*S372+0.1750*Q372-0.2969*R372+0.6924*IF(D372="S",1,0)+0.0457*IF(E372="L",1,0)+T372+U372)</f>
        <v/>
      </c>
      <c r="W372">
        <f>MAX(0,MIN(16,ROUND(V372,0)))</f>
        <v/>
      </c>
      <c r="X372">
        <f>IFNA(VLOOKUP(W372,Grade_Scale!$A:$B,2,FALSE),"F")</f>
        <v/>
      </c>
      <c r="Z372">
        <f>IF(Y372="","",W372-IFNA(VLOOKUP(Y372,Grade_Scale!$D:$E,2,FALSE),""))</f>
        <v/>
      </c>
    </row>
    <row r="373">
      <c r="P373">
        <f>IF(OR(B373="SP",B373="RP",B373="CP",B373="SP/RP"),"P","H")</f>
        <v/>
      </c>
      <c r="Q373">
        <f>IF(F373="",0,IFNA(VLOOKUP(F373,Trait_Polarity!$A:$C,2,FALSE),0))+IF(G373="",0,IFNA(VLOOKUP(G373,Trait_Polarity!$A:$C,2,FALSE),0))</f>
        <v/>
      </c>
      <c r="R373">
        <f>IF(F373="",0,IFNA(VLOOKUP(F373,Trait_Polarity!$A:$C,3,FALSE),0))+IF(G373="",0,IFNA(VLOOKUP(G373,Trait_Polarity!$A:$C,3,FALSE),0))</f>
        <v/>
      </c>
      <c r="S373">
        <f>IF(P373="P",(M373+N373+O373)/3,0.3*H373+0.3*I373+0.2*J373+0.1*K373+0.1*L373)</f>
        <v/>
      </c>
      <c r="T373">
        <f>IF(P373="P",IFNA(VLOOKUP(B373,Pitcher_RoleAdj!$A:$B,2,FALSE),0),IFNA(VLOOKUP(B373,Hitter_PrimaryAdj!$A:$B,2,FALSE),0))</f>
        <v/>
      </c>
      <c r="U373">
        <f>IFNA(VLOOKUP(IF(C373="","(none)",C373),SecondaryAdj!$A:$B,2,FALSE),0)</f>
        <v/>
      </c>
      <c r="V373">
        <f>IF(P373="P",0.7780+0.1628*S373+0.2957*Q373-0.1912*R373-0.1512*IF(D373="S",1,0)+0.1600*IF(E373="L",1,0)+0.0091*H373+0.0124*I373+0.0017*J373+T373+U373,-0.8294+0.1849*S373+0.1750*Q373-0.2969*R373+0.6924*IF(D373="S",1,0)+0.0457*IF(E373="L",1,0)+T373+U373)</f>
        <v/>
      </c>
      <c r="W373">
        <f>MAX(0,MIN(16,ROUND(V373,0)))</f>
        <v/>
      </c>
      <c r="X373">
        <f>IFNA(VLOOKUP(W373,Grade_Scale!$A:$B,2,FALSE),"F")</f>
        <v/>
      </c>
      <c r="Z373">
        <f>IF(Y373="","",W373-IFNA(VLOOKUP(Y373,Grade_Scale!$D:$E,2,FALSE),""))</f>
        <v/>
      </c>
    </row>
    <row r="374">
      <c r="P374">
        <f>IF(OR(B374="SP",B374="RP",B374="CP",B374="SP/RP"),"P","H")</f>
        <v/>
      </c>
      <c r="Q374">
        <f>IF(F374="",0,IFNA(VLOOKUP(F374,Trait_Polarity!$A:$C,2,FALSE),0))+IF(G374="",0,IFNA(VLOOKUP(G374,Trait_Polarity!$A:$C,2,FALSE),0))</f>
        <v/>
      </c>
      <c r="R374">
        <f>IF(F374="",0,IFNA(VLOOKUP(F374,Trait_Polarity!$A:$C,3,FALSE),0))+IF(G374="",0,IFNA(VLOOKUP(G374,Trait_Polarity!$A:$C,3,FALSE),0))</f>
        <v/>
      </c>
      <c r="S374">
        <f>IF(P374="P",(M374+N374+O374)/3,0.3*H374+0.3*I374+0.2*J374+0.1*K374+0.1*L374)</f>
        <v/>
      </c>
      <c r="T374">
        <f>IF(P374="P",IFNA(VLOOKUP(B374,Pitcher_RoleAdj!$A:$B,2,FALSE),0),IFNA(VLOOKUP(B374,Hitter_PrimaryAdj!$A:$B,2,FALSE),0))</f>
        <v/>
      </c>
      <c r="U374">
        <f>IFNA(VLOOKUP(IF(C374="","(none)",C374),SecondaryAdj!$A:$B,2,FALSE),0)</f>
        <v/>
      </c>
      <c r="V374">
        <f>IF(P374="P",0.7780+0.1628*S374+0.2957*Q374-0.1912*R374-0.1512*IF(D374="S",1,0)+0.1600*IF(E374="L",1,0)+0.0091*H374+0.0124*I374+0.0017*J374+T374+U374,-0.8294+0.1849*S374+0.1750*Q374-0.2969*R374+0.6924*IF(D374="S",1,0)+0.0457*IF(E374="L",1,0)+T374+U374)</f>
        <v/>
      </c>
      <c r="W374">
        <f>MAX(0,MIN(16,ROUND(V374,0)))</f>
        <v/>
      </c>
      <c r="X374">
        <f>IFNA(VLOOKUP(W374,Grade_Scale!$A:$B,2,FALSE),"F")</f>
        <v/>
      </c>
      <c r="Z374">
        <f>IF(Y374="","",W374-IFNA(VLOOKUP(Y374,Grade_Scale!$D:$E,2,FALSE),""))</f>
        <v/>
      </c>
    </row>
    <row r="375">
      <c r="P375">
        <f>IF(OR(B375="SP",B375="RP",B375="CP",B375="SP/RP"),"P","H")</f>
        <v/>
      </c>
      <c r="Q375">
        <f>IF(F375="",0,IFNA(VLOOKUP(F375,Trait_Polarity!$A:$C,2,FALSE),0))+IF(G375="",0,IFNA(VLOOKUP(G375,Trait_Polarity!$A:$C,2,FALSE),0))</f>
        <v/>
      </c>
      <c r="R375">
        <f>IF(F375="",0,IFNA(VLOOKUP(F375,Trait_Polarity!$A:$C,3,FALSE),0))+IF(G375="",0,IFNA(VLOOKUP(G375,Trait_Polarity!$A:$C,3,FALSE),0))</f>
        <v/>
      </c>
      <c r="S375">
        <f>IF(P375="P",(M375+N375+O375)/3,0.3*H375+0.3*I375+0.2*J375+0.1*K375+0.1*L375)</f>
        <v/>
      </c>
      <c r="T375">
        <f>IF(P375="P",IFNA(VLOOKUP(B375,Pitcher_RoleAdj!$A:$B,2,FALSE),0),IFNA(VLOOKUP(B375,Hitter_PrimaryAdj!$A:$B,2,FALSE),0))</f>
        <v/>
      </c>
      <c r="U375">
        <f>IFNA(VLOOKUP(IF(C375="","(none)",C375),SecondaryAdj!$A:$B,2,FALSE),0)</f>
        <v/>
      </c>
      <c r="V375">
        <f>IF(P375="P",0.7780+0.1628*S375+0.2957*Q375-0.1912*R375-0.1512*IF(D375="S",1,0)+0.1600*IF(E375="L",1,0)+0.0091*H375+0.0124*I375+0.0017*J375+T375+U375,-0.8294+0.1849*S375+0.1750*Q375-0.2969*R375+0.6924*IF(D375="S",1,0)+0.0457*IF(E375="L",1,0)+T375+U375)</f>
        <v/>
      </c>
      <c r="W375">
        <f>MAX(0,MIN(16,ROUND(V375,0)))</f>
        <v/>
      </c>
      <c r="X375">
        <f>IFNA(VLOOKUP(W375,Grade_Scale!$A:$B,2,FALSE),"F")</f>
        <v/>
      </c>
      <c r="Z375">
        <f>IF(Y375="","",W375-IFNA(VLOOKUP(Y375,Grade_Scale!$D:$E,2,FALSE),""))</f>
        <v/>
      </c>
    </row>
    <row r="376">
      <c r="P376">
        <f>IF(OR(B376="SP",B376="RP",B376="CP",B376="SP/RP"),"P","H")</f>
        <v/>
      </c>
      <c r="Q376">
        <f>IF(F376="",0,IFNA(VLOOKUP(F376,Trait_Polarity!$A:$C,2,FALSE),0))+IF(G376="",0,IFNA(VLOOKUP(G376,Trait_Polarity!$A:$C,2,FALSE),0))</f>
        <v/>
      </c>
      <c r="R376">
        <f>IF(F376="",0,IFNA(VLOOKUP(F376,Trait_Polarity!$A:$C,3,FALSE),0))+IF(G376="",0,IFNA(VLOOKUP(G376,Trait_Polarity!$A:$C,3,FALSE),0))</f>
        <v/>
      </c>
      <c r="S376">
        <f>IF(P376="P",(M376+N376+O376)/3,0.3*H376+0.3*I376+0.2*J376+0.1*K376+0.1*L376)</f>
        <v/>
      </c>
      <c r="T376">
        <f>IF(P376="P",IFNA(VLOOKUP(B376,Pitcher_RoleAdj!$A:$B,2,FALSE),0),IFNA(VLOOKUP(B376,Hitter_PrimaryAdj!$A:$B,2,FALSE),0))</f>
        <v/>
      </c>
      <c r="U376">
        <f>IFNA(VLOOKUP(IF(C376="","(none)",C376),SecondaryAdj!$A:$B,2,FALSE),0)</f>
        <v/>
      </c>
      <c r="V376">
        <f>IF(P376="P",0.7780+0.1628*S376+0.2957*Q376-0.1912*R376-0.1512*IF(D376="S",1,0)+0.1600*IF(E376="L",1,0)+0.0091*H376+0.0124*I376+0.0017*J376+T376+U376,-0.8294+0.1849*S376+0.1750*Q376-0.2969*R376+0.6924*IF(D376="S",1,0)+0.0457*IF(E376="L",1,0)+T376+U376)</f>
        <v/>
      </c>
      <c r="W376">
        <f>MAX(0,MIN(16,ROUND(V376,0)))</f>
        <v/>
      </c>
      <c r="X376">
        <f>IFNA(VLOOKUP(W376,Grade_Scale!$A:$B,2,FALSE),"F")</f>
        <v/>
      </c>
      <c r="Z376">
        <f>IF(Y376="","",W376-IFNA(VLOOKUP(Y376,Grade_Scale!$D:$E,2,FALSE),""))</f>
        <v/>
      </c>
    </row>
    <row r="377">
      <c r="P377">
        <f>IF(OR(B377="SP",B377="RP",B377="CP",B377="SP/RP"),"P","H")</f>
        <v/>
      </c>
      <c r="Q377">
        <f>IF(F377="",0,IFNA(VLOOKUP(F377,Trait_Polarity!$A:$C,2,FALSE),0))+IF(G377="",0,IFNA(VLOOKUP(G377,Trait_Polarity!$A:$C,2,FALSE),0))</f>
        <v/>
      </c>
      <c r="R377">
        <f>IF(F377="",0,IFNA(VLOOKUP(F377,Trait_Polarity!$A:$C,3,FALSE),0))+IF(G377="",0,IFNA(VLOOKUP(G377,Trait_Polarity!$A:$C,3,FALSE),0))</f>
        <v/>
      </c>
      <c r="S377">
        <f>IF(P377="P",(M377+N377+O377)/3,0.3*H377+0.3*I377+0.2*J377+0.1*K377+0.1*L377)</f>
        <v/>
      </c>
      <c r="T377">
        <f>IF(P377="P",IFNA(VLOOKUP(B377,Pitcher_RoleAdj!$A:$B,2,FALSE),0),IFNA(VLOOKUP(B377,Hitter_PrimaryAdj!$A:$B,2,FALSE),0))</f>
        <v/>
      </c>
      <c r="U377">
        <f>IFNA(VLOOKUP(IF(C377="","(none)",C377),SecondaryAdj!$A:$B,2,FALSE),0)</f>
        <v/>
      </c>
      <c r="V377">
        <f>IF(P377="P",0.7780+0.1628*S377+0.2957*Q377-0.1912*R377-0.1512*IF(D377="S",1,0)+0.1600*IF(E377="L",1,0)+0.0091*H377+0.0124*I377+0.0017*J377+T377+U377,-0.8294+0.1849*S377+0.1750*Q377-0.2969*R377+0.6924*IF(D377="S",1,0)+0.0457*IF(E377="L",1,0)+T377+U377)</f>
        <v/>
      </c>
      <c r="W377">
        <f>MAX(0,MIN(16,ROUND(V377,0)))</f>
        <v/>
      </c>
      <c r="X377">
        <f>IFNA(VLOOKUP(W377,Grade_Scale!$A:$B,2,FALSE),"F")</f>
        <v/>
      </c>
      <c r="Z377">
        <f>IF(Y377="","",W377-IFNA(VLOOKUP(Y377,Grade_Scale!$D:$E,2,FALSE),""))</f>
        <v/>
      </c>
    </row>
    <row r="378">
      <c r="P378">
        <f>IF(OR(B378="SP",B378="RP",B378="CP",B378="SP/RP"),"P","H")</f>
        <v/>
      </c>
      <c r="Q378">
        <f>IF(F378="",0,IFNA(VLOOKUP(F378,Trait_Polarity!$A:$C,2,FALSE),0))+IF(G378="",0,IFNA(VLOOKUP(G378,Trait_Polarity!$A:$C,2,FALSE),0))</f>
        <v/>
      </c>
      <c r="R378">
        <f>IF(F378="",0,IFNA(VLOOKUP(F378,Trait_Polarity!$A:$C,3,FALSE),0))+IF(G378="",0,IFNA(VLOOKUP(G378,Trait_Polarity!$A:$C,3,FALSE),0))</f>
        <v/>
      </c>
      <c r="S378">
        <f>IF(P378="P",(M378+N378+O378)/3,0.3*H378+0.3*I378+0.2*J378+0.1*K378+0.1*L378)</f>
        <v/>
      </c>
      <c r="T378">
        <f>IF(P378="P",IFNA(VLOOKUP(B378,Pitcher_RoleAdj!$A:$B,2,FALSE),0),IFNA(VLOOKUP(B378,Hitter_PrimaryAdj!$A:$B,2,FALSE),0))</f>
        <v/>
      </c>
      <c r="U378">
        <f>IFNA(VLOOKUP(IF(C378="","(none)",C378),SecondaryAdj!$A:$B,2,FALSE),0)</f>
        <v/>
      </c>
      <c r="V378">
        <f>IF(P378="P",0.7780+0.1628*S378+0.2957*Q378-0.1912*R378-0.1512*IF(D378="S",1,0)+0.1600*IF(E378="L",1,0)+0.0091*H378+0.0124*I378+0.0017*J378+T378+U378,-0.8294+0.1849*S378+0.1750*Q378-0.2969*R378+0.6924*IF(D378="S",1,0)+0.0457*IF(E378="L",1,0)+T378+U378)</f>
        <v/>
      </c>
      <c r="W378">
        <f>MAX(0,MIN(16,ROUND(V378,0)))</f>
        <v/>
      </c>
      <c r="X378">
        <f>IFNA(VLOOKUP(W378,Grade_Scale!$A:$B,2,FALSE),"F")</f>
        <v/>
      </c>
      <c r="Z378">
        <f>IF(Y378="","",W378-IFNA(VLOOKUP(Y378,Grade_Scale!$D:$E,2,FALSE),""))</f>
        <v/>
      </c>
    </row>
    <row r="379">
      <c r="P379">
        <f>IF(OR(B379="SP",B379="RP",B379="CP",B379="SP/RP"),"P","H")</f>
        <v/>
      </c>
      <c r="Q379">
        <f>IF(F379="",0,IFNA(VLOOKUP(F379,Trait_Polarity!$A:$C,2,FALSE),0))+IF(G379="",0,IFNA(VLOOKUP(G379,Trait_Polarity!$A:$C,2,FALSE),0))</f>
        <v/>
      </c>
      <c r="R379">
        <f>IF(F379="",0,IFNA(VLOOKUP(F379,Trait_Polarity!$A:$C,3,FALSE),0))+IF(G379="",0,IFNA(VLOOKUP(G379,Trait_Polarity!$A:$C,3,FALSE),0))</f>
        <v/>
      </c>
      <c r="S379">
        <f>IF(P379="P",(M379+N379+O379)/3,0.3*H379+0.3*I379+0.2*J379+0.1*K379+0.1*L379)</f>
        <v/>
      </c>
      <c r="T379">
        <f>IF(P379="P",IFNA(VLOOKUP(B379,Pitcher_RoleAdj!$A:$B,2,FALSE),0),IFNA(VLOOKUP(B379,Hitter_PrimaryAdj!$A:$B,2,FALSE),0))</f>
        <v/>
      </c>
      <c r="U379">
        <f>IFNA(VLOOKUP(IF(C379="","(none)",C379),SecondaryAdj!$A:$B,2,FALSE),0)</f>
        <v/>
      </c>
      <c r="V379">
        <f>IF(P379="P",0.7780+0.1628*S379+0.2957*Q379-0.1912*R379-0.1512*IF(D379="S",1,0)+0.1600*IF(E379="L",1,0)+0.0091*H379+0.0124*I379+0.0017*J379+T379+U379,-0.8294+0.1849*S379+0.1750*Q379-0.2969*R379+0.6924*IF(D379="S",1,0)+0.0457*IF(E379="L",1,0)+T379+U379)</f>
        <v/>
      </c>
      <c r="W379">
        <f>MAX(0,MIN(16,ROUND(V379,0)))</f>
        <v/>
      </c>
      <c r="X379">
        <f>IFNA(VLOOKUP(W379,Grade_Scale!$A:$B,2,FALSE),"F")</f>
        <v/>
      </c>
      <c r="Z379">
        <f>IF(Y379="","",W379-IFNA(VLOOKUP(Y379,Grade_Scale!$D:$E,2,FALSE),""))</f>
        <v/>
      </c>
    </row>
    <row r="380">
      <c r="P380">
        <f>IF(OR(B380="SP",B380="RP",B380="CP",B380="SP/RP"),"P","H")</f>
        <v/>
      </c>
      <c r="Q380">
        <f>IF(F380="",0,IFNA(VLOOKUP(F380,Trait_Polarity!$A:$C,2,FALSE),0))+IF(G380="",0,IFNA(VLOOKUP(G380,Trait_Polarity!$A:$C,2,FALSE),0))</f>
        <v/>
      </c>
      <c r="R380">
        <f>IF(F380="",0,IFNA(VLOOKUP(F380,Trait_Polarity!$A:$C,3,FALSE),0))+IF(G380="",0,IFNA(VLOOKUP(G380,Trait_Polarity!$A:$C,3,FALSE),0))</f>
        <v/>
      </c>
      <c r="S380">
        <f>IF(P380="P",(M380+N380+O380)/3,0.3*H380+0.3*I380+0.2*J380+0.1*K380+0.1*L380)</f>
        <v/>
      </c>
      <c r="T380">
        <f>IF(P380="P",IFNA(VLOOKUP(B380,Pitcher_RoleAdj!$A:$B,2,FALSE),0),IFNA(VLOOKUP(B380,Hitter_PrimaryAdj!$A:$B,2,FALSE),0))</f>
        <v/>
      </c>
      <c r="U380">
        <f>IFNA(VLOOKUP(IF(C380="","(none)",C380),SecondaryAdj!$A:$B,2,FALSE),0)</f>
        <v/>
      </c>
      <c r="V380">
        <f>IF(P380="P",0.7780+0.1628*S380+0.2957*Q380-0.1912*R380-0.1512*IF(D380="S",1,0)+0.1600*IF(E380="L",1,0)+0.0091*H380+0.0124*I380+0.0017*J380+T380+U380,-0.8294+0.1849*S380+0.1750*Q380-0.2969*R380+0.6924*IF(D380="S",1,0)+0.0457*IF(E380="L",1,0)+T380+U380)</f>
        <v/>
      </c>
      <c r="W380">
        <f>MAX(0,MIN(16,ROUND(V380,0)))</f>
        <v/>
      </c>
      <c r="X380">
        <f>IFNA(VLOOKUP(W380,Grade_Scale!$A:$B,2,FALSE),"F")</f>
        <v/>
      </c>
      <c r="Z380">
        <f>IF(Y380="","",W380-IFNA(VLOOKUP(Y380,Grade_Scale!$D:$E,2,FALSE),""))</f>
        <v/>
      </c>
    </row>
    <row r="381">
      <c r="P381">
        <f>IF(OR(B381="SP",B381="RP",B381="CP",B381="SP/RP"),"P","H")</f>
        <v/>
      </c>
      <c r="Q381">
        <f>IF(F381="",0,IFNA(VLOOKUP(F381,Trait_Polarity!$A:$C,2,FALSE),0))+IF(G381="",0,IFNA(VLOOKUP(G381,Trait_Polarity!$A:$C,2,FALSE),0))</f>
        <v/>
      </c>
      <c r="R381">
        <f>IF(F381="",0,IFNA(VLOOKUP(F381,Trait_Polarity!$A:$C,3,FALSE),0))+IF(G381="",0,IFNA(VLOOKUP(G381,Trait_Polarity!$A:$C,3,FALSE),0))</f>
        <v/>
      </c>
      <c r="S381">
        <f>IF(P381="P",(M381+N381+O381)/3,0.3*H381+0.3*I381+0.2*J381+0.1*K381+0.1*L381)</f>
        <v/>
      </c>
      <c r="T381">
        <f>IF(P381="P",IFNA(VLOOKUP(B381,Pitcher_RoleAdj!$A:$B,2,FALSE),0),IFNA(VLOOKUP(B381,Hitter_PrimaryAdj!$A:$B,2,FALSE),0))</f>
        <v/>
      </c>
      <c r="U381">
        <f>IFNA(VLOOKUP(IF(C381="","(none)",C381),SecondaryAdj!$A:$B,2,FALSE),0)</f>
        <v/>
      </c>
      <c r="V381">
        <f>IF(P381="P",0.7780+0.1628*S381+0.2957*Q381-0.1912*R381-0.1512*IF(D381="S",1,0)+0.1600*IF(E381="L",1,0)+0.0091*H381+0.0124*I381+0.0017*J381+T381+U381,-0.8294+0.1849*S381+0.1750*Q381-0.2969*R381+0.6924*IF(D381="S",1,0)+0.0457*IF(E381="L",1,0)+T381+U381)</f>
        <v/>
      </c>
      <c r="W381">
        <f>MAX(0,MIN(16,ROUND(V381,0)))</f>
        <v/>
      </c>
      <c r="X381">
        <f>IFNA(VLOOKUP(W381,Grade_Scale!$A:$B,2,FALSE),"F")</f>
        <v/>
      </c>
      <c r="Z381">
        <f>IF(Y381="","",W381-IFNA(VLOOKUP(Y381,Grade_Scale!$D:$E,2,FALSE),""))</f>
        <v/>
      </c>
    </row>
    <row r="382">
      <c r="P382">
        <f>IF(OR(B382="SP",B382="RP",B382="CP",B382="SP/RP"),"P","H")</f>
        <v/>
      </c>
      <c r="Q382">
        <f>IF(F382="",0,IFNA(VLOOKUP(F382,Trait_Polarity!$A:$C,2,FALSE),0))+IF(G382="",0,IFNA(VLOOKUP(G382,Trait_Polarity!$A:$C,2,FALSE),0))</f>
        <v/>
      </c>
      <c r="R382">
        <f>IF(F382="",0,IFNA(VLOOKUP(F382,Trait_Polarity!$A:$C,3,FALSE),0))+IF(G382="",0,IFNA(VLOOKUP(G382,Trait_Polarity!$A:$C,3,FALSE),0))</f>
        <v/>
      </c>
      <c r="S382">
        <f>IF(P382="P",(M382+N382+O382)/3,0.3*H382+0.3*I382+0.2*J382+0.1*K382+0.1*L382)</f>
        <v/>
      </c>
      <c r="T382">
        <f>IF(P382="P",IFNA(VLOOKUP(B382,Pitcher_RoleAdj!$A:$B,2,FALSE),0),IFNA(VLOOKUP(B382,Hitter_PrimaryAdj!$A:$B,2,FALSE),0))</f>
        <v/>
      </c>
      <c r="U382">
        <f>IFNA(VLOOKUP(IF(C382="","(none)",C382),SecondaryAdj!$A:$B,2,FALSE),0)</f>
        <v/>
      </c>
      <c r="V382">
        <f>IF(P382="P",0.7780+0.1628*S382+0.2957*Q382-0.1912*R382-0.1512*IF(D382="S",1,0)+0.1600*IF(E382="L",1,0)+0.0091*H382+0.0124*I382+0.0017*J382+T382+U382,-0.8294+0.1849*S382+0.1750*Q382-0.2969*R382+0.6924*IF(D382="S",1,0)+0.0457*IF(E382="L",1,0)+T382+U382)</f>
        <v/>
      </c>
      <c r="W382">
        <f>MAX(0,MIN(16,ROUND(V382,0)))</f>
        <v/>
      </c>
      <c r="X382">
        <f>IFNA(VLOOKUP(W382,Grade_Scale!$A:$B,2,FALSE),"F")</f>
        <v/>
      </c>
      <c r="Z382">
        <f>IF(Y382="","",W382-IFNA(VLOOKUP(Y382,Grade_Scale!$D:$E,2,FALSE),""))</f>
        <v/>
      </c>
    </row>
    <row r="383">
      <c r="P383">
        <f>IF(OR(B383="SP",B383="RP",B383="CP",B383="SP/RP"),"P","H")</f>
        <v/>
      </c>
      <c r="Q383">
        <f>IF(F383="",0,IFNA(VLOOKUP(F383,Trait_Polarity!$A:$C,2,FALSE),0))+IF(G383="",0,IFNA(VLOOKUP(G383,Trait_Polarity!$A:$C,2,FALSE),0))</f>
        <v/>
      </c>
      <c r="R383">
        <f>IF(F383="",0,IFNA(VLOOKUP(F383,Trait_Polarity!$A:$C,3,FALSE),0))+IF(G383="",0,IFNA(VLOOKUP(G383,Trait_Polarity!$A:$C,3,FALSE),0))</f>
        <v/>
      </c>
      <c r="S383">
        <f>IF(P383="P",(M383+N383+O383)/3,0.3*H383+0.3*I383+0.2*J383+0.1*K383+0.1*L383)</f>
        <v/>
      </c>
      <c r="T383">
        <f>IF(P383="P",IFNA(VLOOKUP(B383,Pitcher_RoleAdj!$A:$B,2,FALSE),0),IFNA(VLOOKUP(B383,Hitter_PrimaryAdj!$A:$B,2,FALSE),0))</f>
        <v/>
      </c>
      <c r="U383">
        <f>IFNA(VLOOKUP(IF(C383="","(none)",C383),SecondaryAdj!$A:$B,2,FALSE),0)</f>
        <v/>
      </c>
      <c r="V383">
        <f>IF(P383="P",0.7780+0.1628*S383+0.2957*Q383-0.1912*R383-0.1512*IF(D383="S",1,0)+0.1600*IF(E383="L",1,0)+0.0091*H383+0.0124*I383+0.0017*J383+T383+U383,-0.8294+0.1849*S383+0.1750*Q383-0.2969*R383+0.6924*IF(D383="S",1,0)+0.0457*IF(E383="L",1,0)+T383+U383)</f>
        <v/>
      </c>
      <c r="W383">
        <f>MAX(0,MIN(16,ROUND(V383,0)))</f>
        <v/>
      </c>
      <c r="X383">
        <f>IFNA(VLOOKUP(W383,Grade_Scale!$A:$B,2,FALSE),"F")</f>
        <v/>
      </c>
      <c r="Z383">
        <f>IF(Y383="","",W383-IFNA(VLOOKUP(Y383,Grade_Scale!$D:$E,2,FALSE),""))</f>
        <v/>
      </c>
    </row>
    <row r="384">
      <c r="P384">
        <f>IF(OR(B384="SP",B384="RP",B384="CP",B384="SP/RP"),"P","H")</f>
        <v/>
      </c>
      <c r="Q384">
        <f>IF(F384="",0,IFNA(VLOOKUP(F384,Trait_Polarity!$A:$C,2,FALSE),0))+IF(G384="",0,IFNA(VLOOKUP(G384,Trait_Polarity!$A:$C,2,FALSE),0))</f>
        <v/>
      </c>
      <c r="R384">
        <f>IF(F384="",0,IFNA(VLOOKUP(F384,Trait_Polarity!$A:$C,3,FALSE),0))+IF(G384="",0,IFNA(VLOOKUP(G384,Trait_Polarity!$A:$C,3,FALSE),0))</f>
        <v/>
      </c>
      <c r="S384">
        <f>IF(P384="P",(M384+N384+O384)/3,0.3*H384+0.3*I384+0.2*J384+0.1*K384+0.1*L384)</f>
        <v/>
      </c>
      <c r="T384">
        <f>IF(P384="P",IFNA(VLOOKUP(B384,Pitcher_RoleAdj!$A:$B,2,FALSE),0),IFNA(VLOOKUP(B384,Hitter_PrimaryAdj!$A:$B,2,FALSE),0))</f>
        <v/>
      </c>
      <c r="U384">
        <f>IFNA(VLOOKUP(IF(C384="","(none)",C384),SecondaryAdj!$A:$B,2,FALSE),0)</f>
        <v/>
      </c>
      <c r="V384">
        <f>IF(P384="P",0.7780+0.1628*S384+0.2957*Q384-0.1912*R384-0.1512*IF(D384="S",1,0)+0.1600*IF(E384="L",1,0)+0.0091*H384+0.0124*I384+0.0017*J384+T384+U384,-0.8294+0.1849*S384+0.1750*Q384-0.2969*R384+0.6924*IF(D384="S",1,0)+0.0457*IF(E384="L",1,0)+T384+U384)</f>
        <v/>
      </c>
      <c r="W384">
        <f>MAX(0,MIN(16,ROUND(V384,0)))</f>
        <v/>
      </c>
      <c r="X384">
        <f>IFNA(VLOOKUP(W384,Grade_Scale!$A:$B,2,FALSE),"F")</f>
        <v/>
      </c>
      <c r="Z384">
        <f>IF(Y384="","",W384-IFNA(VLOOKUP(Y384,Grade_Scale!$D:$E,2,FALSE),""))</f>
        <v/>
      </c>
    </row>
    <row r="385">
      <c r="P385">
        <f>IF(OR(B385="SP",B385="RP",B385="CP",B385="SP/RP"),"P","H")</f>
        <v/>
      </c>
      <c r="Q385">
        <f>IF(F385="",0,IFNA(VLOOKUP(F385,Trait_Polarity!$A:$C,2,FALSE),0))+IF(G385="",0,IFNA(VLOOKUP(G385,Trait_Polarity!$A:$C,2,FALSE),0))</f>
        <v/>
      </c>
      <c r="R385">
        <f>IF(F385="",0,IFNA(VLOOKUP(F385,Trait_Polarity!$A:$C,3,FALSE),0))+IF(G385="",0,IFNA(VLOOKUP(G385,Trait_Polarity!$A:$C,3,FALSE),0))</f>
        <v/>
      </c>
      <c r="S385">
        <f>IF(P385="P",(M385+N385+O385)/3,0.3*H385+0.3*I385+0.2*J385+0.1*K385+0.1*L385)</f>
        <v/>
      </c>
      <c r="T385">
        <f>IF(P385="P",IFNA(VLOOKUP(B385,Pitcher_RoleAdj!$A:$B,2,FALSE),0),IFNA(VLOOKUP(B385,Hitter_PrimaryAdj!$A:$B,2,FALSE),0))</f>
        <v/>
      </c>
      <c r="U385">
        <f>IFNA(VLOOKUP(IF(C385="","(none)",C385),SecondaryAdj!$A:$B,2,FALSE),0)</f>
        <v/>
      </c>
      <c r="V385">
        <f>IF(P385="P",0.7780+0.1628*S385+0.2957*Q385-0.1912*R385-0.1512*IF(D385="S",1,0)+0.1600*IF(E385="L",1,0)+0.0091*H385+0.0124*I385+0.0017*J385+T385+U385,-0.8294+0.1849*S385+0.1750*Q385-0.2969*R385+0.6924*IF(D385="S",1,0)+0.0457*IF(E385="L",1,0)+T385+U385)</f>
        <v/>
      </c>
      <c r="W385">
        <f>MAX(0,MIN(16,ROUND(V385,0)))</f>
        <v/>
      </c>
      <c r="X385">
        <f>IFNA(VLOOKUP(W385,Grade_Scale!$A:$B,2,FALSE),"F")</f>
        <v/>
      </c>
      <c r="Z385">
        <f>IF(Y385="","",W385-IFNA(VLOOKUP(Y385,Grade_Scale!$D:$E,2,FALSE),""))</f>
        <v/>
      </c>
    </row>
    <row r="386">
      <c r="P386">
        <f>IF(OR(B386="SP",B386="RP",B386="CP",B386="SP/RP"),"P","H")</f>
        <v/>
      </c>
      <c r="Q386">
        <f>IF(F386="",0,IFNA(VLOOKUP(F386,Trait_Polarity!$A:$C,2,FALSE),0))+IF(G386="",0,IFNA(VLOOKUP(G386,Trait_Polarity!$A:$C,2,FALSE),0))</f>
        <v/>
      </c>
      <c r="R386">
        <f>IF(F386="",0,IFNA(VLOOKUP(F386,Trait_Polarity!$A:$C,3,FALSE),0))+IF(G386="",0,IFNA(VLOOKUP(G386,Trait_Polarity!$A:$C,3,FALSE),0))</f>
        <v/>
      </c>
      <c r="S386">
        <f>IF(P386="P",(M386+N386+O386)/3,0.3*H386+0.3*I386+0.2*J386+0.1*K386+0.1*L386)</f>
        <v/>
      </c>
      <c r="T386">
        <f>IF(P386="P",IFNA(VLOOKUP(B386,Pitcher_RoleAdj!$A:$B,2,FALSE),0),IFNA(VLOOKUP(B386,Hitter_PrimaryAdj!$A:$B,2,FALSE),0))</f>
        <v/>
      </c>
      <c r="U386">
        <f>IFNA(VLOOKUP(IF(C386="","(none)",C386),SecondaryAdj!$A:$B,2,FALSE),0)</f>
        <v/>
      </c>
      <c r="V386">
        <f>IF(P386="P",0.7780+0.1628*S386+0.2957*Q386-0.1912*R386-0.1512*IF(D386="S",1,0)+0.1600*IF(E386="L",1,0)+0.0091*H386+0.0124*I386+0.0017*J386+T386+U386,-0.8294+0.1849*S386+0.1750*Q386-0.2969*R386+0.6924*IF(D386="S",1,0)+0.0457*IF(E386="L",1,0)+T386+U386)</f>
        <v/>
      </c>
      <c r="W386">
        <f>MAX(0,MIN(16,ROUND(V386,0)))</f>
        <v/>
      </c>
      <c r="X386">
        <f>IFNA(VLOOKUP(W386,Grade_Scale!$A:$B,2,FALSE),"F")</f>
        <v/>
      </c>
      <c r="Z386">
        <f>IF(Y386="","",W386-IFNA(VLOOKUP(Y386,Grade_Scale!$D:$E,2,FALSE),""))</f>
        <v/>
      </c>
    </row>
    <row r="387">
      <c r="P387">
        <f>IF(OR(B387="SP",B387="RP",B387="CP",B387="SP/RP"),"P","H")</f>
        <v/>
      </c>
      <c r="Q387">
        <f>IF(F387="",0,IFNA(VLOOKUP(F387,Trait_Polarity!$A:$C,2,FALSE),0))+IF(G387="",0,IFNA(VLOOKUP(G387,Trait_Polarity!$A:$C,2,FALSE),0))</f>
        <v/>
      </c>
      <c r="R387">
        <f>IF(F387="",0,IFNA(VLOOKUP(F387,Trait_Polarity!$A:$C,3,FALSE),0))+IF(G387="",0,IFNA(VLOOKUP(G387,Trait_Polarity!$A:$C,3,FALSE),0))</f>
        <v/>
      </c>
      <c r="S387">
        <f>IF(P387="P",(M387+N387+O387)/3,0.3*H387+0.3*I387+0.2*J387+0.1*K387+0.1*L387)</f>
        <v/>
      </c>
      <c r="T387">
        <f>IF(P387="P",IFNA(VLOOKUP(B387,Pitcher_RoleAdj!$A:$B,2,FALSE),0),IFNA(VLOOKUP(B387,Hitter_PrimaryAdj!$A:$B,2,FALSE),0))</f>
        <v/>
      </c>
      <c r="U387">
        <f>IFNA(VLOOKUP(IF(C387="","(none)",C387),SecondaryAdj!$A:$B,2,FALSE),0)</f>
        <v/>
      </c>
      <c r="V387">
        <f>IF(P387="P",0.7780+0.1628*S387+0.2957*Q387-0.1912*R387-0.1512*IF(D387="S",1,0)+0.1600*IF(E387="L",1,0)+0.0091*H387+0.0124*I387+0.0017*J387+T387+U387,-0.8294+0.1849*S387+0.1750*Q387-0.2969*R387+0.6924*IF(D387="S",1,0)+0.0457*IF(E387="L",1,0)+T387+U387)</f>
        <v/>
      </c>
      <c r="W387">
        <f>MAX(0,MIN(16,ROUND(V387,0)))</f>
        <v/>
      </c>
      <c r="X387">
        <f>IFNA(VLOOKUP(W387,Grade_Scale!$A:$B,2,FALSE),"F")</f>
        <v/>
      </c>
      <c r="Z387">
        <f>IF(Y387="","",W387-IFNA(VLOOKUP(Y387,Grade_Scale!$D:$E,2,FALSE),""))</f>
        <v/>
      </c>
    </row>
    <row r="388">
      <c r="P388">
        <f>IF(OR(B388="SP",B388="RP",B388="CP",B388="SP/RP"),"P","H")</f>
        <v/>
      </c>
      <c r="Q388">
        <f>IF(F388="",0,IFNA(VLOOKUP(F388,Trait_Polarity!$A:$C,2,FALSE),0))+IF(G388="",0,IFNA(VLOOKUP(G388,Trait_Polarity!$A:$C,2,FALSE),0))</f>
        <v/>
      </c>
      <c r="R388">
        <f>IF(F388="",0,IFNA(VLOOKUP(F388,Trait_Polarity!$A:$C,3,FALSE),0))+IF(G388="",0,IFNA(VLOOKUP(G388,Trait_Polarity!$A:$C,3,FALSE),0))</f>
        <v/>
      </c>
      <c r="S388">
        <f>IF(P388="P",(M388+N388+O388)/3,0.3*H388+0.3*I388+0.2*J388+0.1*K388+0.1*L388)</f>
        <v/>
      </c>
      <c r="T388">
        <f>IF(P388="P",IFNA(VLOOKUP(B388,Pitcher_RoleAdj!$A:$B,2,FALSE),0),IFNA(VLOOKUP(B388,Hitter_PrimaryAdj!$A:$B,2,FALSE),0))</f>
        <v/>
      </c>
      <c r="U388">
        <f>IFNA(VLOOKUP(IF(C388="","(none)",C388),SecondaryAdj!$A:$B,2,FALSE),0)</f>
        <v/>
      </c>
      <c r="V388">
        <f>IF(P388="P",0.7780+0.1628*S388+0.2957*Q388-0.1912*R388-0.1512*IF(D388="S",1,0)+0.1600*IF(E388="L",1,0)+0.0091*H388+0.0124*I388+0.0017*J388+T388+U388,-0.8294+0.1849*S388+0.1750*Q388-0.2969*R388+0.6924*IF(D388="S",1,0)+0.0457*IF(E388="L",1,0)+T388+U388)</f>
        <v/>
      </c>
      <c r="W388">
        <f>MAX(0,MIN(16,ROUND(V388,0)))</f>
        <v/>
      </c>
      <c r="X388">
        <f>IFNA(VLOOKUP(W388,Grade_Scale!$A:$B,2,FALSE),"F")</f>
        <v/>
      </c>
      <c r="Z388">
        <f>IF(Y388="","",W388-IFNA(VLOOKUP(Y388,Grade_Scale!$D:$E,2,FALSE),""))</f>
        <v/>
      </c>
    </row>
    <row r="389">
      <c r="P389">
        <f>IF(OR(B389="SP",B389="RP",B389="CP",B389="SP/RP"),"P","H")</f>
        <v/>
      </c>
      <c r="Q389">
        <f>IF(F389="",0,IFNA(VLOOKUP(F389,Trait_Polarity!$A:$C,2,FALSE),0))+IF(G389="",0,IFNA(VLOOKUP(G389,Trait_Polarity!$A:$C,2,FALSE),0))</f>
        <v/>
      </c>
      <c r="R389">
        <f>IF(F389="",0,IFNA(VLOOKUP(F389,Trait_Polarity!$A:$C,3,FALSE),0))+IF(G389="",0,IFNA(VLOOKUP(G389,Trait_Polarity!$A:$C,3,FALSE),0))</f>
        <v/>
      </c>
      <c r="S389">
        <f>IF(P389="P",(M389+N389+O389)/3,0.3*H389+0.3*I389+0.2*J389+0.1*K389+0.1*L389)</f>
        <v/>
      </c>
      <c r="T389">
        <f>IF(P389="P",IFNA(VLOOKUP(B389,Pitcher_RoleAdj!$A:$B,2,FALSE),0),IFNA(VLOOKUP(B389,Hitter_PrimaryAdj!$A:$B,2,FALSE),0))</f>
        <v/>
      </c>
      <c r="U389">
        <f>IFNA(VLOOKUP(IF(C389="","(none)",C389),SecondaryAdj!$A:$B,2,FALSE),0)</f>
        <v/>
      </c>
      <c r="V389">
        <f>IF(P389="P",0.7780+0.1628*S389+0.2957*Q389-0.1912*R389-0.1512*IF(D389="S",1,0)+0.1600*IF(E389="L",1,0)+0.0091*H389+0.0124*I389+0.0017*J389+T389+U389,-0.8294+0.1849*S389+0.1750*Q389-0.2969*R389+0.6924*IF(D389="S",1,0)+0.0457*IF(E389="L",1,0)+T389+U389)</f>
        <v/>
      </c>
      <c r="W389">
        <f>MAX(0,MIN(16,ROUND(V389,0)))</f>
        <v/>
      </c>
      <c r="X389">
        <f>IFNA(VLOOKUP(W389,Grade_Scale!$A:$B,2,FALSE),"F")</f>
        <v/>
      </c>
      <c r="Z389">
        <f>IF(Y389="","",W389-IFNA(VLOOKUP(Y389,Grade_Scale!$D:$E,2,FALSE),""))</f>
        <v/>
      </c>
    </row>
    <row r="390">
      <c r="P390">
        <f>IF(OR(B390="SP",B390="RP",B390="CP",B390="SP/RP"),"P","H")</f>
        <v/>
      </c>
      <c r="Q390">
        <f>IF(F390="",0,IFNA(VLOOKUP(F390,Trait_Polarity!$A:$C,2,FALSE),0))+IF(G390="",0,IFNA(VLOOKUP(G390,Trait_Polarity!$A:$C,2,FALSE),0))</f>
        <v/>
      </c>
      <c r="R390">
        <f>IF(F390="",0,IFNA(VLOOKUP(F390,Trait_Polarity!$A:$C,3,FALSE),0))+IF(G390="",0,IFNA(VLOOKUP(G390,Trait_Polarity!$A:$C,3,FALSE),0))</f>
        <v/>
      </c>
      <c r="S390">
        <f>IF(P390="P",(M390+N390+O390)/3,0.3*H390+0.3*I390+0.2*J390+0.1*K390+0.1*L390)</f>
        <v/>
      </c>
      <c r="T390">
        <f>IF(P390="P",IFNA(VLOOKUP(B390,Pitcher_RoleAdj!$A:$B,2,FALSE),0),IFNA(VLOOKUP(B390,Hitter_PrimaryAdj!$A:$B,2,FALSE),0))</f>
        <v/>
      </c>
      <c r="U390">
        <f>IFNA(VLOOKUP(IF(C390="","(none)",C390),SecondaryAdj!$A:$B,2,FALSE),0)</f>
        <v/>
      </c>
      <c r="V390">
        <f>IF(P390="P",0.7780+0.1628*S390+0.2957*Q390-0.1912*R390-0.1512*IF(D390="S",1,0)+0.1600*IF(E390="L",1,0)+0.0091*H390+0.0124*I390+0.0017*J390+T390+U390,-0.8294+0.1849*S390+0.1750*Q390-0.2969*R390+0.6924*IF(D390="S",1,0)+0.0457*IF(E390="L",1,0)+T390+U390)</f>
        <v/>
      </c>
      <c r="W390">
        <f>MAX(0,MIN(16,ROUND(V390,0)))</f>
        <v/>
      </c>
      <c r="X390">
        <f>IFNA(VLOOKUP(W390,Grade_Scale!$A:$B,2,FALSE),"F")</f>
        <v/>
      </c>
      <c r="Z390">
        <f>IF(Y390="","",W390-IFNA(VLOOKUP(Y390,Grade_Scale!$D:$E,2,FALSE),""))</f>
        <v/>
      </c>
    </row>
    <row r="391">
      <c r="P391">
        <f>IF(OR(B391="SP",B391="RP",B391="CP",B391="SP/RP"),"P","H")</f>
        <v/>
      </c>
      <c r="Q391">
        <f>IF(F391="",0,IFNA(VLOOKUP(F391,Trait_Polarity!$A:$C,2,FALSE),0))+IF(G391="",0,IFNA(VLOOKUP(G391,Trait_Polarity!$A:$C,2,FALSE),0))</f>
        <v/>
      </c>
      <c r="R391">
        <f>IF(F391="",0,IFNA(VLOOKUP(F391,Trait_Polarity!$A:$C,3,FALSE),0))+IF(G391="",0,IFNA(VLOOKUP(G391,Trait_Polarity!$A:$C,3,FALSE),0))</f>
        <v/>
      </c>
      <c r="S391">
        <f>IF(P391="P",(M391+N391+O391)/3,0.3*H391+0.3*I391+0.2*J391+0.1*K391+0.1*L391)</f>
        <v/>
      </c>
      <c r="T391">
        <f>IF(P391="P",IFNA(VLOOKUP(B391,Pitcher_RoleAdj!$A:$B,2,FALSE),0),IFNA(VLOOKUP(B391,Hitter_PrimaryAdj!$A:$B,2,FALSE),0))</f>
        <v/>
      </c>
      <c r="U391">
        <f>IFNA(VLOOKUP(IF(C391="","(none)",C391),SecondaryAdj!$A:$B,2,FALSE),0)</f>
        <v/>
      </c>
      <c r="V391">
        <f>IF(P391="P",0.7780+0.1628*S391+0.2957*Q391-0.1912*R391-0.1512*IF(D391="S",1,0)+0.1600*IF(E391="L",1,0)+0.0091*H391+0.0124*I391+0.0017*J391+T391+U391,-0.8294+0.1849*S391+0.1750*Q391-0.2969*R391+0.6924*IF(D391="S",1,0)+0.0457*IF(E391="L",1,0)+T391+U391)</f>
        <v/>
      </c>
      <c r="W391">
        <f>MAX(0,MIN(16,ROUND(V391,0)))</f>
        <v/>
      </c>
      <c r="X391">
        <f>IFNA(VLOOKUP(W391,Grade_Scale!$A:$B,2,FALSE),"F")</f>
        <v/>
      </c>
      <c r="Z391">
        <f>IF(Y391="","",W391-IFNA(VLOOKUP(Y391,Grade_Scale!$D:$E,2,FALSE),""))</f>
        <v/>
      </c>
    </row>
    <row r="392">
      <c r="P392">
        <f>IF(OR(B392="SP",B392="RP",B392="CP",B392="SP/RP"),"P","H")</f>
        <v/>
      </c>
      <c r="Q392">
        <f>IF(F392="",0,IFNA(VLOOKUP(F392,Trait_Polarity!$A:$C,2,FALSE),0))+IF(G392="",0,IFNA(VLOOKUP(G392,Trait_Polarity!$A:$C,2,FALSE),0))</f>
        <v/>
      </c>
      <c r="R392">
        <f>IF(F392="",0,IFNA(VLOOKUP(F392,Trait_Polarity!$A:$C,3,FALSE),0))+IF(G392="",0,IFNA(VLOOKUP(G392,Trait_Polarity!$A:$C,3,FALSE),0))</f>
        <v/>
      </c>
      <c r="S392">
        <f>IF(P392="P",(M392+N392+O392)/3,0.3*H392+0.3*I392+0.2*J392+0.1*K392+0.1*L392)</f>
        <v/>
      </c>
      <c r="T392">
        <f>IF(P392="P",IFNA(VLOOKUP(B392,Pitcher_RoleAdj!$A:$B,2,FALSE),0),IFNA(VLOOKUP(B392,Hitter_PrimaryAdj!$A:$B,2,FALSE),0))</f>
        <v/>
      </c>
      <c r="U392">
        <f>IFNA(VLOOKUP(IF(C392="","(none)",C392),SecondaryAdj!$A:$B,2,FALSE),0)</f>
        <v/>
      </c>
      <c r="V392">
        <f>IF(P392="P",0.7780+0.1628*S392+0.2957*Q392-0.1912*R392-0.1512*IF(D392="S",1,0)+0.1600*IF(E392="L",1,0)+0.0091*H392+0.0124*I392+0.0017*J392+T392+U392,-0.8294+0.1849*S392+0.1750*Q392-0.2969*R392+0.6924*IF(D392="S",1,0)+0.0457*IF(E392="L",1,0)+T392+U392)</f>
        <v/>
      </c>
      <c r="W392">
        <f>MAX(0,MIN(16,ROUND(V392,0)))</f>
        <v/>
      </c>
      <c r="X392">
        <f>IFNA(VLOOKUP(W392,Grade_Scale!$A:$B,2,FALSE),"F")</f>
        <v/>
      </c>
      <c r="Z392">
        <f>IF(Y392="","",W392-IFNA(VLOOKUP(Y392,Grade_Scale!$D:$E,2,FALSE),""))</f>
        <v/>
      </c>
    </row>
    <row r="393">
      <c r="P393">
        <f>IF(OR(B393="SP",B393="RP",B393="CP",B393="SP/RP"),"P","H")</f>
        <v/>
      </c>
      <c r="Q393">
        <f>IF(F393="",0,IFNA(VLOOKUP(F393,Trait_Polarity!$A:$C,2,FALSE),0))+IF(G393="",0,IFNA(VLOOKUP(G393,Trait_Polarity!$A:$C,2,FALSE),0))</f>
        <v/>
      </c>
      <c r="R393">
        <f>IF(F393="",0,IFNA(VLOOKUP(F393,Trait_Polarity!$A:$C,3,FALSE),0))+IF(G393="",0,IFNA(VLOOKUP(G393,Trait_Polarity!$A:$C,3,FALSE),0))</f>
        <v/>
      </c>
      <c r="S393">
        <f>IF(P393="P",(M393+N393+O393)/3,0.3*H393+0.3*I393+0.2*J393+0.1*K393+0.1*L393)</f>
        <v/>
      </c>
      <c r="T393">
        <f>IF(P393="P",IFNA(VLOOKUP(B393,Pitcher_RoleAdj!$A:$B,2,FALSE),0),IFNA(VLOOKUP(B393,Hitter_PrimaryAdj!$A:$B,2,FALSE),0))</f>
        <v/>
      </c>
      <c r="U393">
        <f>IFNA(VLOOKUP(IF(C393="","(none)",C393),SecondaryAdj!$A:$B,2,FALSE),0)</f>
        <v/>
      </c>
      <c r="V393">
        <f>IF(P393="P",0.7780+0.1628*S393+0.2957*Q393-0.1912*R393-0.1512*IF(D393="S",1,0)+0.1600*IF(E393="L",1,0)+0.0091*H393+0.0124*I393+0.0017*J393+T393+U393,-0.8294+0.1849*S393+0.1750*Q393-0.2969*R393+0.6924*IF(D393="S",1,0)+0.0457*IF(E393="L",1,0)+T393+U393)</f>
        <v/>
      </c>
      <c r="W393">
        <f>MAX(0,MIN(16,ROUND(V393,0)))</f>
        <v/>
      </c>
      <c r="X393">
        <f>IFNA(VLOOKUP(W393,Grade_Scale!$A:$B,2,FALSE),"F")</f>
        <v/>
      </c>
      <c r="Z393">
        <f>IF(Y393="","",W393-IFNA(VLOOKUP(Y393,Grade_Scale!$D:$E,2,FALSE),""))</f>
        <v/>
      </c>
    </row>
    <row r="394">
      <c r="P394">
        <f>IF(OR(B394="SP",B394="RP",B394="CP",B394="SP/RP"),"P","H")</f>
        <v/>
      </c>
      <c r="Q394">
        <f>IF(F394="",0,IFNA(VLOOKUP(F394,Trait_Polarity!$A:$C,2,FALSE),0))+IF(G394="",0,IFNA(VLOOKUP(G394,Trait_Polarity!$A:$C,2,FALSE),0))</f>
        <v/>
      </c>
      <c r="R394">
        <f>IF(F394="",0,IFNA(VLOOKUP(F394,Trait_Polarity!$A:$C,3,FALSE),0))+IF(G394="",0,IFNA(VLOOKUP(G394,Trait_Polarity!$A:$C,3,FALSE),0))</f>
        <v/>
      </c>
      <c r="S394">
        <f>IF(P394="P",(M394+N394+O394)/3,0.3*H394+0.3*I394+0.2*J394+0.1*K394+0.1*L394)</f>
        <v/>
      </c>
      <c r="T394">
        <f>IF(P394="P",IFNA(VLOOKUP(B394,Pitcher_RoleAdj!$A:$B,2,FALSE),0),IFNA(VLOOKUP(B394,Hitter_PrimaryAdj!$A:$B,2,FALSE),0))</f>
        <v/>
      </c>
      <c r="U394">
        <f>IFNA(VLOOKUP(IF(C394="","(none)",C394),SecondaryAdj!$A:$B,2,FALSE),0)</f>
        <v/>
      </c>
      <c r="V394">
        <f>IF(P394="P",0.7780+0.1628*S394+0.2957*Q394-0.1912*R394-0.1512*IF(D394="S",1,0)+0.1600*IF(E394="L",1,0)+0.0091*H394+0.0124*I394+0.0017*J394+T394+U394,-0.8294+0.1849*S394+0.1750*Q394-0.2969*R394+0.6924*IF(D394="S",1,0)+0.0457*IF(E394="L",1,0)+T394+U394)</f>
        <v/>
      </c>
      <c r="W394">
        <f>MAX(0,MIN(16,ROUND(V394,0)))</f>
        <v/>
      </c>
      <c r="X394">
        <f>IFNA(VLOOKUP(W394,Grade_Scale!$A:$B,2,FALSE),"F")</f>
        <v/>
      </c>
      <c r="Z394">
        <f>IF(Y394="","",W394-IFNA(VLOOKUP(Y394,Grade_Scale!$D:$E,2,FALSE),""))</f>
        <v/>
      </c>
    </row>
    <row r="395">
      <c r="P395">
        <f>IF(OR(B395="SP",B395="RP",B395="CP",B395="SP/RP"),"P","H")</f>
        <v/>
      </c>
      <c r="Q395">
        <f>IF(F395="",0,IFNA(VLOOKUP(F395,Trait_Polarity!$A:$C,2,FALSE),0))+IF(G395="",0,IFNA(VLOOKUP(G395,Trait_Polarity!$A:$C,2,FALSE),0))</f>
        <v/>
      </c>
      <c r="R395">
        <f>IF(F395="",0,IFNA(VLOOKUP(F395,Trait_Polarity!$A:$C,3,FALSE),0))+IF(G395="",0,IFNA(VLOOKUP(G395,Trait_Polarity!$A:$C,3,FALSE),0))</f>
        <v/>
      </c>
      <c r="S395">
        <f>IF(P395="P",(M395+N395+O395)/3,0.3*H395+0.3*I395+0.2*J395+0.1*K395+0.1*L395)</f>
        <v/>
      </c>
      <c r="T395">
        <f>IF(P395="P",IFNA(VLOOKUP(B395,Pitcher_RoleAdj!$A:$B,2,FALSE),0),IFNA(VLOOKUP(B395,Hitter_PrimaryAdj!$A:$B,2,FALSE),0))</f>
        <v/>
      </c>
      <c r="U395">
        <f>IFNA(VLOOKUP(IF(C395="","(none)",C395),SecondaryAdj!$A:$B,2,FALSE),0)</f>
        <v/>
      </c>
      <c r="V395">
        <f>IF(P395="P",0.7780+0.1628*S395+0.2957*Q395-0.1912*R395-0.1512*IF(D395="S",1,0)+0.1600*IF(E395="L",1,0)+0.0091*H395+0.0124*I395+0.0017*J395+T395+U395,-0.8294+0.1849*S395+0.1750*Q395-0.2969*R395+0.6924*IF(D395="S",1,0)+0.0457*IF(E395="L",1,0)+T395+U395)</f>
        <v/>
      </c>
      <c r="W395">
        <f>MAX(0,MIN(16,ROUND(V395,0)))</f>
        <v/>
      </c>
      <c r="X395">
        <f>IFNA(VLOOKUP(W395,Grade_Scale!$A:$B,2,FALSE),"F")</f>
        <v/>
      </c>
      <c r="Z395">
        <f>IF(Y395="","",W395-IFNA(VLOOKUP(Y395,Grade_Scale!$D:$E,2,FALSE),""))</f>
        <v/>
      </c>
    </row>
    <row r="396">
      <c r="P396">
        <f>IF(OR(B396="SP",B396="RP",B396="CP",B396="SP/RP"),"P","H")</f>
        <v/>
      </c>
      <c r="Q396">
        <f>IF(F396="",0,IFNA(VLOOKUP(F396,Trait_Polarity!$A:$C,2,FALSE),0))+IF(G396="",0,IFNA(VLOOKUP(G396,Trait_Polarity!$A:$C,2,FALSE),0))</f>
        <v/>
      </c>
      <c r="R396">
        <f>IF(F396="",0,IFNA(VLOOKUP(F396,Trait_Polarity!$A:$C,3,FALSE),0))+IF(G396="",0,IFNA(VLOOKUP(G396,Trait_Polarity!$A:$C,3,FALSE),0))</f>
        <v/>
      </c>
      <c r="S396">
        <f>IF(P396="P",(M396+N396+O396)/3,0.3*H396+0.3*I396+0.2*J396+0.1*K396+0.1*L396)</f>
        <v/>
      </c>
      <c r="T396">
        <f>IF(P396="P",IFNA(VLOOKUP(B396,Pitcher_RoleAdj!$A:$B,2,FALSE),0),IFNA(VLOOKUP(B396,Hitter_PrimaryAdj!$A:$B,2,FALSE),0))</f>
        <v/>
      </c>
      <c r="U396">
        <f>IFNA(VLOOKUP(IF(C396="","(none)",C396),SecondaryAdj!$A:$B,2,FALSE),0)</f>
        <v/>
      </c>
      <c r="V396">
        <f>IF(P396="P",0.7780+0.1628*S396+0.2957*Q396-0.1912*R396-0.1512*IF(D396="S",1,0)+0.1600*IF(E396="L",1,0)+0.0091*H396+0.0124*I396+0.0017*J396+T396+U396,-0.8294+0.1849*S396+0.1750*Q396-0.2969*R396+0.6924*IF(D396="S",1,0)+0.0457*IF(E396="L",1,0)+T396+U396)</f>
        <v/>
      </c>
      <c r="W396">
        <f>MAX(0,MIN(16,ROUND(V396,0)))</f>
        <v/>
      </c>
      <c r="X396">
        <f>IFNA(VLOOKUP(W396,Grade_Scale!$A:$B,2,FALSE),"F")</f>
        <v/>
      </c>
      <c r="Z396">
        <f>IF(Y396="","",W396-IFNA(VLOOKUP(Y396,Grade_Scale!$D:$E,2,FALSE),""))</f>
        <v/>
      </c>
    </row>
    <row r="397">
      <c r="P397">
        <f>IF(OR(B397="SP",B397="RP",B397="CP",B397="SP/RP"),"P","H")</f>
        <v/>
      </c>
      <c r="Q397">
        <f>IF(F397="",0,IFNA(VLOOKUP(F397,Trait_Polarity!$A:$C,2,FALSE),0))+IF(G397="",0,IFNA(VLOOKUP(G397,Trait_Polarity!$A:$C,2,FALSE),0))</f>
        <v/>
      </c>
      <c r="R397">
        <f>IF(F397="",0,IFNA(VLOOKUP(F397,Trait_Polarity!$A:$C,3,FALSE),0))+IF(G397="",0,IFNA(VLOOKUP(G397,Trait_Polarity!$A:$C,3,FALSE),0))</f>
        <v/>
      </c>
      <c r="S397">
        <f>IF(P397="P",(M397+N397+O397)/3,0.3*H397+0.3*I397+0.2*J397+0.1*K397+0.1*L397)</f>
        <v/>
      </c>
      <c r="T397">
        <f>IF(P397="P",IFNA(VLOOKUP(B397,Pitcher_RoleAdj!$A:$B,2,FALSE),0),IFNA(VLOOKUP(B397,Hitter_PrimaryAdj!$A:$B,2,FALSE),0))</f>
        <v/>
      </c>
      <c r="U397">
        <f>IFNA(VLOOKUP(IF(C397="","(none)",C397),SecondaryAdj!$A:$B,2,FALSE),0)</f>
        <v/>
      </c>
      <c r="V397">
        <f>IF(P397="P",0.7780+0.1628*S397+0.2957*Q397-0.1912*R397-0.1512*IF(D397="S",1,0)+0.1600*IF(E397="L",1,0)+0.0091*H397+0.0124*I397+0.0017*J397+T397+U397,-0.8294+0.1849*S397+0.1750*Q397-0.2969*R397+0.6924*IF(D397="S",1,0)+0.0457*IF(E397="L",1,0)+T397+U397)</f>
        <v/>
      </c>
      <c r="W397">
        <f>MAX(0,MIN(16,ROUND(V397,0)))</f>
        <v/>
      </c>
      <c r="X397">
        <f>IFNA(VLOOKUP(W397,Grade_Scale!$A:$B,2,FALSE),"F")</f>
        <v/>
      </c>
      <c r="Z397">
        <f>IF(Y397="","",W397-IFNA(VLOOKUP(Y397,Grade_Scale!$D:$E,2,FALSE),""))</f>
        <v/>
      </c>
    </row>
    <row r="398">
      <c r="P398">
        <f>IF(OR(B398="SP",B398="RP",B398="CP",B398="SP/RP"),"P","H")</f>
        <v/>
      </c>
      <c r="Q398">
        <f>IF(F398="",0,IFNA(VLOOKUP(F398,Trait_Polarity!$A:$C,2,FALSE),0))+IF(G398="",0,IFNA(VLOOKUP(G398,Trait_Polarity!$A:$C,2,FALSE),0))</f>
        <v/>
      </c>
      <c r="R398">
        <f>IF(F398="",0,IFNA(VLOOKUP(F398,Trait_Polarity!$A:$C,3,FALSE),0))+IF(G398="",0,IFNA(VLOOKUP(G398,Trait_Polarity!$A:$C,3,FALSE),0))</f>
        <v/>
      </c>
      <c r="S398">
        <f>IF(P398="P",(M398+N398+O398)/3,0.3*H398+0.3*I398+0.2*J398+0.1*K398+0.1*L398)</f>
        <v/>
      </c>
      <c r="T398">
        <f>IF(P398="P",IFNA(VLOOKUP(B398,Pitcher_RoleAdj!$A:$B,2,FALSE),0),IFNA(VLOOKUP(B398,Hitter_PrimaryAdj!$A:$B,2,FALSE),0))</f>
        <v/>
      </c>
      <c r="U398">
        <f>IFNA(VLOOKUP(IF(C398="","(none)",C398),SecondaryAdj!$A:$B,2,FALSE),0)</f>
        <v/>
      </c>
      <c r="V398">
        <f>IF(P398="P",0.7780+0.1628*S398+0.2957*Q398-0.1912*R398-0.1512*IF(D398="S",1,0)+0.1600*IF(E398="L",1,0)+0.0091*H398+0.0124*I398+0.0017*J398+T398+U398,-0.8294+0.1849*S398+0.1750*Q398-0.2969*R398+0.6924*IF(D398="S",1,0)+0.0457*IF(E398="L",1,0)+T398+U398)</f>
        <v/>
      </c>
      <c r="W398">
        <f>MAX(0,MIN(16,ROUND(V398,0)))</f>
        <v/>
      </c>
      <c r="X398">
        <f>IFNA(VLOOKUP(W398,Grade_Scale!$A:$B,2,FALSE),"F")</f>
        <v/>
      </c>
      <c r="Z398">
        <f>IF(Y398="","",W398-IFNA(VLOOKUP(Y398,Grade_Scale!$D:$E,2,FALSE),""))</f>
        <v/>
      </c>
    </row>
    <row r="399">
      <c r="P399">
        <f>IF(OR(B399="SP",B399="RP",B399="CP",B399="SP/RP"),"P","H")</f>
        <v/>
      </c>
      <c r="Q399">
        <f>IF(F399="",0,IFNA(VLOOKUP(F399,Trait_Polarity!$A:$C,2,FALSE),0))+IF(G399="",0,IFNA(VLOOKUP(G399,Trait_Polarity!$A:$C,2,FALSE),0))</f>
        <v/>
      </c>
      <c r="R399">
        <f>IF(F399="",0,IFNA(VLOOKUP(F399,Trait_Polarity!$A:$C,3,FALSE),0))+IF(G399="",0,IFNA(VLOOKUP(G399,Trait_Polarity!$A:$C,3,FALSE),0))</f>
        <v/>
      </c>
      <c r="S399">
        <f>IF(P399="P",(M399+N399+O399)/3,0.3*H399+0.3*I399+0.2*J399+0.1*K399+0.1*L399)</f>
        <v/>
      </c>
      <c r="T399">
        <f>IF(P399="P",IFNA(VLOOKUP(B399,Pitcher_RoleAdj!$A:$B,2,FALSE),0),IFNA(VLOOKUP(B399,Hitter_PrimaryAdj!$A:$B,2,FALSE),0))</f>
        <v/>
      </c>
      <c r="U399">
        <f>IFNA(VLOOKUP(IF(C399="","(none)",C399),SecondaryAdj!$A:$B,2,FALSE),0)</f>
        <v/>
      </c>
      <c r="V399">
        <f>IF(P399="P",0.7780+0.1628*S399+0.2957*Q399-0.1912*R399-0.1512*IF(D399="S",1,0)+0.1600*IF(E399="L",1,0)+0.0091*H399+0.0124*I399+0.0017*J399+T399+U399,-0.8294+0.1849*S399+0.1750*Q399-0.2969*R399+0.6924*IF(D399="S",1,0)+0.0457*IF(E399="L",1,0)+T399+U399)</f>
        <v/>
      </c>
      <c r="W399">
        <f>MAX(0,MIN(16,ROUND(V399,0)))</f>
        <v/>
      </c>
      <c r="X399">
        <f>IFNA(VLOOKUP(W399,Grade_Scale!$A:$B,2,FALSE),"F")</f>
        <v/>
      </c>
      <c r="Z399">
        <f>IF(Y399="","",W399-IFNA(VLOOKUP(Y399,Grade_Scale!$D:$E,2,FALSE),""))</f>
        <v/>
      </c>
    </row>
    <row r="400">
      <c r="P400">
        <f>IF(OR(B400="SP",B400="RP",B400="CP",B400="SP/RP"),"P","H")</f>
        <v/>
      </c>
      <c r="Q400">
        <f>IF(F400="",0,IFNA(VLOOKUP(F400,Trait_Polarity!$A:$C,2,FALSE),0))+IF(G400="",0,IFNA(VLOOKUP(G400,Trait_Polarity!$A:$C,2,FALSE),0))</f>
        <v/>
      </c>
      <c r="R400">
        <f>IF(F400="",0,IFNA(VLOOKUP(F400,Trait_Polarity!$A:$C,3,FALSE),0))+IF(G400="",0,IFNA(VLOOKUP(G400,Trait_Polarity!$A:$C,3,FALSE),0))</f>
        <v/>
      </c>
      <c r="S400">
        <f>IF(P400="P",(M400+N400+O400)/3,0.3*H400+0.3*I400+0.2*J400+0.1*K400+0.1*L400)</f>
        <v/>
      </c>
      <c r="T400">
        <f>IF(P400="P",IFNA(VLOOKUP(B400,Pitcher_RoleAdj!$A:$B,2,FALSE),0),IFNA(VLOOKUP(B400,Hitter_PrimaryAdj!$A:$B,2,FALSE),0))</f>
        <v/>
      </c>
      <c r="U400">
        <f>IFNA(VLOOKUP(IF(C400="","(none)",C400),SecondaryAdj!$A:$B,2,FALSE),0)</f>
        <v/>
      </c>
      <c r="V400">
        <f>IF(P400="P",0.7780+0.1628*S400+0.2957*Q400-0.1912*R400-0.1512*IF(D400="S",1,0)+0.1600*IF(E400="L",1,0)+0.0091*H400+0.0124*I400+0.0017*J400+T400+U400,-0.8294+0.1849*S400+0.1750*Q400-0.2969*R400+0.6924*IF(D400="S",1,0)+0.0457*IF(E400="L",1,0)+T400+U400)</f>
        <v/>
      </c>
      <c r="W400">
        <f>MAX(0,MIN(16,ROUND(V400,0)))</f>
        <v/>
      </c>
      <c r="X400">
        <f>IFNA(VLOOKUP(W400,Grade_Scale!$A:$B,2,FALSE),"F")</f>
        <v/>
      </c>
      <c r="Z400">
        <f>IF(Y400="","",W400-IFNA(VLOOKUP(Y400,Grade_Scale!$D:$E,2,FALSE),""))</f>
        <v/>
      </c>
    </row>
    <row r="401">
      <c r="P401">
        <f>IF(OR(B401="SP",B401="RP",B401="CP",B401="SP/RP"),"P","H")</f>
        <v/>
      </c>
      <c r="Q401">
        <f>IF(F401="",0,IFNA(VLOOKUP(F401,Trait_Polarity!$A:$C,2,FALSE),0))+IF(G401="",0,IFNA(VLOOKUP(G401,Trait_Polarity!$A:$C,2,FALSE),0))</f>
        <v/>
      </c>
      <c r="R401">
        <f>IF(F401="",0,IFNA(VLOOKUP(F401,Trait_Polarity!$A:$C,3,FALSE),0))+IF(G401="",0,IFNA(VLOOKUP(G401,Trait_Polarity!$A:$C,3,FALSE),0))</f>
        <v/>
      </c>
      <c r="S401">
        <f>IF(P401="P",(M401+N401+O401)/3,0.3*H401+0.3*I401+0.2*J401+0.1*K401+0.1*L401)</f>
        <v/>
      </c>
      <c r="T401">
        <f>IF(P401="P",IFNA(VLOOKUP(B401,Pitcher_RoleAdj!$A:$B,2,FALSE),0),IFNA(VLOOKUP(B401,Hitter_PrimaryAdj!$A:$B,2,FALSE),0))</f>
        <v/>
      </c>
      <c r="U401">
        <f>IFNA(VLOOKUP(IF(C401="","(none)",C401),SecondaryAdj!$A:$B,2,FALSE),0)</f>
        <v/>
      </c>
      <c r="V401">
        <f>IF(P401="P",0.7780+0.1628*S401+0.2957*Q401-0.1912*R401-0.1512*IF(D401="S",1,0)+0.1600*IF(E401="L",1,0)+0.0091*H401+0.0124*I401+0.0017*J401+T401+U401,-0.8294+0.1849*S401+0.1750*Q401-0.2969*R401+0.6924*IF(D401="S",1,0)+0.0457*IF(E401="L",1,0)+T401+U401)</f>
        <v/>
      </c>
      <c r="W401">
        <f>MAX(0,MIN(16,ROUND(V401,0)))</f>
        <v/>
      </c>
      <c r="X401">
        <f>IFNA(VLOOKUP(W401,Grade_Scale!$A:$B,2,FALSE),"F")</f>
        <v/>
      </c>
      <c r="Z401">
        <f>IF(Y401="","",W401-IFNA(VLOOKUP(Y401,Grade_Scale!$D:$E,2,FALSE),""))</f>
        <v/>
      </c>
    </row>
    <row r="402">
      <c r="P402">
        <f>IF(OR(B402="SP",B402="RP",B402="CP",B402="SP/RP"),"P","H")</f>
        <v/>
      </c>
      <c r="Q402">
        <f>IF(F402="",0,IFNA(VLOOKUP(F402,Trait_Polarity!$A:$C,2,FALSE),0))+IF(G402="",0,IFNA(VLOOKUP(G402,Trait_Polarity!$A:$C,2,FALSE),0))</f>
        <v/>
      </c>
      <c r="R402">
        <f>IF(F402="",0,IFNA(VLOOKUP(F402,Trait_Polarity!$A:$C,3,FALSE),0))+IF(G402="",0,IFNA(VLOOKUP(G402,Trait_Polarity!$A:$C,3,FALSE),0))</f>
        <v/>
      </c>
      <c r="S402">
        <f>IF(P402="P",(M402+N402+O402)/3,0.3*H402+0.3*I402+0.2*J402+0.1*K402+0.1*L402)</f>
        <v/>
      </c>
      <c r="T402">
        <f>IF(P402="P",IFNA(VLOOKUP(B402,Pitcher_RoleAdj!$A:$B,2,FALSE),0),IFNA(VLOOKUP(B402,Hitter_PrimaryAdj!$A:$B,2,FALSE),0))</f>
        <v/>
      </c>
      <c r="U402">
        <f>IFNA(VLOOKUP(IF(C402="","(none)",C402),SecondaryAdj!$A:$B,2,FALSE),0)</f>
        <v/>
      </c>
      <c r="V402">
        <f>IF(P402="P",0.7780+0.1628*S402+0.2957*Q402-0.1912*R402-0.1512*IF(D402="S",1,0)+0.1600*IF(E402="L",1,0)+0.0091*H402+0.0124*I402+0.0017*J402+T402+U402,-0.8294+0.1849*S402+0.1750*Q402-0.2969*R402+0.6924*IF(D402="S",1,0)+0.0457*IF(E402="L",1,0)+T402+U402)</f>
        <v/>
      </c>
      <c r="W402">
        <f>MAX(0,MIN(16,ROUND(V402,0)))</f>
        <v/>
      </c>
      <c r="X402">
        <f>IFNA(VLOOKUP(W402,Grade_Scale!$A:$B,2,FALSE),"F")</f>
        <v/>
      </c>
      <c r="Z402">
        <f>IF(Y402="","",W402-IFNA(VLOOKUP(Y402,Grade_Scale!$D:$E,2,FALSE),""))</f>
        <v/>
      </c>
    </row>
    <row r="403">
      <c r="P403">
        <f>IF(OR(B403="SP",B403="RP",B403="CP",B403="SP/RP"),"P","H")</f>
        <v/>
      </c>
      <c r="Q403">
        <f>IF(F403="",0,IFNA(VLOOKUP(F403,Trait_Polarity!$A:$C,2,FALSE),0))+IF(G403="",0,IFNA(VLOOKUP(G403,Trait_Polarity!$A:$C,2,FALSE),0))</f>
        <v/>
      </c>
      <c r="R403">
        <f>IF(F403="",0,IFNA(VLOOKUP(F403,Trait_Polarity!$A:$C,3,FALSE),0))+IF(G403="",0,IFNA(VLOOKUP(G403,Trait_Polarity!$A:$C,3,FALSE),0))</f>
        <v/>
      </c>
      <c r="S403">
        <f>IF(P403="P",(M403+N403+O403)/3,0.3*H403+0.3*I403+0.2*J403+0.1*K403+0.1*L403)</f>
        <v/>
      </c>
      <c r="T403">
        <f>IF(P403="P",IFNA(VLOOKUP(B403,Pitcher_RoleAdj!$A:$B,2,FALSE),0),IFNA(VLOOKUP(B403,Hitter_PrimaryAdj!$A:$B,2,FALSE),0))</f>
        <v/>
      </c>
      <c r="U403">
        <f>IFNA(VLOOKUP(IF(C403="","(none)",C403),SecondaryAdj!$A:$B,2,FALSE),0)</f>
        <v/>
      </c>
      <c r="V403">
        <f>IF(P403="P",0.7780+0.1628*S403+0.2957*Q403-0.1912*R403-0.1512*IF(D403="S",1,0)+0.1600*IF(E403="L",1,0)+0.0091*H403+0.0124*I403+0.0017*J403+T403+U403,-0.8294+0.1849*S403+0.1750*Q403-0.2969*R403+0.6924*IF(D403="S",1,0)+0.0457*IF(E403="L",1,0)+T403+U403)</f>
        <v/>
      </c>
      <c r="W403">
        <f>MAX(0,MIN(16,ROUND(V403,0)))</f>
        <v/>
      </c>
      <c r="X403">
        <f>IFNA(VLOOKUP(W403,Grade_Scale!$A:$B,2,FALSE),"F")</f>
        <v/>
      </c>
      <c r="Z403">
        <f>IF(Y403="","",W403-IFNA(VLOOKUP(Y403,Grade_Scale!$D:$E,2,FALSE),""))</f>
        <v/>
      </c>
    </row>
    <row r="404">
      <c r="P404">
        <f>IF(OR(B404="SP",B404="RP",B404="CP",B404="SP/RP"),"P","H")</f>
        <v/>
      </c>
      <c r="Q404">
        <f>IF(F404="",0,IFNA(VLOOKUP(F404,Trait_Polarity!$A:$C,2,FALSE),0))+IF(G404="",0,IFNA(VLOOKUP(G404,Trait_Polarity!$A:$C,2,FALSE),0))</f>
        <v/>
      </c>
      <c r="R404">
        <f>IF(F404="",0,IFNA(VLOOKUP(F404,Trait_Polarity!$A:$C,3,FALSE),0))+IF(G404="",0,IFNA(VLOOKUP(G404,Trait_Polarity!$A:$C,3,FALSE),0))</f>
        <v/>
      </c>
      <c r="S404">
        <f>IF(P404="P",(M404+N404+O404)/3,0.3*H404+0.3*I404+0.2*J404+0.1*K404+0.1*L404)</f>
        <v/>
      </c>
      <c r="T404">
        <f>IF(P404="P",IFNA(VLOOKUP(B404,Pitcher_RoleAdj!$A:$B,2,FALSE),0),IFNA(VLOOKUP(B404,Hitter_PrimaryAdj!$A:$B,2,FALSE),0))</f>
        <v/>
      </c>
      <c r="U404">
        <f>IFNA(VLOOKUP(IF(C404="","(none)",C404),SecondaryAdj!$A:$B,2,FALSE),0)</f>
        <v/>
      </c>
      <c r="V404">
        <f>IF(P404="P",0.7780+0.1628*S404+0.2957*Q404-0.1912*R404-0.1512*IF(D404="S",1,0)+0.1600*IF(E404="L",1,0)+0.0091*H404+0.0124*I404+0.0017*J404+T404+U404,-0.8294+0.1849*S404+0.1750*Q404-0.2969*R404+0.6924*IF(D404="S",1,0)+0.0457*IF(E404="L",1,0)+T404+U404)</f>
        <v/>
      </c>
      <c r="W404">
        <f>MAX(0,MIN(16,ROUND(V404,0)))</f>
        <v/>
      </c>
      <c r="X404">
        <f>IFNA(VLOOKUP(W404,Grade_Scale!$A:$B,2,FALSE),"F")</f>
        <v/>
      </c>
      <c r="Z404">
        <f>IF(Y404="","",W404-IFNA(VLOOKUP(Y404,Grade_Scale!$D:$E,2,FALSE),""))</f>
        <v/>
      </c>
    </row>
    <row r="405">
      <c r="P405">
        <f>IF(OR(B405="SP",B405="RP",B405="CP",B405="SP/RP"),"P","H")</f>
        <v/>
      </c>
      <c r="Q405">
        <f>IF(F405="",0,IFNA(VLOOKUP(F405,Trait_Polarity!$A:$C,2,FALSE),0))+IF(G405="",0,IFNA(VLOOKUP(G405,Trait_Polarity!$A:$C,2,FALSE),0))</f>
        <v/>
      </c>
      <c r="R405">
        <f>IF(F405="",0,IFNA(VLOOKUP(F405,Trait_Polarity!$A:$C,3,FALSE),0))+IF(G405="",0,IFNA(VLOOKUP(G405,Trait_Polarity!$A:$C,3,FALSE),0))</f>
        <v/>
      </c>
      <c r="S405">
        <f>IF(P405="P",(M405+N405+O405)/3,0.3*H405+0.3*I405+0.2*J405+0.1*K405+0.1*L405)</f>
        <v/>
      </c>
      <c r="T405">
        <f>IF(P405="P",IFNA(VLOOKUP(B405,Pitcher_RoleAdj!$A:$B,2,FALSE),0),IFNA(VLOOKUP(B405,Hitter_PrimaryAdj!$A:$B,2,FALSE),0))</f>
        <v/>
      </c>
      <c r="U405">
        <f>IFNA(VLOOKUP(IF(C405="","(none)",C405),SecondaryAdj!$A:$B,2,FALSE),0)</f>
        <v/>
      </c>
      <c r="V405">
        <f>IF(P405="P",0.7780+0.1628*S405+0.2957*Q405-0.1912*R405-0.1512*IF(D405="S",1,0)+0.1600*IF(E405="L",1,0)+0.0091*H405+0.0124*I405+0.0017*J405+T405+U405,-0.8294+0.1849*S405+0.1750*Q405-0.2969*R405+0.6924*IF(D405="S",1,0)+0.0457*IF(E405="L",1,0)+T405+U405)</f>
        <v/>
      </c>
      <c r="W405">
        <f>MAX(0,MIN(16,ROUND(V405,0)))</f>
        <v/>
      </c>
      <c r="X405">
        <f>IFNA(VLOOKUP(W405,Grade_Scale!$A:$B,2,FALSE),"F")</f>
        <v/>
      </c>
      <c r="Z405">
        <f>IF(Y405="","",W405-IFNA(VLOOKUP(Y405,Grade_Scale!$D:$E,2,FALSE),""))</f>
        <v/>
      </c>
    </row>
    <row r="406">
      <c r="P406">
        <f>IF(OR(B406="SP",B406="RP",B406="CP",B406="SP/RP"),"P","H")</f>
        <v/>
      </c>
      <c r="Q406">
        <f>IF(F406="",0,IFNA(VLOOKUP(F406,Trait_Polarity!$A:$C,2,FALSE),0))+IF(G406="",0,IFNA(VLOOKUP(G406,Trait_Polarity!$A:$C,2,FALSE),0))</f>
        <v/>
      </c>
      <c r="R406">
        <f>IF(F406="",0,IFNA(VLOOKUP(F406,Trait_Polarity!$A:$C,3,FALSE),0))+IF(G406="",0,IFNA(VLOOKUP(G406,Trait_Polarity!$A:$C,3,FALSE),0))</f>
        <v/>
      </c>
      <c r="S406">
        <f>IF(P406="P",(M406+N406+O406)/3,0.3*H406+0.3*I406+0.2*J406+0.1*K406+0.1*L406)</f>
        <v/>
      </c>
      <c r="T406">
        <f>IF(P406="P",IFNA(VLOOKUP(B406,Pitcher_RoleAdj!$A:$B,2,FALSE),0),IFNA(VLOOKUP(B406,Hitter_PrimaryAdj!$A:$B,2,FALSE),0))</f>
        <v/>
      </c>
      <c r="U406">
        <f>IFNA(VLOOKUP(IF(C406="","(none)",C406),SecondaryAdj!$A:$B,2,FALSE),0)</f>
        <v/>
      </c>
      <c r="V406">
        <f>IF(P406="P",0.7780+0.1628*S406+0.2957*Q406-0.1912*R406-0.1512*IF(D406="S",1,0)+0.1600*IF(E406="L",1,0)+0.0091*H406+0.0124*I406+0.0017*J406+T406+U406,-0.8294+0.1849*S406+0.1750*Q406-0.2969*R406+0.6924*IF(D406="S",1,0)+0.0457*IF(E406="L",1,0)+T406+U406)</f>
        <v/>
      </c>
      <c r="W406">
        <f>MAX(0,MIN(16,ROUND(V406,0)))</f>
        <v/>
      </c>
      <c r="X406">
        <f>IFNA(VLOOKUP(W406,Grade_Scale!$A:$B,2,FALSE),"F")</f>
        <v/>
      </c>
      <c r="Z406">
        <f>IF(Y406="","",W406-IFNA(VLOOKUP(Y406,Grade_Scale!$D:$E,2,FALSE),""))</f>
        <v/>
      </c>
    </row>
    <row r="407">
      <c r="P407">
        <f>IF(OR(B407="SP",B407="RP",B407="CP",B407="SP/RP"),"P","H")</f>
        <v/>
      </c>
      <c r="Q407">
        <f>IF(F407="",0,IFNA(VLOOKUP(F407,Trait_Polarity!$A:$C,2,FALSE),0))+IF(G407="",0,IFNA(VLOOKUP(G407,Trait_Polarity!$A:$C,2,FALSE),0))</f>
        <v/>
      </c>
      <c r="R407">
        <f>IF(F407="",0,IFNA(VLOOKUP(F407,Trait_Polarity!$A:$C,3,FALSE),0))+IF(G407="",0,IFNA(VLOOKUP(G407,Trait_Polarity!$A:$C,3,FALSE),0))</f>
        <v/>
      </c>
      <c r="S407">
        <f>IF(P407="P",(M407+N407+O407)/3,0.3*H407+0.3*I407+0.2*J407+0.1*K407+0.1*L407)</f>
        <v/>
      </c>
      <c r="T407">
        <f>IF(P407="P",IFNA(VLOOKUP(B407,Pitcher_RoleAdj!$A:$B,2,FALSE),0),IFNA(VLOOKUP(B407,Hitter_PrimaryAdj!$A:$B,2,FALSE),0))</f>
        <v/>
      </c>
      <c r="U407">
        <f>IFNA(VLOOKUP(IF(C407="","(none)",C407),SecondaryAdj!$A:$B,2,FALSE),0)</f>
        <v/>
      </c>
      <c r="V407">
        <f>IF(P407="P",0.7780+0.1628*S407+0.2957*Q407-0.1912*R407-0.1512*IF(D407="S",1,0)+0.1600*IF(E407="L",1,0)+0.0091*H407+0.0124*I407+0.0017*J407+T407+U407,-0.8294+0.1849*S407+0.1750*Q407-0.2969*R407+0.6924*IF(D407="S",1,0)+0.0457*IF(E407="L",1,0)+T407+U407)</f>
        <v/>
      </c>
      <c r="W407">
        <f>MAX(0,MIN(16,ROUND(V407,0)))</f>
        <v/>
      </c>
      <c r="X407">
        <f>IFNA(VLOOKUP(W407,Grade_Scale!$A:$B,2,FALSE),"F")</f>
        <v/>
      </c>
      <c r="Z407">
        <f>IF(Y407="","",W407-IFNA(VLOOKUP(Y407,Grade_Scale!$D:$E,2,FALSE),""))</f>
        <v/>
      </c>
    </row>
    <row r="408">
      <c r="P408">
        <f>IF(OR(B408="SP",B408="RP",B408="CP",B408="SP/RP"),"P","H")</f>
        <v/>
      </c>
      <c r="Q408">
        <f>IF(F408="",0,IFNA(VLOOKUP(F408,Trait_Polarity!$A:$C,2,FALSE),0))+IF(G408="",0,IFNA(VLOOKUP(G408,Trait_Polarity!$A:$C,2,FALSE),0))</f>
        <v/>
      </c>
      <c r="R408">
        <f>IF(F408="",0,IFNA(VLOOKUP(F408,Trait_Polarity!$A:$C,3,FALSE),0))+IF(G408="",0,IFNA(VLOOKUP(G408,Trait_Polarity!$A:$C,3,FALSE),0))</f>
        <v/>
      </c>
      <c r="S408">
        <f>IF(P408="P",(M408+N408+O408)/3,0.3*H408+0.3*I408+0.2*J408+0.1*K408+0.1*L408)</f>
        <v/>
      </c>
      <c r="T408">
        <f>IF(P408="P",IFNA(VLOOKUP(B408,Pitcher_RoleAdj!$A:$B,2,FALSE),0),IFNA(VLOOKUP(B408,Hitter_PrimaryAdj!$A:$B,2,FALSE),0))</f>
        <v/>
      </c>
      <c r="U408">
        <f>IFNA(VLOOKUP(IF(C408="","(none)",C408),SecondaryAdj!$A:$B,2,FALSE),0)</f>
        <v/>
      </c>
      <c r="V408">
        <f>IF(P408="P",0.7780+0.1628*S408+0.2957*Q408-0.1912*R408-0.1512*IF(D408="S",1,0)+0.1600*IF(E408="L",1,0)+0.0091*H408+0.0124*I408+0.0017*J408+T408+U408,-0.8294+0.1849*S408+0.1750*Q408-0.2969*R408+0.6924*IF(D408="S",1,0)+0.0457*IF(E408="L",1,0)+T408+U408)</f>
        <v/>
      </c>
      <c r="W408">
        <f>MAX(0,MIN(16,ROUND(V408,0)))</f>
        <v/>
      </c>
      <c r="X408">
        <f>IFNA(VLOOKUP(W408,Grade_Scale!$A:$B,2,FALSE),"F")</f>
        <v/>
      </c>
      <c r="Z408">
        <f>IF(Y408="","",W408-IFNA(VLOOKUP(Y408,Grade_Scale!$D:$E,2,FALSE),""))</f>
        <v/>
      </c>
    </row>
    <row r="409">
      <c r="P409">
        <f>IF(OR(B409="SP",B409="RP",B409="CP",B409="SP/RP"),"P","H")</f>
        <v/>
      </c>
      <c r="Q409">
        <f>IF(F409="",0,IFNA(VLOOKUP(F409,Trait_Polarity!$A:$C,2,FALSE),0))+IF(G409="",0,IFNA(VLOOKUP(G409,Trait_Polarity!$A:$C,2,FALSE),0))</f>
        <v/>
      </c>
      <c r="R409">
        <f>IF(F409="",0,IFNA(VLOOKUP(F409,Trait_Polarity!$A:$C,3,FALSE),0))+IF(G409="",0,IFNA(VLOOKUP(G409,Trait_Polarity!$A:$C,3,FALSE),0))</f>
        <v/>
      </c>
      <c r="S409">
        <f>IF(P409="P",(M409+N409+O409)/3,0.3*H409+0.3*I409+0.2*J409+0.1*K409+0.1*L409)</f>
        <v/>
      </c>
      <c r="T409">
        <f>IF(P409="P",IFNA(VLOOKUP(B409,Pitcher_RoleAdj!$A:$B,2,FALSE),0),IFNA(VLOOKUP(B409,Hitter_PrimaryAdj!$A:$B,2,FALSE),0))</f>
        <v/>
      </c>
      <c r="U409">
        <f>IFNA(VLOOKUP(IF(C409="","(none)",C409),SecondaryAdj!$A:$B,2,FALSE),0)</f>
        <v/>
      </c>
      <c r="V409">
        <f>IF(P409="P",0.7780+0.1628*S409+0.2957*Q409-0.1912*R409-0.1512*IF(D409="S",1,0)+0.1600*IF(E409="L",1,0)+0.0091*H409+0.0124*I409+0.0017*J409+T409+U409,-0.8294+0.1849*S409+0.1750*Q409-0.2969*R409+0.6924*IF(D409="S",1,0)+0.0457*IF(E409="L",1,0)+T409+U409)</f>
        <v/>
      </c>
      <c r="W409">
        <f>MAX(0,MIN(16,ROUND(V409,0)))</f>
        <v/>
      </c>
      <c r="X409">
        <f>IFNA(VLOOKUP(W409,Grade_Scale!$A:$B,2,FALSE),"F")</f>
        <v/>
      </c>
      <c r="Z409">
        <f>IF(Y409="","",W409-IFNA(VLOOKUP(Y409,Grade_Scale!$D:$E,2,FALSE),""))</f>
        <v/>
      </c>
    </row>
    <row r="410">
      <c r="P410">
        <f>IF(OR(B410="SP",B410="RP",B410="CP",B410="SP/RP"),"P","H")</f>
        <v/>
      </c>
      <c r="Q410">
        <f>IF(F410="",0,IFNA(VLOOKUP(F410,Trait_Polarity!$A:$C,2,FALSE),0))+IF(G410="",0,IFNA(VLOOKUP(G410,Trait_Polarity!$A:$C,2,FALSE),0))</f>
        <v/>
      </c>
      <c r="R410">
        <f>IF(F410="",0,IFNA(VLOOKUP(F410,Trait_Polarity!$A:$C,3,FALSE),0))+IF(G410="",0,IFNA(VLOOKUP(G410,Trait_Polarity!$A:$C,3,FALSE),0))</f>
        <v/>
      </c>
      <c r="S410">
        <f>IF(P410="P",(M410+N410+O410)/3,0.3*H410+0.3*I410+0.2*J410+0.1*K410+0.1*L410)</f>
        <v/>
      </c>
      <c r="T410">
        <f>IF(P410="P",IFNA(VLOOKUP(B410,Pitcher_RoleAdj!$A:$B,2,FALSE),0),IFNA(VLOOKUP(B410,Hitter_PrimaryAdj!$A:$B,2,FALSE),0))</f>
        <v/>
      </c>
      <c r="U410">
        <f>IFNA(VLOOKUP(IF(C410="","(none)",C410),SecondaryAdj!$A:$B,2,FALSE),0)</f>
        <v/>
      </c>
      <c r="V410">
        <f>IF(P410="P",0.7780+0.1628*S410+0.2957*Q410-0.1912*R410-0.1512*IF(D410="S",1,0)+0.1600*IF(E410="L",1,0)+0.0091*H410+0.0124*I410+0.0017*J410+T410+U410,-0.8294+0.1849*S410+0.1750*Q410-0.2969*R410+0.6924*IF(D410="S",1,0)+0.0457*IF(E410="L",1,0)+T410+U410)</f>
        <v/>
      </c>
      <c r="W410">
        <f>MAX(0,MIN(16,ROUND(V410,0)))</f>
        <v/>
      </c>
      <c r="X410">
        <f>IFNA(VLOOKUP(W410,Grade_Scale!$A:$B,2,FALSE),"F")</f>
        <v/>
      </c>
      <c r="Z410">
        <f>IF(Y410="","",W410-IFNA(VLOOKUP(Y410,Grade_Scale!$D:$E,2,FALSE),""))</f>
        <v/>
      </c>
    </row>
    <row r="411">
      <c r="P411">
        <f>IF(OR(B411="SP",B411="RP",B411="CP",B411="SP/RP"),"P","H")</f>
        <v/>
      </c>
      <c r="Q411">
        <f>IF(F411="",0,IFNA(VLOOKUP(F411,Trait_Polarity!$A:$C,2,FALSE),0))+IF(G411="",0,IFNA(VLOOKUP(G411,Trait_Polarity!$A:$C,2,FALSE),0))</f>
        <v/>
      </c>
      <c r="R411">
        <f>IF(F411="",0,IFNA(VLOOKUP(F411,Trait_Polarity!$A:$C,3,FALSE),0))+IF(G411="",0,IFNA(VLOOKUP(G411,Trait_Polarity!$A:$C,3,FALSE),0))</f>
        <v/>
      </c>
      <c r="S411">
        <f>IF(P411="P",(M411+N411+O411)/3,0.3*H411+0.3*I411+0.2*J411+0.1*K411+0.1*L411)</f>
        <v/>
      </c>
      <c r="T411">
        <f>IF(P411="P",IFNA(VLOOKUP(B411,Pitcher_RoleAdj!$A:$B,2,FALSE),0),IFNA(VLOOKUP(B411,Hitter_PrimaryAdj!$A:$B,2,FALSE),0))</f>
        <v/>
      </c>
      <c r="U411">
        <f>IFNA(VLOOKUP(IF(C411="","(none)",C411),SecondaryAdj!$A:$B,2,FALSE),0)</f>
        <v/>
      </c>
      <c r="V411">
        <f>IF(P411="P",0.7780+0.1628*S411+0.2957*Q411-0.1912*R411-0.1512*IF(D411="S",1,0)+0.1600*IF(E411="L",1,0)+0.0091*H411+0.0124*I411+0.0017*J411+T411+U411,-0.8294+0.1849*S411+0.1750*Q411-0.2969*R411+0.6924*IF(D411="S",1,0)+0.0457*IF(E411="L",1,0)+T411+U411)</f>
        <v/>
      </c>
      <c r="W411">
        <f>MAX(0,MIN(16,ROUND(V411,0)))</f>
        <v/>
      </c>
      <c r="X411">
        <f>IFNA(VLOOKUP(W411,Grade_Scale!$A:$B,2,FALSE),"F")</f>
        <v/>
      </c>
      <c r="Z411">
        <f>IF(Y411="","",W411-IFNA(VLOOKUP(Y411,Grade_Scale!$D:$E,2,FALSE),""))</f>
        <v/>
      </c>
    </row>
    <row r="412">
      <c r="P412">
        <f>IF(OR(B412="SP",B412="RP",B412="CP",B412="SP/RP"),"P","H")</f>
        <v/>
      </c>
      <c r="Q412">
        <f>IF(F412="",0,IFNA(VLOOKUP(F412,Trait_Polarity!$A:$C,2,FALSE),0))+IF(G412="",0,IFNA(VLOOKUP(G412,Trait_Polarity!$A:$C,2,FALSE),0))</f>
        <v/>
      </c>
      <c r="R412">
        <f>IF(F412="",0,IFNA(VLOOKUP(F412,Trait_Polarity!$A:$C,3,FALSE),0))+IF(G412="",0,IFNA(VLOOKUP(G412,Trait_Polarity!$A:$C,3,FALSE),0))</f>
        <v/>
      </c>
      <c r="S412">
        <f>IF(P412="P",(M412+N412+O412)/3,0.3*H412+0.3*I412+0.2*J412+0.1*K412+0.1*L412)</f>
        <v/>
      </c>
      <c r="T412">
        <f>IF(P412="P",IFNA(VLOOKUP(B412,Pitcher_RoleAdj!$A:$B,2,FALSE),0),IFNA(VLOOKUP(B412,Hitter_PrimaryAdj!$A:$B,2,FALSE),0))</f>
        <v/>
      </c>
      <c r="U412">
        <f>IFNA(VLOOKUP(IF(C412="","(none)",C412),SecondaryAdj!$A:$B,2,FALSE),0)</f>
        <v/>
      </c>
      <c r="V412">
        <f>IF(P412="P",0.7780+0.1628*S412+0.2957*Q412-0.1912*R412-0.1512*IF(D412="S",1,0)+0.1600*IF(E412="L",1,0)+0.0091*H412+0.0124*I412+0.0017*J412+T412+U412,-0.8294+0.1849*S412+0.1750*Q412-0.2969*R412+0.6924*IF(D412="S",1,0)+0.0457*IF(E412="L",1,0)+T412+U412)</f>
        <v/>
      </c>
      <c r="W412">
        <f>MAX(0,MIN(16,ROUND(V412,0)))</f>
        <v/>
      </c>
      <c r="X412">
        <f>IFNA(VLOOKUP(W412,Grade_Scale!$A:$B,2,FALSE),"F")</f>
        <v/>
      </c>
      <c r="Z412">
        <f>IF(Y412="","",W412-IFNA(VLOOKUP(Y412,Grade_Scale!$D:$E,2,FALSE),""))</f>
        <v/>
      </c>
    </row>
    <row r="413">
      <c r="P413">
        <f>IF(OR(B413="SP",B413="RP",B413="CP",B413="SP/RP"),"P","H")</f>
        <v/>
      </c>
      <c r="Q413">
        <f>IF(F413="",0,IFNA(VLOOKUP(F413,Trait_Polarity!$A:$C,2,FALSE),0))+IF(G413="",0,IFNA(VLOOKUP(G413,Trait_Polarity!$A:$C,2,FALSE),0))</f>
        <v/>
      </c>
      <c r="R413">
        <f>IF(F413="",0,IFNA(VLOOKUP(F413,Trait_Polarity!$A:$C,3,FALSE),0))+IF(G413="",0,IFNA(VLOOKUP(G413,Trait_Polarity!$A:$C,3,FALSE),0))</f>
        <v/>
      </c>
      <c r="S413">
        <f>IF(P413="P",(M413+N413+O413)/3,0.3*H413+0.3*I413+0.2*J413+0.1*K413+0.1*L413)</f>
        <v/>
      </c>
      <c r="T413">
        <f>IF(P413="P",IFNA(VLOOKUP(B413,Pitcher_RoleAdj!$A:$B,2,FALSE),0),IFNA(VLOOKUP(B413,Hitter_PrimaryAdj!$A:$B,2,FALSE),0))</f>
        <v/>
      </c>
      <c r="U413">
        <f>IFNA(VLOOKUP(IF(C413="","(none)",C413),SecondaryAdj!$A:$B,2,FALSE),0)</f>
        <v/>
      </c>
      <c r="V413">
        <f>IF(P413="P",0.7780+0.1628*S413+0.2957*Q413-0.1912*R413-0.1512*IF(D413="S",1,0)+0.1600*IF(E413="L",1,0)+0.0091*H413+0.0124*I413+0.0017*J413+T413+U413,-0.8294+0.1849*S413+0.1750*Q413-0.2969*R413+0.6924*IF(D413="S",1,0)+0.0457*IF(E413="L",1,0)+T413+U413)</f>
        <v/>
      </c>
      <c r="W413">
        <f>MAX(0,MIN(16,ROUND(V413,0)))</f>
        <v/>
      </c>
      <c r="X413">
        <f>IFNA(VLOOKUP(W413,Grade_Scale!$A:$B,2,FALSE),"F")</f>
        <v/>
      </c>
      <c r="Z413">
        <f>IF(Y413="","",W413-IFNA(VLOOKUP(Y413,Grade_Scale!$D:$E,2,FALSE),""))</f>
        <v/>
      </c>
    </row>
    <row r="414">
      <c r="P414">
        <f>IF(OR(B414="SP",B414="RP",B414="CP",B414="SP/RP"),"P","H")</f>
        <v/>
      </c>
      <c r="Q414">
        <f>IF(F414="",0,IFNA(VLOOKUP(F414,Trait_Polarity!$A:$C,2,FALSE),0))+IF(G414="",0,IFNA(VLOOKUP(G414,Trait_Polarity!$A:$C,2,FALSE),0))</f>
        <v/>
      </c>
      <c r="R414">
        <f>IF(F414="",0,IFNA(VLOOKUP(F414,Trait_Polarity!$A:$C,3,FALSE),0))+IF(G414="",0,IFNA(VLOOKUP(G414,Trait_Polarity!$A:$C,3,FALSE),0))</f>
        <v/>
      </c>
      <c r="S414">
        <f>IF(P414="P",(M414+N414+O414)/3,0.3*H414+0.3*I414+0.2*J414+0.1*K414+0.1*L414)</f>
        <v/>
      </c>
      <c r="T414">
        <f>IF(P414="P",IFNA(VLOOKUP(B414,Pitcher_RoleAdj!$A:$B,2,FALSE),0),IFNA(VLOOKUP(B414,Hitter_PrimaryAdj!$A:$B,2,FALSE),0))</f>
        <v/>
      </c>
      <c r="U414">
        <f>IFNA(VLOOKUP(IF(C414="","(none)",C414),SecondaryAdj!$A:$B,2,FALSE),0)</f>
        <v/>
      </c>
      <c r="V414">
        <f>IF(P414="P",0.7780+0.1628*S414+0.2957*Q414-0.1912*R414-0.1512*IF(D414="S",1,0)+0.1600*IF(E414="L",1,0)+0.0091*H414+0.0124*I414+0.0017*J414+T414+U414,-0.8294+0.1849*S414+0.1750*Q414-0.2969*R414+0.6924*IF(D414="S",1,0)+0.0457*IF(E414="L",1,0)+T414+U414)</f>
        <v/>
      </c>
      <c r="W414">
        <f>MAX(0,MIN(16,ROUND(V414,0)))</f>
        <v/>
      </c>
      <c r="X414">
        <f>IFNA(VLOOKUP(W414,Grade_Scale!$A:$B,2,FALSE),"F")</f>
        <v/>
      </c>
      <c r="Z414">
        <f>IF(Y414="","",W414-IFNA(VLOOKUP(Y414,Grade_Scale!$D:$E,2,FALSE),""))</f>
        <v/>
      </c>
    </row>
    <row r="415">
      <c r="P415">
        <f>IF(OR(B415="SP",B415="RP",B415="CP",B415="SP/RP"),"P","H")</f>
        <v/>
      </c>
      <c r="Q415">
        <f>IF(F415="",0,IFNA(VLOOKUP(F415,Trait_Polarity!$A:$C,2,FALSE),0))+IF(G415="",0,IFNA(VLOOKUP(G415,Trait_Polarity!$A:$C,2,FALSE),0))</f>
        <v/>
      </c>
      <c r="R415">
        <f>IF(F415="",0,IFNA(VLOOKUP(F415,Trait_Polarity!$A:$C,3,FALSE),0))+IF(G415="",0,IFNA(VLOOKUP(G415,Trait_Polarity!$A:$C,3,FALSE),0))</f>
        <v/>
      </c>
      <c r="S415">
        <f>IF(P415="P",(M415+N415+O415)/3,0.3*H415+0.3*I415+0.2*J415+0.1*K415+0.1*L415)</f>
        <v/>
      </c>
      <c r="T415">
        <f>IF(P415="P",IFNA(VLOOKUP(B415,Pitcher_RoleAdj!$A:$B,2,FALSE),0),IFNA(VLOOKUP(B415,Hitter_PrimaryAdj!$A:$B,2,FALSE),0))</f>
        <v/>
      </c>
      <c r="U415">
        <f>IFNA(VLOOKUP(IF(C415="","(none)",C415),SecondaryAdj!$A:$B,2,FALSE),0)</f>
        <v/>
      </c>
      <c r="V415">
        <f>IF(P415="P",0.7780+0.1628*S415+0.2957*Q415-0.1912*R415-0.1512*IF(D415="S",1,0)+0.1600*IF(E415="L",1,0)+0.0091*H415+0.0124*I415+0.0017*J415+T415+U415,-0.8294+0.1849*S415+0.1750*Q415-0.2969*R415+0.6924*IF(D415="S",1,0)+0.0457*IF(E415="L",1,0)+T415+U415)</f>
        <v/>
      </c>
      <c r="W415">
        <f>MAX(0,MIN(16,ROUND(V415,0)))</f>
        <v/>
      </c>
      <c r="X415">
        <f>IFNA(VLOOKUP(W415,Grade_Scale!$A:$B,2,FALSE),"F")</f>
        <v/>
      </c>
      <c r="Z415">
        <f>IF(Y415="","",W415-IFNA(VLOOKUP(Y415,Grade_Scale!$D:$E,2,FALSE),""))</f>
        <v/>
      </c>
    </row>
    <row r="416">
      <c r="P416">
        <f>IF(OR(B416="SP",B416="RP",B416="CP",B416="SP/RP"),"P","H")</f>
        <v/>
      </c>
      <c r="Q416">
        <f>IF(F416="",0,IFNA(VLOOKUP(F416,Trait_Polarity!$A:$C,2,FALSE),0))+IF(G416="",0,IFNA(VLOOKUP(G416,Trait_Polarity!$A:$C,2,FALSE),0))</f>
        <v/>
      </c>
      <c r="R416">
        <f>IF(F416="",0,IFNA(VLOOKUP(F416,Trait_Polarity!$A:$C,3,FALSE),0))+IF(G416="",0,IFNA(VLOOKUP(G416,Trait_Polarity!$A:$C,3,FALSE),0))</f>
        <v/>
      </c>
      <c r="S416">
        <f>IF(P416="P",(M416+N416+O416)/3,0.3*H416+0.3*I416+0.2*J416+0.1*K416+0.1*L416)</f>
        <v/>
      </c>
      <c r="T416">
        <f>IF(P416="P",IFNA(VLOOKUP(B416,Pitcher_RoleAdj!$A:$B,2,FALSE),0),IFNA(VLOOKUP(B416,Hitter_PrimaryAdj!$A:$B,2,FALSE),0))</f>
        <v/>
      </c>
      <c r="U416">
        <f>IFNA(VLOOKUP(IF(C416="","(none)",C416),SecondaryAdj!$A:$B,2,FALSE),0)</f>
        <v/>
      </c>
      <c r="V416">
        <f>IF(P416="P",0.7780+0.1628*S416+0.2957*Q416-0.1912*R416-0.1512*IF(D416="S",1,0)+0.1600*IF(E416="L",1,0)+0.0091*H416+0.0124*I416+0.0017*J416+T416+U416,-0.8294+0.1849*S416+0.1750*Q416-0.2969*R416+0.6924*IF(D416="S",1,0)+0.0457*IF(E416="L",1,0)+T416+U416)</f>
        <v/>
      </c>
      <c r="W416">
        <f>MAX(0,MIN(16,ROUND(V416,0)))</f>
        <v/>
      </c>
      <c r="X416">
        <f>IFNA(VLOOKUP(W416,Grade_Scale!$A:$B,2,FALSE),"F")</f>
        <v/>
      </c>
      <c r="Z416">
        <f>IF(Y416="","",W416-IFNA(VLOOKUP(Y416,Grade_Scale!$D:$E,2,FALSE),""))</f>
        <v/>
      </c>
    </row>
    <row r="417">
      <c r="P417">
        <f>IF(OR(B417="SP",B417="RP",B417="CP",B417="SP/RP"),"P","H")</f>
        <v/>
      </c>
      <c r="Q417">
        <f>IF(F417="",0,IFNA(VLOOKUP(F417,Trait_Polarity!$A:$C,2,FALSE),0))+IF(G417="",0,IFNA(VLOOKUP(G417,Trait_Polarity!$A:$C,2,FALSE),0))</f>
        <v/>
      </c>
      <c r="R417">
        <f>IF(F417="",0,IFNA(VLOOKUP(F417,Trait_Polarity!$A:$C,3,FALSE),0))+IF(G417="",0,IFNA(VLOOKUP(G417,Trait_Polarity!$A:$C,3,FALSE),0))</f>
        <v/>
      </c>
      <c r="S417">
        <f>IF(P417="P",(M417+N417+O417)/3,0.3*H417+0.3*I417+0.2*J417+0.1*K417+0.1*L417)</f>
        <v/>
      </c>
      <c r="T417">
        <f>IF(P417="P",IFNA(VLOOKUP(B417,Pitcher_RoleAdj!$A:$B,2,FALSE),0),IFNA(VLOOKUP(B417,Hitter_PrimaryAdj!$A:$B,2,FALSE),0))</f>
        <v/>
      </c>
      <c r="U417">
        <f>IFNA(VLOOKUP(IF(C417="","(none)",C417),SecondaryAdj!$A:$B,2,FALSE),0)</f>
        <v/>
      </c>
      <c r="V417">
        <f>IF(P417="P",0.7780+0.1628*S417+0.2957*Q417-0.1912*R417-0.1512*IF(D417="S",1,0)+0.1600*IF(E417="L",1,0)+0.0091*H417+0.0124*I417+0.0017*J417+T417+U417,-0.8294+0.1849*S417+0.1750*Q417-0.2969*R417+0.6924*IF(D417="S",1,0)+0.0457*IF(E417="L",1,0)+T417+U417)</f>
        <v/>
      </c>
      <c r="W417">
        <f>MAX(0,MIN(16,ROUND(V417,0)))</f>
        <v/>
      </c>
      <c r="X417">
        <f>IFNA(VLOOKUP(W417,Grade_Scale!$A:$B,2,FALSE),"F")</f>
        <v/>
      </c>
      <c r="Z417">
        <f>IF(Y417="","",W417-IFNA(VLOOKUP(Y417,Grade_Scale!$D:$E,2,FALSE),""))</f>
        <v/>
      </c>
    </row>
    <row r="418">
      <c r="P418">
        <f>IF(OR(B418="SP",B418="RP",B418="CP",B418="SP/RP"),"P","H")</f>
        <v/>
      </c>
      <c r="Q418">
        <f>IF(F418="",0,IFNA(VLOOKUP(F418,Trait_Polarity!$A:$C,2,FALSE),0))+IF(G418="",0,IFNA(VLOOKUP(G418,Trait_Polarity!$A:$C,2,FALSE),0))</f>
        <v/>
      </c>
      <c r="R418">
        <f>IF(F418="",0,IFNA(VLOOKUP(F418,Trait_Polarity!$A:$C,3,FALSE),0))+IF(G418="",0,IFNA(VLOOKUP(G418,Trait_Polarity!$A:$C,3,FALSE),0))</f>
        <v/>
      </c>
      <c r="S418">
        <f>IF(P418="P",(M418+N418+O418)/3,0.3*H418+0.3*I418+0.2*J418+0.1*K418+0.1*L418)</f>
        <v/>
      </c>
      <c r="T418">
        <f>IF(P418="P",IFNA(VLOOKUP(B418,Pitcher_RoleAdj!$A:$B,2,FALSE),0),IFNA(VLOOKUP(B418,Hitter_PrimaryAdj!$A:$B,2,FALSE),0))</f>
        <v/>
      </c>
      <c r="U418">
        <f>IFNA(VLOOKUP(IF(C418="","(none)",C418),SecondaryAdj!$A:$B,2,FALSE),0)</f>
        <v/>
      </c>
      <c r="V418">
        <f>IF(P418="P",0.7780+0.1628*S418+0.2957*Q418-0.1912*R418-0.1512*IF(D418="S",1,0)+0.1600*IF(E418="L",1,0)+0.0091*H418+0.0124*I418+0.0017*J418+T418+U418,-0.8294+0.1849*S418+0.1750*Q418-0.2969*R418+0.6924*IF(D418="S",1,0)+0.0457*IF(E418="L",1,0)+T418+U418)</f>
        <v/>
      </c>
      <c r="W418">
        <f>MAX(0,MIN(16,ROUND(V418,0)))</f>
        <v/>
      </c>
      <c r="X418">
        <f>IFNA(VLOOKUP(W418,Grade_Scale!$A:$B,2,FALSE),"F")</f>
        <v/>
      </c>
      <c r="Z418">
        <f>IF(Y418="","",W418-IFNA(VLOOKUP(Y418,Grade_Scale!$D:$E,2,FALSE),""))</f>
        <v/>
      </c>
    </row>
    <row r="419">
      <c r="P419">
        <f>IF(OR(B419="SP",B419="RP",B419="CP",B419="SP/RP"),"P","H")</f>
        <v/>
      </c>
      <c r="Q419">
        <f>IF(F419="",0,IFNA(VLOOKUP(F419,Trait_Polarity!$A:$C,2,FALSE),0))+IF(G419="",0,IFNA(VLOOKUP(G419,Trait_Polarity!$A:$C,2,FALSE),0))</f>
        <v/>
      </c>
      <c r="R419">
        <f>IF(F419="",0,IFNA(VLOOKUP(F419,Trait_Polarity!$A:$C,3,FALSE),0))+IF(G419="",0,IFNA(VLOOKUP(G419,Trait_Polarity!$A:$C,3,FALSE),0))</f>
        <v/>
      </c>
      <c r="S419">
        <f>IF(P419="P",(M419+N419+O419)/3,0.3*H419+0.3*I419+0.2*J419+0.1*K419+0.1*L419)</f>
        <v/>
      </c>
      <c r="T419">
        <f>IF(P419="P",IFNA(VLOOKUP(B419,Pitcher_RoleAdj!$A:$B,2,FALSE),0),IFNA(VLOOKUP(B419,Hitter_PrimaryAdj!$A:$B,2,FALSE),0))</f>
        <v/>
      </c>
      <c r="U419">
        <f>IFNA(VLOOKUP(IF(C419="","(none)",C419),SecondaryAdj!$A:$B,2,FALSE),0)</f>
        <v/>
      </c>
      <c r="V419">
        <f>IF(P419="P",0.7780+0.1628*S419+0.2957*Q419-0.1912*R419-0.1512*IF(D419="S",1,0)+0.1600*IF(E419="L",1,0)+0.0091*H419+0.0124*I419+0.0017*J419+T419+U419,-0.8294+0.1849*S419+0.1750*Q419-0.2969*R419+0.6924*IF(D419="S",1,0)+0.0457*IF(E419="L",1,0)+T419+U419)</f>
        <v/>
      </c>
      <c r="W419">
        <f>MAX(0,MIN(16,ROUND(V419,0)))</f>
        <v/>
      </c>
      <c r="X419">
        <f>IFNA(VLOOKUP(W419,Grade_Scale!$A:$B,2,FALSE),"F")</f>
        <v/>
      </c>
      <c r="Z419">
        <f>IF(Y419="","",W419-IFNA(VLOOKUP(Y419,Grade_Scale!$D:$E,2,FALSE),""))</f>
        <v/>
      </c>
    </row>
    <row r="420">
      <c r="P420">
        <f>IF(OR(B420="SP",B420="RP",B420="CP",B420="SP/RP"),"P","H")</f>
        <v/>
      </c>
      <c r="Q420">
        <f>IF(F420="",0,IFNA(VLOOKUP(F420,Trait_Polarity!$A:$C,2,FALSE),0))+IF(G420="",0,IFNA(VLOOKUP(G420,Trait_Polarity!$A:$C,2,FALSE),0))</f>
        <v/>
      </c>
      <c r="R420">
        <f>IF(F420="",0,IFNA(VLOOKUP(F420,Trait_Polarity!$A:$C,3,FALSE),0))+IF(G420="",0,IFNA(VLOOKUP(G420,Trait_Polarity!$A:$C,3,FALSE),0))</f>
        <v/>
      </c>
      <c r="S420">
        <f>IF(P420="P",(M420+N420+O420)/3,0.3*H420+0.3*I420+0.2*J420+0.1*K420+0.1*L420)</f>
        <v/>
      </c>
      <c r="T420">
        <f>IF(P420="P",IFNA(VLOOKUP(B420,Pitcher_RoleAdj!$A:$B,2,FALSE),0),IFNA(VLOOKUP(B420,Hitter_PrimaryAdj!$A:$B,2,FALSE),0))</f>
        <v/>
      </c>
      <c r="U420">
        <f>IFNA(VLOOKUP(IF(C420="","(none)",C420),SecondaryAdj!$A:$B,2,FALSE),0)</f>
        <v/>
      </c>
      <c r="V420">
        <f>IF(P420="P",0.7780+0.1628*S420+0.2957*Q420-0.1912*R420-0.1512*IF(D420="S",1,0)+0.1600*IF(E420="L",1,0)+0.0091*H420+0.0124*I420+0.0017*J420+T420+U420,-0.8294+0.1849*S420+0.1750*Q420-0.2969*R420+0.6924*IF(D420="S",1,0)+0.0457*IF(E420="L",1,0)+T420+U420)</f>
        <v/>
      </c>
      <c r="W420">
        <f>MAX(0,MIN(16,ROUND(V420,0)))</f>
        <v/>
      </c>
      <c r="X420">
        <f>IFNA(VLOOKUP(W420,Grade_Scale!$A:$B,2,FALSE),"F")</f>
        <v/>
      </c>
      <c r="Z420">
        <f>IF(Y420="","",W420-IFNA(VLOOKUP(Y420,Grade_Scale!$D:$E,2,FALSE),""))</f>
        <v/>
      </c>
    </row>
    <row r="421">
      <c r="P421">
        <f>IF(OR(B421="SP",B421="RP",B421="CP",B421="SP/RP"),"P","H")</f>
        <v/>
      </c>
      <c r="Q421">
        <f>IF(F421="",0,IFNA(VLOOKUP(F421,Trait_Polarity!$A:$C,2,FALSE),0))+IF(G421="",0,IFNA(VLOOKUP(G421,Trait_Polarity!$A:$C,2,FALSE),0))</f>
        <v/>
      </c>
      <c r="R421">
        <f>IF(F421="",0,IFNA(VLOOKUP(F421,Trait_Polarity!$A:$C,3,FALSE),0))+IF(G421="",0,IFNA(VLOOKUP(G421,Trait_Polarity!$A:$C,3,FALSE),0))</f>
        <v/>
      </c>
      <c r="S421">
        <f>IF(P421="P",(M421+N421+O421)/3,0.3*H421+0.3*I421+0.2*J421+0.1*K421+0.1*L421)</f>
        <v/>
      </c>
      <c r="T421">
        <f>IF(P421="P",IFNA(VLOOKUP(B421,Pitcher_RoleAdj!$A:$B,2,FALSE),0),IFNA(VLOOKUP(B421,Hitter_PrimaryAdj!$A:$B,2,FALSE),0))</f>
        <v/>
      </c>
      <c r="U421">
        <f>IFNA(VLOOKUP(IF(C421="","(none)",C421),SecondaryAdj!$A:$B,2,FALSE),0)</f>
        <v/>
      </c>
      <c r="V421">
        <f>IF(P421="P",0.7780+0.1628*S421+0.2957*Q421-0.1912*R421-0.1512*IF(D421="S",1,0)+0.1600*IF(E421="L",1,0)+0.0091*H421+0.0124*I421+0.0017*J421+T421+U421,-0.8294+0.1849*S421+0.1750*Q421-0.2969*R421+0.6924*IF(D421="S",1,0)+0.0457*IF(E421="L",1,0)+T421+U421)</f>
        <v/>
      </c>
      <c r="W421">
        <f>MAX(0,MIN(16,ROUND(V421,0)))</f>
        <v/>
      </c>
      <c r="X421">
        <f>IFNA(VLOOKUP(W421,Grade_Scale!$A:$B,2,FALSE),"F")</f>
        <v/>
      </c>
      <c r="Z421">
        <f>IF(Y421="","",W421-IFNA(VLOOKUP(Y421,Grade_Scale!$D:$E,2,FALSE),""))</f>
        <v/>
      </c>
    </row>
    <row r="422">
      <c r="P422">
        <f>IF(OR(B422="SP",B422="RP",B422="CP",B422="SP/RP"),"P","H")</f>
        <v/>
      </c>
      <c r="Q422">
        <f>IF(F422="",0,IFNA(VLOOKUP(F422,Trait_Polarity!$A:$C,2,FALSE),0))+IF(G422="",0,IFNA(VLOOKUP(G422,Trait_Polarity!$A:$C,2,FALSE),0))</f>
        <v/>
      </c>
      <c r="R422">
        <f>IF(F422="",0,IFNA(VLOOKUP(F422,Trait_Polarity!$A:$C,3,FALSE),0))+IF(G422="",0,IFNA(VLOOKUP(G422,Trait_Polarity!$A:$C,3,FALSE),0))</f>
        <v/>
      </c>
      <c r="S422">
        <f>IF(P422="P",(M422+N422+O422)/3,0.3*H422+0.3*I422+0.2*J422+0.1*K422+0.1*L422)</f>
        <v/>
      </c>
      <c r="T422">
        <f>IF(P422="P",IFNA(VLOOKUP(B422,Pitcher_RoleAdj!$A:$B,2,FALSE),0),IFNA(VLOOKUP(B422,Hitter_PrimaryAdj!$A:$B,2,FALSE),0))</f>
        <v/>
      </c>
      <c r="U422">
        <f>IFNA(VLOOKUP(IF(C422="","(none)",C422),SecondaryAdj!$A:$B,2,FALSE),0)</f>
        <v/>
      </c>
      <c r="V422">
        <f>IF(P422="P",0.7780+0.1628*S422+0.2957*Q422-0.1912*R422-0.1512*IF(D422="S",1,0)+0.1600*IF(E422="L",1,0)+0.0091*H422+0.0124*I422+0.0017*J422+T422+U422,-0.8294+0.1849*S422+0.1750*Q422-0.2969*R422+0.6924*IF(D422="S",1,0)+0.0457*IF(E422="L",1,0)+T422+U422)</f>
        <v/>
      </c>
      <c r="W422">
        <f>MAX(0,MIN(16,ROUND(V422,0)))</f>
        <v/>
      </c>
      <c r="X422">
        <f>IFNA(VLOOKUP(W422,Grade_Scale!$A:$B,2,FALSE),"F")</f>
        <v/>
      </c>
      <c r="Z422">
        <f>IF(Y422="","",W422-IFNA(VLOOKUP(Y422,Grade_Scale!$D:$E,2,FALSE),""))</f>
        <v/>
      </c>
    </row>
    <row r="423">
      <c r="P423">
        <f>IF(OR(B423="SP",B423="RP",B423="CP",B423="SP/RP"),"P","H")</f>
        <v/>
      </c>
      <c r="Q423">
        <f>IF(F423="",0,IFNA(VLOOKUP(F423,Trait_Polarity!$A:$C,2,FALSE),0))+IF(G423="",0,IFNA(VLOOKUP(G423,Trait_Polarity!$A:$C,2,FALSE),0))</f>
        <v/>
      </c>
      <c r="R423">
        <f>IF(F423="",0,IFNA(VLOOKUP(F423,Trait_Polarity!$A:$C,3,FALSE),0))+IF(G423="",0,IFNA(VLOOKUP(G423,Trait_Polarity!$A:$C,3,FALSE),0))</f>
        <v/>
      </c>
      <c r="S423">
        <f>IF(P423="P",(M423+N423+O423)/3,0.3*H423+0.3*I423+0.2*J423+0.1*K423+0.1*L423)</f>
        <v/>
      </c>
      <c r="T423">
        <f>IF(P423="P",IFNA(VLOOKUP(B423,Pitcher_RoleAdj!$A:$B,2,FALSE),0),IFNA(VLOOKUP(B423,Hitter_PrimaryAdj!$A:$B,2,FALSE),0))</f>
        <v/>
      </c>
      <c r="U423">
        <f>IFNA(VLOOKUP(IF(C423="","(none)",C423),SecondaryAdj!$A:$B,2,FALSE),0)</f>
        <v/>
      </c>
      <c r="V423">
        <f>IF(P423="P",0.7780+0.1628*S423+0.2957*Q423-0.1912*R423-0.1512*IF(D423="S",1,0)+0.1600*IF(E423="L",1,0)+0.0091*H423+0.0124*I423+0.0017*J423+T423+U423,-0.8294+0.1849*S423+0.1750*Q423-0.2969*R423+0.6924*IF(D423="S",1,0)+0.0457*IF(E423="L",1,0)+T423+U423)</f>
        <v/>
      </c>
      <c r="W423">
        <f>MAX(0,MIN(16,ROUND(V423,0)))</f>
        <v/>
      </c>
      <c r="X423">
        <f>IFNA(VLOOKUP(W423,Grade_Scale!$A:$B,2,FALSE),"F")</f>
        <v/>
      </c>
      <c r="Z423">
        <f>IF(Y423="","",W423-IFNA(VLOOKUP(Y423,Grade_Scale!$D:$E,2,FALSE),""))</f>
        <v/>
      </c>
    </row>
    <row r="424">
      <c r="P424">
        <f>IF(OR(B424="SP",B424="RP",B424="CP",B424="SP/RP"),"P","H")</f>
        <v/>
      </c>
      <c r="Q424">
        <f>IF(F424="",0,IFNA(VLOOKUP(F424,Trait_Polarity!$A:$C,2,FALSE),0))+IF(G424="",0,IFNA(VLOOKUP(G424,Trait_Polarity!$A:$C,2,FALSE),0))</f>
        <v/>
      </c>
      <c r="R424">
        <f>IF(F424="",0,IFNA(VLOOKUP(F424,Trait_Polarity!$A:$C,3,FALSE),0))+IF(G424="",0,IFNA(VLOOKUP(G424,Trait_Polarity!$A:$C,3,FALSE),0))</f>
        <v/>
      </c>
      <c r="S424">
        <f>IF(P424="P",(M424+N424+O424)/3,0.3*H424+0.3*I424+0.2*J424+0.1*K424+0.1*L424)</f>
        <v/>
      </c>
      <c r="T424">
        <f>IF(P424="P",IFNA(VLOOKUP(B424,Pitcher_RoleAdj!$A:$B,2,FALSE),0),IFNA(VLOOKUP(B424,Hitter_PrimaryAdj!$A:$B,2,FALSE),0))</f>
        <v/>
      </c>
      <c r="U424">
        <f>IFNA(VLOOKUP(IF(C424="","(none)",C424),SecondaryAdj!$A:$B,2,FALSE),0)</f>
        <v/>
      </c>
      <c r="V424">
        <f>IF(P424="P",0.7780+0.1628*S424+0.2957*Q424-0.1912*R424-0.1512*IF(D424="S",1,0)+0.1600*IF(E424="L",1,0)+0.0091*H424+0.0124*I424+0.0017*J424+T424+U424,-0.8294+0.1849*S424+0.1750*Q424-0.2969*R424+0.6924*IF(D424="S",1,0)+0.0457*IF(E424="L",1,0)+T424+U424)</f>
        <v/>
      </c>
      <c r="W424">
        <f>MAX(0,MIN(16,ROUND(V424,0)))</f>
        <v/>
      </c>
      <c r="X424">
        <f>IFNA(VLOOKUP(W424,Grade_Scale!$A:$B,2,FALSE),"F")</f>
        <v/>
      </c>
      <c r="Z424">
        <f>IF(Y424="","",W424-IFNA(VLOOKUP(Y424,Grade_Scale!$D:$E,2,FALSE),""))</f>
        <v/>
      </c>
    </row>
    <row r="425">
      <c r="P425">
        <f>IF(OR(B425="SP",B425="RP",B425="CP",B425="SP/RP"),"P","H")</f>
        <v/>
      </c>
      <c r="Q425">
        <f>IF(F425="",0,IFNA(VLOOKUP(F425,Trait_Polarity!$A:$C,2,FALSE),0))+IF(G425="",0,IFNA(VLOOKUP(G425,Trait_Polarity!$A:$C,2,FALSE),0))</f>
        <v/>
      </c>
      <c r="R425">
        <f>IF(F425="",0,IFNA(VLOOKUP(F425,Trait_Polarity!$A:$C,3,FALSE),0))+IF(G425="",0,IFNA(VLOOKUP(G425,Trait_Polarity!$A:$C,3,FALSE),0))</f>
        <v/>
      </c>
      <c r="S425">
        <f>IF(P425="P",(M425+N425+O425)/3,0.3*H425+0.3*I425+0.2*J425+0.1*K425+0.1*L425)</f>
        <v/>
      </c>
      <c r="T425">
        <f>IF(P425="P",IFNA(VLOOKUP(B425,Pitcher_RoleAdj!$A:$B,2,FALSE),0),IFNA(VLOOKUP(B425,Hitter_PrimaryAdj!$A:$B,2,FALSE),0))</f>
        <v/>
      </c>
      <c r="U425">
        <f>IFNA(VLOOKUP(IF(C425="","(none)",C425),SecondaryAdj!$A:$B,2,FALSE),0)</f>
        <v/>
      </c>
      <c r="V425">
        <f>IF(P425="P",0.7780+0.1628*S425+0.2957*Q425-0.1912*R425-0.1512*IF(D425="S",1,0)+0.1600*IF(E425="L",1,0)+0.0091*H425+0.0124*I425+0.0017*J425+T425+U425,-0.8294+0.1849*S425+0.1750*Q425-0.2969*R425+0.6924*IF(D425="S",1,0)+0.0457*IF(E425="L",1,0)+T425+U425)</f>
        <v/>
      </c>
      <c r="W425">
        <f>MAX(0,MIN(16,ROUND(V425,0)))</f>
        <v/>
      </c>
      <c r="X425">
        <f>IFNA(VLOOKUP(W425,Grade_Scale!$A:$B,2,FALSE),"F")</f>
        <v/>
      </c>
      <c r="Z425">
        <f>IF(Y425="","",W425-IFNA(VLOOKUP(Y425,Grade_Scale!$D:$E,2,FALSE),""))</f>
        <v/>
      </c>
    </row>
    <row r="426">
      <c r="P426">
        <f>IF(OR(B426="SP",B426="RP",B426="CP",B426="SP/RP"),"P","H")</f>
        <v/>
      </c>
      <c r="Q426">
        <f>IF(F426="",0,IFNA(VLOOKUP(F426,Trait_Polarity!$A:$C,2,FALSE),0))+IF(G426="",0,IFNA(VLOOKUP(G426,Trait_Polarity!$A:$C,2,FALSE),0))</f>
        <v/>
      </c>
      <c r="R426">
        <f>IF(F426="",0,IFNA(VLOOKUP(F426,Trait_Polarity!$A:$C,3,FALSE),0))+IF(G426="",0,IFNA(VLOOKUP(G426,Trait_Polarity!$A:$C,3,FALSE),0))</f>
        <v/>
      </c>
      <c r="S426">
        <f>IF(P426="P",(M426+N426+O426)/3,0.3*H426+0.3*I426+0.2*J426+0.1*K426+0.1*L426)</f>
        <v/>
      </c>
      <c r="T426">
        <f>IF(P426="P",IFNA(VLOOKUP(B426,Pitcher_RoleAdj!$A:$B,2,FALSE),0),IFNA(VLOOKUP(B426,Hitter_PrimaryAdj!$A:$B,2,FALSE),0))</f>
        <v/>
      </c>
      <c r="U426">
        <f>IFNA(VLOOKUP(IF(C426="","(none)",C426),SecondaryAdj!$A:$B,2,FALSE),0)</f>
        <v/>
      </c>
      <c r="V426">
        <f>IF(P426="P",0.7780+0.1628*S426+0.2957*Q426-0.1912*R426-0.1512*IF(D426="S",1,0)+0.1600*IF(E426="L",1,0)+0.0091*H426+0.0124*I426+0.0017*J426+T426+U426,-0.8294+0.1849*S426+0.1750*Q426-0.2969*R426+0.6924*IF(D426="S",1,0)+0.0457*IF(E426="L",1,0)+T426+U426)</f>
        <v/>
      </c>
      <c r="W426">
        <f>MAX(0,MIN(16,ROUND(V426,0)))</f>
        <v/>
      </c>
      <c r="X426">
        <f>IFNA(VLOOKUP(W426,Grade_Scale!$A:$B,2,FALSE),"F")</f>
        <v/>
      </c>
      <c r="Z426">
        <f>IF(Y426="","",W426-IFNA(VLOOKUP(Y426,Grade_Scale!$D:$E,2,FALSE),""))</f>
        <v/>
      </c>
    </row>
    <row r="427">
      <c r="P427">
        <f>IF(OR(B427="SP",B427="RP",B427="CP",B427="SP/RP"),"P","H")</f>
        <v/>
      </c>
      <c r="Q427">
        <f>IF(F427="",0,IFNA(VLOOKUP(F427,Trait_Polarity!$A:$C,2,FALSE),0))+IF(G427="",0,IFNA(VLOOKUP(G427,Trait_Polarity!$A:$C,2,FALSE),0))</f>
        <v/>
      </c>
      <c r="R427">
        <f>IF(F427="",0,IFNA(VLOOKUP(F427,Trait_Polarity!$A:$C,3,FALSE),0))+IF(G427="",0,IFNA(VLOOKUP(G427,Trait_Polarity!$A:$C,3,FALSE),0))</f>
        <v/>
      </c>
      <c r="S427">
        <f>IF(P427="P",(M427+N427+O427)/3,0.3*H427+0.3*I427+0.2*J427+0.1*K427+0.1*L427)</f>
        <v/>
      </c>
      <c r="T427">
        <f>IF(P427="P",IFNA(VLOOKUP(B427,Pitcher_RoleAdj!$A:$B,2,FALSE),0),IFNA(VLOOKUP(B427,Hitter_PrimaryAdj!$A:$B,2,FALSE),0))</f>
        <v/>
      </c>
      <c r="U427">
        <f>IFNA(VLOOKUP(IF(C427="","(none)",C427),SecondaryAdj!$A:$B,2,FALSE),0)</f>
        <v/>
      </c>
      <c r="V427">
        <f>IF(P427="P",0.7780+0.1628*S427+0.2957*Q427-0.1912*R427-0.1512*IF(D427="S",1,0)+0.1600*IF(E427="L",1,0)+0.0091*H427+0.0124*I427+0.0017*J427+T427+U427,-0.8294+0.1849*S427+0.1750*Q427-0.2969*R427+0.6924*IF(D427="S",1,0)+0.0457*IF(E427="L",1,0)+T427+U427)</f>
        <v/>
      </c>
      <c r="W427">
        <f>MAX(0,MIN(16,ROUND(V427,0)))</f>
        <v/>
      </c>
      <c r="X427">
        <f>IFNA(VLOOKUP(W427,Grade_Scale!$A:$B,2,FALSE),"F")</f>
        <v/>
      </c>
      <c r="Z427">
        <f>IF(Y427="","",W427-IFNA(VLOOKUP(Y427,Grade_Scale!$D:$E,2,FALSE),""))</f>
        <v/>
      </c>
    </row>
    <row r="428">
      <c r="P428">
        <f>IF(OR(B428="SP",B428="RP",B428="CP",B428="SP/RP"),"P","H")</f>
        <v/>
      </c>
      <c r="Q428">
        <f>IF(F428="",0,IFNA(VLOOKUP(F428,Trait_Polarity!$A:$C,2,FALSE),0))+IF(G428="",0,IFNA(VLOOKUP(G428,Trait_Polarity!$A:$C,2,FALSE),0))</f>
        <v/>
      </c>
      <c r="R428">
        <f>IF(F428="",0,IFNA(VLOOKUP(F428,Trait_Polarity!$A:$C,3,FALSE),0))+IF(G428="",0,IFNA(VLOOKUP(G428,Trait_Polarity!$A:$C,3,FALSE),0))</f>
        <v/>
      </c>
      <c r="S428">
        <f>IF(P428="P",(M428+N428+O428)/3,0.3*H428+0.3*I428+0.2*J428+0.1*K428+0.1*L428)</f>
        <v/>
      </c>
      <c r="T428">
        <f>IF(P428="P",IFNA(VLOOKUP(B428,Pitcher_RoleAdj!$A:$B,2,FALSE),0),IFNA(VLOOKUP(B428,Hitter_PrimaryAdj!$A:$B,2,FALSE),0))</f>
        <v/>
      </c>
      <c r="U428">
        <f>IFNA(VLOOKUP(IF(C428="","(none)",C428),SecondaryAdj!$A:$B,2,FALSE),0)</f>
        <v/>
      </c>
      <c r="V428">
        <f>IF(P428="P",0.7780+0.1628*S428+0.2957*Q428-0.1912*R428-0.1512*IF(D428="S",1,0)+0.1600*IF(E428="L",1,0)+0.0091*H428+0.0124*I428+0.0017*J428+T428+U428,-0.8294+0.1849*S428+0.1750*Q428-0.2969*R428+0.6924*IF(D428="S",1,0)+0.0457*IF(E428="L",1,0)+T428+U428)</f>
        <v/>
      </c>
      <c r="W428">
        <f>MAX(0,MIN(16,ROUND(V428,0)))</f>
        <v/>
      </c>
      <c r="X428">
        <f>IFNA(VLOOKUP(W428,Grade_Scale!$A:$B,2,FALSE),"F")</f>
        <v/>
      </c>
      <c r="Z428">
        <f>IF(Y428="","",W428-IFNA(VLOOKUP(Y428,Grade_Scale!$D:$E,2,FALSE),""))</f>
        <v/>
      </c>
    </row>
    <row r="429">
      <c r="P429">
        <f>IF(OR(B429="SP",B429="RP",B429="CP",B429="SP/RP"),"P","H")</f>
        <v/>
      </c>
      <c r="Q429">
        <f>IF(F429="",0,IFNA(VLOOKUP(F429,Trait_Polarity!$A:$C,2,FALSE),0))+IF(G429="",0,IFNA(VLOOKUP(G429,Trait_Polarity!$A:$C,2,FALSE),0))</f>
        <v/>
      </c>
      <c r="R429">
        <f>IF(F429="",0,IFNA(VLOOKUP(F429,Trait_Polarity!$A:$C,3,FALSE),0))+IF(G429="",0,IFNA(VLOOKUP(G429,Trait_Polarity!$A:$C,3,FALSE),0))</f>
        <v/>
      </c>
      <c r="S429">
        <f>IF(P429="P",(M429+N429+O429)/3,0.3*H429+0.3*I429+0.2*J429+0.1*K429+0.1*L429)</f>
        <v/>
      </c>
      <c r="T429">
        <f>IF(P429="P",IFNA(VLOOKUP(B429,Pitcher_RoleAdj!$A:$B,2,FALSE),0),IFNA(VLOOKUP(B429,Hitter_PrimaryAdj!$A:$B,2,FALSE),0))</f>
        <v/>
      </c>
      <c r="U429">
        <f>IFNA(VLOOKUP(IF(C429="","(none)",C429),SecondaryAdj!$A:$B,2,FALSE),0)</f>
        <v/>
      </c>
      <c r="V429">
        <f>IF(P429="P",0.7780+0.1628*S429+0.2957*Q429-0.1912*R429-0.1512*IF(D429="S",1,0)+0.1600*IF(E429="L",1,0)+0.0091*H429+0.0124*I429+0.0017*J429+T429+U429,-0.8294+0.1849*S429+0.1750*Q429-0.2969*R429+0.6924*IF(D429="S",1,0)+0.0457*IF(E429="L",1,0)+T429+U429)</f>
        <v/>
      </c>
      <c r="W429">
        <f>MAX(0,MIN(16,ROUND(V429,0)))</f>
        <v/>
      </c>
      <c r="X429">
        <f>IFNA(VLOOKUP(W429,Grade_Scale!$A:$B,2,FALSE),"F")</f>
        <v/>
      </c>
      <c r="Z429">
        <f>IF(Y429="","",W429-IFNA(VLOOKUP(Y429,Grade_Scale!$D:$E,2,FALSE),""))</f>
        <v/>
      </c>
    </row>
    <row r="430">
      <c r="P430">
        <f>IF(OR(B430="SP",B430="RP",B430="CP",B430="SP/RP"),"P","H")</f>
        <v/>
      </c>
      <c r="Q430">
        <f>IF(F430="",0,IFNA(VLOOKUP(F430,Trait_Polarity!$A:$C,2,FALSE),0))+IF(G430="",0,IFNA(VLOOKUP(G430,Trait_Polarity!$A:$C,2,FALSE),0))</f>
        <v/>
      </c>
      <c r="R430">
        <f>IF(F430="",0,IFNA(VLOOKUP(F430,Trait_Polarity!$A:$C,3,FALSE),0))+IF(G430="",0,IFNA(VLOOKUP(G430,Trait_Polarity!$A:$C,3,FALSE),0))</f>
        <v/>
      </c>
      <c r="S430">
        <f>IF(P430="P",(M430+N430+O430)/3,0.3*H430+0.3*I430+0.2*J430+0.1*K430+0.1*L430)</f>
        <v/>
      </c>
      <c r="T430">
        <f>IF(P430="P",IFNA(VLOOKUP(B430,Pitcher_RoleAdj!$A:$B,2,FALSE),0),IFNA(VLOOKUP(B430,Hitter_PrimaryAdj!$A:$B,2,FALSE),0))</f>
        <v/>
      </c>
      <c r="U430">
        <f>IFNA(VLOOKUP(IF(C430="","(none)",C430),SecondaryAdj!$A:$B,2,FALSE),0)</f>
        <v/>
      </c>
      <c r="V430">
        <f>IF(P430="P",0.7780+0.1628*S430+0.2957*Q430-0.1912*R430-0.1512*IF(D430="S",1,0)+0.1600*IF(E430="L",1,0)+0.0091*H430+0.0124*I430+0.0017*J430+T430+U430,-0.8294+0.1849*S430+0.1750*Q430-0.2969*R430+0.6924*IF(D430="S",1,0)+0.0457*IF(E430="L",1,0)+T430+U430)</f>
        <v/>
      </c>
      <c r="W430">
        <f>MAX(0,MIN(16,ROUND(V430,0)))</f>
        <v/>
      </c>
      <c r="X430">
        <f>IFNA(VLOOKUP(W430,Grade_Scale!$A:$B,2,FALSE),"F")</f>
        <v/>
      </c>
      <c r="Z430">
        <f>IF(Y430="","",W430-IFNA(VLOOKUP(Y430,Grade_Scale!$D:$E,2,FALSE),""))</f>
        <v/>
      </c>
    </row>
    <row r="431">
      <c r="P431">
        <f>IF(OR(B431="SP",B431="RP",B431="CP",B431="SP/RP"),"P","H")</f>
        <v/>
      </c>
      <c r="Q431">
        <f>IF(F431="",0,IFNA(VLOOKUP(F431,Trait_Polarity!$A:$C,2,FALSE),0))+IF(G431="",0,IFNA(VLOOKUP(G431,Trait_Polarity!$A:$C,2,FALSE),0))</f>
        <v/>
      </c>
      <c r="R431">
        <f>IF(F431="",0,IFNA(VLOOKUP(F431,Trait_Polarity!$A:$C,3,FALSE),0))+IF(G431="",0,IFNA(VLOOKUP(G431,Trait_Polarity!$A:$C,3,FALSE),0))</f>
        <v/>
      </c>
      <c r="S431">
        <f>IF(P431="P",(M431+N431+O431)/3,0.3*H431+0.3*I431+0.2*J431+0.1*K431+0.1*L431)</f>
        <v/>
      </c>
      <c r="T431">
        <f>IF(P431="P",IFNA(VLOOKUP(B431,Pitcher_RoleAdj!$A:$B,2,FALSE),0),IFNA(VLOOKUP(B431,Hitter_PrimaryAdj!$A:$B,2,FALSE),0))</f>
        <v/>
      </c>
      <c r="U431">
        <f>IFNA(VLOOKUP(IF(C431="","(none)",C431),SecondaryAdj!$A:$B,2,FALSE),0)</f>
        <v/>
      </c>
      <c r="V431">
        <f>IF(P431="P",0.7780+0.1628*S431+0.2957*Q431-0.1912*R431-0.1512*IF(D431="S",1,0)+0.1600*IF(E431="L",1,0)+0.0091*H431+0.0124*I431+0.0017*J431+T431+U431,-0.8294+0.1849*S431+0.1750*Q431-0.2969*R431+0.6924*IF(D431="S",1,0)+0.0457*IF(E431="L",1,0)+T431+U431)</f>
        <v/>
      </c>
      <c r="W431">
        <f>MAX(0,MIN(16,ROUND(V431,0)))</f>
        <v/>
      </c>
      <c r="X431">
        <f>IFNA(VLOOKUP(W431,Grade_Scale!$A:$B,2,FALSE),"F")</f>
        <v/>
      </c>
      <c r="Z431">
        <f>IF(Y431="","",W431-IFNA(VLOOKUP(Y431,Grade_Scale!$D:$E,2,FALSE),""))</f>
        <v/>
      </c>
    </row>
    <row r="432">
      <c r="P432">
        <f>IF(OR(B432="SP",B432="RP",B432="CP",B432="SP/RP"),"P","H")</f>
        <v/>
      </c>
      <c r="Q432">
        <f>IF(F432="",0,IFNA(VLOOKUP(F432,Trait_Polarity!$A:$C,2,FALSE),0))+IF(G432="",0,IFNA(VLOOKUP(G432,Trait_Polarity!$A:$C,2,FALSE),0))</f>
        <v/>
      </c>
      <c r="R432">
        <f>IF(F432="",0,IFNA(VLOOKUP(F432,Trait_Polarity!$A:$C,3,FALSE),0))+IF(G432="",0,IFNA(VLOOKUP(G432,Trait_Polarity!$A:$C,3,FALSE),0))</f>
        <v/>
      </c>
      <c r="S432">
        <f>IF(P432="P",(M432+N432+O432)/3,0.3*H432+0.3*I432+0.2*J432+0.1*K432+0.1*L432)</f>
        <v/>
      </c>
      <c r="T432">
        <f>IF(P432="P",IFNA(VLOOKUP(B432,Pitcher_RoleAdj!$A:$B,2,FALSE),0),IFNA(VLOOKUP(B432,Hitter_PrimaryAdj!$A:$B,2,FALSE),0))</f>
        <v/>
      </c>
      <c r="U432">
        <f>IFNA(VLOOKUP(IF(C432="","(none)",C432),SecondaryAdj!$A:$B,2,FALSE),0)</f>
        <v/>
      </c>
      <c r="V432">
        <f>IF(P432="P",0.7780+0.1628*S432+0.2957*Q432-0.1912*R432-0.1512*IF(D432="S",1,0)+0.1600*IF(E432="L",1,0)+0.0091*H432+0.0124*I432+0.0017*J432+T432+U432,-0.8294+0.1849*S432+0.1750*Q432-0.2969*R432+0.6924*IF(D432="S",1,0)+0.0457*IF(E432="L",1,0)+T432+U432)</f>
        <v/>
      </c>
      <c r="W432">
        <f>MAX(0,MIN(16,ROUND(V432,0)))</f>
        <v/>
      </c>
      <c r="X432">
        <f>IFNA(VLOOKUP(W432,Grade_Scale!$A:$B,2,FALSE),"F")</f>
        <v/>
      </c>
      <c r="Z432">
        <f>IF(Y432="","",W432-IFNA(VLOOKUP(Y432,Grade_Scale!$D:$E,2,FALSE),""))</f>
        <v/>
      </c>
    </row>
    <row r="433">
      <c r="P433">
        <f>IF(OR(B433="SP",B433="RP",B433="CP",B433="SP/RP"),"P","H")</f>
        <v/>
      </c>
      <c r="Q433">
        <f>IF(F433="",0,IFNA(VLOOKUP(F433,Trait_Polarity!$A:$C,2,FALSE),0))+IF(G433="",0,IFNA(VLOOKUP(G433,Trait_Polarity!$A:$C,2,FALSE),0))</f>
        <v/>
      </c>
      <c r="R433">
        <f>IF(F433="",0,IFNA(VLOOKUP(F433,Trait_Polarity!$A:$C,3,FALSE),0))+IF(G433="",0,IFNA(VLOOKUP(G433,Trait_Polarity!$A:$C,3,FALSE),0))</f>
        <v/>
      </c>
      <c r="S433">
        <f>IF(P433="P",(M433+N433+O433)/3,0.3*H433+0.3*I433+0.2*J433+0.1*K433+0.1*L433)</f>
        <v/>
      </c>
      <c r="T433">
        <f>IF(P433="P",IFNA(VLOOKUP(B433,Pitcher_RoleAdj!$A:$B,2,FALSE),0),IFNA(VLOOKUP(B433,Hitter_PrimaryAdj!$A:$B,2,FALSE),0))</f>
        <v/>
      </c>
      <c r="U433">
        <f>IFNA(VLOOKUP(IF(C433="","(none)",C433),SecondaryAdj!$A:$B,2,FALSE),0)</f>
        <v/>
      </c>
      <c r="V433">
        <f>IF(P433="P",0.7780+0.1628*S433+0.2957*Q433-0.1912*R433-0.1512*IF(D433="S",1,0)+0.1600*IF(E433="L",1,0)+0.0091*H433+0.0124*I433+0.0017*J433+T433+U433,-0.8294+0.1849*S433+0.1750*Q433-0.2969*R433+0.6924*IF(D433="S",1,0)+0.0457*IF(E433="L",1,0)+T433+U433)</f>
        <v/>
      </c>
      <c r="W433">
        <f>MAX(0,MIN(16,ROUND(V433,0)))</f>
        <v/>
      </c>
      <c r="X433">
        <f>IFNA(VLOOKUP(W433,Grade_Scale!$A:$B,2,FALSE),"F")</f>
        <v/>
      </c>
      <c r="Z433">
        <f>IF(Y433="","",W433-IFNA(VLOOKUP(Y433,Grade_Scale!$D:$E,2,FALSE),""))</f>
        <v/>
      </c>
    </row>
    <row r="434">
      <c r="P434">
        <f>IF(OR(B434="SP",B434="RP",B434="CP",B434="SP/RP"),"P","H")</f>
        <v/>
      </c>
      <c r="Q434">
        <f>IF(F434="",0,IFNA(VLOOKUP(F434,Trait_Polarity!$A:$C,2,FALSE),0))+IF(G434="",0,IFNA(VLOOKUP(G434,Trait_Polarity!$A:$C,2,FALSE),0))</f>
        <v/>
      </c>
      <c r="R434">
        <f>IF(F434="",0,IFNA(VLOOKUP(F434,Trait_Polarity!$A:$C,3,FALSE),0))+IF(G434="",0,IFNA(VLOOKUP(G434,Trait_Polarity!$A:$C,3,FALSE),0))</f>
        <v/>
      </c>
      <c r="S434">
        <f>IF(P434="P",(M434+N434+O434)/3,0.3*H434+0.3*I434+0.2*J434+0.1*K434+0.1*L434)</f>
        <v/>
      </c>
      <c r="T434">
        <f>IF(P434="P",IFNA(VLOOKUP(B434,Pitcher_RoleAdj!$A:$B,2,FALSE),0),IFNA(VLOOKUP(B434,Hitter_PrimaryAdj!$A:$B,2,FALSE),0))</f>
        <v/>
      </c>
      <c r="U434">
        <f>IFNA(VLOOKUP(IF(C434="","(none)",C434),SecondaryAdj!$A:$B,2,FALSE),0)</f>
        <v/>
      </c>
      <c r="V434">
        <f>IF(P434="P",0.7780+0.1628*S434+0.2957*Q434-0.1912*R434-0.1512*IF(D434="S",1,0)+0.1600*IF(E434="L",1,0)+0.0091*H434+0.0124*I434+0.0017*J434+T434+U434,-0.8294+0.1849*S434+0.1750*Q434-0.2969*R434+0.6924*IF(D434="S",1,0)+0.0457*IF(E434="L",1,0)+T434+U434)</f>
        <v/>
      </c>
      <c r="W434">
        <f>MAX(0,MIN(16,ROUND(V434,0)))</f>
        <v/>
      </c>
      <c r="X434">
        <f>IFNA(VLOOKUP(W434,Grade_Scale!$A:$B,2,FALSE),"F")</f>
        <v/>
      </c>
      <c r="Z434">
        <f>IF(Y434="","",W434-IFNA(VLOOKUP(Y434,Grade_Scale!$D:$E,2,FALSE),""))</f>
        <v/>
      </c>
    </row>
    <row r="435">
      <c r="P435">
        <f>IF(OR(B435="SP",B435="RP",B435="CP",B435="SP/RP"),"P","H")</f>
        <v/>
      </c>
      <c r="Q435">
        <f>IF(F435="",0,IFNA(VLOOKUP(F435,Trait_Polarity!$A:$C,2,FALSE),0))+IF(G435="",0,IFNA(VLOOKUP(G435,Trait_Polarity!$A:$C,2,FALSE),0))</f>
        <v/>
      </c>
      <c r="R435">
        <f>IF(F435="",0,IFNA(VLOOKUP(F435,Trait_Polarity!$A:$C,3,FALSE),0))+IF(G435="",0,IFNA(VLOOKUP(G435,Trait_Polarity!$A:$C,3,FALSE),0))</f>
        <v/>
      </c>
      <c r="S435">
        <f>IF(P435="P",(M435+N435+O435)/3,0.3*H435+0.3*I435+0.2*J435+0.1*K435+0.1*L435)</f>
        <v/>
      </c>
      <c r="T435">
        <f>IF(P435="P",IFNA(VLOOKUP(B435,Pitcher_RoleAdj!$A:$B,2,FALSE),0),IFNA(VLOOKUP(B435,Hitter_PrimaryAdj!$A:$B,2,FALSE),0))</f>
        <v/>
      </c>
      <c r="U435">
        <f>IFNA(VLOOKUP(IF(C435="","(none)",C435),SecondaryAdj!$A:$B,2,FALSE),0)</f>
        <v/>
      </c>
      <c r="V435">
        <f>IF(P435="P",0.7780+0.1628*S435+0.2957*Q435-0.1912*R435-0.1512*IF(D435="S",1,0)+0.1600*IF(E435="L",1,0)+0.0091*H435+0.0124*I435+0.0017*J435+T435+U435,-0.8294+0.1849*S435+0.1750*Q435-0.2969*R435+0.6924*IF(D435="S",1,0)+0.0457*IF(E435="L",1,0)+T435+U435)</f>
        <v/>
      </c>
      <c r="W435">
        <f>MAX(0,MIN(16,ROUND(V435,0)))</f>
        <v/>
      </c>
      <c r="X435">
        <f>IFNA(VLOOKUP(W435,Grade_Scale!$A:$B,2,FALSE),"F")</f>
        <v/>
      </c>
      <c r="Z435">
        <f>IF(Y435="","",W435-IFNA(VLOOKUP(Y435,Grade_Scale!$D:$E,2,FALSE),""))</f>
        <v/>
      </c>
    </row>
    <row r="436">
      <c r="P436">
        <f>IF(OR(B436="SP",B436="RP",B436="CP",B436="SP/RP"),"P","H")</f>
        <v/>
      </c>
      <c r="Q436">
        <f>IF(F436="",0,IFNA(VLOOKUP(F436,Trait_Polarity!$A:$C,2,FALSE),0))+IF(G436="",0,IFNA(VLOOKUP(G436,Trait_Polarity!$A:$C,2,FALSE),0))</f>
        <v/>
      </c>
      <c r="R436">
        <f>IF(F436="",0,IFNA(VLOOKUP(F436,Trait_Polarity!$A:$C,3,FALSE),0))+IF(G436="",0,IFNA(VLOOKUP(G436,Trait_Polarity!$A:$C,3,FALSE),0))</f>
        <v/>
      </c>
      <c r="S436">
        <f>IF(P436="P",(M436+N436+O436)/3,0.3*H436+0.3*I436+0.2*J436+0.1*K436+0.1*L436)</f>
        <v/>
      </c>
      <c r="T436">
        <f>IF(P436="P",IFNA(VLOOKUP(B436,Pitcher_RoleAdj!$A:$B,2,FALSE),0),IFNA(VLOOKUP(B436,Hitter_PrimaryAdj!$A:$B,2,FALSE),0))</f>
        <v/>
      </c>
      <c r="U436">
        <f>IFNA(VLOOKUP(IF(C436="","(none)",C436),SecondaryAdj!$A:$B,2,FALSE),0)</f>
        <v/>
      </c>
      <c r="V436">
        <f>IF(P436="P",0.7780+0.1628*S436+0.2957*Q436-0.1912*R436-0.1512*IF(D436="S",1,0)+0.1600*IF(E436="L",1,0)+0.0091*H436+0.0124*I436+0.0017*J436+T436+U436,-0.8294+0.1849*S436+0.1750*Q436-0.2969*R436+0.6924*IF(D436="S",1,0)+0.0457*IF(E436="L",1,0)+T436+U436)</f>
        <v/>
      </c>
      <c r="W436">
        <f>MAX(0,MIN(16,ROUND(V436,0)))</f>
        <v/>
      </c>
      <c r="X436">
        <f>IFNA(VLOOKUP(W436,Grade_Scale!$A:$B,2,FALSE),"F")</f>
        <v/>
      </c>
      <c r="Z436">
        <f>IF(Y436="","",W436-IFNA(VLOOKUP(Y436,Grade_Scale!$D:$E,2,FALSE),""))</f>
        <v/>
      </c>
    </row>
    <row r="437">
      <c r="P437">
        <f>IF(OR(B437="SP",B437="RP",B437="CP",B437="SP/RP"),"P","H")</f>
        <v/>
      </c>
      <c r="Q437">
        <f>IF(F437="",0,IFNA(VLOOKUP(F437,Trait_Polarity!$A:$C,2,FALSE),0))+IF(G437="",0,IFNA(VLOOKUP(G437,Trait_Polarity!$A:$C,2,FALSE),0))</f>
        <v/>
      </c>
      <c r="R437">
        <f>IF(F437="",0,IFNA(VLOOKUP(F437,Trait_Polarity!$A:$C,3,FALSE),0))+IF(G437="",0,IFNA(VLOOKUP(G437,Trait_Polarity!$A:$C,3,FALSE),0))</f>
        <v/>
      </c>
      <c r="S437">
        <f>IF(P437="P",(M437+N437+O437)/3,0.3*H437+0.3*I437+0.2*J437+0.1*K437+0.1*L437)</f>
        <v/>
      </c>
      <c r="T437">
        <f>IF(P437="P",IFNA(VLOOKUP(B437,Pitcher_RoleAdj!$A:$B,2,FALSE),0),IFNA(VLOOKUP(B437,Hitter_PrimaryAdj!$A:$B,2,FALSE),0))</f>
        <v/>
      </c>
      <c r="U437">
        <f>IFNA(VLOOKUP(IF(C437="","(none)",C437),SecondaryAdj!$A:$B,2,FALSE),0)</f>
        <v/>
      </c>
      <c r="V437">
        <f>IF(P437="P",0.7780+0.1628*S437+0.2957*Q437-0.1912*R437-0.1512*IF(D437="S",1,0)+0.1600*IF(E437="L",1,0)+0.0091*H437+0.0124*I437+0.0017*J437+T437+U437,-0.8294+0.1849*S437+0.1750*Q437-0.2969*R437+0.6924*IF(D437="S",1,0)+0.0457*IF(E437="L",1,0)+T437+U437)</f>
        <v/>
      </c>
      <c r="W437">
        <f>MAX(0,MIN(16,ROUND(V437,0)))</f>
        <v/>
      </c>
      <c r="X437">
        <f>IFNA(VLOOKUP(W437,Grade_Scale!$A:$B,2,FALSE),"F")</f>
        <v/>
      </c>
      <c r="Z437">
        <f>IF(Y437="","",W437-IFNA(VLOOKUP(Y437,Grade_Scale!$D:$E,2,FALSE),""))</f>
        <v/>
      </c>
    </row>
    <row r="438">
      <c r="P438">
        <f>IF(OR(B438="SP",B438="RP",B438="CP",B438="SP/RP"),"P","H")</f>
        <v/>
      </c>
      <c r="Q438">
        <f>IF(F438="",0,IFNA(VLOOKUP(F438,Trait_Polarity!$A:$C,2,FALSE),0))+IF(G438="",0,IFNA(VLOOKUP(G438,Trait_Polarity!$A:$C,2,FALSE),0))</f>
        <v/>
      </c>
      <c r="R438">
        <f>IF(F438="",0,IFNA(VLOOKUP(F438,Trait_Polarity!$A:$C,3,FALSE),0))+IF(G438="",0,IFNA(VLOOKUP(G438,Trait_Polarity!$A:$C,3,FALSE),0))</f>
        <v/>
      </c>
      <c r="S438">
        <f>IF(P438="P",(M438+N438+O438)/3,0.3*H438+0.3*I438+0.2*J438+0.1*K438+0.1*L438)</f>
        <v/>
      </c>
      <c r="T438">
        <f>IF(P438="P",IFNA(VLOOKUP(B438,Pitcher_RoleAdj!$A:$B,2,FALSE),0),IFNA(VLOOKUP(B438,Hitter_PrimaryAdj!$A:$B,2,FALSE),0))</f>
        <v/>
      </c>
      <c r="U438">
        <f>IFNA(VLOOKUP(IF(C438="","(none)",C438),SecondaryAdj!$A:$B,2,FALSE),0)</f>
        <v/>
      </c>
      <c r="V438">
        <f>IF(P438="P",0.7780+0.1628*S438+0.2957*Q438-0.1912*R438-0.1512*IF(D438="S",1,0)+0.1600*IF(E438="L",1,0)+0.0091*H438+0.0124*I438+0.0017*J438+T438+U438,-0.8294+0.1849*S438+0.1750*Q438-0.2969*R438+0.6924*IF(D438="S",1,0)+0.0457*IF(E438="L",1,0)+T438+U438)</f>
        <v/>
      </c>
      <c r="W438">
        <f>MAX(0,MIN(16,ROUND(V438,0)))</f>
        <v/>
      </c>
      <c r="X438">
        <f>IFNA(VLOOKUP(W438,Grade_Scale!$A:$B,2,FALSE),"F")</f>
        <v/>
      </c>
      <c r="Z438">
        <f>IF(Y438="","",W438-IFNA(VLOOKUP(Y438,Grade_Scale!$D:$E,2,FALSE),""))</f>
        <v/>
      </c>
    </row>
    <row r="439">
      <c r="P439">
        <f>IF(OR(B439="SP",B439="RP",B439="CP",B439="SP/RP"),"P","H")</f>
        <v/>
      </c>
      <c r="Q439">
        <f>IF(F439="",0,IFNA(VLOOKUP(F439,Trait_Polarity!$A:$C,2,FALSE),0))+IF(G439="",0,IFNA(VLOOKUP(G439,Trait_Polarity!$A:$C,2,FALSE),0))</f>
        <v/>
      </c>
      <c r="R439">
        <f>IF(F439="",0,IFNA(VLOOKUP(F439,Trait_Polarity!$A:$C,3,FALSE),0))+IF(G439="",0,IFNA(VLOOKUP(G439,Trait_Polarity!$A:$C,3,FALSE),0))</f>
        <v/>
      </c>
      <c r="S439">
        <f>IF(P439="P",(M439+N439+O439)/3,0.3*H439+0.3*I439+0.2*J439+0.1*K439+0.1*L439)</f>
        <v/>
      </c>
      <c r="T439">
        <f>IF(P439="P",IFNA(VLOOKUP(B439,Pitcher_RoleAdj!$A:$B,2,FALSE),0),IFNA(VLOOKUP(B439,Hitter_PrimaryAdj!$A:$B,2,FALSE),0))</f>
        <v/>
      </c>
      <c r="U439">
        <f>IFNA(VLOOKUP(IF(C439="","(none)",C439),SecondaryAdj!$A:$B,2,FALSE),0)</f>
        <v/>
      </c>
      <c r="V439">
        <f>IF(P439="P",0.7780+0.1628*S439+0.2957*Q439-0.1912*R439-0.1512*IF(D439="S",1,0)+0.1600*IF(E439="L",1,0)+0.0091*H439+0.0124*I439+0.0017*J439+T439+U439,-0.8294+0.1849*S439+0.1750*Q439-0.2969*R439+0.6924*IF(D439="S",1,0)+0.0457*IF(E439="L",1,0)+T439+U439)</f>
        <v/>
      </c>
      <c r="W439">
        <f>MAX(0,MIN(16,ROUND(V439,0)))</f>
        <v/>
      </c>
      <c r="X439">
        <f>IFNA(VLOOKUP(W439,Grade_Scale!$A:$B,2,FALSE),"F")</f>
        <v/>
      </c>
      <c r="Z439">
        <f>IF(Y439="","",W439-IFNA(VLOOKUP(Y439,Grade_Scale!$D:$E,2,FALSE),""))</f>
        <v/>
      </c>
    </row>
    <row r="440">
      <c r="P440">
        <f>IF(OR(B440="SP",B440="RP",B440="CP",B440="SP/RP"),"P","H")</f>
        <v/>
      </c>
      <c r="Q440">
        <f>IF(F440="",0,IFNA(VLOOKUP(F440,Trait_Polarity!$A:$C,2,FALSE),0))+IF(G440="",0,IFNA(VLOOKUP(G440,Trait_Polarity!$A:$C,2,FALSE),0))</f>
        <v/>
      </c>
      <c r="R440">
        <f>IF(F440="",0,IFNA(VLOOKUP(F440,Trait_Polarity!$A:$C,3,FALSE),0))+IF(G440="",0,IFNA(VLOOKUP(G440,Trait_Polarity!$A:$C,3,FALSE),0))</f>
        <v/>
      </c>
      <c r="S440">
        <f>IF(P440="P",(M440+N440+O440)/3,0.3*H440+0.3*I440+0.2*J440+0.1*K440+0.1*L440)</f>
        <v/>
      </c>
      <c r="T440">
        <f>IF(P440="P",IFNA(VLOOKUP(B440,Pitcher_RoleAdj!$A:$B,2,FALSE),0),IFNA(VLOOKUP(B440,Hitter_PrimaryAdj!$A:$B,2,FALSE),0))</f>
        <v/>
      </c>
      <c r="U440">
        <f>IFNA(VLOOKUP(IF(C440="","(none)",C440),SecondaryAdj!$A:$B,2,FALSE),0)</f>
        <v/>
      </c>
      <c r="V440">
        <f>IF(P440="P",0.7780+0.1628*S440+0.2957*Q440-0.1912*R440-0.1512*IF(D440="S",1,0)+0.1600*IF(E440="L",1,0)+0.0091*H440+0.0124*I440+0.0017*J440+T440+U440,-0.8294+0.1849*S440+0.1750*Q440-0.2969*R440+0.6924*IF(D440="S",1,0)+0.0457*IF(E440="L",1,0)+T440+U440)</f>
        <v/>
      </c>
      <c r="W440">
        <f>MAX(0,MIN(16,ROUND(V440,0)))</f>
        <v/>
      </c>
      <c r="X440">
        <f>IFNA(VLOOKUP(W440,Grade_Scale!$A:$B,2,FALSE),"F")</f>
        <v/>
      </c>
      <c r="Z440">
        <f>IF(Y440="","",W440-IFNA(VLOOKUP(Y440,Grade_Scale!$D:$E,2,FALSE),""))</f>
        <v/>
      </c>
    </row>
    <row r="441">
      <c r="P441">
        <f>IF(OR(B441="SP",B441="RP",B441="CP",B441="SP/RP"),"P","H")</f>
        <v/>
      </c>
      <c r="Q441">
        <f>IF(F441="",0,IFNA(VLOOKUP(F441,Trait_Polarity!$A:$C,2,FALSE),0))+IF(G441="",0,IFNA(VLOOKUP(G441,Trait_Polarity!$A:$C,2,FALSE),0))</f>
        <v/>
      </c>
      <c r="R441">
        <f>IF(F441="",0,IFNA(VLOOKUP(F441,Trait_Polarity!$A:$C,3,FALSE),0))+IF(G441="",0,IFNA(VLOOKUP(G441,Trait_Polarity!$A:$C,3,FALSE),0))</f>
        <v/>
      </c>
      <c r="S441">
        <f>IF(P441="P",(M441+N441+O441)/3,0.3*H441+0.3*I441+0.2*J441+0.1*K441+0.1*L441)</f>
        <v/>
      </c>
      <c r="T441">
        <f>IF(P441="P",IFNA(VLOOKUP(B441,Pitcher_RoleAdj!$A:$B,2,FALSE),0),IFNA(VLOOKUP(B441,Hitter_PrimaryAdj!$A:$B,2,FALSE),0))</f>
        <v/>
      </c>
      <c r="U441">
        <f>IFNA(VLOOKUP(IF(C441="","(none)",C441),SecondaryAdj!$A:$B,2,FALSE),0)</f>
        <v/>
      </c>
      <c r="V441">
        <f>IF(P441="P",0.7780+0.1628*S441+0.2957*Q441-0.1912*R441-0.1512*IF(D441="S",1,0)+0.1600*IF(E441="L",1,0)+0.0091*H441+0.0124*I441+0.0017*J441+T441+U441,-0.8294+0.1849*S441+0.1750*Q441-0.2969*R441+0.6924*IF(D441="S",1,0)+0.0457*IF(E441="L",1,0)+T441+U441)</f>
        <v/>
      </c>
      <c r="W441">
        <f>MAX(0,MIN(16,ROUND(V441,0)))</f>
        <v/>
      </c>
      <c r="X441">
        <f>IFNA(VLOOKUP(W441,Grade_Scale!$A:$B,2,FALSE),"F")</f>
        <v/>
      </c>
      <c r="Z441">
        <f>IF(Y441="","",W441-IFNA(VLOOKUP(Y441,Grade_Scale!$D:$E,2,FALSE),""))</f>
        <v/>
      </c>
    </row>
    <row r="442">
      <c r="P442">
        <f>IF(OR(B442="SP",B442="RP",B442="CP",B442="SP/RP"),"P","H")</f>
        <v/>
      </c>
      <c r="Q442">
        <f>IF(F442="",0,IFNA(VLOOKUP(F442,Trait_Polarity!$A:$C,2,FALSE),0))+IF(G442="",0,IFNA(VLOOKUP(G442,Trait_Polarity!$A:$C,2,FALSE),0))</f>
        <v/>
      </c>
      <c r="R442">
        <f>IF(F442="",0,IFNA(VLOOKUP(F442,Trait_Polarity!$A:$C,3,FALSE),0))+IF(G442="",0,IFNA(VLOOKUP(G442,Trait_Polarity!$A:$C,3,FALSE),0))</f>
        <v/>
      </c>
      <c r="S442">
        <f>IF(P442="P",(M442+N442+O442)/3,0.3*H442+0.3*I442+0.2*J442+0.1*K442+0.1*L442)</f>
        <v/>
      </c>
      <c r="T442">
        <f>IF(P442="P",IFNA(VLOOKUP(B442,Pitcher_RoleAdj!$A:$B,2,FALSE),0),IFNA(VLOOKUP(B442,Hitter_PrimaryAdj!$A:$B,2,FALSE),0))</f>
        <v/>
      </c>
      <c r="U442">
        <f>IFNA(VLOOKUP(IF(C442="","(none)",C442),SecondaryAdj!$A:$B,2,FALSE),0)</f>
        <v/>
      </c>
      <c r="V442">
        <f>IF(P442="P",0.7780+0.1628*S442+0.2957*Q442-0.1912*R442-0.1512*IF(D442="S",1,0)+0.1600*IF(E442="L",1,0)+0.0091*H442+0.0124*I442+0.0017*J442+T442+U442,-0.8294+0.1849*S442+0.1750*Q442-0.2969*R442+0.6924*IF(D442="S",1,0)+0.0457*IF(E442="L",1,0)+T442+U442)</f>
        <v/>
      </c>
      <c r="W442">
        <f>MAX(0,MIN(16,ROUND(V442,0)))</f>
        <v/>
      </c>
      <c r="X442">
        <f>IFNA(VLOOKUP(W442,Grade_Scale!$A:$B,2,FALSE),"F")</f>
        <v/>
      </c>
      <c r="Z442">
        <f>IF(Y442="","",W442-IFNA(VLOOKUP(Y442,Grade_Scale!$D:$E,2,FALSE),""))</f>
        <v/>
      </c>
    </row>
    <row r="443">
      <c r="P443">
        <f>IF(OR(B443="SP",B443="RP",B443="CP",B443="SP/RP"),"P","H")</f>
        <v/>
      </c>
      <c r="Q443">
        <f>IF(F443="",0,IFNA(VLOOKUP(F443,Trait_Polarity!$A:$C,2,FALSE),0))+IF(G443="",0,IFNA(VLOOKUP(G443,Trait_Polarity!$A:$C,2,FALSE),0))</f>
        <v/>
      </c>
      <c r="R443">
        <f>IF(F443="",0,IFNA(VLOOKUP(F443,Trait_Polarity!$A:$C,3,FALSE),0))+IF(G443="",0,IFNA(VLOOKUP(G443,Trait_Polarity!$A:$C,3,FALSE),0))</f>
        <v/>
      </c>
      <c r="S443">
        <f>IF(P443="P",(M443+N443+O443)/3,0.3*H443+0.3*I443+0.2*J443+0.1*K443+0.1*L443)</f>
        <v/>
      </c>
      <c r="T443">
        <f>IF(P443="P",IFNA(VLOOKUP(B443,Pitcher_RoleAdj!$A:$B,2,FALSE),0),IFNA(VLOOKUP(B443,Hitter_PrimaryAdj!$A:$B,2,FALSE),0))</f>
        <v/>
      </c>
      <c r="U443">
        <f>IFNA(VLOOKUP(IF(C443="","(none)",C443),SecondaryAdj!$A:$B,2,FALSE),0)</f>
        <v/>
      </c>
      <c r="V443">
        <f>IF(P443="P",0.7780+0.1628*S443+0.2957*Q443-0.1912*R443-0.1512*IF(D443="S",1,0)+0.1600*IF(E443="L",1,0)+0.0091*H443+0.0124*I443+0.0017*J443+T443+U443,-0.8294+0.1849*S443+0.1750*Q443-0.2969*R443+0.6924*IF(D443="S",1,0)+0.0457*IF(E443="L",1,0)+T443+U443)</f>
        <v/>
      </c>
      <c r="W443">
        <f>MAX(0,MIN(16,ROUND(V443,0)))</f>
        <v/>
      </c>
      <c r="X443">
        <f>IFNA(VLOOKUP(W443,Grade_Scale!$A:$B,2,FALSE),"F")</f>
        <v/>
      </c>
      <c r="Z443">
        <f>IF(Y443="","",W443-IFNA(VLOOKUP(Y443,Grade_Scale!$D:$E,2,FALSE),""))</f>
        <v/>
      </c>
    </row>
    <row r="444">
      <c r="P444">
        <f>IF(OR(B444="SP",B444="RP",B444="CP",B444="SP/RP"),"P","H")</f>
        <v/>
      </c>
      <c r="Q444">
        <f>IF(F444="",0,IFNA(VLOOKUP(F444,Trait_Polarity!$A:$C,2,FALSE),0))+IF(G444="",0,IFNA(VLOOKUP(G444,Trait_Polarity!$A:$C,2,FALSE),0))</f>
        <v/>
      </c>
      <c r="R444">
        <f>IF(F444="",0,IFNA(VLOOKUP(F444,Trait_Polarity!$A:$C,3,FALSE),0))+IF(G444="",0,IFNA(VLOOKUP(G444,Trait_Polarity!$A:$C,3,FALSE),0))</f>
        <v/>
      </c>
      <c r="S444">
        <f>IF(P444="P",(M444+N444+O444)/3,0.3*H444+0.3*I444+0.2*J444+0.1*K444+0.1*L444)</f>
        <v/>
      </c>
      <c r="T444">
        <f>IF(P444="P",IFNA(VLOOKUP(B444,Pitcher_RoleAdj!$A:$B,2,FALSE),0),IFNA(VLOOKUP(B444,Hitter_PrimaryAdj!$A:$B,2,FALSE),0))</f>
        <v/>
      </c>
      <c r="U444">
        <f>IFNA(VLOOKUP(IF(C444="","(none)",C444),SecondaryAdj!$A:$B,2,FALSE),0)</f>
        <v/>
      </c>
      <c r="V444">
        <f>IF(P444="P",0.7780+0.1628*S444+0.2957*Q444-0.1912*R444-0.1512*IF(D444="S",1,0)+0.1600*IF(E444="L",1,0)+0.0091*H444+0.0124*I444+0.0017*J444+T444+U444,-0.8294+0.1849*S444+0.1750*Q444-0.2969*R444+0.6924*IF(D444="S",1,0)+0.0457*IF(E444="L",1,0)+T444+U444)</f>
        <v/>
      </c>
      <c r="W444">
        <f>MAX(0,MIN(16,ROUND(V444,0)))</f>
        <v/>
      </c>
      <c r="X444">
        <f>IFNA(VLOOKUP(W444,Grade_Scale!$A:$B,2,FALSE),"F")</f>
        <v/>
      </c>
      <c r="Z444">
        <f>IF(Y444="","",W444-IFNA(VLOOKUP(Y444,Grade_Scale!$D:$E,2,FALSE),""))</f>
        <v/>
      </c>
    </row>
    <row r="445">
      <c r="P445">
        <f>IF(OR(B445="SP",B445="RP",B445="CP",B445="SP/RP"),"P","H")</f>
        <v/>
      </c>
      <c r="Q445">
        <f>IF(F445="",0,IFNA(VLOOKUP(F445,Trait_Polarity!$A:$C,2,FALSE),0))+IF(G445="",0,IFNA(VLOOKUP(G445,Trait_Polarity!$A:$C,2,FALSE),0))</f>
        <v/>
      </c>
      <c r="R445">
        <f>IF(F445="",0,IFNA(VLOOKUP(F445,Trait_Polarity!$A:$C,3,FALSE),0))+IF(G445="",0,IFNA(VLOOKUP(G445,Trait_Polarity!$A:$C,3,FALSE),0))</f>
        <v/>
      </c>
      <c r="S445">
        <f>IF(P445="P",(M445+N445+O445)/3,0.3*H445+0.3*I445+0.2*J445+0.1*K445+0.1*L445)</f>
        <v/>
      </c>
      <c r="T445">
        <f>IF(P445="P",IFNA(VLOOKUP(B445,Pitcher_RoleAdj!$A:$B,2,FALSE),0),IFNA(VLOOKUP(B445,Hitter_PrimaryAdj!$A:$B,2,FALSE),0))</f>
        <v/>
      </c>
      <c r="U445">
        <f>IFNA(VLOOKUP(IF(C445="","(none)",C445),SecondaryAdj!$A:$B,2,FALSE),0)</f>
        <v/>
      </c>
      <c r="V445">
        <f>IF(P445="P",0.7780+0.1628*S445+0.2957*Q445-0.1912*R445-0.1512*IF(D445="S",1,0)+0.1600*IF(E445="L",1,0)+0.0091*H445+0.0124*I445+0.0017*J445+T445+U445,-0.8294+0.1849*S445+0.1750*Q445-0.2969*R445+0.6924*IF(D445="S",1,0)+0.0457*IF(E445="L",1,0)+T445+U445)</f>
        <v/>
      </c>
      <c r="W445">
        <f>MAX(0,MIN(16,ROUND(V445,0)))</f>
        <v/>
      </c>
      <c r="X445">
        <f>IFNA(VLOOKUP(W445,Grade_Scale!$A:$B,2,FALSE),"F")</f>
        <v/>
      </c>
      <c r="Z445">
        <f>IF(Y445="","",W445-IFNA(VLOOKUP(Y445,Grade_Scale!$D:$E,2,FALSE),""))</f>
        <v/>
      </c>
    </row>
    <row r="446">
      <c r="P446">
        <f>IF(OR(B446="SP",B446="RP",B446="CP",B446="SP/RP"),"P","H")</f>
        <v/>
      </c>
      <c r="Q446">
        <f>IF(F446="",0,IFNA(VLOOKUP(F446,Trait_Polarity!$A:$C,2,FALSE),0))+IF(G446="",0,IFNA(VLOOKUP(G446,Trait_Polarity!$A:$C,2,FALSE),0))</f>
        <v/>
      </c>
      <c r="R446">
        <f>IF(F446="",0,IFNA(VLOOKUP(F446,Trait_Polarity!$A:$C,3,FALSE),0))+IF(G446="",0,IFNA(VLOOKUP(G446,Trait_Polarity!$A:$C,3,FALSE),0))</f>
        <v/>
      </c>
      <c r="S446">
        <f>IF(P446="P",(M446+N446+O446)/3,0.3*H446+0.3*I446+0.2*J446+0.1*K446+0.1*L446)</f>
        <v/>
      </c>
      <c r="T446">
        <f>IF(P446="P",IFNA(VLOOKUP(B446,Pitcher_RoleAdj!$A:$B,2,FALSE),0),IFNA(VLOOKUP(B446,Hitter_PrimaryAdj!$A:$B,2,FALSE),0))</f>
        <v/>
      </c>
      <c r="U446">
        <f>IFNA(VLOOKUP(IF(C446="","(none)",C446),SecondaryAdj!$A:$B,2,FALSE),0)</f>
        <v/>
      </c>
      <c r="V446">
        <f>IF(P446="P",0.7780+0.1628*S446+0.2957*Q446-0.1912*R446-0.1512*IF(D446="S",1,0)+0.1600*IF(E446="L",1,0)+0.0091*H446+0.0124*I446+0.0017*J446+T446+U446,-0.8294+0.1849*S446+0.1750*Q446-0.2969*R446+0.6924*IF(D446="S",1,0)+0.0457*IF(E446="L",1,0)+T446+U446)</f>
        <v/>
      </c>
      <c r="W446">
        <f>MAX(0,MIN(16,ROUND(V446,0)))</f>
        <v/>
      </c>
      <c r="X446">
        <f>IFNA(VLOOKUP(W446,Grade_Scale!$A:$B,2,FALSE),"F")</f>
        <v/>
      </c>
      <c r="Z446">
        <f>IF(Y446="","",W446-IFNA(VLOOKUP(Y446,Grade_Scale!$D:$E,2,FALSE),""))</f>
        <v/>
      </c>
    </row>
    <row r="447">
      <c r="P447">
        <f>IF(OR(B447="SP",B447="RP",B447="CP",B447="SP/RP"),"P","H")</f>
        <v/>
      </c>
      <c r="Q447">
        <f>IF(F447="",0,IFNA(VLOOKUP(F447,Trait_Polarity!$A:$C,2,FALSE),0))+IF(G447="",0,IFNA(VLOOKUP(G447,Trait_Polarity!$A:$C,2,FALSE),0))</f>
        <v/>
      </c>
      <c r="R447">
        <f>IF(F447="",0,IFNA(VLOOKUP(F447,Trait_Polarity!$A:$C,3,FALSE),0))+IF(G447="",0,IFNA(VLOOKUP(G447,Trait_Polarity!$A:$C,3,FALSE),0))</f>
        <v/>
      </c>
      <c r="S447">
        <f>IF(P447="P",(M447+N447+O447)/3,0.3*H447+0.3*I447+0.2*J447+0.1*K447+0.1*L447)</f>
        <v/>
      </c>
      <c r="T447">
        <f>IF(P447="P",IFNA(VLOOKUP(B447,Pitcher_RoleAdj!$A:$B,2,FALSE),0),IFNA(VLOOKUP(B447,Hitter_PrimaryAdj!$A:$B,2,FALSE),0))</f>
        <v/>
      </c>
      <c r="U447">
        <f>IFNA(VLOOKUP(IF(C447="","(none)",C447),SecondaryAdj!$A:$B,2,FALSE),0)</f>
        <v/>
      </c>
      <c r="V447">
        <f>IF(P447="P",0.7780+0.1628*S447+0.2957*Q447-0.1912*R447-0.1512*IF(D447="S",1,0)+0.1600*IF(E447="L",1,0)+0.0091*H447+0.0124*I447+0.0017*J447+T447+U447,-0.8294+0.1849*S447+0.1750*Q447-0.2969*R447+0.6924*IF(D447="S",1,0)+0.0457*IF(E447="L",1,0)+T447+U447)</f>
        <v/>
      </c>
      <c r="W447">
        <f>MAX(0,MIN(16,ROUND(V447,0)))</f>
        <v/>
      </c>
      <c r="X447">
        <f>IFNA(VLOOKUP(W447,Grade_Scale!$A:$B,2,FALSE),"F")</f>
        <v/>
      </c>
      <c r="Z447">
        <f>IF(Y447="","",W447-IFNA(VLOOKUP(Y447,Grade_Scale!$D:$E,2,FALSE),""))</f>
        <v/>
      </c>
    </row>
    <row r="448">
      <c r="P448">
        <f>IF(OR(B448="SP",B448="RP",B448="CP",B448="SP/RP"),"P","H")</f>
        <v/>
      </c>
      <c r="Q448">
        <f>IF(F448="",0,IFNA(VLOOKUP(F448,Trait_Polarity!$A:$C,2,FALSE),0))+IF(G448="",0,IFNA(VLOOKUP(G448,Trait_Polarity!$A:$C,2,FALSE),0))</f>
        <v/>
      </c>
      <c r="R448">
        <f>IF(F448="",0,IFNA(VLOOKUP(F448,Trait_Polarity!$A:$C,3,FALSE),0))+IF(G448="",0,IFNA(VLOOKUP(G448,Trait_Polarity!$A:$C,3,FALSE),0))</f>
        <v/>
      </c>
      <c r="S448">
        <f>IF(P448="P",(M448+N448+O448)/3,0.3*H448+0.3*I448+0.2*J448+0.1*K448+0.1*L448)</f>
        <v/>
      </c>
      <c r="T448">
        <f>IF(P448="P",IFNA(VLOOKUP(B448,Pitcher_RoleAdj!$A:$B,2,FALSE),0),IFNA(VLOOKUP(B448,Hitter_PrimaryAdj!$A:$B,2,FALSE),0))</f>
        <v/>
      </c>
      <c r="U448">
        <f>IFNA(VLOOKUP(IF(C448="","(none)",C448),SecondaryAdj!$A:$B,2,FALSE),0)</f>
        <v/>
      </c>
      <c r="V448">
        <f>IF(P448="P",0.7780+0.1628*S448+0.2957*Q448-0.1912*R448-0.1512*IF(D448="S",1,0)+0.1600*IF(E448="L",1,0)+0.0091*H448+0.0124*I448+0.0017*J448+T448+U448,-0.8294+0.1849*S448+0.1750*Q448-0.2969*R448+0.6924*IF(D448="S",1,0)+0.0457*IF(E448="L",1,0)+T448+U448)</f>
        <v/>
      </c>
      <c r="W448">
        <f>MAX(0,MIN(16,ROUND(V448,0)))</f>
        <v/>
      </c>
      <c r="X448">
        <f>IFNA(VLOOKUP(W448,Grade_Scale!$A:$B,2,FALSE),"F")</f>
        <v/>
      </c>
      <c r="Z448">
        <f>IF(Y448="","",W448-IFNA(VLOOKUP(Y448,Grade_Scale!$D:$E,2,FALSE),""))</f>
        <v/>
      </c>
    </row>
    <row r="449">
      <c r="P449">
        <f>IF(OR(B449="SP",B449="RP",B449="CP",B449="SP/RP"),"P","H")</f>
        <v/>
      </c>
      <c r="Q449">
        <f>IF(F449="",0,IFNA(VLOOKUP(F449,Trait_Polarity!$A:$C,2,FALSE),0))+IF(G449="",0,IFNA(VLOOKUP(G449,Trait_Polarity!$A:$C,2,FALSE),0))</f>
        <v/>
      </c>
      <c r="R449">
        <f>IF(F449="",0,IFNA(VLOOKUP(F449,Trait_Polarity!$A:$C,3,FALSE),0))+IF(G449="",0,IFNA(VLOOKUP(G449,Trait_Polarity!$A:$C,3,FALSE),0))</f>
        <v/>
      </c>
      <c r="S449">
        <f>IF(P449="P",(M449+N449+O449)/3,0.3*H449+0.3*I449+0.2*J449+0.1*K449+0.1*L449)</f>
        <v/>
      </c>
      <c r="T449">
        <f>IF(P449="P",IFNA(VLOOKUP(B449,Pitcher_RoleAdj!$A:$B,2,FALSE),0),IFNA(VLOOKUP(B449,Hitter_PrimaryAdj!$A:$B,2,FALSE),0))</f>
        <v/>
      </c>
      <c r="U449">
        <f>IFNA(VLOOKUP(IF(C449="","(none)",C449),SecondaryAdj!$A:$B,2,FALSE),0)</f>
        <v/>
      </c>
      <c r="V449">
        <f>IF(P449="P",0.7780+0.1628*S449+0.2957*Q449-0.1912*R449-0.1512*IF(D449="S",1,0)+0.1600*IF(E449="L",1,0)+0.0091*H449+0.0124*I449+0.0017*J449+T449+U449,-0.8294+0.1849*S449+0.1750*Q449-0.2969*R449+0.6924*IF(D449="S",1,0)+0.0457*IF(E449="L",1,0)+T449+U449)</f>
        <v/>
      </c>
      <c r="W449">
        <f>MAX(0,MIN(16,ROUND(V449,0)))</f>
        <v/>
      </c>
      <c r="X449">
        <f>IFNA(VLOOKUP(W449,Grade_Scale!$A:$B,2,FALSE),"F")</f>
        <v/>
      </c>
      <c r="Z449">
        <f>IF(Y449="","",W449-IFNA(VLOOKUP(Y449,Grade_Scale!$D:$E,2,FALSE),""))</f>
        <v/>
      </c>
    </row>
    <row r="450">
      <c r="P450">
        <f>IF(OR(B450="SP",B450="RP",B450="CP",B450="SP/RP"),"P","H")</f>
        <v/>
      </c>
      <c r="Q450">
        <f>IF(F450="",0,IFNA(VLOOKUP(F450,Trait_Polarity!$A:$C,2,FALSE),0))+IF(G450="",0,IFNA(VLOOKUP(G450,Trait_Polarity!$A:$C,2,FALSE),0))</f>
        <v/>
      </c>
      <c r="R450">
        <f>IF(F450="",0,IFNA(VLOOKUP(F450,Trait_Polarity!$A:$C,3,FALSE),0))+IF(G450="",0,IFNA(VLOOKUP(G450,Trait_Polarity!$A:$C,3,FALSE),0))</f>
        <v/>
      </c>
      <c r="S450">
        <f>IF(P450="P",(M450+N450+O450)/3,0.3*H450+0.3*I450+0.2*J450+0.1*K450+0.1*L450)</f>
        <v/>
      </c>
      <c r="T450">
        <f>IF(P450="P",IFNA(VLOOKUP(B450,Pitcher_RoleAdj!$A:$B,2,FALSE),0),IFNA(VLOOKUP(B450,Hitter_PrimaryAdj!$A:$B,2,FALSE),0))</f>
        <v/>
      </c>
      <c r="U450">
        <f>IFNA(VLOOKUP(IF(C450="","(none)",C450),SecondaryAdj!$A:$B,2,FALSE),0)</f>
        <v/>
      </c>
      <c r="V450">
        <f>IF(P450="P",0.7780+0.1628*S450+0.2957*Q450-0.1912*R450-0.1512*IF(D450="S",1,0)+0.1600*IF(E450="L",1,0)+0.0091*H450+0.0124*I450+0.0017*J450+T450+U450,-0.8294+0.1849*S450+0.1750*Q450-0.2969*R450+0.6924*IF(D450="S",1,0)+0.0457*IF(E450="L",1,0)+T450+U450)</f>
        <v/>
      </c>
      <c r="W450">
        <f>MAX(0,MIN(16,ROUND(V450,0)))</f>
        <v/>
      </c>
      <c r="X450">
        <f>IFNA(VLOOKUP(W450,Grade_Scale!$A:$B,2,FALSE),"F")</f>
        <v/>
      </c>
      <c r="Z450">
        <f>IF(Y450="","",W450-IFNA(VLOOKUP(Y450,Grade_Scale!$D:$E,2,FALSE),""))</f>
        <v/>
      </c>
    </row>
    <row r="451">
      <c r="P451">
        <f>IF(OR(B451="SP",B451="RP",B451="CP",B451="SP/RP"),"P","H")</f>
        <v/>
      </c>
      <c r="Q451">
        <f>IF(F451="",0,IFNA(VLOOKUP(F451,Trait_Polarity!$A:$C,2,FALSE),0))+IF(G451="",0,IFNA(VLOOKUP(G451,Trait_Polarity!$A:$C,2,FALSE),0))</f>
        <v/>
      </c>
      <c r="R451">
        <f>IF(F451="",0,IFNA(VLOOKUP(F451,Trait_Polarity!$A:$C,3,FALSE),0))+IF(G451="",0,IFNA(VLOOKUP(G451,Trait_Polarity!$A:$C,3,FALSE),0))</f>
        <v/>
      </c>
      <c r="S451">
        <f>IF(P451="P",(M451+N451+O451)/3,0.3*H451+0.3*I451+0.2*J451+0.1*K451+0.1*L451)</f>
        <v/>
      </c>
      <c r="T451">
        <f>IF(P451="P",IFNA(VLOOKUP(B451,Pitcher_RoleAdj!$A:$B,2,FALSE),0),IFNA(VLOOKUP(B451,Hitter_PrimaryAdj!$A:$B,2,FALSE),0))</f>
        <v/>
      </c>
      <c r="U451">
        <f>IFNA(VLOOKUP(IF(C451="","(none)",C451),SecondaryAdj!$A:$B,2,FALSE),0)</f>
        <v/>
      </c>
      <c r="V451">
        <f>IF(P451="P",0.7780+0.1628*S451+0.2957*Q451-0.1912*R451-0.1512*IF(D451="S",1,0)+0.1600*IF(E451="L",1,0)+0.0091*H451+0.0124*I451+0.0017*J451+T451+U451,-0.8294+0.1849*S451+0.1750*Q451-0.2969*R451+0.6924*IF(D451="S",1,0)+0.0457*IF(E451="L",1,0)+T451+U451)</f>
        <v/>
      </c>
      <c r="W451">
        <f>MAX(0,MIN(16,ROUND(V451,0)))</f>
        <v/>
      </c>
      <c r="X451">
        <f>IFNA(VLOOKUP(W451,Grade_Scale!$A:$B,2,FALSE),"F")</f>
        <v/>
      </c>
      <c r="Z451">
        <f>IF(Y451="","",W451-IFNA(VLOOKUP(Y451,Grade_Scale!$D:$E,2,FALSE),""))</f>
        <v/>
      </c>
    </row>
    <row r="452">
      <c r="P452">
        <f>IF(OR(B452="SP",B452="RP",B452="CP",B452="SP/RP"),"P","H")</f>
        <v/>
      </c>
      <c r="Q452">
        <f>IF(F452="",0,IFNA(VLOOKUP(F452,Trait_Polarity!$A:$C,2,FALSE),0))+IF(G452="",0,IFNA(VLOOKUP(G452,Trait_Polarity!$A:$C,2,FALSE),0))</f>
        <v/>
      </c>
      <c r="R452">
        <f>IF(F452="",0,IFNA(VLOOKUP(F452,Trait_Polarity!$A:$C,3,FALSE),0))+IF(G452="",0,IFNA(VLOOKUP(G452,Trait_Polarity!$A:$C,3,FALSE),0))</f>
        <v/>
      </c>
      <c r="S452">
        <f>IF(P452="P",(M452+N452+O452)/3,0.3*H452+0.3*I452+0.2*J452+0.1*K452+0.1*L452)</f>
        <v/>
      </c>
      <c r="T452">
        <f>IF(P452="P",IFNA(VLOOKUP(B452,Pitcher_RoleAdj!$A:$B,2,FALSE),0),IFNA(VLOOKUP(B452,Hitter_PrimaryAdj!$A:$B,2,FALSE),0))</f>
        <v/>
      </c>
      <c r="U452">
        <f>IFNA(VLOOKUP(IF(C452="","(none)",C452),SecondaryAdj!$A:$B,2,FALSE),0)</f>
        <v/>
      </c>
      <c r="V452">
        <f>IF(P452="P",0.7780+0.1628*S452+0.2957*Q452-0.1912*R452-0.1512*IF(D452="S",1,0)+0.1600*IF(E452="L",1,0)+0.0091*H452+0.0124*I452+0.0017*J452+T452+U452,-0.8294+0.1849*S452+0.1750*Q452-0.2969*R452+0.6924*IF(D452="S",1,0)+0.0457*IF(E452="L",1,0)+T452+U452)</f>
        <v/>
      </c>
      <c r="W452">
        <f>MAX(0,MIN(16,ROUND(V452,0)))</f>
        <v/>
      </c>
      <c r="X452">
        <f>IFNA(VLOOKUP(W452,Grade_Scale!$A:$B,2,FALSE),"F")</f>
        <v/>
      </c>
      <c r="Z452">
        <f>IF(Y452="","",W452-IFNA(VLOOKUP(Y452,Grade_Scale!$D:$E,2,FALSE),""))</f>
        <v/>
      </c>
    </row>
    <row r="453">
      <c r="P453">
        <f>IF(OR(B453="SP",B453="RP",B453="CP",B453="SP/RP"),"P","H")</f>
        <v/>
      </c>
      <c r="Q453">
        <f>IF(F453="",0,IFNA(VLOOKUP(F453,Trait_Polarity!$A:$C,2,FALSE),0))+IF(G453="",0,IFNA(VLOOKUP(G453,Trait_Polarity!$A:$C,2,FALSE),0))</f>
        <v/>
      </c>
      <c r="R453">
        <f>IF(F453="",0,IFNA(VLOOKUP(F453,Trait_Polarity!$A:$C,3,FALSE),0))+IF(G453="",0,IFNA(VLOOKUP(G453,Trait_Polarity!$A:$C,3,FALSE),0))</f>
        <v/>
      </c>
      <c r="S453">
        <f>IF(P453="P",(M453+N453+O453)/3,0.3*H453+0.3*I453+0.2*J453+0.1*K453+0.1*L453)</f>
        <v/>
      </c>
      <c r="T453">
        <f>IF(P453="P",IFNA(VLOOKUP(B453,Pitcher_RoleAdj!$A:$B,2,FALSE),0),IFNA(VLOOKUP(B453,Hitter_PrimaryAdj!$A:$B,2,FALSE),0))</f>
        <v/>
      </c>
      <c r="U453">
        <f>IFNA(VLOOKUP(IF(C453="","(none)",C453),SecondaryAdj!$A:$B,2,FALSE),0)</f>
        <v/>
      </c>
      <c r="V453">
        <f>IF(P453="P",0.7780+0.1628*S453+0.2957*Q453-0.1912*R453-0.1512*IF(D453="S",1,0)+0.1600*IF(E453="L",1,0)+0.0091*H453+0.0124*I453+0.0017*J453+T453+U453,-0.8294+0.1849*S453+0.1750*Q453-0.2969*R453+0.6924*IF(D453="S",1,0)+0.0457*IF(E453="L",1,0)+T453+U453)</f>
        <v/>
      </c>
      <c r="W453">
        <f>MAX(0,MIN(16,ROUND(V453,0)))</f>
        <v/>
      </c>
      <c r="X453">
        <f>IFNA(VLOOKUP(W453,Grade_Scale!$A:$B,2,FALSE),"F")</f>
        <v/>
      </c>
      <c r="Z453">
        <f>IF(Y453="","",W453-IFNA(VLOOKUP(Y453,Grade_Scale!$D:$E,2,FALSE),""))</f>
        <v/>
      </c>
    </row>
    <row r="454">
      <c r="P454">
        <f>IF(OR(B454="SP",B454="RP",B454="CP",B454="SP/RP"),"P","H")</f>
        <v/>
      </c>
      <c r="Q454">
        <f>IF(F454="",0,IFNA(VLOOKUP(F454,Trait_Polarity!$A:$C,2,FALSE),0))+IF(G454="",0,IFNA(VLOOKUP(G454,Trait_Polarity!$A:$C,2,FALSE),0))</f>
        <v/>
      </c>
      <c r="R454">
        <f>IF(F454="",0,IFNA(VLOOKUP(F454,Trait_Polarity!$A:$C,3,FALSE),0))+IF(G454="",0,IFNA(VLOOKUP(G454,Trait_Polarity!$A:$C,3,FALSE),0))</f>
        <v/>
      </c>
      <c r="S454">
        <f>IF(P454="P",(M454+N454+O454)/3,0.3*H454+0.3*I454+0.2*J454+0.1*K454+0.1*L454)</f>
        <v/>
      </c>
      <c r="T454">
        <f>IF(P454="P",IFNA(VLOOKUP(B454,Pitcher_RoleAdj!$A:$B,2,FALSE),0),IFNA(VLOOKUP(B454,Hitter_PrimaryAdj!$A:$B,2,FALSE),0))</f>
        <v/>
      </c>
      <c r="U454">
        <f>IFNA(VLOOKUP(IF(C454="","(none)",C454),SecondaryAdj!$A:$B,2,FALSE),0)</f>
        <v/>
      </c>
      <c r="V454">
        <f>IF(P454="P",0.7780+0.1628*S454+0.2957*Q454-0.1912*R454-0.1512*IF(D454="S",1,0)+0.1600*IF(E454="L",1,0)+0.0091*H454+0.0124*I454+0.0017*J454+T454+U454,-0.8294+0.1849*S454+0.1750*Q454-0.2969*R454+0.6924*IF(D454="S",1,0)+0.0457*IF(E454="L",1,0)+T454+U454)</f>
        <v/>
      </c>
      <c r="W454">
        <f>MAX(0,MIN(16,ROUND(V454,0)))</f>
        <v/>
      </c>
      <c r="X454">
        <f>IFNA(VLOOKUP(W454,Grade_Scale!$A:$B,2,FALSE),"F")</f>
        <v/>
      </c>
      <c r="Z454">
        <f>IF(Y454="","",W454-IFNA(VLOOKUP(Y454,Grade_Scale!$D:$E,2,FALSE),""))</f>
        <v/>
      </c>
    </row>
    <row r="455">
      <c r="P455">
        <f>IF(OR(B455="SP",B455="RP",B455="CP",B455="SP/RP"),"P","H")</f>
        <v/>
      </c>
      <c r="Q455">
        <f>IF(F455="",0,IFNA(VLOOKUP(F455,Trait_Polarity!$A:$C,2,FALSE),0))+IF(G455="",0,IFNA(VLOOKUP(G455,Trait_Polarity!$A:$C,2,FALSE),0))</f>
        <v/>
      </c>
      <c r="R455">
        <f>IF(F455="",0,IFNA(VLOOKUP(F455,Trait_Polarity!$A:$C,3,FALSE),0))+IF(G455="",0,IFNA(VLOOKUP(G455,Trait_Polarity!$A:$C,3,FALSE),0))</f>
        <v/>
      </c>
      <c r="S455">
        <f>IF(P455="P",(M455+N455+O455)/3,0.3*H455+0.3*I455+0.2*J455+0.1*K455+0.1*L455)</f>
        <v/>
      </c>
      <c r="T455">
        <f>IF(P455="P",IFNA(VLOOKUP(B455,Pitcher_RoleAdj!$A:$B,2,FALSE),0),IFNA(VLOOKUP(B455,Hitter_PrimaryAdj!$A:$B,2,FALSE),0))</f>
        <v/>
      </c>
      <c r="U455">
        <f>IFNA(VLOOKUP(IF(C455="","(none)",C455),SecondaryAdj!$A:$B,2,FALSE),0)</f>
        <v/>
      </c>
      <c r="V455">
        <f>IF(P455="P",0.7780+0.1628*S455+0.2957*Q455-0.1912*R455-0.1512*IF(D455="S",1,0)+0.1600*IF(E455="L",1,0)+0.0091*H455+0.0124*I455+0.0017*J455+T455+U455,-0.8294+0.1849*S455+0.1750*Q455-0.2969*R455+0.6924*IF(D455="S",1,0)+0.0457*IF(E455="L",1,0)+T455+U455)</f>
        <v/>
      </c>
      <c r="W455">
        <f>MAX(0,MIN(16,ROUND(V455,0)))</f>
        <v/>
      </c>
      <c r="X455">
        <f>IFNA(VLOOKUP(W455,Grade_Scale!$A:$B,2,FALSE),"F")</f>
        <v/>
      </c>
      <c r="Z455">
        <f>IF(Y455="","",W455-IFNA(VLOOKUP(Y455,Grade_Scale!$D:$E,2,FALSE),""))</f>
        <v/>
      </c>
    </row>
    <row r="456">
      <c r="P456">
        <f>IF(OR(B456="SP",B456="RP",B456="CP",B456="SP/RP"),"P","H")</f>
        <v/>
      </c>
      <c r="Q456">
        <f>IF(F456="",0,IFNA(VLOOKUP(F456,Trait_Polarity!$A:$C,2,FALSE),0))+IF(G456="",0,IFNA(VLOOKUP(G456,Trait_Polarity!$A:$C,2,FALSE),0))</f>
        <v/>
      </c>
      <c r="R456">
        <f>IF(F456="",0,IFNA(VLOOKUP(F456,Trait_Polarity!$A:$C,3,FALSE),0))+IF(G456="",0,IFNA(VLOOKUP(G456,Trait_Polarity!$A:$C,3,FALSE),0))</f>
        <v/>
      </c>
      <c r="S456">
        <f>IF(P456="P",(M456+N456+O456)/3,0.3*H456+0.3*I456+0.2*J456+0.1*K456+0.1*L456)</f>
        <v/>
      </c>
      <c r="T456">
        <f>IF(P456="P",IFNA(VLOOKUP(B456,Pitcher_RoleAdj!$A:$B,2,FALSE),0),IFNA(VLOOKUP(B456,Hitter_PrimaryAdj!$A:$B,2,FALSE),0))</f>
        <v/>
      </c>
      <c r="U456">
        <f>IFNA(VLOOKUP(IF(C456="","(none)",C456),SecondaryAdj!$A:$B,2,FALSE),0)</f>
        <v/>
      </c>
      <c r="V456">
        <f>IF(P456="P",0.7780+0.1628*S456+0.2957*Q456-0.1912*R456-0.1512*IF(D456="S",1,0)+0.1600*IF(E456="L",1,0)+0.0091*H456+0.0124*I456+0.0017*J456+T456+U456,-0.8294+0.1849*S456+0.1750*Q456-0.2969*R456+0.6924*IF(D456="S",1,0)+0.0457*IF(E456="L",1,0)+T456+U456)</f>
        <v/>
      </c>
      <c r="W456">
        <f>MAX(0,MIN(16,ROUND(V456,0)))</f>
        <v/>
      </c>
      <c r="X456">
        <f>IFNA(VLOOKUP(W456,Grade_Scale!$A:$B,2,FALSE),"F")</f>
        <v/>
      </c>
      <c r="Z456">
        <f>IF(Y456="","",W456-IFNA(VLOOKUP(Y456,Grade_Scale!$D:$E,2,FALSE),""))</f>
        <v/>
      </c>
    </row>
    <row r="457">
      <c r="P457">
        <f>IF(OR(B457="SP",B457="RP",B457="CP",B457="SP/RP"),"P","H")</f>
        <v/>
      </c>
      <c r="Q457">
        <f>IF(F457="",0,IFNA(VLOOKUP(F457,Trait_Polarity!$A:$C,2,FALSE),0))+IF(G457="",0,IFNA(VLOOKUP(G457,Trait_Polarity!$A:$C,2,FALSE),0))</f>
        <v/>
      </c>
      <c r="R457">
        <f>IF(F457="",0,IFNA(VLOOKUP(F457,Trait_Polarity!$A:$C,3,FALSE),0))+IF(G457="",0,IFNA(VLOOKUP(G457,Trait_Polarity!$A:$C,3,FALSE),0))</f>
        <v/>
      </c>
      <c r="S457">
        <f>IF(P457="P",(M457+N457+O457)/3,0.3*H457+0.3*I457+0.2*J457+0.1*K457+0.1*L457)</f>
        <v/>
      </c>
      <c r="T457">
        <f>IF(P457="P",IFNA(VLOOKUP(B457,Pitcher_RoleAdj!$A:$B,2,FALSE),0),IFNA(VLOOKUP(B457,Hitter_PrimaryAdj!$A:$B,2,FALSE),0))</f>
        <v/>
      </c>
      <c r="U457">
        <f>IFNA(VLOOKUP(IF(C457="","(none)",C457),SecondaryAdj!$A:$B,2,FALSE),0)</f>
        <v/>
      </c>
      <c r="V457">
        <f>IF(P457="P",0.7780+0.1628*S457+0.2957*Q457-0.1912*R457-0.1512*IF(D457="S",1,0)+0.1600*IF(E457="L",1,0)+0.0091*H457+0.0124*I457+0.0017*J457+T457+U457,-0.8294+0.1849*S457+0.1750*Q457-0.2969*R457+0.6924*IF(D457="S",1,0)+0.0457*IF(E457="L",1,0)+T457+U457)</f>
        <v/>
      </c>
      <c r="W457">
        <f>MAX(0,MIN(16,ROUND(V457,0)))</f>
        <v/>
      </c>
      <c r="X457">
        <f>IFNA(VLOOKUP(W457,Grade_Scale!$A:$B,2,FALSE),"F")</f>
        <v/>
      </c>
      <c r="Z457">
        <f>IF(Y457="","",W457-IFNA(VLOOKUP(Y457,Grade_Scale!$D:$E,2,FALSE),""))</f>
        <v/>
      </c>
    </row>
    <row r="458">
      <c r="P458">
        <f>IF(OR(B458="SP",B458="RP",B458="CP",B458="SP/RP"),"P","H")</f>
        <v/>
      </c>
      <c r="Q458">
        <f>IF(F458="",0,IFNA(VLOOKUP(F458,Trait_Polarity!$A:$C,2,FALSE),0))+IF(G458="",0,IFNA(VLOOKUP(G458,Trait_Polarity!$A:$C,2,FALSE),0))</f>
        <v/>
      </c>
      <c r="R458">
        <f>IF(F458="",0,IFNA(VLOOKUP(F458,Trait_Polarity!$A:$C,3,FALSE),0))+IF(G458="",0,IFNA(VLOOKUP(G458,Trait_Polarity!$A:$C,3,FALSE),0))</f>
        <v/>
      </c>
      <c r="S458">
        <f>IF(P458="P",(M458+N458+O458)/3,0.3*H458+0.3*I458+0.2*J458+0.1*K458+0.1*L458)</f>
        <v/>
      </c>
      <c r="T458">
        <f>IF(P458="P",IFNA(VLOOKUP(B458,Pitcher_RoleAdj!$A:$B,2,FALSE),0),IFNA(VLOOKUP(B458,Hitter_PrimaryAdj!$A:$B,2,FALSE),0))</f>
        <v/>
      </c>
      <c r="U458">
        <f>IFNA(VLOOKUP(IF(C458="","(none)",C458),SecondaryAdj!$A:$B,2,FALSE),0)</f>
        <v/>
      </c>
      <c r="V458">
        <f>IF(P458="P",0.7780+0.1628*S458+0.2957*Q458-0.1912*R458-0.1512*IF(D458="S",1,0)+0.1600*IF(E458="L",1,0)+0.0091*H458+0.0124*I458+0.0017*J458+T458+U458,-0.8294+0.1849*S458+0.1750*Q458-0.2969*R458+0.6924*IF(D458="S",1,0)+0.0457*IF(E458="L",1,0)+T458+U458)</f>
        <v/>
      </c>
      <c r="W458">
        <f>MAX(0,MIN(16,ROUND(V458,0)))</f>
        <v/>
      </c>
      <c r="X458">
        <f>IFNA(VLOOKUP(W458,Grade_Scale!$A:$B,2,FALSE),"F")</f>
        <v/>
      </c>
      <c r="Z458">
        <f>IF(Y458="","",W458-IFNA(VLOOKUP(Y458,Grade_Scale!$D:$E,2,FALSE),""))</f>
        <v/>
      </c>
    </row>
    <row r="459">
      <c r="P459">
        <f>IF(OR(B459="SP",B459="RP",B459="CP",B459="SP/RP"),"P","H")</f>
        <v/>
      </c>
      <c r="Q459">
        <f>IF(F459="",0,IFNA(VLOOKUP(F459,Trait_Polarity!$A:$C,2,FALSE),0))+IF(G459="",0,IFNA(VLOOKUP(G459,Trait_Polarity!$A:$C,2,FALSE),0))</f>
        <v/>
      </c>
      <c r="R459">
        <f>IF(F459="",0,IFNA(VLOOKUP(F459,Trait_Polarity!$A:$C,3,FALSE),0))+IF(G459="",0,IFNA(VLOOKUP(G459,Trait_Polarity!$A:$C,3,FALSE),0))</f>
        <v/>
      </c>
      <c r="S459">
        <f>IF(P459="P",(M459+N459+O459)/3,0.3*H459+0.3*I459+0.2*J459+0.1*K459+0.1*L459)</f>
        <v/>
      </c>
      <c r="T459">
        <f>IF(P459="P",IFNA(VLOOKUP(B459,Pitcher_RoleAdj!$A:$B,2,FALSE),0),IFNA(VLOOKUP(B459,Hitter_PrimaryAdj!$A:$B,2,FALSE),0))</f>
        <v/>
      </c>
      <c r="U459">
        <f>IFNA(VLOOKUP(IF(C459="","(none)",C459),SecondaryAdj!$A:$B,2,FALSE),0)</f>
        <v/>
      </c>
      <c r="V459">
        <f>IF(P459="P",0.7780+0.1628*S459+0.2957*Q459-0.1912*R459-0.1512*IF(D459="S",1,0)+0.1600*IF(E459="L",1,0)+0.0091*H459+0.0124*I459+0.0017*J459+T459+U459,-0.8294+0.1849*S459+0.1750*Q459-0.2969*R459+0.6924*IF(D459="S",1,0)+0.0457*IF(E459="L",1,0)+T459+U459)</f>
        <v/>
      </c>
      <c r="W459">
        <f>MAX(0,MIN(16,ROUND(V459,0)))</f>
        <v/>
      </c>
      <c r="X459">
        <f>IFNA(VLOOKUP(W459,Grade_Scale!$A:$B,2,FALSE),"F")</f>
        <v/>
      </c>
      <c r="Z459">
        <f>IF(Y459="","",W459-IFNA(VLOOKUP(Y459,Grade_Scale!$D:$E,2,FALSE),""))</f>
        <v/>
      </c>
    </row>
    <row r="460">
      <c r="P460">
        <f>IF(OR(B460="SP",B460="RP",B460="CP",B460="SP/RP"),"P","H")</f>
        <v/>
      </c>
      <c r="Q460">
        <f>IF(F460="",0,IFNA(VLOOKUP(F460,Trait_Polarity!$A:$C,2,FALSE),0))+IF(G460="",0,IFNA(VLOOKUP(G460,Trait_Polarity!$A:$C,2,FALSE),0))</f>
        <v/>
      </c>
      <c r="R460">
        <f>IF(F460="",0,IFNA(VLOOKUP(F460,Trait_Polarity!$A:$C,3,FALSE),0))+IF(G460="",0,IFNA(VLOOKUP(G460,Trait_Polarity!$A:$C,3,FALSE),0))</f>
        <v/>
      </c>
      <c r="S460">
        <f>IF(P460="P",(M460+N460+O460)/3,0.3*H460+0.3*I460+0.2*J460+0.1*K460+0.1*L460)</f>
        <v/>
      </c>
      <c r="T460">
        <f>IF(P460="P",IFNA(VLOOKUP(B460,Pitcher_RoleAdj!$A:$B,2,FALSE),0),IFNA(VLOOKUP(B460,Hitter_PrimaryAdj!$A:$B,2,FALSE),0))</f>
        <v/>
      </c>
      <c r="U460">
        <f>IFNA(VLOOKUP(IF(C460="","(none)",C460),SecondaryAdj!$A:$B,2,FALSE),0)</f>
        <v/>
      </c>
      <c r="V460">
        <f>IF(P460="P",0.7780+0.1628*S460+0.2957*Q460-0.1912*R460-0.1512*IF(D460="S",1,0)+0.1600*IF(E460="L",1,0)+0.0091*H460+0.0124*I460+0.0017*J460+T460+U460,-0.8294+0.1849*S460+0.1750*Q460-0.2969*R460+0.6924*IF(D460="S",1,0)+0.0457*IF(E460="L",1,0)+T460+U460)</f>
        <v/>
      </c>
      <c r="W460">
        <f>MAX(0,MIN(16,ROUND(V460,0)))</f>
        <v/>
      </c>
      <c r="X460">
        <f>IFNA(VLOOKUP(W460,Grade_Scale!$A:$B,2,FALSE),"F")</f>
        <v/>
      </c>
      <c r="Z460">
        <f>IF(Y460="","",W460-IFNA(VLOOKUP(Y460,Grade_Scale!$D:$E,2,FALSE),""))</f>
        <v/>
      </c>
    </row>
    <row r="461">
      <c r="P461">
        <f>IF(OR(B461="SP",B461="RP",B461="CP",B461="SP/RP"),"P","H")</f>
        <v/>
      </c>
      <c r="Q461">
        <f>IF(F461="",0,IFNA(VLOOKUP(F461,Trait_Polarity!$A:$C,2,FALSE),0))+IF(G461="",0,IFNA(VLOOKUP(G461,Trait_Polarity!$A:$C,2,FALSE),0))</f>
        <v/>
      </c>
      <c r="R461">
        <f>IF(F461="",0,IFNA(VLOOKUP(F461,Trait_Polarity!$A:$C,3,FALSE),0))+IF(G461="",0,IFNA(VLOOKUP(G461,Trait_Polarity!$A:$C,3,FALSE),0))</f>
        <v/>
      </c>
      <c r="S461">
        <f>IF(P461="P",(M461+N461+O461)/3,0.3*H461+0.3*I461+0.2*J461+0.1*K461+0.1*L461)</f>
        <v/>
      </c>
      <c r="T461">
        <f>IF(P461="P",IFNA(VLOOKUP(B461,Pitcher_RoleAdj!$A:$B,2,FALSE),0),IFNA(VLOOKUP(B461,Hitter_PrimaryAdj!$A:$B,2,FALSE),0))</f>
        <v/>
      </c>
      <c r="U461">
        <f>IFNA(VLOOKUP(IF(C461="","(none)",C461),SecondaryAdj!$A:$B,2,FALSE),0)</f>
        <v/>
      </c>
      <c r="V461">
        <f>IF(P461="P",0.7780+0.1628*S461+0.2957*Q461-0.1912*R461-0.1512*IF(D461="S",1,0)+0.1600*IF(E461="L",1,0)+0.0091*H461+0.0124*I461+0.0017*J461+T461+U461,-0.8294+0.1849*S461+0.1750*Q461-0.2969*R461+0.6924*IF(D461="S",1,0)+0.0457*IF(E461="L",1,0)+T461+U461)</f>
        <v/>
      </c>
      <c r="W461">
        <f>MAX(0,MIN(16,ROUND(V461,0)))</f>
        <v/>
      </c>
      <c r="X461">
        <f>IFNA(VLOOKUP(W461,Grade_Scale!$A:$B,2,FALSE),"F")</f>
        <v/>
      </c>
      <c r="Z461">
        <f>IF(Y461="","",W461-IFNA(VLOOKUP(Y461,Grade_Scale!$D:$E,2,FALSE),""))</f>
        <v/>
      </c>
    </row>
    <row r="462">
      <c r="P462">
        <f>IF(OR(B462="SP",B462="RP",B462="CP",B462="SP/RP"),"P","H")</f>
        <v/>
      </c>
      <c r="Q462">
        <f>IF(F462="",0,IFNA(VLOOKUP(F462,Trait_Polarity!$A:$C,2,FALSE),0))+IF(G462="",0,IFNA(VLOOKUP(G462,Trait_Polarity!$A:$C,2,FALSE),0))</f>
        <v/>
      </c>
      <c r="R462">
        <f>IF(F462="",0,IFNA(VLOOKUP(F462,Trait_Polarity!$A:$C,3,FALSE),0))+IF(G462="",0,IFNA(VLOOKUP(G462,Trait_Polarity!$A:$C,3,FALSE),0))</f>
        <v/>
      </c>
      <c r="S462">
        <f>IF(P462="P",(M462+N462+O462)/3,0.3*H462+0.3*I462+0.2*J462+0.1*K462+0.1*L462)</f>
        <v/>
      </c>
      <c r="T462">
        <f>IF(P462="P",IFNA(VLOOKUP(B462,Pitcher_RoleAdj!$A:$B,2,FALSE),0),IFNA(VLOOKUP(B462,Hitter_PrimaryAdj!$A:$B,2,FALSE),0))</f>
        <v/>
      </c>
      <c r="U462">
        <f>IFNA(VLOOKUP(IF(C462="","(none)",C462),SecondaryAdj!$A:$B,2,FALSE),0)</f>
        <v/>
      </c>
      <c r="V462">
        <f>IF(P462="P",0.7780+0.1628*S462+0.2957*Q462-0.1912*R462-0.1512*IF(D462="S",1,0)+0.1600*IF(E462="L",1,0)+0.0091*H462+0.0124*I462+0.0017*J462+T462+U462,-0.8294+0.1849*S462+0.1750*Q462-0.2969*R462+0.6924*IF(D462="S",1,0)+0.0457*IF(E462="L",1,0)+T462+U462)</f>
        <v/>
      </c>
      <c r="W462">
        <f>MAX(0,MIN(16,ROUND(V462,0)))</f>
        <v/>
      </c>
      <c r="X462">
        <f>IFNA(VLOOKUP(W462,Grade_Scale!$A:$B,2,FALSE),"F")</f>
        <v/>
      </c>
      <c r="Z462">
        <f>IF(Y462="","",W462-IFNA(VLOOKUP(Y462,Grade_Scale!$D:$E,2,FALSE),""))</f>
        <v/>
      </c>
    </row>
    <row r="463">
      <c r="P463">
        <f>IF(OR(B463="SP",B463="RP",B463="CP",B463="SP/RP"),"P","H")</f>
        <v/>
      </c>
      <c r="Q463">
        <f>IF(F463="",0,IFNA(VLOOKUP(F463,Trait_Polarity!$A:$C,2,FALSE),0))+IF(G463="",0,IFNA(VLOOKUP(G463,Trait_Polarity!$A:$C,2,FALSE),0))</f>
        <v/>
      </c>
      <c r="R463">
        <f>IF(F463="",0,IFNA(VLOOKUP(F463,Trait_Polarity!$A:$C,3,FALSE),0))+IF(G463="",0,IFNA(VLOOKUP(G463,Trait_Polarity!$A:$C,3,FALSE),0))</f>
        <v/>
      </c>
      <c r="S463">
        <f>IF(P463="P",(M463+N463+O463)/3,0.3*H463+0.3*I463+0.2*J463+0.1*K463+0.1*L463)</f>
        <v/>
      </c>
      <c r="T463">
        <f>IF(P463="P",IFNA(VLOOKUP(B463,Pitcher_RoleAdj!$A:$B,2,FALSE),0),IFNA(VLOOKUP(B463,Hitter_PrimaryAdj!$A:$B,2,FALSE),0))</f>
        <v/>
      </c>
      <c r="U463">
        <f>IFNA(VLOOKUP(IF(C463="","(none)",C463),SecondaryAdj!$A:$B,2,FALSE),0)</f>
        <v/>
      </c>
      <c r="V463">
        <f>IF(P463="P",0.7780+0.1628*S463+0.2957*Q463-0.1912*R463-0.1512*IF(D463="S",1,0)+0.1600*IF(E463="L",1,0)+0.0091*H463+0.0124*I463+0.0017*J463+T463+U463,-0.8294+0.1849*S463+0.1750*Q463-0.2969*R463+0.6924*IF(D463="S",1,0)+0.0457*IF(E463="L",1,0)+T463+U463)</f>
        <v/>
      </c>
      <c r="W463">
        <f>MAX(0,MIN(16,ROUND(V463,0)))</f>
        <v/>
      </c>
      <c r="X463">
        <f>IFNA(VLOOKUP(W463,Grade_Scale!$A:$B,2,FALSE),"F")</f>
        <v/>
      </c>
      <c r="Z463">
        <f>IF(Y463="","",W463-IFNA(VLOOKUP(Y463,Grade_Scale!$D:$E,2,FALSE),""))</f>
        <v/>
      </c>
    </row>
    <row r="464">
      <c r="P464">
        <f>IF(OR(B464="SP",B464="RP",B464="CP",B464="SP/RP"),"P","H")</f>
        <v/>
      </c>
      <c r="Q464">
        <f>IF(F464="",0,IFNA(VLOOKUP(F464,Trait_Polarity!$A:$C,2,FALSE),0))+IF(G464="",0,IFNA(VLOOKUP(G464,Trait_Polarity!$A:$C,2,FALSE),0))</f>
        <v/>
      </c>
      <c r="R464">
        <f>IF(F464="",0,IFNA(VLOOKUP(F464,Trait_Polarity!$A:$C,3,FALSE),0))+IF(G464="",0,IFNA(VLOOKUP(G464,Trait_Polarity!$A:$C,3,FALSE),0))</f>
        <v/>
      </c>
      <c r="S464">
        <f>IF(P464="P",(M464+N464+O464)/3,0.3*H464+0.3*I464+0.2*J464+0.1*K464+0.1*L464)</f>
        <v/>
      </c>
      <c r="T464">
        <f>IF(P464="P",IFNA(VLOOKUP(B464,Pitcher_RoleAdj!$A:$B,2,FALSE),0),IFNA(VLOOKUP(B464,Hitter_PrimaryAdj!$A:$B,2,FALSE),0))</f>
        <v/>
      </c>
      <c r="U464">
        <f>IFNA(VLOOKUP(IF(C464="","(none)",C464),SecondaryAdj!$A:$B,2,FALSE),0)</f>
        <v/>
      </c>
      <c r="V464">
        <f>IF(P464="P",0.7780+0.1628*S464+0.2957*Q464-0.1912*R464-0.1512*IF(D464="S",1,0)+0.1600*IF(E464="L",1,0)+0.0091*H464+0.0124*I464+0.0017*J464+T464+U464,-0.8294+0.1849*S464+0.1750*Q464-0.2969*R464+0.6924*IF(D464="S",1,0)+0.0457*IF(E464="L",1,0)+T464+U464)</f>
        <v/>
      </c>
      <c r="W464">
        <f>MAX(0,MIN(16,ROUND(V464,0)))</f>
        <v/>
      </c>
      <c r="X464">
        <f>IFNA(VLOOKUP(W464,Grade_Scale!$A:$B,2,FALSE),"F")</f>
        <v/>
      </c>
      <c r="Z464">
        <f>IF(Y464="","",W464-IFNA(VLOOKUP(Y464,Grade_Scale!$D:$E,2,FALSE),""))</f>
        <v/>
      </c>
    </row>
    <row r="465">
      <c r="P465">
        <f>IF(OR(B465="SP",B465="RP",B465="CP",B465="SP/RP"),"P","H")</f>
        <v/>
      </c>
      <c r="Q465">
        <f>IF(F465="",0,IFNA(VLOOKUP(F465,Trait_Polarity!$A:$C,2,FALSE),0))+IF(G465="",0,IFNA(VLOOKUP(G465,Trait_Polarity!$A:$C,2,FALSE),0))</f>
        <v/>
      </c>
      <c r="R465">
        <f>IF(F465="",0,IFNA(VLOOKUP(F465,Trait_Polarity!$A:$C,3,FALSE),0))+IF(G465="",0,IFNA(VLOOKUP(G465,Trait_Polarity!$A:$C,3,FALSE),0))</f>
        <v/>
      </c>
      <c r="S465">
        <f>IF(P465="P",(M465+N465+O465)/3,0.3*H465+0.3*I465+0.2*J465+0.1*K465+0.1*L465)</f>
        <v/>
      </c>
      <c r="T465">
        <f>IF(P465="P",IFNA(VLOOKUP(B465,Pitcher_RoleAdj!$A:$B,2,FALSE),0),IFNA(VLOOKUP(B465,Hitter_PrimaryAdj!$A:$B,2,FALSE),0))</f>
        <v/>
      </c>
      <c r="U465">
        <f>IFNA(VLOOKUP(IF(C465="","(none)",C465),SecondaryAdj!$A:$B,2,FALSE),0)</f>
        <v/>
      </c>
      <c r="V465">
        <f>IF(P465="P",0.7780+0.1628*S465+0.2957*Q465-0.1912*R465-0.1512*IF(D465="S",1,0)+0.1600*IF(E465="L",1,0)+0.0091*H465+0.0124*I465+0.0017*J465+T465+U465,-0.8294+0.1849*S465+0.1750*Q465-0.2969*R465+0.6924*IF(D465="S",1,0)+0.0457*IF(E465="L",1,0)+T465+U465)</f>
        <v/>
      </c>
      <c r="W465">
        <f>MAX(0,MIN(16,ROUND(V465,0)))</f>
        <v/>
      </c>
      <c r="X465">
        <f>IFNA(VLOOKUP(W465,Grade_Scale!$A:$B,2,FALSE),"F")</f>
        <v/>
      </c>
      <c r="Z465">
        <f>IF(Y465="","",W465-IFNA(VLOOKUP(Y465,Grade_Scale!$D:$E,2,FALSE),""))</f>
        <v/>
      </c>
    </row>
    <row r="466">
      <c r="P466">
        <f>IF(OR(B466="SP",B466="RP",B466="CP",B466="SP/RP"),"P","H")</f>
        <v/>
      </c>
      <c r="Q466">
        <f>IF(F466="",0,IFNA(VLOOKUP(F466,Trait_Polarity!$A:$C,2,FALSE),0))+IF(G466="",0,IFNA(VLOOKUP(G466,Trait_Polarity!$A:$C,2,FALSE),0))</f>
        <v/>
      </c>
      <c r="R466">
        <f>IF(F466="",0,IFNA(VLOOKUP(F466,Trait_Polarity!$A:$C,3,FALSE),0))+IF(G466="",0,IFNA(VLOOKUP(G466,Trait_Polarity!$A:$C,3,FALSE),0))</f>
        <v/>
      </c>
      <c r="S466">
        <f>IF(P466="P",(M466+N466+O466)/3,0.3*H466+0.3*I466+0.2*J466+0.1*K466+0.1*L466)</f>
        <v/>
      </c>
      <c r="T466">
        <f>IF(P466="P",IFNA(VLOOKUP(B466,Pitcher_RoleAdj!$A:$B,2,FALSE),0),IFNA(VLOOKUP(B466,Hitter_PrimaryAdj!$A:$B,2,FALSE),0))</f>
        <v/>
      </c>
      <c r="U466">
        <f>IFNA(VLOOKUP(IF(C466="","(none)",C466),SecondaryAdj!$A:$B,2,FALSE),0)</f>
        <v/>
      </c>
      <c r="V466">
        <f>IF(P466="P",0.7780+0.1628*S466+0.2957*Q466-0.1912*R466-0.1512*IF(D466="S",1,0)+0.1600*IF(E466="L",1,0)+0.0091*H466+0.0124*I466+0.0017*J466+T466+U466,-0.8294+0.1849*S466+0.1750*Q466-0.2969*R466+0.6924*IF(D466="S",1,0)+0.0457*IF(E466="L",1,0)+T466+U466)</f>
        <v/>
      </c>
      <c r="W466">
        <f>MAX(0,MIN(16,ROUND(V466,0)))</f>
        <v/>
      </c>
      <c r="X466">
        <f>IFNA(VLOOKUP(W466,Grade_Scale!$A:$B,2,FALSE),"F")</f>
        <v/>
      </c>
      <c r="Z466">
        <f>IF(Y466="","",W466-IFNA(VLOOKUP(Y466,Grade_Scale!$D:$E,2,FALSE),""))</f>
        <v/>
      </c>
    </row>
    <row r="467">
      <c r="P467">
        <f>IF(OR(B467="SP",B467="RP",B467="CP",B467="SP/RP"),"P","H")</f>
        <v/>
      </c>
      <c r="Q467">
        <f>IF(F467="",0,IFNA(VLOOKUP(F467,Trait_Polarity!$A:$C,2,FALSE),0))+IF(G467="",0,IFNA(VLOOKUP(G467,Trait_Polarity!$A:$C,2,FALSE),0))</f>
        <v/>
      </c>
      <c r="R467">
        <f>IF(F467="",0,IFNA(VLOOKUP(F467,Trait_Polarity!$A:$C,3,FALSE),0))+IF(G467="",0,IFNA(VLOOKUP(G467,Trait_Polarity!$A:$C,3,FALSE),0))</f>
        <v/>
      </c>
      <c r="S467">
        <f>IF(P467="P",(M467+N467+O467)/3,0.3*H467+0.3*I467+0.2*J467+0.1*K467+0.1*L467)</f>
        <v/>
      </c>
      <c r="T467">
        <f>IF(P467="P",IFNA(VLOOKUP(B467,Pitcher_RoleAdj!$A:$B,2,FALSE),0),IFNA(VLOOKUP(B467,Hitter_PrimaryAdj!$A:$B,2,FALSE),0))</f>
        <v/>
      </c>
      <c r="U467">
        <f>IFNA(VLOOKUP(IF(C467="","(none)",C467),SecondaryAdj!$A:$B,2,FALSE),0)</f>
        <v/>
      </c>
      <c r="V467">
        <f>IF(P467="P",0.7780+0.1628*S467+0.2957*Q467-0.1912*R467-0.1512*IF(D467="S",1,0)+0.1600*IF(E467="L",1,0)+0.0091*H467+0.0124*I467+0.0017*J467+T467+U467,-0.8294+0.1849*S467+0.1750*Q467-0.2969*R467+0.6924*IF(D467="S",1,0)+0.0457*IF(E467="L",1,0)+T467+U467)</f>
        <v/>
      </c>
      <c r="W467">
        <f>MAX(0,MIN(16,ROUND(V467,0)))</f>
        <v/>
      </c>
      <c r="X467">
        <f>IFNA(VLOOKUP(W467,Grade_Scale!$A:$B,2,FALSE),"F")</f>
        <v/>
      </c>
      <c r="Z467">
        <f>IF(Y467="","",W467-IFNA(VLOOKUP(Y467,Grade_Scale!$D:$E,2,FALSE),""))</f>
        <v/>
      </c>
    </row>
    <row r="468">
      <c r="P468">
        <f>IF(OR(B468="SP",B468="RP",B468="CP",B468="SP/RP"),"P","H")</f>
        <v/>
      </c>
      <c r="Q468">
        <f>IF(F468="",0,IFNA(VLOOKUP(F468,Trait_Polarity!$A:$C,2,FALSE),0))+IF(G468="",0,IFNA(VLOOKUP(G468,Trait_Polarity!$A:$C,2,FALSE),0))</f>
        <v/>
      </c>
      <c r="R468">
        <f>IF(F468="",0,IFNA(VLOOKUP(F468,Trait_Polarity!$A:$C,3,FALSE),0))+IF(G468="",0,IFNA(VLOOKUP(G468,Trait_Polarity!$A:$C,3,FALSE),0))</f>
        <v/>
      </c>
      <c r="S468">
        <f>IF(P468="P",(M468+N468+O468)/3,0.3*H468+0.3*I468+0.2*J468+0.1*K468+0.1*L468)</f>
        <v/>
      </c>
      <c r="T468">
        <f>IF(P468="P",IFNA(VLOOKUP(B468,Pitcher_RoleAdj!$A:$B,2,FALSE),0),IFNA(VLOOKUP(B468,Hitter_PrimaryAdj!$A:$B,2,FALSE),0))</f>
        <v/>
      </c>
      <c r="U468">
        <f>IFNA(VLOOKUP(IF(C468="","(none)",C468),SecondaryAdj!$A:$B,2,FALSE),0)</f>
        <v/>
      </c>
      <c r="V468">
        <f>IF(P468="P",0.7780+0.1628*S468+0.2957*Q468-0.1912*R468-0.1512*IF(D468="S",1,0)+0.1600*IF(E468="L",1,0)+0.0091*H468+0.0124*I468+0.0017*J468+T468+U468,-0.8294+0.1849*S468+0.1750*Q468-0.2969*R468+0.6924*IF(D468="S",1,0)+0.0457*IF(E468="L",1,0)+T468+U468)</f>
        <v/>
      </c>
      <c r="W468">
        <f>MAX(0,MIN(16,ROUND(V468,0)))</f>
        <v/>
      </c>
      <c r="X468">
        <f>IFNA(VLOOKUP(W468,Grade_Scale!$A:$B,2,FALSE),"F")</f>
        <v/>
      </c>
      <c r="Z468">
        <f>IF(Y468="","",W468-IFNA(VLOOKUP(Y468,Grade_Scale!$D:$E,2,FALSE),""))</f>
        <v/>
      </c>
    </row>
    <row r="469">
      <c r="P469">
        <f>IF(OR(B469="SP",B469="RP",B469="CP",B469="SP/RP"),"P","H")</f>
        <v/>
      </c>
      <c r="Q469">
        <f>IF(F469="",0,IFNA(VLOOKUP(F469,Trait_Polarity!$A:$C,2,FALSE),0))+IF(G469="",0,IFNA(VLOOKUP(G469,Trait_Polarity!$A:$C,2,FALSE),0))</f>
        <v/>
      </c>
      <c r="R469">
        <f>IF(F469="",0,IFNA(VLOOKUP(F469,Trait_Polarity!$A:$C,3,FALSE),0))+IF(G469="",0,IFNA(VLOOKUP(G469,Trait_Polarity!$A:$C,3,FALSE),0))</f>
        <v/>
      </c>
      <c r="S469">
        <f>IF(P469="P",(M469+N469+O469)/3,0.3*H469+0.3*I469+0.2*J469+0.1*K469+0.1*L469)</f>
        <v/>
      </c>
      <c r="T469">
        <f>IF(P469="P",IFNA(VLOOKUP(B469,Pitcher_RoleAdj!$A:$B,2,FALSE),0),IFNA(VLOOKUP(B469,Hitter_PrimaryAdj!$A:$B,2,FALSE),0))</f>
        <v/>
      </c>
      <c r="U469">
        <f>IFNA(VLOOKUP(IF(C469="","(none)",C469),SecondaryAdj!$A:$B,2,FALSE),0)</f>
        <v/>
      </c>
      <c r="V469">
        <f>IF(P469="P",0.7780+0.1628*S469+0.2957*Q469-0.1912*R469-0.1512*IF(D469="S",1,0)+0.1600*IF(E469="L",1,0)+0.0091*H469+0.0124*I469+0.0017*J469+T469+U469,-0.8294+0.1849*S469+0.1750*Q469-0.2969*R469+0.6924*IF(D469="S",1,0)+0.0457*IF(E469="L",1,0)+T469+U469)</f>
        <v/>
      </c>
      <c r="W469">
        <f>MAX(0,MIN(16,ROUND(V469,0)))</f>
        <v/>
      </c>
      <c r="X469">
        <f>IFNA(VLOOKUP(W469,Grade_Scale!$A:$B,2,FALSE),"F")</f>
        <v/>
      </c>
      <c r="Z469">
        <f>IF(Y469="","",W469-IFNA(VLOOKUP(Y469,Grade_Scale!$D:$E,2,FALSE),""))</f>
        <v/>
      </c>
    </row>
    <row r="470">
      <c r="P470">
        <f>IF(OR(B470="SP",B470="RP",B470="CP",B470="SP/RP"),"P","H")</f>
        <v/>
      </c>
      <c r="Q470">
        <f>IF(F470="",0,IFNA(VLOOKUP(F470,Trait_Polarity!$A:$C,2,FALSE),0))+IF(G470="",0,IFNA(VLOOKUP(G470,Trait_Polarity!$A:$C,2,FALSE),0))</f>
        <v/>
      </c>
      <c r="R470">
        <f>IF(F470="",0,IFNA(VLOOKUP(F470,Trait_Polarity!$A:$C,3,FALSE),0))+IF(G470="",0,IFNA(VLOOKUP(G470,Trait_Polarity!$A:$C,3,FALSE),0))</f>
        <v/>
      </c>
      <c r="S470">
        <f>IF(P470="P",(M470+N470+O470)/3,0.3*H470+0.3*I470+0.2*J470+0.1*K470+0.1*L470)</f>
        <v/>
      </c>
      <c r="T470">
        <f>IF(P470="P",IFNA(VLOOKUP(B470,Pitcher_RoleAdj!$A:$B,2,FALSE),0),IFNA(VLOOKUP(B470,Hitter_PrimaryAdj!$A:$B,2,FALSE),0))</f>
        <v/>
      </c>
      <c r="U470">
        <f>IFNA(VLOOKUP(IF(C470="","(none)",C470),SecondaryAdj!$A:$B,2,FALSE),0)</f>
        <v/>
      </c>
      <c r="V470">
        <f>IF(P470="P",0.7780+0.1628*S470+0.2957*Q470-0.1912*R470-0.1512*IF(D470="S",1,0)+0.1600*IF(E470="L",1,0)+0.0091*H470+0.0124*I470+0.0017*J470+T470+U470,-0.8294+0.1849*S470+0.1750*Q470-0.2969*R470+0.6924*IF(D470="S",1,0)+0.0457*IF(E470="L",1,0)+T470+U470)</f>
        <v/>
      </c>
      <c r="W470">
        <f>MAX(0,MIN(16,ROUND(V470,0)))</f>
        <v/>
      </c>
      <c r="X470">
        <f>IFNA(VLOOKUP(W470,Grade_Scale!$A:$B,2,FALSE),"F")</f>
        <v/>
      </c>
      <c r="Z470">
        <f>IF(Y470="","",W470-IFNA(VLOOKUP(Y470,Grade_Scale!$D:$E,2,FALSE),""))</f>
        <v/>
      </c>
    </row>
    <row r="471">
      <c r="P471">
        <f>IF(OR(B471="SP",B471="RP",B471="CP",B471="SP/RP"),"P","H")</f>
        <v/>
      </c>
      <c r="Q471">
        <f>IF(F471="",0,IFNA(VLOOKUP(F471,Trait_Polarity!$A:$C,2,FALSE),0))+IF(G471="",0,IFNA(VLOOKUP(G471,Trait_Polarity!$A:$C,2,FALSE),0))</f>
        <v/>
      </c>
      <c r="R471">
        <f>IF(F471="",0,IFNA(VLOOKUP(F471,Trait_Polarity!$A:$C,3,FALSE),0))+IF(G471="",0,IFNA(VLOOKUP(G471,Trait_Polarity!$A:$C,3,FALSE),0))</f>
        <v/>
      </c>
      <c r="S471">
        <f>IF(P471="P",(M471+N471+O471)/3,0.3*H471+0.3*I471+0.2*J471+0.1*K471+0.1*L471)</f>
        <v/>
      </c>
      <c r="T471">
        <f>IF(P471="P",IFNA(VLOOKUP(B471,Pitcher_RoleAdj!$A:$B,2,FALSE),0),IFNA(VLOOKUP(B471,Hitter_PrimaryAdj!$A:$B,2,FALSE),0))</f>
        <v/>
      </c>
      <c r="U471">
        <f>IFNA(VLOOKUP(IF(C471="","(none)",C471),SecondaryAdj!$A:$B,2,FALSE),0)</f>
        <v/>
      </c>
      <c r="V471">
        <f>IF(P471="P",0.7780+0.1628*S471+0.2957*Q471-0.1912*R471-0.1512*IF(D471="S",1,0)+0.1600*IF(E471="L",1,0)+0.0091*H471+0.0124*I471+0.0017*J471+T471+U471,-0.8294+0.1849*S471+0.1750*Q471-0.2969*R471+0.6924*IF(D471="S",1,0)+0.0457*IF(E471="L",1,0)+T471+U471)</f>
        <v/>
      </c>
      <c r="W471">
        <f>MAX(0,MIN(16,ROUND(V471,0)))</f>
        <v/>
      </c>
      <c r="X471">
        <f>IFNA(VLOOKUP(W471,Grade_Scale!$A:$B,2,FALSE),"F")</f>
        <v/>
      </c>
      <c r="Z471">
        <f>IF(Y471="","",W471-IFNA(VLOOKUP(Y471,Grade_Scale!$D:$E,2,FALSE),""))</f>
        <v/>
      </c>
    </row>
    <row r="472">
      <c r="P472">
        <f>IF(OR(B472="SP",B472="RP",B472="CP",B472="SP/RP"),"P","H")</f>
        <v/>
      </c>
      <c r="Q472">
        <f>IF(F472="",0,IFNA(VLOOKUP(F472,Trait_Polarity!$A:$C,2,FALSE),0))+IF(G472="",0,IFNA(VLOOKUP(G472,Trait_Polarity!$A:$C,2,FALSE),0))</f>
        <v/>
      </c>
      <c r="R472">
        <f>IF(F472="",0,IFNA(VLOOKUP(F472,Trait_Polarity!$A:$C,3,FALSE),0))+IF(G472="",0,IFNA(VLOOKUP(G472,Trait_Polarity!$A:$C,3,FALSE),0))</f>
        <v/>
      </c>
      <c r="S472">
        <f>IF(P472="P",(M472+N472+O472)/3,0.3*H472+0.3*I472+0.2*J472+0.1*K472+0.1*L472)</f>
        <v/>
      </c>
      <c r="T472">
        <f>IF(P472="P",IFNA(VLOOKUP(B472,Pitcher_RoleAdj!$A:$B,2,FALSE),0),IFNA(VLOOKUP(B472,Hitter_PrimaryAdj!$A:$B,2,FALSE),0))</f>
        <v/>
      </c>
      <c r="U472">
        <f>IFNA(VLOOKUP(IF(C472="","(none)",C472),SecondaryAdj!$A:$B,2,FALSE),0)</f>
        <v/>
      </c>
      <c r="V472">
        <f>IF(P472="P",0.7780+0.1628*S472+0.2957*Q472-0.1912*R472-0.1512*IF(D472="S",1,0)+0.1600*IF(E472="L",1,0)+0.0091*H472+0.0124*I472+0.0017*J472+T472+U472,-0.8294+0.1849*S472+0.1750*Q472-0.2969*R472+0.6924*IF(D472="S",1,0)+0.0457*IF(E472="L",1,0)+T472+U472)</f>
        <v/>
      </c>
      <c r="W472">
        <f>MAX(0,MIN(16,ROUND(V472,0)))</f>
        <v/>
      </c>
      <c r="X472">
        <f>IFNA(VLOOKUP(W472,Grade_Scale!$A:$B,2,FALSE),"F")</f>
        <v/>
      </c>
      <c r="Z472">
        <f>IF(Y472="","",W472-IFNA(VLOOKUP(Y472,Grade_Scale!$D:$E,2,FALSE),""))</f>
        <v/>
      </c>
    </row>
    <row r="473">
      <c r="P473">
        <f>IF(OR(B473="SP",B473="RP",B473="CP",B473="SP/RP"),"P","H")</f>
        <v/>
      </c>
      <c r="Q473">
        <f>IF(F473="",0,IFNA(VLOOKUP(F473,Trait_Polarity!$A:$C,2,FALSE),0))+IF(G473="",0,IFNA(VLOOKUP(G473,Trait_Polarity!$A:$C,2,FALSE),0))</f>
        <v/>
      </c>
      <c r="R473">
        <f>IF(F473="",0,IFNA(VLOOKUP(F473,Trait_Polarity!$A:$C,3,FALSE),0))+IF(G473="",0,IFNA(VLOOKUP(G473,Trait_Polarity!$A:$C,3,FALSE),0))</f>
        <v/>
      </c>
      <c r="S473">
        <f>IF(P473="P",(M473+N473+O473)/3,0.3*H473+0.3*I473+0.2*J473+0.1*K473+0.1*L473)</f>
        <v/>
      </c>
      <c r="T473">
        <f>IF(P473="P",IFNA(VLOOKUP(B473,Pitcher_RoleAdj!$A:$B,2,FALSE),0),IFNA(VLOOKUP(B473,Hitter_PrimaryAdj!$A:$B,2,FALSE),0))</f>
        <v/>
      </c>
      <c r="U473">
        <f>IFNA(VLOOKUP(IF(C473="","(none)",C473),SecondaryAdj!$A:$B,2,FALSE),0)</f>
        <v/>
      </c>
      <c r="V473">
        <f>IF(P473="P",0.7780+0.1628*S473+0.2957*Q473-0.1912*R473-0.1512*IF(D473="S",1,0)+0.1600*IF(E473="L",1,0)+0.0091*H473+0.0124*I473+0.0017*J473+T473+U473,-0.8294+0.1849*S473+0.1750*Q473-0.2969*R473+0.6924*IF(D473="S",1,0)+0.0457*IF(E473="L",1,0)+T473+U473)</f>
        <v/>
      </c>
      <c r="W473">
        <f>MAX(0,MIN(16,ROUND(V473,0)))</f>
        <v/>
      </c>
      <c r="X473">
        <f>IFNA(VLOOKUP(W473,Grade_Scale!$A:$B,2,FALSE),"F")</f>
        <v/>
      </c>
      <c r="Z473">
        <f>IF(Y473="","",W473-IFNA(VLOOKUP(Y473,Grade_Scale!$D:$E,2,FALSE),""))</f>
        <v/>
      </c>
    </row>
    <row r="474">
      <c r="P474">
        <f>IF(OR(B474="SP",B474="RP",B474="CP",B474="SP/RP"),"P","H")</f>
        <v/>
      </c>
      <c r="Q474">
        <f>IF(F474="",0,IFNA(VLOOKUP(F474,Trait_Polarity!$A:$C,2,FALSE),0))+IF(G474="",0,IFNA(VLOOKUP(G474,Trait_Polarity!$A:$C,2,FALSE),0))</f>
        <v/>
      </c>
      <c r="R474">
        <f>IF(F474="",0,IFNA(VLOOKUP(F474,Trait_Polarity!$A:$C,3,FALSE),0))+IF(G474="",0,IFNA(VLOOKUP(G474,Trait_Polarity!$A:$C,3,FALSE),0))</f>
        <v/>
      </c>
      <c r="S474">
        <f>IF(P474="P",(M474+N474+O474)/3,0.3*H474+0.3*I474+0.2*J474+0.1*K474+0.1*L474)</f>
        <v/>
      </c>
      <c r="T474">
        <f>IF(P474="P",IFNA(VLOOKUP(B474,Pitcher_RoleAdj!$A:$B,2,FALSE),0),IFNA(VLOOKUP(B474,Hitter_PrimaryAdj!$A:$B,2,FALSE),0))</f>
        <v/>
      </c>
      <c r="U474">
        <f>IFNA(VLOOKUP(IF(C474="","(none)",C474),SecondaryAdj!$A:$B,2,FALSE),0)</f>
        <v/>
      </c>
      <c r="V474">
        <f>IF(P474="P",0.7780+0.1628*S474+0.2957*Q474-0.1912*R474-0.1512*IF(D474="S",1,0)+0.1600*IF(E474="L",1,0)+0.0091*H474+0.0124*I474+0.0017*J474+T474+U474,-0.8294+0.1849*S474+0.1750*Q474-0.2969*R474+0.6924*IF(D474="S",1,0)+0.0457*IF(E474="L",1,0)+T474+U474)</f>
        <v/>
      </c>
      <c r="W474">
        <f>MAX(0,MIN(16,ROUND(V474,0)))</f>
        <v/>
      </c>
      <c r="X474">
        <f>IFNA(VLOOKUP(W474,Grade_Scale!$A:$B,2,FALSE),"F")</f>
        <v/>
      </c>
      <c r="Z474">
        <f>IF(Y474="","",W474-IFNA(VLOOKUP(Y474,Grade_Scale!$D:$E,2,FALSE),""))</f>
        <v/>
      </c>
    </row>
    <row r="475">
      <c r="P475">
        <f>IF(OR(B475="SP",B475="RP",B475="CP",B475="SP/RP"),"P","H")</f>
        <v/>
      </c>
      <c r="Q475">
        <f>IF(F475="",0,IFNA(VLOOKUP(F475,Trait_Polarity!$A:$C,2,FALSE),0))+IF(G475="",0,IFNA(VLOOKUP(G475,Trait_Polarity!$A:$C,2,FALSE),0))</f>
        <v/>
      </c>
      <c r="R475">
        <f>IF(F475="",0,IFNA(VLOOKUP(F475,Trait_Polarity!$A:$C,3,FALSE),0))+IF(G475="",0,IFNA(VLOOKUP(G475,Trait_Polarity!$A:$C,3,FALSE),0))</f>
        <v/>
      </c>
      <c r="S475">
        <f>IF(P475="P",(M475+N475+O475)/3,0.3*H475+0.3*I475+0.2*J475+0.1*K475+0.1*L475)</f>
        <v/>
      </c>
      <c r="T475">
        <f>IF(P475="P",IFNA(VLOOKUP(B475,Pitcher_RoleAdj!$A:$B,2,FALSE),0),IFNA(VLOOKUP(B475,Hitter_PrimaryAdj!$A:$B,2,FALSE),0))</f>
        <v/>
      </c>
      <c r="U475">
        <f>IFNA(VLOOKUP(IF(C475="","(none)",C475),SecondaryAdj!$A:$B,2,FALSE),0)</f>
        <v/>
      </c>
      <c r="V475">
        <f>IF(P475="P",0.7780+0.1628*S475+0.2957*Q475-0.1912*R475-0.1512*IF(D475="S",1,0)+0.1600*IF(E475="L",1,0)+0.0091*H475+0.0124*I475+0.0017*J475+T475+U475,-0.8294+0.1849*S475+0.1750*Q475-0.2969*R475+0.6924*IF(D475="S",1,0)+0.0457*IF(E475="L",1,0)+T475+U475)</f>
        <v/>
      </c>
      <c r="W475">
        <f>MAX(0,MIN(16,ROUND(V475,0)))</f>
        <v/>
      </c>
      <c r="X475">
        <f>IFNA(VLOOKUP(W475,Grade_Scale!$A:$B,2,FALSE),"F")</f>
        <v/>
      </c>
      <c r="Z475">
        <f>IF(Y475="","",W475-IFNA(VLOOKUP(Y475,Grade_Scale!$D:$E,2,FALSE),""))</f>
        <v/>
      </c>
    </row>
    <row r="476">
      <c r="P476">
        <f>IF(OR(B476="SP",B476="RP",B476="CP",B476="SP/RP"),"P","H")</f>
        <v/>
      </c>
      <c r="Q476">
        <f>IF(F476="",0,IFNA(VLOOKUP(F476,Trait_Polarity!$A:$C,2,FALSE),0))+IF(G476="",0,IFNA(VLOOKUP(G476,Trait_Polarity!$A:$C,2,FALSE),0))</f>
        <v/>
      </c>
      <c r="R476">
        <f>IF(F476="",0,IFNA(VLOOKUP(F476,Trait_Polarity!$A:$C,3,FALSE),0))+IF(G476="",0,IFNA(VLOOKUP(G476,Trait_Polarity!$A:$C,3,FALSE),0))</f>
        <v/>
      </c>
      <c r="S476">
        <f>IF(P476="P",(M476+N476+O476)/3,0.3*H476+0.3*I476+0.2*J476+0.1*K476+0.1*L476)</f>
        <v/>
      </c>
      <c r="T476">
        <f>IF(P476="P",IFNA(VLOOKUP(B476,Pitcher_RoleAdj!$A:$B,2,FALSE),0),IFNA(VLOOKUP(B476,Hitter_PrimaryAdj!$A:$B,2,FALSE),0))</f>
        <v/>
      </c>
      <c r="U476">
        <f>IFNA(VLOOKUP(IF(C476="","(none)",C476),SecondaryAdj!$A:$B,2,FALSE),0)</f>
        <v/>
      </c>
      <c r="V476">
        <f>IF(P476="P",0.7780+0.1628*S476+0.2957*Q476-0.1912*R476-0.1512*IF(D476="S",1,0)+0.1600*IF(E476="L",1,0)+0.0091*H476+0.0124*I476+0.0017*J476+T476+U476,-0.8294+0.1849*S476+0.1750*Q476-0.2969*R476+0.6924*IF(D476="S",1,0)+0.0457*IF(E476="L",1,0)+T476+U476)</f>
        <v/>
      </c>
      <c r="W476">
        <f>MAX(0,MIN(16,ROUND(V476,0)))</f>
        <v/>
      </c>
      <c r="X476">
        <f>IFNA(VLOOKUP(W476,Grade_Scale!$A:$B,2,FALSE),"F")</f>
        <v/>
      </c>
      <c r="Z476">
        <f>IF(Y476="","",W476-IFNA(VLOOKUP(Y476,Grade_Scale!$D:$E,2,FALSE),""))</f>
        <v/>
      </c>
    </row>
    <row r="477">
      <c r="P477">
        <f>IF(OR(B477="SP",B477="RP",B477="CP",B477="SP/RP"),"P","H")</f>
        <v/>
      </c>
      <c r="Q477">
        <f>IF(F477="",0,IFNA(VLOOKUP(F477,Trait_Polarity!$A:$C,2,FALSE),0))+IF(G477="",0,IFNA(VLOOKUP(G477,Trait_Polarity!$A:$C,2,FALSE),0))</f>
        <v/>
      </c>
      <c r="R477">
        <f>IF(F477="",0,IFNA(VLOOKUP(F477,Trait_Polarity!$A:$C,3,FALSE),0))+IF(G477="",0,IFNA(VLOOKUP(G477,Trait_Polarity!$A:$C,3,FALSE),0))</f>
        <v/>
      </c>
      <c r="S477">
        <f>IF(P477="P",(M477+N477+O477)/3,0.3*H477+0.3*I477+0.2*J477+0.1*K477+0.1*L477)</f>
        <v/>
      </c>
      <c r="T477">
        <f>IF(P477="P",IFNA(VLOOKUP(B477,Pitcher_RoleAdj!$A:$B,2,FALSE),0),IFNA(VLOOKUP(B477,Hitter_PrimaryAdj!$A:$B,2,FALSE),0))</f>
        <v/>
      </c>
      <c r="U477">
        <f>IFNA(VLOOKUP(IF(C477="","(none)",C477),SecondaryAdj!$A:$B,2,FALSE),0)</f>
        <v/>
      </c>
      <c r="V477">
        <f>IF(P477="P",0.7780+0.1628*S477+0.2957*Q477-0.1912*R477-0.1512*IF(D477="S",1,0)+0.1600*IF(E477="L",1,0)+0.0091*H477+0.0124*I477+0.0017*J477+T477+U477,-0.8294+0.1849*S477+0.1750*Q477-0.2969*R477+0.6924*IF(D477="S",1,0)+0.0457*IF(E477="L",1,0)+T477+U477)</f>
        <v/>
      </c>
      <c r="W477">
        <f>MAX(0,MIN(16,ROUND(V477,0)))</f>
        <v/>
      </c>
      <c r="X477">
        <f>IFNA(VLOOKUP(W477,Grade_Scale!$A:$B,2,FALSE),"F")</f>
        <v/>
      </c>
      <c r="Z477">
        <f>IF(Y477="","",W477-IFNA(VLOOKUP(Y477,Grade_Scale!$D:$E,2,FALSE),""))</f>
        <v/>
      </c>
    </row>
    <row r="478">
      <c r="P478">
        <f>IF(OR(B478="SP",B478="RP",B478="CP",B478="SP/RP"),"P","H")</f>
        <v/>
      </c>
      <c r="Q478">
        <f>IF(F478="",0,IFNA(VLOOKUP(F478,Trait_Polarity!$A:$C,2,FALSE),0))+IF(G478="",0,IFNA(VLOOKUP(G478,Trait_Polarity!$A:$C,2,FALSE),0))</f>
        <v/>
      </c>
      <c r="R478">
        <f>IF(F478="",0,IFNA(VLOOKUP(F478,Trait_Polarity!$A:$C,3,FALSE),0))+IF(G478="",0,IFNA(VLOOKUP(G478,Trait_Polarity!$A:$C,3,FALSE),0))</f>
        <v/>
      </c>
      <c r="S478">
        <f>IF(P478="P",(M478+N478+O478)/3,0.3*H478+0.3*I478+0.2*J478+0.1*K478+0.1*L478)</f>
        <v/>
      </c>
      <c r="T478">
        <f>IF(P478="P",IFNA(VLOOKUP(B478,Pitcher_RoleAdj!$A:$B,2,FALSE),0),IFNA(VLOOKUP(B478,Hitter_PrimaryAdj!$A:$B,2,FALSE),0))</f>
        <v/>
      </c>
      <c r="U478">
        <f>IFNA(VLOOKUP(IF(C478="","(none)",C478),SecondaryAdj!$A:$B,2,FALSE),0)</f>
        <v/>
      </c>
      <c r="V478">
        <f>IF(P478="P",0.7780+0.1628*S478+0.2957*Q478-0.1912*R478-0.1512*IF(D478="S",1,0)+0.1600*IF(E478="L",1,0)+0.0091*H478+0.0124*I478+0.0017*J478+T478+U478,-0.8294+0.1849*S478+0.1750*Q478-0.2969*R478+0.6924*IF(D478="S",1,0)+0.0457*IF(E478="L",1,0)+T478+U478)</f>
        <v/>
      </c>
      <c r="W478">
        <f>MAX(0,MIN(16,ROUND(V478,0)))</f>
        <v/>
      </c>
      <c r="X478">
        <f>IFNA(VLOOKUP(W478,Grade_Scale!$A:$B,2,FALSE),"F")</f>
        <v/>
      </c>
      <c r="Z478">
        <f>IF(Y478="","",W478-IFNA(VLOOKUP(Y478,Grade_Scale!$D:$E,2,FALSE),""))</f>
        <v/>
      </c>
    </row>
    <row r="479">
      <c r="P479">
        <f>IF(OR(B479="SP",B479="RP",B479="CP",B479="SP/RP"),"P","H")</f>
        <v/>
      </c>
      <c r="Q479">
        <f>IF(F479="",0,IFNA(VLOOKUP(F479,Trait_Polarity!$A:$C,2,FALSE),0))+IF(G479="",0,IFNA(VLOOKUP(G479,Trait_Polarity!$A:$C,2,FALSE),0))</f>
        <v/>
      </c>
      <c r="R479">
        <f>IF(F479="",0,IFNA(VLOOKUP(F479,Trait_Polarity!$A:$C,3,FALSE),0))+IF(G479="",0,IFNA(VLOOKUP(G479,Trait_Polarity!$A:$C,3,FALSE),0))</f>
        <v/>
      </c>
      <c r="S479">
        <f>IF(P479="P",(M479+N479+O479)/3,0.3*H479+0.3*I479+0.2*J479+0.1*K479+0.1*L479)</f>
        <v/>
      </c>
      <c r="T479">
        <f>IF(P479="P",IFNA(VLOOKUP(B479,Pitcher_RoleAdj!$A:$B,2,FALSE),0),IFNA(VLOOKUP(B479,Hitter_PrimaryAdj!$A:$B,2,FALSE),0))</f>
        <v/>
      </c>
      <c r="U479">
        <f>IFNA(VLOOKUP(IF(C479="","(none)",C479),SecondaryAdj!$A:$B,2,FALSE),0)</f>
        <v/>
      </c>
      <c r="V479">
        <f>IF(P479="P",0.7780+0.1628*S479+0.2957*Q479-0.1912*R479-0.1512*IF(D479="S",1,0)+0.1600*IF(E479="L",1,0)+0.0091*H479+0.0124*I479+0.0017*J479+T479+U479,-0.8294+0.1849*S479+0.1750*Q479-0.2969*R479+0.6924*IF(D479="S",1,0)+0.0457*IF(E479="L",1,0)+T479+U479)</f>
        <v/>
      </c>
      <c r="W479">
        <f>MAX(0,MIN(16,ROUND(V479,0)))</f>
        <v/>
      </c>
      <c r="X479">
        <f>IFNA(VLOOKUP(W479,Grade_Scale!$A:$B,2,FALSE),"F")</f>
        <v/>
      </c>
      <c r="Z479">
        <f>IF(Y479="","",W479-IFNA(VLOOKUP(Y479,Grade_Scale!$D:$E,2,FALSE),""))</f>
        <v/>
      </c>
    </row>
    <row r="480">
      <c r="P480">
        <f>IF(OR(B480="SP",B480="RP",B480="CP",B480="SP/RP"),"P","H")</f>
        <v/>
      </c>
      <c r="Q480">
        <f>IF(F480="",0,IFNA(VLOOKUP(F480,Trait_Polarity!$A:$C,2,FALSE),0))+IF(G480="",0,IFNA(VLOOKUP(G480,Trait_Polarity!$A:$C,2,FALSE),0))</f>
        <v/>
      </c>
      <c r="R480">
        <f>IF(F480="",0,IFNA(VLOOKUP(F480,Trait_Polarity!$A:$C,3,FALSE),0))+IF(G480="",0,IFNA(VLOOKUP(G480,Trait_Polarity!$A:$C,3,FALSE),0))</f>
        <v/>
      </c>
      <c r="S480">
        <f>IF(P480="P",(M480+N480+O480)/3,0.3*H480+0.3*I480+0.2*J480+0.1*K480+0.1*L480)</f>
        <v/>
      </c>
      <c r="T480">
        <f>IF(P480="P",IFNA(VLOOKUP(B480,Pitcher_RoleAdj!$A:$B,2,FALSE),0),IFNA(VLOOKUP(B480,Hitter_PrimaryAdj!$A:$B,2,FALSE),0))</f>
        <v/>
      </c>
      <c r="U480">
        <f>IFNA(VLOOKUP(IF(C480="","(none)",C480),SecondaryAdj!$A:$B,2,FALSE),0)</f>
        <v/>
      </c>
      <c r="V480">
        <f>IF(P480="P",0.7780+0.1628*S480+0.2957*Q480-0.1912*R480-0.1512*IF(D480="S",1,0)+0.1600*IF(E480="L",1,0)+0.0091*H480+0.0124*I480+0.0017*J480+T480+U480,-0.8294+0.1849*S480+0.1750*Q480-0.2969*R480+0.6924*IF(D480="S",1,0)+0.0457*IF(E480="L",1,0)+T480+U480)</f>
        <v/>
      </c>
      <c r="W480">
        <f>MAX(0,MIN(16,ROUND(V480,0)))</f>
        <v/>
      </c>
      <c r="X480">
        <f>IFNA(VLOOKUP(W480,Grade_Scale!$A:$B,2,FALSE),"F")</f>
        <v/>
      </c>
      <c r="Z480">
        <f>IF(Y480="","",W480-IFNA(VLOOKUP(Y480,Grade_Scale!$D:$E,2,FALSE),""))</f>
        <v/>
      </c>
    </row>
    <row r="481">
      <c r="P481">
        <f>IF(OR(B481="SP",B481="RP",B481="CP",B481="SP/RP"),"P","H")</f>
        <v/>
      </c>
      <c r="Q481">
        <f>IF(F481="",0,IFNA(VLOOKUP(F481,Trait_Polarity!$A:$C,2,FALSE),0))+IF(G481="",0,IFNA(VLOOKUP(G481,Trait_Polarity!$A:$C,2,FALSE),0))</f>
        <v/>
      </c>
      <c r="R481">
        <f>IF(F481="",0,IFNA(VLOOKUP(F481,Trait_Polarity!$A:$C,3,FALSE),0))+IF(G481="",0,IFNA(VLOOKUP(G481,Trait_Polarity!$A:$C,3,FALSE),0))</f>
        <v/>
      </c>
      <c r="S481">
        <f>IF(P481="P",(M481+N481+O481)/3,0.3*H481+0.3*I481+0.2*J481+0.1*K481+0.1*L481)</f>
        <v/>
      </c>
      <c r="T481">
        <f>IF(P481="P",IFNA(VLOOKUP(B481,Pitcher_RoleAdj!$A:$B,2,FALSE),0),IFNA(VLOOKUP(B481,Hitter_PrimaryAdj!$A:$B,2,FALSE),0))</f>
        <v/>
      </c>
      <c r="U481">
        <f>IFNA(VLOOKUP(IF(C481="","(none)",C481),SecondaryAdj!$A:$B,2,FALSE),0)</f>
        <v/>
      </c>
      <c r="V481">
        <f>IF(P481="P",0.7780+0.1628*S481+0.2957*Q481-0.1912*R481-0.1512*IF(D481="S",1,0)+0.1600*IF(E481="L",1,0)+0.0091*H481+0.0124*I481+0.0017*J481+T481+U481,-0.8294+0.1849*S481+0.1750*Q481-0.2969*R481+0.6924*IF(D481="S",1,0)+0.0457*IF(E481="L",1,0)+T481+U481)</f>
        <v/>
      </c>
      <c r="W481">
        <f>MAX(0,MIN(16,ROUND(V481,0)))</f>
        <v/>
      </c>
      <c r="X481">
        <f>IFNA(VLOOKUP(W481,Grade_Scale!$A:$B,2,FALSE),"F")</f>
        <v/>
      </c>
      <c r="Z481">
        <f>IF(Y481="","",W481-IFNA(VLOOKUP(Y481,Grade_Scale!$D:$E,2,FALSE),""))</f>
        <v/>
      </c>
    </row>
    <row r="482">
      <c r="P482">
        <f>IF(OR(B482="SP",B482="RP",B482="CP",B482="SP/RP"),"P","H")</f>
        <v/>
      </c>
      <c r="Q482">
        <f>IF(F482="",0,IFNA(VLOOKUP(F482,Trait_Polarity!$A:$C,2,FALSE),0))+IF(G482="",0,IFNA(VLOOKUP(G482,Trait_Polarity!$A:$C,2,FALSE),0))</f>
        <v/>
      </c>
      <c r="R482">
        <f>IF(F482="",0,IFNA(VLOOKUP(F482,Trait_Polarity!$A:$C,3,FALSE),0))+IF(G482="",0,IFNA(VLOOKUP(G482,Trait_Polarity!$A:$C,3,FALSE),0))</f>
        <v/>
      </c>
      <c r="S482">
        <f>IF(P482="P",(M482+N482+O482)/3,0.3*H482+0.3*I482+0.2*J482+0.1*K482+0.1*L482)</f>
        <v/>
      </c>
      <c r="T482">
        <f>IF(P482="P",IFNA(VLOOKUP(B482,Pitcher_RoleAdj!$A:$B,2,FALSE),0),IFNA(VLOOKUP(B482,Hitter_PrimaryAdj!$A:$B,2,FALSE),0))</f>
        <v/>
      </c>
      <c r="U482">
        <f>IFNA(VLOOKUP(IF(C482="","(none)",C482),SecondaryAdj!$A:$B,2,FALSE),0)</f>
        <v/>
      </c>
      <c r="V482">
        <f>IF(P482="P",0.7780+0.1628*S482+0.2957*Q482-0.1912*R482-0.1512*IF(D482="S",1,0)+0.1600*IF(E482="L",1,0)+0.0091*H482+0.0124*I482+0.0017*J482+T482+U482,-0.8294+0.1849*S482+0.1750*Q482-0.2969*R482+0.6924*IF(D482="S",1,0)+0.0457*IF(E482="L",1,0)+T482+U482)</f>
        <v/>
      </c>
      <c r="W482">
        <f>MAX(0,MIN(16,ROUND(V482,0)))</f>
        <v/>
      </c>
      <c r="X482">
        <f>IFNA(VLOOKUP(W482,Grade_Scale!$A:$B,2,FALSE),"F")</f>
        <v/>
      </c>
      <c r="Z482">
        <f>IF(Y482="","",W482-IFNA(VLOOKUP(Y482,Grade_Scale!$D:$E,2,FALSE),""))</f>
        <v/>
      </c>
    </row>
    <row r="483">
      <c r="P483">
        <f>IF(OR(B483="SP",B483="RP",B483="CP",B483="SP/RP"),"P","H")</f>
        <v/>
      </c>
      <c r="Q483">
        <f>IF(F483="",0,IFNA(VLOOKUP(F483,Trait_Polarity!$A:$C,2,FALSE),0))+IF(G483="",0,IFNA(VLOOKUP(G483,Trait_Polarity!$A:$C,2,FALSE),0))</f>
        <v/>
      </c>
      <c r="R483">
        <f>IF(F483="",0,IFNA(VLOOKUP(F483,Trait_Polarity!$A:$C,3,FALSE),0))+IF(G483="",0,IFNA(VLOOKUP(G483,Trait_Polarity!$A:$C,3,FALSE),0))</f>
        <v/>
      </c>
      <c r="S483">
        <f>IF(P483="P",(M483+N483+O483)/3,0.3*H483+0.3*I483+0.2*J483+0.1*K483+0.1*L483)</f>
        <v/>
      </c>
      <c r="T483">
        <f>IF(P483="P",IFNA(VLOOKUP(B483,Pitcher_RoleAdj!$A:$B,2,FALSE),0),IFNA(VLOOKUP(B483,Hitter_PrimaryAdj!$A:$B,2,FALSE),0))</f>
        <v/>
      </c>
      <c r="U483">
        <f>IFNA(VLOOKUP(IF(C483="","(none)",C483),SecondaryAdj!$A:$B,2,FALSE),0)</f>
        <v/>
      </c>
      <c r="V483">
        <f>IF(P483="P",0.7780+0.1628*S483+0.2957*Q483-0.1912*R483-0.1512*IF(D483="S",1,0)+0.1600*IF(E483="L",1,0)+0.0091*H483+0.0124*I483+0.0017*J483+T483+U483,-0.8294+0.1849*S483+0.1750*Q483-0.2969*R483+0.6924*IF(D483="S",1,0)+0.0457*IF(E483="L",1,0)+T483+U483)</f>
        <v/>
      </c>
      <c r="W483">
        <f>MAX(0,MIN(16,ROUND(V483,0)))</f>
        <v/>
      </c>
      <c r="X483">
        <f>IFNA(VLOOKUP(W483,Grade_Scale!$A:$B,2,FALSE),"F")</f>
        <v/>
      </c>
      <c r="Z483">
        <f>IF(Y483="","",W483-IFNA(VLOOKUP(Y483,Grade_Scale!$D:$E,2,FALSE),""))</f>
        <v/>
      </c>
    </row>
    <row r="484">
      <c r="P484">
        <f>IF(OR(B484="SP",B484="RP",B484="CP",B484="SP/RP"),"P","H")</f>
        <v/>
      </c>
      <c r="Q484">
        <f>IF(F484="",0,IFNA(VLOOKUP(F484,Trait_Polarity!$A:$C,2,FALSE),0))+IF(G484="",0,IFNA(VLOOKUP(G484,Trait_Polarity!$A:$C,2,FALSE),0))</f>
        <v/>
      </c>
      <c r="R484">
        <f>IF(F484="",0,IFNA(VLOOKUP(F484,Trait_Polarity!$A:$C,3,FALSE),0))+IF(G484="",0,IFNA(VLOOKUP(G484,Trait_Polarity!$A:$C,3,FALSE),0))</f>
        <v/>
      </c>
      <c r="S484">
        <f>IF(P484="P",(M484+N484+O484)/3,0.3*H484+0.3*I484+0.2*J484+0.1*K484+0.1*L484)</f>
        <v/>
      </c>
      <c r="T484">
        <f>IF(P484="P",IFNA(VLOOKUP(B484,Pitcher_RoleAdj!$A:$B,2,FALSE),0),IFNA(VLOOKUP(B484,Hitter_PrimaryAdj!$A:$B,2,FALSE),0))</f>
        <v/>
      </c>
      <c r="U484">
        <f>IFNA(VLOOKUP(IF(C484="","(none)",C484),SecondaryAdj!$A:$B,2,FALSE),0)</f>
        <v/>
      </c>
      <c r="V484">
        <f>IF(P484="P",0.7780+0.1628*S484+0.2957*Q484-0.1912*R484-0.1512*IF(D484="S",1,0)+0.1600*IF(E484="L",1,0)+0.0091*H484+0.0124*I484+0.0017*J484+T484+U484,-0.8294+0.1849*S484+0.1750*Q484-0.2969*R484+0.6924*IF(D484="S",1,0)+0.0457*IF(E484="L",1,0)+T484+U484)</f>
        <v/>
      </c>
      <c r="W484">
        <f>MAX(0,MIN(16,ROUND(V484,0)))</f>
        <v/>
      </c>
      <c r="X484">
        <f>IFNA(VLOOKUP(W484,Grade_Scale!$A:$B,2,FALSE),"F")</f>
        <v/>
      </c>
      <c r="Z484">
        <f>IF(Y484="","",W484-IFNA(VLOOKUP(Y484,Grade_Scale!$D:$E,2,FALSE),""))</f>
        <v/>
      </c>
    </row>
    <row r="485">
      <c r="P485">
        <f>IF(OR(B485="SP",B485="RP",B485="CP",B485="SP/RP"),"P","H")</f>
        <v/>
      </c>
      <c r="Q485">
        <f>IF(F485="",0,IFNA(VLOOKUP(F485,Trait_Polarity!$A:$C,2,FALSE),0))+IF(G485="",0,IFNA(VLOOKUP(G485,Trait_Polarity!$A:$C,2,FALSE),0))</f>
        <v/>
      </c>
      <c r="R485">
        <f>IF(F485="",0,IFNA(VLOOKUP(F485,Trait_Polarity!$A:$C,3,FALSE),0))+IF(G485="",0,IFNA(VLOOKUP(G485,Trait_Polarity!$A:$C,3,FALSE),0))</f>
        <v/>
      </c>
      <c r="S485">
        <f>IF(P485="P",(M485+N485+O485)/3,0.3*H485+0.3*I485+0.2*J485+0.1*K485+0.1*L485)</f>
        <v/>
      </c>
      <c r="T485">
        <f>IF(P485="P",IFNA(VLOOKUP(B485,Pitcher_RoleAdj!$A:$B,2,FALSE),0),IFNA(VLOOKUP(B485,Hitter_PrimaryAdj!$A:$B,2,FALSE),0))</f>
        <v/>
      </c>
      <c r="U485">
        <f>IFNA(VLOOKUP(IF(C485="","(none)",C485),SecondaryAdj!$A:$B,2,FALSE),0)</f>
        <v/>
      </c>
      <c r="V485">
        <f>IF(P485="P",0.7780+0.1628*S485+0.2957*Q485-0.1912*R485-0.1512*IF(D485="S",1,0)+0.1600*IF(E485="L",1,0)+0.0091*H485+0.0124*I485+0.0017*J485+T485+U485,-0.8294+0.1849*S485+0.1750*Q485-0.2969*R485+0.6924*IF(D485="S",1,0)+0.0457*IF(E485="L",1,0)+T485+U485)</f>
        <v/>
      </c>
      <c r="W485">
        <f>MAX(0,MIN(16,ROUND(V485,0)))</f>
        <v/>
      </c>
      <c r="X485">
        <f>IFNA(VLOOKUP(W485,Grade_Scale!$A:$B,2,FALSE),"F")</f>
        <v/>
      </c>
      <c r="Z485">
        <f>IF(Y485="","",W485-IFNA(VLOOKUP(Y485,Grade_Scale!$D:$E,2,FALSE),""))</f>
        <v/>
      </c>
    </row>
    <row r="486">
      <c r="P486">
        <f>IF(OR(B486="SP",B486="RP",B486="CP",B486="SP/RP"),"P","H")</f>
        <v/>
      </c>
      <c r="Q486">
        <f>IF(F486="",0,IFNA(VLOOKUP(F486,Trait_Polarity!$A:$C,2,FALSE),0))+IF(G486="",0,IFNA(VLOOKUP(G486,Trait_Polarity!$A:$C,2,FALSE),0))</f>
        <v/>
      </c>
      <c r="R486">
        <f>IF(F486="",0,IFNA(VLOOKUP(F486,Trait_Polarity!$A:$C,3,FALSE),0))+IF(G486="",0,IFNA(VLOOKUP(G486,Trait_Polarity!$A:$C,3,FALSE),0))</f>
        <v/>
      </c>
      <c r="S486">
        <f>IF(P486="P",(M486+N486+O486)/3,0.3*H486+0.3*I486+0.2*J486+0.1*K486+0.1*L486)</f>
        <v/>
      </c>
      <c r="T486">
        <f>IF(P486="P",IFNA(VLOOKUP(B486,Pitcher_RoleAdj!$A:$B,2,FALSE),0),IFNA(VLOOKUP(B486,Hitter_PrimaryAdj!$A:$B,2,FALSE),0))</f>
        <v/>
      </c>
      <c r="U486">
        <f>IFNA(VLOOKUP(IF(C486="","(none)",C486),SecondaryAdj!$A:$B,2,FALSE),0)</f>
        <v/>
      </c>
      <c r="V486">
        <f>IF(P486="P",0.7780+0.1628*S486+0.2957*Q486-0.1912*R486-0.1512*IF(D486="S",1,0)+0.1600*IF(E486="L",1,0)+0.0091*H486+0.0124*I486+0.0017*J486+T486+U486,-0.8294+0.1849*S486+0.1750*Q486-0.2969*R486+0.6924*IF(D486="S",1,0)+0.0457*IF(E486="L",1,0)+T486+U486)</f>
        <v/>
      </c>
      <c r="W486">
        <f>MAX(0,MIN(16,ROUND(V486,0)))</f>
        <v/>
      </c>
      <c r="X486">
        <f>IFNA(VLOOKUP(W486,Grade_Scale!$A:$B,2,FALSE),"F")</f>
        <v/>
      </c>
      <c r="Z486">
        <f>IF(Y486="","",W486-IFNA(VLOOKUP(Y486,Grade_Scale!$D:$E,2,FALSE),""))</f>
        <v/>
      </c>
    </row>
    <row r="487">
      <c r="P487">
        <f>IF(OR(B487="SP",B487="RP",B487="CP",B487="SP/RP"),"P","H")</f>
        <v/>
      </c>
      <c r="Q487">
        <f>IF(F487="",0,IFNA(VLOOKUP(F487,Trait_Polarity!$A:$C,2,FALSE),0))+IF(G487="",0,IFNA(VLOOKUP(G487,Trait_Polarity!$A:$C,2,FALSE),0))</f>
        <v/>
      </c>
      <c r="R487">
        <f>IF(F487="",0,IFNA(VLOOKUP(F487,Trait_Polarity!$A:$C,3,FALSE),0))+IF(G487="",0,IFNA(VLOOKUP(G487,Trait_Polarity!$A:$C,3,FALSE),0))</f>
        <v/>
      </c>
      <c r="S487">
        <f>IF(P487="P",(M487+N487+O487)/3,0.3*H487+0.3*I487+0.2*J487+0.1*K487+0.1*L487)</f>
        <v/>
      </c>
      <c r="T487">
        <f>IF(P487="P",IFNA(VLOOKUP(B487,Pitcher_RoleAdj!$A:$B,2,FALSE),0),IFNA(VLOOKUP(B487,Hitter_PrimaryAdj!$A:$B,2,FALSE),0))</f>
        <v/>
      </c>
      <c r="U487">
        <f>IFNA(VLOOKUP(IF(C487="","(none)",C487),SecondaryAdj!$A:$B,2,FALSE),0)</f>
        <v/>
      </c>
      <c r="V487">
        <f>IF(P487="P",0.7780+0.1628*S487+0.2957*Q487-0.1912*R487-0.1512*IF(D487="S",1,0)+0.1600*IF(E487="L",1,0)+0.0091*H487+0.0124*I487+0.0017*J487+T487+U487,-0.8294+0.1849*S487+0.1750*Q487-0.2969*R487+0.6924*IF(D487="S",1,0)+0.0457*IF(E487="L",1,0)+T487+U487)</f>
        <v/>
      </c>
      <c r="W487">
        <f>MAX(0,MIN(16,ROUND(V487,0)))</f>
        <v/>
      </c>
      <c r="X487">
        <f>IFNA(VLOOKUP(W487,Grade_Scale!$A:$B,2,FALSE),"F")</f>
        <v/>
      </c>
      <c r="Z487">
        <f>IF(Y487="","",W487-IFNA(VLOOKUP(Y487,Grade_Scale!$D:$E,2,FALSE),""))</f>
        <v/>
      </c>
    </row>
    <row r="488">
      <c r="P488">
        <f>IF(OR(B488="SP",B488="RP",B488="CP",B488="SP/RP"),"P","H")</f>
        <v/>
      </c>
      <c r="Q488">
        <f>IF(F488="",0,IFNA(VLOOKUP(F488,Trait_Polarity!$A:$C,2,FALSE),0))+IF(G488="",0,IFNA(VLOOKUP(G488,Trait_Polarity!$A:$C,2,FALSE),0))</f>
        <v/>
      </c>
      <c r="R488">
        <f>IF(F488="",0,IFNA(VLOOKUP(F488,Trait_Polarity!$A:$C,3,FALSE),0))+IF(G488="",0,IFNA(VLOOKUP(G488,Trait_Polarity!$A:$C,3,FALSE),0))</f>
        <v/>
      </c>
      <c r="S488">
        <f>IF(P488="P",(M488+N488+O488)/3,0.3*H488+0.3*I488+0.2*J488+0.1*K488+0.1*L488)</f>
        <v/>
      </c>
      <c r="T488">
        <f>IF(P488="P",IFNA(VLOOKUP(B488,Pitcher_RoleAdj!$A:$B,2,FALSE),0),IFNA(VLOOKUP(B488,Hitter_PrimaryAdj!$A:$B,2,FALSE),0))</f>
        <v/>
      </c>
      <c r="U488">
        <f>IFNA(VLOOKUP(IF(C488="","(none)",C488),SecondaryAdj!$A:$B,2,FALSE),0)</f>
        <v/>
      </c>
      <c r="V488">
        <f>IF(P488="P",0.7780+0.1628*S488+0.2957*Q488-0.1912*R488-0.1512*IF(D488="S",1,0)+0.1600*IF(E488="L",1,0)+0.0091*H488+0.0124*I488+0.0017*J488+T488+U488,-0.8294+0.1849*S488+0.1750*Q488-0.2969*R488+0.6924*IF(D488="S",1,0)+0.0457*IF(E488="L",1,0)+T488+U488)</f>
        <v/>
      </c>
      <c r="W488">
        <f>MAX(0,MIN(16,ROUND(V488,0)))</f>
        <v/>
      </c>
      <c r="X488">
        <f>IFNA(VLOOKUP(W488,Grade_Scale!$A:$B,2,FALSE),"F")</f>
        <v/>
      </c>
      <c r="Z488">
        <f>IF(Y488="","",W488-IFNA(VLOOKUP(Y488,Grade_Scale!$D:$E,2,FALSE),""))</f>
        <v/>
      </c>
    </row>
    <row r="489">
      <c r="P489">
        <f>IF(OR(B489="SP",B489="RP",B489="CP",B489="SP/RP"),"P","H")</f>
        <v/>
      </c>
      <c r="Q489">
        <f>IF(F489="",0,IFNA(VLOOKUP(F489,Trait_Polarity!$A:$C,2,FALSE),0))+IF(G489="",0,IFNA(VLOOKUP(G489,Trait_Polarity!$A:$C,2,FALSE),0))</f>
        <v/>
      </c>
      <c r="R489">
        <f>IF(F489="",0,IFNA(VLOOKUP(F489,Trait_Polarity!$A:$C,3,FALSE),0))+IF(G489="",0,IFNA(VLOOKUP(G489,Trait_Polarity!$A:$C,3,FALSE),0))</f>
        <v/>
      </c>
      <c r="S489">
        <f>IF(P489="P",(M489+N489+O489)/3,0.3*H489+0.3*I489+0.2*J489+0.1*K489+0.1*L489)</f>
        <v/>
      </c>
      <c r="T489">
        <f>IF(P489="P",IFNA(VLOOKUP(B489,Pitcher_RoleAdj!$A:$B,2,FALSE),0),IFNA(VLOOKUP(B489,Hitter_PrimaryAdj!$A:$B,2,FALSE),0))</f>
        <v/>
      </c>
      <c r="U489">
        <f>IFNA(VLOOKUP(IF(C489="","(none)",C489),SecondaryAdj!$A:$B,2,FALSE),0)</f>
        <v/>
      </c>
      <c r="V489">
        <f>IF(P489="P",0.7780+0.1628*S489+0.2957*Q489-0.1912*R489-0.1512*IF(D489="S",1,0)+0.1600*IF(E489="L",1,0)+0.0091*H489+0.0124*I489+0.0017*J489+T489+U489,-0.8294+0.1849*S489+0.1750*Q489-0.2969*R489+0.6924*IF(D489="S",1,0)+0.0457*IF(E489="L",1,0)+T489+U489)</f>
        <v/>
      </c>
      <c r="W489">
        <f>MAX(0,MIN(16,ROUND(V489,0)))</f>
        <v/>
      </c>
      <c r="X489">
        <f>IFNA(VLOOKUP(W489,Grade_Scale!$A:$B,2,FALSE),"F")</f>
        <v/>
      </c>
      <c r="Z489">
        <f>IF(Y489="","",W489-IFNA(VLOOKUP(Y489,Grade_Scale!$D:$E,2,FALSE),""))</f>
        <v/>
      </c>
    </row>
    <row r="490">
      <c r="P490">
        <f>IF(OR(B490="SP",B490="RP",B490="CP",B490="SP/RP"),"P","H")</f>
        <v/>
      </c>
      <c r="Q490">
        <f>IF(F490="",0,IFNA(VLOOKUP(F490,Trait_Polarity!$A:$C,2,FALSE),0))+IF(G490="",0,IFNA(VLOOKUP(G490,Trait_Polarity!$A:$C,2,FALSE),0))</f>
        <v/>
      </c>
      <c r="R490">
        <f>IF(F490="",0,IFNA(VLOOKUP(F490,Trait_Polarity!$A:$C,3,FALSE),0))+IF(G490="",0,IFNA(VLOOKUP(G490,Trait_Polarity!$A:$C,3,FALSE),0))</f>
        <v/>
      </c>
      <c r="S490">
        <f>IF(P490="P",(M490+N490+O490)/3,0.3*H490+0.3*I490+0.2*J490+0.1*K490+0.1*L490)</f>
        <v/>
      </c>
      <c r="T490">
        <f>IF(P490="P",IFNA(VLOOKUP(B490,Pitcher_RoleAdj!$A:$B,2,FALSE),0),IFNA(VLOOKUP(B490,Hitter_PrimaryAdj!$A:$B,2,FALSE),0))</f>
        <v/>
      </c>
      <c r="U490">
        <f>IFNA(VLOOKUP(IF(C490="","(none)",C490),SecondaryAdj!$A:$B,2,FALSE),0)</f>
        <v/>
      </c>
      <c r="V490">
        <f>IF(P490="P",0.7780+0.1628*S490+0.2957*Q490-0.1912*R490-0.1512*IF(D490="S",1,0)+0.1600*IF(E490="L",1,0)+0.0091*H490+0.0124*I490+0.0017*J490+T490+U490,-0.8294+0.1849*S490+0.1750*Q490-0.2969*R490+0.6924*IF(D490="S",1,0)+0.0457*IF(E490="L",1,0)+T490+U490)</f>
        <v/>
      </c>
      <c r="W490">
        <f>MAX(0,MIN(16,ROUND(V490,0)))</f>
        <v/>
      </c>
      <c r="X490">
        <f>IFNA(VLOOKUP(W490,Grade_Scale!$A:$B,2,FALSE),"F")</f>
        <v/>
      </c>
      <c r="Z490">
        <f>IF(Y490="","",W490-IFNA(VLOOKUP(Y490,Grade_Scale!$D:$E,2,FALSE),""))</f>
        <v/>
      </c>
    </row>
    <row r="491">
      <c r="P491">
        <f>IF(OR(B491="SP",B491="RP",B491="CP",B491="SP/RP"),"P","H")</f>
        <v/>
      </c>
      <c r="Q491">
        <f>IF(F491="",0,IFNA(VLOOKUP(F491,Trait_Polarity!$A:$C,2,FALSE),0))+IF(G491="",0,IFNA(VLOOKUP(G491,Trait_Polarity!$A:$C,2,FALSE),0))</f>
        <v/>
      </c>
      <c r="R491">
        <f>IF(F491="",0,IFNA(VLOOKUP(F491,Trait_Polarity!$A:$C,3,FALSE),0))+IF(G491="",0,IFNA(VLOOKUP(G491,Trait_Polarity!$A:$C,3,FALSE),0))</f>
        <v/>
      </c>
      <c r="S491">
        <f>IF(P491="P",(M491+N491+O491)/3,0.3*H491+0.3*I491+0.2*J491+0.1*K491+0.1*L491)</f>
        <v/>
      </c>
      <c r="T491">
        <f>IF(P491="P",IFNA(VLOOKUP(B491,Pitcher_RoleAdj!$A:$B,2,FALSE),0),IFNA(VLOOKUP(B491,Hitter_PrimaryAdj!$A:$B,2,FALSE),0))</f>
        <v/>
      </c>
      <c r="U491">
        <f>IFNA(VLOOKUP(IF(C491="","(none)",C491),SecondaryAdj!$A:$B,2,FALSE),0)</f>
        <v/>
      </c>
      <c r="V491">
        <f>IF(P491="P",0.7780+0.1628*S491+0.2957*Q491-0.1912*R491-0.1512*IF(D491="S",1,0)+0.1600*IF(E491="L",1,0)+0.0091*H491+0.0124*I491+0.0017*J491+T491+U491,-0.8294+0.1849*S491+0.1750*Q491-0.2969*R491+0.6924*IF(D491="S",1,0)+0.0457*IF(E491="L",1,0)+T491+U491)</f>
        <v/>
      </c>
      <c r="W491">
        <f>MAX(0,MIN(16,ROUND(V491,0)))</f>
        <v/>
      </c>
      <c r="X491">
        <f>IFNA(VLOOKUP(W491,Grade_Scale!$A:$B,2,FALSE),"F")</f>
        <v/>
      </c>
      <c r="Z491">
        <f>IF(Y491="","",W491-IFNA(VLOOKUP(Y491,Grade_Scale!$D:$E,2,FALSE),""))</f>
        <v/>
      </c>
    </row>
    <row r="492">
      <c r="P492">
        <f>IF(OR(B492="SP",B492="RP",B492="CP",B492="SP/RP"),"P","H")</f>
        <v/>
      </c>
      <c r="Q492">
        <f>IF(F492="",0,IFNA(VLOOKUP(F492,Trait_Polarity!$A:$C,2,FALSE),0))+IF(G492="",0,IFNA(VLOOKUP(G492,Trait_Polarity!$A:$C,2,FALSE),0))</f>
        <v/>
      </c>
      <c r="R492">
        <f>IF(F492="",0,IFNA(VLOOKUP(F492,Trait_Polarity!$A:$C,3,FALSE),0))+IF(G492="",0,IFNA(VLOOKUP(G492,Trait_Polarity!$A:$C,3,FALSE),0))</f>
        <v/>
      </c>
      <c r="S492">
        <f>IF(P492="P",(M492+N492+O492)/3,0.3*H492+0.3*I492+0.2*J492+0.1*K492+0.1*L492)</f>
        <v/>
      </c>
      <c r="T492">
        <f>IF(P492="P",IFNA(VLOOKUP(B492,Pitcher_RoleAdj!$A:$B,2,FALSE),0),IFNA(VLOOKUP(B492,Hitter_PrimaryAdj!$A:$B,2,FALSE),0))</f>
        <v/>
      </c>
      <c r="U492">
        <f>IFNA(VLOOKUP(IF(C492="","(none)",C492),SecondaryAdj!$A:$B,2,FALSE),0)</f>
        <v/>
      </c>
      <c r="V492">
        <f>IF(P492="P",0.7780+0.1628*S492+0.2957*Q492-0.1912*R492-0.1512*IF(D492="S",1,0)+0.1600*IF(E492="L",1,0)+0.0091*H492+0.0124*I492+0.0017*J492+T492+U492,-0.8294+0.1849*S492+0.1750*Q492-0.2969*R492+0.6924*IF(D492="S",1,0)+0.0457*IF(E492="L",1,0)+T492+U492)</f>
        <v/>
      </c>
      <c r="W492">
        <f>MAX(0,MIN(16,ROUND(V492,0)))</f>
        <v/>
      </c>
      <c r="X492">
        <f>IFNA(VLOOKUP(W492,Grade_Scale!$A:$B,2,FALSE),"F")</f>
        <v/>
      </c>
      <c r="Z492">
        <f>IF(Y492="","",W492-IFNA(VLOOKUP(Y492,Grade_Scale!$D:$E,2,FALSE),""))</f>
        <v/>
      </c>
    </row>
    <row r="493">
      <c r="P493">
        <f>IF(OR(B493="SP",B493="RP",B493="CP",B493="SP/RP"),"P","H")</f>
        <v/>
      </c>
      <c r="Q493">
        <f>IF(F493="",0,IFNA(VLOOKUP(F493,Trait_Polarity!$A:$C,2,FALSE),0))+IF(G493="",0,IFNA(VLOOKUP(G493,Trait_Polarity!$A:$C,2,FALSE),0))</f>
        <v/>
      </c>
      <c r="R493">
        <f>IF(F493="",0,IFNA(VLOOKUP(F493,Trait_Polarity!$A:$C,3,FALSE),0))+IF(G493="",0,IFNA(VLOOKUP(G493,Trait_Polarity!$A:$C,3,FALSE),0))</f>
        <v/>
      </c>
      <c r="S493">
        <f>IF(P493="P",(M493+N493+O493)/3,0.3*H493+0.3*I493+0.2*J493+0.1*K493+0.1*L493)</f>
        <v/>
      </c>
      <c r="T493">
        <f>IF(P493="P",IFNA(VLOOKUP(B493,Pitcher_RoleAdj!$A:$B,2,FALSE),0),IFNA(VLOOKUP(B493,Hitter_PrimaryAdj!$A:$B,2,FALSE),0))</f>
        <v/>
      </c>
      <c r="U493">
        <f>IFNA(VLOOKUP(IF(C493="","(none)",C493),SecondaryAdj!$A:$B,2,FALSE),0)</f>
        <v/>
      </c>
      <c r="V493">
        <f>IF(P493="P",0.7780+0.1628*S493+0.2957*Q493-0.1912*R493-0.1512*IF(D493="S",1,0)+0.1600*IF(E493="L",1,0)+0.0091*H493+0.0124*I493+0.0017*J493+T493+U493,-0.8294+0.1849*S493+0.1750*Q493-0.2969*R493+0.6924*IF(D493="S",1,0)+0.0457*IF(E493="L",1,0)+T493+U493)</f>
        <v/>
      </c>
      <c r="W493">
        <f>MAX(0,MIN(16,ROUND(V493,0)))</f>
        <v/>
      </c>
      <c r="X493">
        <f>IFNA(VLOOKUP(W493,Grade_Scale!$A:$B,2,FALSE),"F")</f>
        <v/>
      </c>
      <c r="Z493">
        <f>IF(Y493="","",W493-IFNA(VLOOKUP(Y493,Grade_Scale!$D:$E,2,FALSE),""))</f>
        <v/>
      </c>
    </row>
    <row r="494">
      <c r="P494">
        <f>IF(OR(B494="SP",B494="RP",B494="CP",B494="SP/RP"),"P","H")</f>
        <v/>
      </c>
      <c r="Q494">
        <f>IF(F494="",0,IFNA(VLOOKUP(F494,Trait_Polarity!$A:$C,2,FALSE),0))+IF(G494="",0,IFNA(VLOOKUP(G494,Trait_Polarity!$A:$C,2,FALSE),0))</f>
        <v/>
      </c>
      <c r="R494">
        <f>IF(F494="",0,IFNA(VLOOKUP(F494,Trait_Polarity!$A:$C,3,FALSE),0))+IF(G494="",0,IFNA(VLOOKUP(G494,Trait_Polarity!$A:$C,3,FALSE),0))</f>
        <v/>
      </c>
      <c r="S494">
        <f>IF(P494="P",(M494+N494+O494)/3,0.3*H494+0.3*I494+0.2*J494+0.1*K494+0.1*L494)</f>
        <v/>
      </c>
      <c r="T494">
        <f>IF(P494="P",IFNA(VLOOKUP(B494,Pitcher_RoleAdj!$A:$B,2,FALSE),0),IFNA(VLOOKUP(B494,Hitter_PrimaryAdj!$A:$B,2,FALSE),0))</f>
        <v/>
      </c>
      <c r="U494">
        <f>IFNA(VLOOKUP(IF(C494="","(none)",C494),SecondaryAdj!$A:$B,2,FALSE),0)</f>
        <v/>
      </c>
      <c r="V494">
        <f>IF(P494="P",0.7780+0.1628*S494+0.2957*Q494-0.1912*R494-0.1512*IF(D494="S",1,0)+0.1600*IF(E494="L",1,0)+0.0091*H494+0.0124*I494+0.0017*J494+T494+U494,-0.8294+0.1849*S494+0.1750*Q494-0.2969*R494+0.6924*IF(D494="S",1,0)+0.0457*IF(E494="L",1,0)+T494+U494)</f>
        <v/>
      </c>
      <c r="W494">
        <f>MAX(0,MIN(16,ROUND(V494,0)))</f>
        <v/>
      </c>
      <c r="X494">
        <f>IFNA(VLOOKUP(W494,Grade_Scale!$A:$B,2,FALSE),"F")</f>
        <v/>
      </c>
      <c r="Z494">
        <f>IF(Y494="","",W494-IFNA(VLOOKUP(Y494,Grade_Scale!$D:$E,2,FALSE),""))</f>
        <v/>
      </c>
    </row>
    <row r="495">
      <c r="P495">
        <f>IF(OR(B495="SP",B495="RP",B495="CP",B495="SP/RP"),"P","H")</f>
        <v/>
      </c>
      <c r="Q495">
        <f>IF(F495="",0,IFNA(VLOOKUP(F495,Trait_Polarity!$A:$C,2,FALSE),0))+IF(G495="",0,IFNA(VLOOKUP(G495,Trait_Polarity!$A:$C,2,FALSE),0))</f>
        <v/>
      </c>
      <c r="R495">
        <f>IF(F495="",0,IFNA(VLOOKUP(F495,Trait_Polarity!$A:$C,3,FALSE),0))+IF(G495="",0,IFNA(VLOOKUP(G495,Trait_Polarity!$A:$C,3,FALSE),0))</f>
        <v/>
      </c>
      <c r="S495">
        <f>IF(P495="P",(M495+N495+O495)/3,0.3*H495+0.3*I495+0.2*J495+0.1*K495+0.1*L495)</f>
        <v/>
      </c>
      <c r="T495">
        <f>IF(P495="P",IFNA(VLOOKUP(B495,Pitcher_RoleAdj!$A:$B,2,FALSE),0),IFNA(VLOOKUP(B495,Hitter_PrimaryAdj!$A:$B,2,FALSE),0))</f>
        <v/>
      </c>
      <c r="U495">
        <f>IFNA(VLOOKUP(IF(C495="","(none)",C495),SecondaryAdj!$A:$B,2,FALSE),0)</f>
        <v/>
      </c>
      <c r="V495">
        <f>IF(P495="P",0.7780+0.1628*S495+0.2957*Q495-0.1912*R495-0.1512*IF(D495="S",1,0)+0.1600*IF(E495="L",1,0)+0.0091*H495+0.0124*I495+0.0017*J495+T495+U495,-0.8294+0.1849*S495+0.1750*Q495-0.2969*R495+0.6924*IF(D495="S",1,0)+0.0457*IF(E495="L",1,0)+T495+U495)</f>
        <v/>
      </c>
      <c r="W495">
        <f>MAX(0,MIN(16,ROUND(V495,0)))</f>
        <v/>
      </c>
      <c r="X495">
        <f>IFNA(VLOOKUP(W495,Grade_Scale!$A:$B,2,FALSE),"F")</f>
        <v/>
      </c>
      <c r="Z495">
        <f>IF(Y495="","",W495-IFNA(VLOOKUP(Y495,Grade_Scale!$D:$E,2,FALSE),""))</f>
        <v/>
      </c>
    </row>
    <row r="496">
      <c r="P496">
        <f>IF(OR(B496="SP",B496="RP",B496="CP",B496="SP/RP"),"P","H")</f>
        <v/>
      </c>
      <c r="Q496">
        <f>IF(F496="",0,IFNA(VLOOKUP(F496,Trait_Polarity!$A:$C,2,FALSE),0))+IF(G496="",0,IFNA(VLOOKUP(G496,Trait_Polarity!$A:$C,2,FALSE),0))</f>
        <v/>
      </c>
      <c r="R496">
        <f>IF(F496="",0,IFNA(VLOOKUP(F496,Trait_Polarity!$A:$C,3,FALSE),0))+IF(G496="",0,IFNA(VLOOKUP(G496,Trait_Polarity!$A:$C,3,FALSE),0))</f>
        <v/>
      </c>
      <c r="S496">
        <f>IF(P496="P",(M496+N496+O496)/3,0.3*H496+0.3*I496+0.2*J496+0.1*K496+0.1*L496)</f>
        <v/>
      </c>
      <c r="T496">
        <f>IF(P496="P",IFNA(VLOOKUP(B496,Pitcher_RoleAdj!$A:$B,2,FALSE),0),IFNA(VLOOKUP(B496,Hitter_PrimaryAdj!$A:$B,2,FALSE),0))</f>
        <v/>
      </c>
      <c r="U496">
        <f>IFNA(VLOOKUP(IF(C496="","(none)",C496),SecondaryAdj!$A:$B,2,FALSE),0)</f>
        <v/>
      </c>
      <c r="V496">
        <f>IF(P496="P",0.7780+0.1628*S496+0.2957*Q496-0.1912*R496-0.1512*IF(D496="S",1,0)+0.1600*IF(E496="L",1,0)+0.0091*H496+0.0124*I496+0.0017*J496+T496+U496,-0.8294+0.1849*S496+0.1750*Q496-0.2969*R496+0.6924*IF(D496="S",1,0)+0.0457*IF(E496="L",1,0)+T496+U496)</f>
        <v/>
      </c>
      <c r="W496">
        <f>MAX(0,MIN(16,ROUND(V496,0)))</f>
        <v/>
      </c>
      <c r="X496">
        <f>IFNA(VLOOKUP(W496,Grade_Scale!$A:$B,2,FALSE),"F")</f>
        <v/>
      </c>
      <c r="Z496">
        <f>IF(Y496="","",W496-IFNA(VLOOKUP(Y496,Grade_Scale!$D:$E,2,FALSE),""))</f>
        <v/>
      </c>
    </row>
    <row r="497">
      <c r="P497">
        <f>IF(OR(B497="SP",B497="RP",B497="CP",B497="SP/RP"),"P","H")</f>
        <v/>
      </c>
      <c r="Q497">
        <f>IF(F497="",0,IFNA(VLOOKUP(F497,Trait_Polarity!$A:$C,2,FALSE),0))+IF(G497="",0,IFNA(VLOOKUP(G497,Trait_Polarity!$A:$C,2,FALSE),0))</f>
        <v/>
      </c>
      <c r="R497">
        <f>IF(F497="",0,IFNA(VLOOKUP(F497,Trait_Polarity!$A:$C,3,FALSE),0))+IF(G497="",0,IFNA(VLOOKUP(G497,Trait_Polarity!$A:$C,3,FALSE),0))</f>
        <v/>
      </c>
      <c r="S497">
        <f>IF(P497="P",(M497+N497+O497)/3,0.3*H497+0.3*I497+0.2*J497+0.1*K497+0.1*L497)</f>
        <v/>
      </c>
      <c r="T497">
        <f>IF(P497="P",IFNA(VLOOKUP(B497,Pitcher_RoleAdj!$A:$B,2,FALSE),0),IFNA(VLOOKUP(B497,Hitter_PrimaryAdj!$A:$B,2,FALSE),0))</f>
        <v/>
      </c>
      <c r="U497">
        <f>IFNA(VLOOKUP(IF(C497="","(none)",C497),SecondaryAdj!$A:$B,2,FALSE),0)</f>
        <v/>
      </c>
      <c r="V497">
        <f>IF(P497="P",0.7780+0.1628*S497+0.2957*Q497-0.1912*R497-0.1512*IF(D497="S",1,0)+0.1600*IF(E497="L",1,0)+0.0091*H497+0.0124*I497+0.0017*J497+T497+U497,-0.8294+0.1849*S497+0.1750*Q497-0.2969*R497+0.6924*IF(D497="S",1,0)+0.0457*IF(E497="L",1,0)+T497+U497)</f>
        <v/>
      </c>
      <c r="W497">
        <f>MAX(0,MIN(16,ROUND(V497,0)))</f>
        <v/>
      </c>
      <c r="X497">
        <f>IFNA(VLOOKUP(W497,Grade_Scale!$A:$B,2,FALSE),"F")</f>
        <v/>
      </c>
      <c r="Z497">
        <f>IF(Y497="","",W497-IFNA(VLOOKUP(Y497,Grade_Scale!$D:$E,2,FALSE),""))</f>
        <v/>
      </c>
    </row>
    <row r="498">
      <c r="P498">
        <f>IF(OR(B498="SP",B498="RP",B498="CP",B498="SP/RP"),"P","H")</f>
        <v/>
      </c>
      <c r="Q498">
        <f>IF(F498="",0,IFNA(VLOOKUP(F498,Trait_Polarity!$A:$C,2,FALSE),0))+IF(G498="",0,IFNA(VLOOKUP(G498,Trait_Polarity!$A:$C,2,FALSE),0))</f>
        <v/>
      </c>
      <c r="R498">
        <f>IF(F498="",0,IFNA(VLOOKUP(F498,Trait_Polarity!$A:$C,3,FALSE),0))+IF(G498="",0,IFNA(VLOOKUP(G498,Trait_Polarity!$A:$C,3,FALSE),0))</f>
        <v/>
      </c>
      <c r="S498">
        <f>IF(P498="P",(M498+N498+O498)/3,0.3*H498+0.3*I498+0.2*J498+0.1*K498+0.1*L498)</f>
        <v/>
      </c>
      <c r="T498">
        <f>IF(P498="P",IFNA(VLOOKUP(B498,Pitcher_RoleAdj!$A:$B,2,FALSE),0),IFNA(VLOOKUP(B498,Hitter_PrimaryAdj!$A:$B,2,FALSE),0))</f>
        <v/>
      </c>
      <c r="U498">
        <f>IFNA(VLOOKUP(IF(C498="","(none)",C498),SecondaryAdj!$A:$B,2,FALSE),0)</f>
        <v/>
      </c>
      <c r="V498">
        <f>IF(P498="P",0.7780+0.1628*S498+0.2957*Q498-0.1912*R498-0.1512*IF(D498="S",1,0)+0.1600*IF(E498="L",1,0)+0.0091*H498+0.0124*I498+0.0017*J498+T498+U498,-0.8294+0.1849*S498+0.1750*Q498-0.2969*R498+0.6924*IF(D498="S",1,0)+0.0457*IF(E498="L",1,0)+T498+U498)</f>
        <v/>
      </c>
      <c r="W498">
        <f>MAX(0,MIN(16,ROUND(V498,0)))</f>
        <v/>
      </c>
      <c r="X498">
        <f>IFNA(VLOOKUP(W498,Grade_Scale!$A:$B,2,FALSE),"F")</f>
        <v/>
      </c>
      <c r="Z498">
        <f>IF(Y498="","",W498-IFNA(VLOOKUP(Y498,Grade_Scale!$D:$E,2,FALSE),""))</f>
        <v/>
      </c>
    </row>
    <row r="499">
      <c r="P499">
        <f>IF(OR(B499="SP",B499="RP",B499="CP",B499="SP/RP"),"P","H")</f>
        <v/>
      </c>
      <c r="Q499">
        <f>IF(F499="",0,IFNA(VLOOKUP(F499,Trait_Polarity!$A:$C,2,FALSE),0))+IF(G499="",0,IFNA(VLOOKUP(G499,Trait_Polarity!$A:$C,2,FALSE),0))</f>
        <v/>
      </c>
      <c r="R499">
        <f>IF(F499="",0,IFNA(VLOOKUP(F499,Trait_Polarity!$A:$C,3,FALSE),0))+IF(G499="",0,IFNA(VLOOKUP(G499,Trait_Polarity!$A:$C,3,FALSE),0))</f>
        <v/>
      </c>
      <c r="S499">
        <f>IF(P499="P",(M499+N499+O499)/3,0.3*H499+0.3*I499+0.2*J499+0.1*K499+0.1*L499)</f>
        <v/>
      </c>
      <c r="T499">
        <f>IF(P499="P",IFNA(VLOOKUP(B499,Pitcher_RoleAdj!$A:$B,2,FALSE),0),IFNA(VLOOKUP(B499,Hitter_PrimaryAdj!$A:$B,2,FALSE),0))</f>
        <v/>
      </c>
      <c r="U499">
        <f>IFNA(VLOOKUP(IF(C499="","(none)",C499),SecondaryAdj!$A:$B,2,FALSE),0)</f>
        <v/>
      </c>
      <c r="V499">
        <f>IF(P499="P",0.7780+0.1628*S499+0.2957*Q499-0.1912*R499-0.1512*IF(D499="S",1,0)+0.1600*IF(E499="L",1,0)+0.0091*H499+0.0124*I499+0.0017*J499+T499+U499,-0.8294+0.1849*S499+0.1750*Q499-0.2969*R499+0.6924*IF(D499="S",1,0)+0.0457*IF(E499="L",1,0)+T499+U499)</f>
        <v/>
      </c>
      <c r="W499">
        <f>MAX(0,MIN(16,ROUND(V499,0)))</f>
        <v/>
      </c>
      <c r="X499">
        <f>IFNA(VLOOKUP(W499,Grade_Scale!$A:$B,2,FALSE),"F")</f>
        <v/>
      </c>
      <c r="Z499">
        <f>IF(Y499="","",W499-IFNA(VLOOKUP(Y499,Grade_Scale!$D:$E,2,FALSE),""))</f>
        <v/>
      </c>
    </row>
    <row r="500">
      <c r="P500">
        <f>IF(OR(B500="SP",B500="RP",B500="CP",B500="SP/RP"),"P","H")</f>
        <v/>
      </c>
      <c r="Q500">
        <f>IF(F500="",0,IFNA(VLOOKUP(F500,Trait_Polarity!$A:$C,2,FALSE),0))+IF(G500="",0,IFNA(VLOOKUP(G500,Trait_Polarity!$A:$C,2,FALSE),0))</f>
        <v/>
      </c>
      <c r="R500">
        <f>IF(F500="",0,IFNA(VLOOKUP(F500,Trait_Polarity!$A:$C,3,FALSE),0))+IF(G500="",0,IFNA(VLOOKUP(G500,Trait_Polarity!$A:$C,3,FALSE),0))</f>
        <v/>
      </c>
      <c r="S500">
        <f>IF(P500="P",(M500+N500+O500)/3,0.3*H500+0.3*I500+0.2*J500+0.1*K500+0.1*L500)</f>
        <v/>
      </c>
      <c r="T500">
        <f>IF(P500="P",IFNA(VLOOKUP(B500,Pitcher_RoleAdj!$A:$B,2,FALSE),0),IFNA(VLOOKUP(B500,Hitter_PrimaryAdj!$A:$B,2,FALSE),0))</f>
        <v/>
      </c>
      <c r="U500">
        <f>IFNA(VLOOKUP(IF(C500="","(none)",C500),SecondaryAdj!$A:$B,2,FALSE),0)</f>
        <v/>
      </c>
      <c r="V500">
        <f>IF(P500="P",0.7780+0.1628*S500+0.2957*Q500-0.1912*R500-0.1512*IF(D500="S",1,0)+0.1600*IF(E500="L",1,0)+0.0091*H500+0.0124*I500+0.0017*J500+T500+U500,-0.8294+0.1849*S500+0.1750*Q500-0.2969*R500+0.6924*IF(D500="S",1,0)+0.0457*IF(E500="L",1,0)+T500+U500)</f>
        <v/>
      </c>
      <c r="W500">
        <f>MAX(0,MIN(16,ROUND(V500,0)))</f>
        <v/>
      </c>
      <c r="X500">
        <f>IFNA(VLOOKUP(W500,Grade_Scale!$A:$B,2,FALSE),"F")</f>
        <v/>
      </c>
      <c r="Z500">
        <f>IF(Y500="","",W500-IFNA(VLOOKUP(Y500,Grade_Scale!$D:$E,2,FALSE),""))</f>
        <v/>
      </c>
    </row>
    <row r="501">
      <c r="P501">
        <f>IF(OR(B501="SP",B501="RP",B501="CP",B501="SP/RP"),"P","H")</f>
        <v/>
      </c>
      <c r="Q501">
        <f>IF(F501="",0,IFNA(VLOOKUP(F501,Trait_Polarity!$A:$C,2,FALSE),0))+IF(G501="",0,IFNA(VLOOKUP(G501,Trait_Polarity!$A:$C,2,FALSE),0))</f>
        <v/>
      </c>
      <c r="R501">
        <f>IF(F501="",0,IFNA(VLOOKUP(F501,Trait_Polarity!$A:$C,3,FALSE),0))+IF(G501="",0,IFNA(VLOOKUP(G501,Trait_Polarity!$A:$C,3,FALSE),0))</f>
        <v/>
      </c>
      <c r="S501">
        <f>IF(P501="P",(M501+N501+O501)/3,0.3*H501+0.3*I501+0.2*J501+0.1*K501+0.1*L501)</f>
        <v/>
      </c>
      <c r="T501">
        <f>IF(P501="P",IFNA(VLOOKUP(B501,Pitcher_RoleAdj!$A:$B,2,FALSE),0),IFNA(VLOOKUP(B501,Hitter_PrimaryAdj!$A:$B,2,FALSE),0))</f>
        <v/>
      </c>
      <c r="U501">
        <f>IFNA(VLOOKUP(IF(C501="","(none)",C501),SecondaryAdj!$A:$B,2,FALSE),0)</f>
        <v/>
      </c>
      <c r="V501">
        <f>IF(P501="P",0.7780+0.1628*S501+0.2957*Q501-0.1912*R501-0.1512*IF(D501="S",1,0)+0.1600*IF(E501="L",1,0)+0.0091*H501+0.0124*I501+0.0017*J501+T501+U501,-0.8294+0.1849*S501+0.1750*Q501-0.2969*R501+0.6924*IF(D501="S",1,0)+0.0457*IF(E501="L",1,0)+T501+U501)</f>
        <v/>
      </c>
      <c r="W501">
        <f>MAX(0,MIN(16,ROUND(V501,0)))</f>
        <v/>
      </c>
      <c r="X501">
        <f>IFNA(VLOOKUP(W501,Grade_Scale!$A:$B,2,FALSE),"F")</f>
        <v/>
      </c>
      <c r="Z501">
        <f>IF(Y501="","",W501-IFNA(VLOOKUP(Y501,Grade_Scale!$D:$E,2,FALSE),""))</f>
        <v/>
      </c>
    </row>
    <row r="502">
      <c r="P502">
        <f>IF(OR(B502="SP",B502="RP",B502="CP",B502="SP/RP"),"P","H")</f>
        <v/>
      </c>
      <c r="Q502">
        <f>IF(F502="",0,IFNA(VLOOKUP(F502,Trait_Polarity!$A:$C,2,FALSE),0))+IF(G502="",0,IFNA(VLOOKUP(G502,Trait_Polarity!$A:$C,2,FALSE),0))</f>
        <v/>
      </c>
      <c r="R502">
        <f>IF(F502="",0,IFNA(VLOOKUP(F502,Trait_Polarity!$A:$C,3,FALSE),0))+IF(G502="",0,IFNA(VLOOKUP(G502,Trait_Polarity!$A:$C,3,FALSE),0))</f>
        <v/>
      </c>
      <c r="S502">
        <f>IF(P502="P",(M502+N502+O502)/3,0.3*H502+0.3*I502+0.2*J502+0.1*K502+0.1*L502)</f>
        <v/>
      </c>
      <c r="T502">
        <f>IF(P502="P",IFNA(VLOOKUP(B502,Pitcher_RoleAdj!$A:$B,2,FALSE),0),IFNA(VLOOKUP(B502,Hitter_PrimaryAdj!$A:$B,2,FALSE),0))</f>
        <v/>
      </c>
      <c r="U502">
        <f>IFNA(VLOOKUP(IF(C502="","(none)",C502),SecondaryAdj!$A:$B,2,FALSE),0)</f>
        <v/>
      </c>
      <c r="V502">
        <f>IF(P502="P",0.7780+0.1628*S502+0.2957*Q502-0.1912*R502-0.1512*IF(D502="S",1,0)+0.1600*IF(E502="L",1,0)+0.0091*H502+0.0124*I502+0.0017*J502+T502+U502,-0.8294+0.1849*S502+0.1750*Q502-0.2969*R502+0.6924*IF(D502="S",1,0)+0.0457*IF(E502="L",1,0)+T502+U502)</f>
        <v/>
      </c>
      <c r="W502">
        <f>MAX(0,MIN(16,ROUND(V502,0)))</f>
        <v/>
      </c>
      <c r="X502">
        <f>IFNA(VLOOKUP(W502,Grade_Scale!$A:$B,2,FALSE),"F")</f>
        <v/>
      </c>
      <c r="Z502">
        <f>IF(Y502="","",W502-IFNA(VLOOKUP(Y502,Grade_Scale!$D:$E,2,FALSE),""))</f>
        <v/>
      </c>
    </row>
    <row r="503">
      <c r="P503">
        <f>IF(OR(B503="SP",B503="RP",B503="CP",B503="SP/RP"),"P","H")</f>
        <v/>
      </c>
      <c r="Q503">
        <f>IF(F503="",0,IFNA(VLOOKUP(F503,Trait_Polarity!$A:$C,2,FALSE),0))+IF(G503="",0,IFNA(VLOOKUP(G503,Trait_Polarity!$A:$C,2,FALSE),0))</f>
        <v/>
      </c>
      <c r="R503">
        <f>IF(F503="",0,IFNA(VLOOKUP(F503,Trait_Polarity!$A:$C,3,FALSE),0))+IF(G503="",0,IFNA(VLOOKUP(G503,Trait_Polarity!$A:$C,3,FALSE),0))</f>
        <v/>
      </c>
      <c r="S503">
        <f>IF(P503="P",(M503+N503+O503)/3,0.3*H503+0.3*I503+0.2*J503+0.1*K503+0.1*L503)</f>
        <v/>
      </c>
      <c r="T503">
        <f>IF(P503="P",IFNA(VLOOKUP(B503,Pitcher_RoleAdj!$A:$B,2,FALSE),0),IFNA(VLOOKUP(B503,Hitter_PrimaryAdj!$A:$B,2,FALSE),0))</f>
        <v/>
      </c>
      <c r="U503">
        <f>IFNA(VLOOKUP(IF(C503="","(none)",C503),SecondaryAdj!$A:$B,2,FALSE),0)</f>
        <v/>
      </c>
      <c r="V503">
        <f>IF(P503="P",0.7780+0.1628*S503+0.2957*Q503-0.1912*R503-0.1512*IF(D503="S",1,0)+0.1600*IF(E503="L",1,0)+0.0091*H503+0.0124*I503+0.0017*J503+T503+U503,-0.8294+0.1849*S503+0.1750*Q503-0.2969*R503+0.6924*IF(D503="S",1,0)+0.0457*IF(E503="L",1,0)+T503+U503)</f>
        <v/>
      </c>
      <c r="W503">
        <f>MAX(0,MIN(16,ROUND(V503,0)))</f>
        <v/>
      </c>
      <c r="X503">
        <f>IFNA(VLOOKUP(W503,Grade_Scale!$A:$B,2,FALSE),"F")</f>
        <v/>
      </c>
      <c r="Z503">
        <f>IF(Y503="","",W503-IFNA(VLOOKUP(Y503,Grade_Scale!$D:$E,2,FALSE),""))</f>
        <v/>
      </c>
    </row>
    <row r="504">
      <c r="P504">
        <f>IF(OR(B504="SP",B504="RP",B504="CP",B504="SP/RP"),"P","H")</f>
        <v/>
      </c>
      <c r="Q504">
        <f>IF(F504="",0,IFNA(VLOOKUP(F504,Trait_Polarity!$A:$C,2,FALSE),0))+IF(G504="",0,IFNA(VLOOKUP(G504,Trait_Polarity!$A:$C,2,FALSE),0))</f>
        <v/>
      </c>
      <c r="R504">
        <f>IF(F504="",0,IFNA(VLOOKUP(F504,Trait_Polarity!$A:$C,3,FALSE),0))+IF(G504="",0,IFNA(VLOOKUP(G504,Trait_Polarity!$A:$C,3,FALSE),0))</f>
        <v/>
      </c>
      <c r="S504">
        <f>IF(P504="P",(M504+N504+O504)/3,0.3*H504+0.3*I504+0.2*J504+0.1*K504+0.1*L504)</f>
        <v/>
      </c>
      <c r="T504">
        <f>IF(P504="P",IFNA(VLOOKUP(B504,Pitcher_RoleAdj!$A:$B,2,FALSE),0),IFNA(VLOOKUP(B504,Hitter_PrimaryAdj!$A:$B,2,FALSE),0))</f>
        <v/>
      </c>
      <c r="U504">
        <f>IFNA(VLOOKUP(IF(C504="","(none)",C504),SecondaryAdj!$A:$B,2,FALSE),0)</f>
        <v/>
      </c>
      <c r="V504">
        <f>IF(P504="P",0.7780+0.1628*S504+0.2957*Q504-0.1912*R504-0.1512*IF(D504="S",1,0)+0.1600*IF(E504="L",1,0)+0.0091*H504+0.0124*I504+0.0017*J504+T504+U504,-0.8294+0.1849*S504+0.1750*Q504-0.2969*R504+0.6924*IF(D504="S",1,0)+0.0457*IF(E504="L",1,0)+T504+U504)</f>
        <v/>
      </c>
      <c r="W504">
        <f>MAX(0,MIN(16,ROUND(V504,0)))</f>
        <v/>
      </c>
      <c r="X504">
        <f>IFNA(VLOOKUP(W504,Grade_Scale!$A:$B,2,FALSE),"F")</f>
        <v/>
      </c>
      <c r="Z504">
        <f>IF(Y504="","",W504-IFNA(VLOOKUP(Y504,Grade_Scale!$D:$E,2,FALSE),""))</f>
        <v/>
      </c>
    </row>
    <row r="505">
      <c r="P505">
        <f>IF(OR(B505="SP",B505="RP",B505="CP",B505="SP/RP"),"P","H")</f>
        <v/>
      </c>
      <c r="Q505">
        <f>IF(F505="",0,IFNA(VLOOKUP(F505,Trait_Polarity!$A:$C,2,FALSE),0))+IF(G505="",0,IFNA(VLOOKUP(G505,Trait_Polarity!$A:$C,2,FALSE),0))</f>
        <v/>
      </c>
      <c r="R505">
        <f>IF(F505="",0,IFNA(VLOOKUP(F505,Trait_Polarity!$A:$C,3,FALSE),0))+IF(G505="",0,IFNA(VLOOKUP(G505,Trait_Polarity!$A:$C,3,FALSE),0))</f>
        <v/>
      </c>
      <c r="S505">
        <f>IF(P505="P",(M505+N505+O505)/3,0.3*H505+0.3*I505+0.2*J505+0.1*K505+0.1*L505)</f>
        <v/>
      </c>
      <c r="T505">
        <f>IF(P505="P",IFNA(VLOOKUP(B505,Pitcher_RoleAdj!$A:$B,2,FALSE),0),IFNA(VLOOKUP(B505,Hitter_PrimaryAdj!$A:$B,2,FALSE),0))</f>
        <v/>
      </c>
      <c r="U505">
        <f>IFNA(VLOOKUP(IF(C505="","(none)",C505),SecondaryAdj!$A:$B,2,FALSE),0)</f>
        <v/>
      </c>
      <c r="V505">
        <f>IF(P505="P",0.7780+0.1628*S505+0.2957*Q505-0.1912*R505-0.1512*IF(D505="S",1,0)+0.1600*IF(E505="L",1,0)+0.0091*H505+0.0124*I505+0.0017*J505+T505+U505,-0.8294+0.1849*S505+0.1750*Q505-0.2969*R505+0.6924*IF(D505="S",1,0)+0.0457*IF(E505="L",1,0)+T505+U505)</f>
        <v/>
      </c>
      <c r="W505">
        <f>MAX(0,MIN(16,ROUND(V505,0)))</f>
        <v/>
      </c>
      <c r="X505">
        <f>IFNA(VLOOKUP(W505,Grade_Scale!$A:$B,2,FALSE),"F")</f>
        <v/>
      </c>
      <c r="Z505">
        <f>IF(Y505="","",W505-IFNA(VLOOKUP(Y505,Grade_Scale!$D:$E,2,FALSE),""))</f>
        <v/>
      </c>
    </row>
    <row r="506">
      <c r="P506">
        <f>IF(OR(B506="SP",B506="RP",B506="CP",B506="SP/RP"),"P","H")</f>
        <v/>
      </c>
      <c r="Q506">
        <f>IF(F506="",0,IFNA(VLOOKUP(F506,Trait_Polarity!$A:$C,2,FALSE),0))+IF(G506="",0,IFNA(VLOOKUP(G506,Trait_Polarity!$A:$C,2,FALSE),0))</f>
        <v/>
      </c>
      <c r="R506">
        <f>IF(F506="",0,IFNA(VLOOKUP(F506,Trait_Polarity!$A:$C,3,FALSE),0))+IF(G506="",0,IFNA(VLOOKUP(G506,Trait_Polarity!$A:$C,3,FALSE),0))</f>
        <v/>
      </c>
      <c r="S506">
        <f>IF(P506="P",(M506+N506+O506)/3,0.3*H506+0.3*I506+0.2*J506+0.1*K506+0.1*L506)</f>
        <v/>
      </c>
      <c r="T506">
        <f>IF(P506="P",IFNA(VLOOKUP(B506,Pitcher_RoleAdj!$A:$B,2,FALSE),0),IFNA(VLOOKUP(B506,Hitter_PrimaryAdj!$A:$B,2,FALSE),0))</f>
        <v/>
      </c>
      <c r="U506">
        <f>IFNA(VLOOKUP(IF(C506="","(none)",C506),SecondaryAdj!$A:$B,2,FALSE),0)</f>
        <v/>
      </c>
      <c r="V506">
        <f>IF(P506="P",0.7780+0.1628*S506+0.2957*Q506-0.1912*R506-0.1512*IF(D506="S",1,0)+0.1600*IF(E506="L",1,0)+0.0091*H506+0.0124*I506+0.0017*J506+T506+U506,-0.8294+0.1849*S506+0.1750*Q506-0.2969*R506+0.6924*IF(D506="S",1,0)+0.0457*IF(E506="L",1,0)+T506+U506)</f>
        <v/>
      </c>
      <c r="W506">
        <f>MAX(0,MIN(16,ROUND(V506,0)))</f>
        <v/>
      </c>
      <c r="X506">
        <f>IFNA(VLOOKUP(W506,Grade_Scale!$A:$B,2,FALSE),"F")</f>
        <v/>
      </c>
      <c r="Z506">
        <f>IF(Y506="","",W506-IFNA(VLOOKUP(Y506,Grade_Scale!$D:$E,2,FALSE),""))</f>
        <v/>
      </c>
    </row>
    <row r="507">
      <c r="P507">
        <f>IF(OR(B507="SP",B507="RP",B507="CP",B507="SP/RP"),"P","H")</f>
        <v/>
      </c>
      <c r="Q507">
        <f>IF(F507="",0,IFNA(VLOOKUP(F507,Trait_Polarity!$A:$C,2,FALSE),0))+IF(G507="",0,IFNA(VLOOKUP(G507,Trait_Polarity!$A:$C,2,FALSE),0))</f>
        <v/>
      </c>
      <c r="R507">
        <f>IF(F507="",0,IFNA(VLOOKUP(F507,Trait_Polarity!$A:$C,3,FALSE),0))+IF(G507="",0,IFNA(VLOOKUP(G507,Trait_Polarity!$A:$C,3,FALSE),0))</f>
        <v/>
      </c>
      <c r="S507">
        <f>IF(P507="P",(M507+N507+O507)/3,0.3*H507+0.3*I507+0.2*J507+0.1*K507+0.1*L507)</f>
        <v/>
      </c>
      <c r="T507">
        <f>IF(P507="P",IFNA(VLOOKUP(B507,Pitcher_RoleAdj!$A:$B,2,FALSE),0),IFNA(VLOOKUP(B507,Hitter_PrimaryAdj!$A:$B,2,FALSE),0))</f>
        <v/>
      </c>
      <c r="U507">
        <f>IFNA(VLOOKUP(IF(C507="","(none)",C507),SecondaryAdj!$A:$B,2,FALSE),0)</f>
        <v/>
      </c>
      <c r="V507">
        <f>IF(P507="P",0.7780+0.1628*S507+0.2957*Q507-0.1912*R507-0.1512*IF(D507="S",1,0)+0.1600*IF(E507="L",1,0)+0.0091*H507+0.0124*I507+0.0017*J507+T507+U507,-0.8294+0.1849*S507+0.1750*Q507-0.2969*R507+0.6924*IF(D507="S",1,0)+0.0457*IF(E507="L",1,0)+T507+U507)</f>
        <v/>
      </c>
      <c r="W507">
        <f>MAX(0,MIN(16,ROUND(V507,0)))</f>
        <v/>
      </c>
      <c r="X507">
        <f>IFNA(VLOOKUP(W507,Grade_Scale!$A:$B,2,FALSE),"F")</f>
        <v/>
      </c>
      <c r="Z507">
        <f>IF(Y507="","",W507-IFNA(VLOOKUP(Y507,Grade_Scale!$D:$E,2,FALSE),""))</f>
        <v/>
      </c>
    </row>
    <row r="508">
      <c r="P508">
        <f>IF(OR(B508="SP",B508="RP",B508="CP",B508="SP/RP"),"P","H")</f>
        <v/>
      </c>
      <c r="Q508">
        <f>IF(F508="",0,IFNA(VLOOKUP(F508,Trait_Polarity!$A:$C,2,FALSE),0))+IF(G508="",0,IFNA(VLOOKUP(G508,Trait_Polarity!$A:$C,2,FALSE),0))</f>
        <v/>
      </c>
      <c r="R508">
        <f>IF(F508="",0,IFNA(VLOOKUP(F508,Trait_Polarity!$A:$C,3,FALSE),0))+IF(G508="",0,IFNA(VLOOKUP(G508,Trait_Polarity!$A:$C,3,FALSE),0))</f>
        <v/>
      </c>
      <c r="S508">
        <f>IF(P508="P",(M508+N508+O508)/3,0.3*H508+0.3*I508+0.2*J508+0.1*K508+0.1*L508)</f>
        <v/>
      </c>
      <c r="T508">
        <f>IF(P508="P",IFNA(VLOOKUP(B508,Pitcher_RoleAdj!$A:$B,2,FALSE),0),IFNA(VLOOKUP(B508,Hitter_PrimaryAdj!$A:$B,2,FALSE),0))</f>
        <v/>
      </c>
      <c r="U508">
        <f>IFNA(VLOOKUP(IF(C508="","(none)",C508),SecondaryAdj!$A:$B,2,FALSE),0)</f>
        <v/>
      </c>
      <c r="V508">
        <f>IF(P508="P",0.7780+0.1628*S508+0.2957*Q508-0.1912*R508-0.1512*IF(D508="S",1,0)+0.1600*IF(E508="L",1,0)+0.0091*H508+0.0124*I508+0.0017*J508+T508+U508,-0.8294+0.1849*S508+0.1750*Q508-0.2969*R508+0.6924*IF(D508="S",1,0)+0.0457*IF(E508="L",1,0)+T508+U508)</f>
        <v/>
      </c>
      <c r="W508">
        <f>MAX(0,MIN(16,ROUND(V508,0)))</f>
        <v/>
      </c>
      <c r="X508">
        <f>IFNA(VLOOKUP(W508,Grade_Scale!$A:$B,2,FALSE),"F")</f>
        <v/>
      </c>
      <c r="Z508">
        <f>IF(Y508="","",W508-IFNA(VLOOKUP(Y508,Grade_Scale!$D:$E,2,FALSE),""))</f>
        <v/>
      </c>
    </row>
    <row r="509">
      <c r="P509">
        <f>IF(OR(B509="SP",B509="RP",B509="CP",B509="SP/RP"),"P","H")</f>
        <v/>
      </c>
      <c r="Q509">
        <f>IF(F509="",0,IFNA(VLOOKUP(F509,Trait_Polarity!$A:$C,2,FALSE),0))+IF(G509="",0,IFNA(VLOOKUP(G509,Trait_Polarity!$A:$C,2,FALSE),0))</f>
        <v/>
      </c>
      <c r="R509">
        <f>IF(F509="",0,IFNA(VLOOKUP(F509,Trait_Polarity!$A:$C,3,FALSE),0))+IF(G509="",0,IFNA(VLOOKUP(G509,Trait_Polarity!$A:$C,3,FALSE),0))</f>
        <v/>
      </c>
      <c r="S509">
        <f>IF(P509="P",(M509+N509+O509)/3,0.3*H509+0.3*I509+0.2*J509+0.1*K509+0.1*L509)</f>
        <v/>
      </c>
      <c r="T509">
        <f>IF(P509="P",IFNA(VLOOKUP(B509,Pitcher_RoleAdj!$A:$B,2,FALSE),0),IFNA(VLOOKUP(B509,Hitter_PrimaryAdj!$A:$B,2,FALSE),0))</f>
        <v/>
      </c>
      <c r="U509">
        <f>IFNA(VLOOKUP(IF(C509="","(none)",C509),SecondaryAdj!$A:$B,2,FALSE),0)</f>
        <v/>
      </c>
      <c r="V509">
        <f>IF(P509="P",0.7780+0.1628*S509+0.2957*Q509-0.1912*R509-0.1512*IF(D509="S",1,0)+0.1600*IF(E509="L",1,0)+0.0091*H509+0.0124*I509+0.0017*J509+T509+U509,-0.8294+0.1849*S509+0.1750*Q509-0.2969*R509+0.6924*IF(D509="S",1,0)+0.0457*IF(E509="L",1,0)+T509+U509)</f>
        <v/>
      </c>
      <c r="W509">
        <f>MAX(0,MIN(16,ROUND(V509,0)))</f>
        <v/>
      </c>
      <c r="X509">
        <f>IFNA(VLOOKUP(W509,Grade_Scale!$A:$B,2,FALSE),"F")</f>
        <v/>
      </c>
      <c r="Z509">
        <f>IF(Y509="","",W509-IFNA(VLOOKUP(Y509,Grade_Scale!$D:$E,2,FALSE),""))</f>
        <v/>
      </c>
    </row>
    <row r="510">
      <c r="P510">
        <f>IF(OR(B510="SP",B510="RP",B510="CP",B510="SP/RP"),"P","H")</f>
        <v/>
      </c>
      <c r="Q510">
        <f>IF(F510="",0,IFNA(VLOOKUP(F510,Trait_Polarity!$A:$C,2,FALSE),0))+IF(G510="",0,IFNA(VLOOKUP(G510,Trait_Polarity!$A:$C,2,FALSE),0))</f>
        <v/>
      </c>
      <c r="R510">
        <f>IF(F510="",0,IFNA(VLOOKUP(F510,Trait_Polarity!$A:$C,3,FALSE),0))+IF(G510="",0,IFNA(VLOOKUP(G510,Trait_Polarity!$A:$C,3,FALSE),0))</f>
        <v/>
      </c>
      <c r="S510">
        <f>IF(P510="P",(M510+N510+O510)/3,0.3*H510+0.3*I510+0.2*J510+0.1*K510+0.1*L510)</f>
        <v/>
      </c>
      <c r="T510">
        <f>IF(P510="P",IFNA(VLOOKUP(B510,Pitcher_RoleAdj!$A:$B,2,FALSE),0),IFNA(VLOOKUP(B510,Hitter_PrimaryAdj!$A:$B,2,FALSE),0))</f>
        <v/>
      </c>
      <c r="U510">
        <f>IFNA(VLOOKUP(IF(C510="","(none)",C510),SecondaryAdj!$A:$B,2,FALSE),0)</f>
        <v/>
      </c>
      <c r="V510">
        <f>IF(P510="P",0.7780+0.1628*S510+0.2957*Q510-0.1912*R510-0.1512*IF(D510="S",1,0)+0.1600*IF(E510="L",1,0)+0.0091*H510+0.0124*I510+0.0017*J510+T510+U510,-0.8294+0.1849*S510+0.1750*Q510-0.2969*R510+0.6924*IF(D510="S",1,0)+0.0457*IF(E510="L",1,0)+T510+U510)</f>
        <v/>
      </c>
      <c r="W510">
        <f>MAX(0,MIN(16,ROUND(V510,0)))</f>
        <v/>
      </c>
      <c r="X510">
        <f>IFNA(VLOOKUP(W510,Grade_Scale!$A:$B,2,FALSE),"F")</f>
        <v/>
      </c>
      <c r="Z510">
        <f>IF(Y510="","",W510-IFNA(VLOOKUP(Y510,Grade_Scale!$D:$E,2,FALSE),""))</f>
        <v/>
      </c>
    </row>
    <row r="511">
      <c r="P511">
        <f>IF(OR(B511="SP",B511="RP",B511="CP",B511="SP/RP"),"P","H")</f>
        <v/>
      </c>
      <c r="Q511">
        <f>IF(F511="",0,IFNA(VLOOKUP(F511,Trait_Polarity!$A:$C,2,FALSE),0))+IF(G511="",0,IFNA(VLOOKUP(G511,Trait_Polarity!$A:$C,2,FALSE),0))</f>
        <v/>
      </c>
      <c r="R511">
        <f>IF(F511="",0,IFNA(VLOOKUP(F511,Trait_Polarity!$A:$C,3,FALSE),0))+IF(G511="",0,IFNA(VLOOKUP(G511,Trait_Polarity!$A:$C,3,FALSE),0))</f>
        <v/>
      </c>
      <c r="S511">
        <f>IF(P511="P",(M511+N511+O511)/3,0.3*H511+0.3*I511+0.2*J511+0.1*K511+0.1*L511)</f>
        <v/>
      </c>
      <c r="T511">
        <f>IF(P511="P",IFNA(VLOOKUP(B511,Pitcher_RoleAdj!$A:$B,2,FALSE),0),IFNA(VLOOKUP(B511,Hitter_PrimaryAdj!$A:$B,2,FALSE),0))</f>
        <v/>
      </c>
      <c r="U511">
        <f>IFNA(VLOOKUP(IF(C511="","(none)",C511),SecondaryAdj!$A:$B,2,FALSE),0)</f>
        <v/>
      </c>
      <c r="V511">
        <f>IF(P511="P",0.7780+0.1628*S511+0.2957*Q511-0.1912*R511-0.1512*IF(D511="S",1,0)+0.1600*IF(E511="L",1,0)+0.0091*H511+0.0124*I511+0.0017*J511+T511+U511,-0.8294+0.1849*S511+0.1750*Q511-0.2969*R511+0.6924*IF(D511="S",1,0)+0.0457*IF(E511="L",1,0)+T511+U511)</f>
        <v/>
      </c>
      <c r="W511">
        <f>MAX(0,MIN(16,ROUND(V511,0)))</f>
        <v/>
      </c>
      <c r="X511">
        <f>IFNA(VLOOKUP(W511,Grade_Scale!$A:$B,2,FALSE),"F")</f>
        <v/>
      </c>
      <c r="Z511">
        <f>IF(Y511="","",W511-IFNA(VLOOKUP(Y511,Grade_Scale!$D:$E,2,FALSE),""))</f>
        <v/>
      </c>
    </row>
    <row r="512">
      <c r="P512">
        <f>IF(OR(B512="SP",B512="RP",B512="CP",B512="SP/RP"),"P","H")</f>
        <v/>
      </c>
      <c r="Q512">
        <f>IF(F512="",0,IFNA(VLOOKUP(F512,Trait_Polarity!$A:$C,2,FALSE),0))+IF(G512="",0,IFNA(VLOOKUP(G512,Trait_Polarity!$A:$C,2,FALSE),0))</f>
        <v/>
      </c>
      <c r="R512">
        <f>IF(F512="",0,IFNA(VLOOKUP(F512,Trait_Polarity!$A:$C,3,FALSE),0))+IF(G512="",0,IFNA(VLOOKUP(G512,Trait_Polarity!$A:$C,3,FALSE),0))</f>
        <v/>
      </c>
      <c r="S512">
        <f>IF(P512="P",(M512+N512+O512)/3,0.3*H512+0.3*I512+0.2*J512+0.1*K512+0.1*L512)</f>
        <v/>
      </c>
      <c r="T512">
        <f>IF(P512="P",IFNA(VLOOKUP(B512,Pitcher_RoleAdj!$A:$B,2,FALSE),0),IFNA(VLOOKUP(B512,Hitter_PrimaryAdj!$A:$B,2,FALSE),0))</f>
        <v/>
      </c>
      <c r="U512">
        <f>IFNA(VLOOKUP(IF(C512="","(none)",C512),SecondaryAdj!$A:$B,2,FALSE),0)</f>
        <v/>
      </c>
      <c r="V512">
        <f>IF(P512="P",0.7780+0.1628*S512+0.2957*Q512-0.1912*R512-0.1512*IF(D512="S",1,0)+0.1600*IF(E512="L",1,0)+0.0091*H512+0.0124*I512+0.0017*J512+T512+U512,-0.8294+0.1849*S512+0.1750*Q512-0.2969*R512+0.6924*IF(D512="S",1,0)+0.0457*IF(E512="L",1,0)+T512+U512)</f>
        <v/>
      </c>
      <c r="W512">
        <f>MAX(0,MIN(16,ROUND(V512,0)))</f>
        <v/>
      </c>
      <c r="X512">
        <f>IFNA(VLOOKUP(W512,Grade_Scale!$A:$B,2,FALSE),"F")</f>
        <v/>
      </c>
      <c r="Z512">
        <f>IF(Y512="","",W512-IFNA(VLOOKUP(Y512,Grade_Scale!$D:$E,2,FALSE),""))</f>
        <v/>
      </c>
    </row>
    <row r="513">
      <c r="P513">
        <f>IF(OR(B513="SP",B513="RP",B513="CP",B513="SP/RP"),"P","H")</f>
        <v/>
      </c>
      <c r="Q513">
        <f>IF(F513="",0,IFNA(VLOOKUP(F513,Trait_Polarity!$A:$C,2,FALSE),0))+IF(G513="",0,IFNA(VLOOKUP(G513,Trait_Polarity!$A:$C,2,FALSE),0))</f>
        <v/>
      </c>
      <c r="R513">
        <f>IF(F513="",0,IFNA(VLOOKUP(F513,Trait_Polarity!$A:$C,3,FALSE),0))+IF(G513="",0,IFNA(VLOOKUP(G513,Trait_Polarity!$A:$C,3,FALSE),0))</f>
        <v/>
      </c>
      <c r="S513">
        <f>IF(P513="P",(M513+N513+O513)/3,0.3*H513+0.3*I513+0.2*J513+0.1*K513+0.1*L513)</f>
        <v/>
      </c>
      <c r="T513">
        <f>IF(P513="P",IFNA(VLOOKUP(B513,Pitcher_RoleAdj!$A:$B,2,FALSE),0),IFNA(VLOOKUP(B513,Hitter_PrimaryAdj!$A:$B,2,FALSE),0))</f>
        <v/>
      </c>
      <c r="U513">
        <f>IFNA(VLOOKUP(IF(C513="","(none)",C513),SecondaryAdj!$A:$B,2,FALSE),0)</f>
        <v/>
      </c>
      <c r="V513">
        <f>IF(P513="P",0.7780+0.1628*S513+0.2957*Q513-0.1912*R513-0.1512*IF(D513="S",1,0)+0.1600*IF(E513="L",1,0)+0.0091*H513+0.0124*I513+0.0017*J513+T513+U513,-0.8294+0.1849*S513+0.1750*Q513-0.2969*R513+0.6924*IF(D513="S",1,0)+0.0457*IF(E513="L",1,0)+T513+U513)</f>
        <v/>
      </c>
      <c r="W513">
        <f>MAX(0,MIN(16,ROUND(V513,0)))</f>
        <v/>
      </c>
      <c r="X513">
        <f>IFNA(VLOOKUP(W513,Grade_Scale!$A:$B,2,FALSE),"F")</f>
        <v/>
      </c>
      <c r="Z513">
        <f>IF(Y513="","",W513-IFNA(VLOOKUP(Y513,Grade_Scale!$D:$E,2,FALSE),""))</f>
        <v/>
      </c>
    </row>
    <row r="514">
      <c r="P514">
        <f>IF(OR(B514="SP",B514="RP",B514="CP",B514="SP/RP"),"P","H")</f>
        <v/>
      </c>
      <c r="Q514">
        <f>IF(F514="",0,IFNA(VLOOKUP(F514,Trait_Polarity!$A:$C,2,FALSE),0))+IF(G514="",0,IFNA(VLOOKUP(G514,Trait_Polarity!$A:$C,2,FALSE),0))</f>
        <v/>
      </c>
      <c r="R514">
        <f>IF(F514="",0,IFNA(VLOOKUP(F514,Trait_Polarity!$A:$C,3,FALSE),0))+IF(G514="",0,IFNA(VLOOKUP(G514,Trait_Polarity!$A:$C,3,FALSE),0))</f>
        <v/>
      </c>
      <c r="S514">
        <f>IF(P514="P",(M514+N514+O514)/3,0.3*H514+0.3*I514+0.2*J514+0.1*K514+0.1*L514)</f>
        <v/>
      </c>
      <c r="T514">
        <f>IF(P514="P",IFNA(VLOOKUP(B514,Pitcher_RoleAdj!$A:$B,2,FALSE),0),IFNA(VLOOKUP(B514,Hitter_PrimaryAdj!$A:$B,2,FALSE),0))</f>
        <v/>
      </c>
      <c r="U514">
        <f>IFNA(VLOOKUP(IF(C514="","(none)",C514),SecondaryAdj!$A:$B,2,FALSE),0)</f>
        <v/>
      </c>
      <c r="V514">
        <f>IF(P514="P",0.7780+0.1628*S514+0.2957*Q514-0.1912*R514-0.1512*IF(D514="S",1,0)+0.1600*IF(E514="L",1,0)+0.0091*H514+0.0124*I514+0.0017*J514+T514+U514,-0.8294+0.1849*S514+0.1750*Q514-0.2969*R514+0.6924*IF(D514="S",1,0)+0.0457*IF(E514="L",1,0)+T514+U514)</f>
        <v/>
      </c>
      <c r="W514">
        <f>MAX(0,MIN(16,ROUND(V514,0)))</f>
        <v/>
      </c>
      <c r="X514">
        <f>IFNA(VLOOKUP(W514,Grade_Scale!$A:$B,2,FALSE),"F")</f>
        <v/>
      </c>
      <c r="Z514">
        <f>IF(Y514="","",W514-IFNA(VLOOKUP(Y514,Grade_Scale!$D:$E,2,FALSE),""))</f>
        <v/>
      </c>
    </row>
    <row r="515">
      <c r="P515">
        <f>IF(OR(B515="SP",B515="RP",B515="CP",B515="SP/RP"),"P","H")</f>
        <v/>
      </c>
      <c r="Q515">
        <f>IF(F515="",0,IFNA(VLOOKUP(F515,Trait_Polarity!$A:$C,2,FALSE),0))+IF(G515="",0,IFNA(VLOOKUP(G515,Trait_Polarity!$A:$C,2,FALSE),0))</f>
        <v/>
      </c>
      <c r="R515">
        <f>IF(F515="",0,IFNA(VLOOKUP(F515,Trait_Polarity!$A:$C,3,FALSE),0))+IF(G515="",0,IFNA(VLOOKUP(G515,Trait_Polarity!$A:$C,3,FALSE),0))</f>
        <v/>
      </c>
      <c r="S515">
        <f>IF(P515="P",(M515+N515+O515)/3,0.3*H515+0.3*I515+0.2*J515+0.1*K515+0.1*L515)</f>
        <v/>
      </c>
      <c r="T515">
        <f>IF(P515="P",IFNA(VLOOKUP(B515,Pitcher_RoleAdj!$A:$B,2,FALSE),0),IFNA(VLOOKUP(B515,Hitter_PrimaryAdj!$A:$B,2,FALSE),0))</f>
        <v/>
      </c>
      <c r="U515">
        <f>IFNA(VLOOKUP(IF(C515="","(none)",C515),SecondaryAdj!$A:$B,2,FALSE),0)</f>
        <v/>
      </c>
      <c r="V515">
        <f>IF(P515="P",0.7780+0.1628*S515+0.2957*Q515-0.1912*R515-0.1512*IF(D515="S",1,0)+0.1600*IF(E515="L",1,0)+0.0091*H515+0.0124*I515+0.0017*J515+T515+U515,-0.8294+0.1849*S515+0.1750*Q515-0.2969*R515+0.6924*IF(D515="S",1,0)+0.0457*IF(E515="L",1,0)+T515+U515)</f>
        <v/>
      </c>
      <c r="W515">
        <f>MAX(0,MIN(16,ROUND(V515,0)))</f>
        <v/>
      </c>
      <c r="X515">
        <f>IFNA(VLOOKUP(W515,Grade_Scale!$A:$B,2,FALSE),"F")</f>
        <v/>
      </c>
      <c r="Z515">
        <f>IF(Y515="","",W515-IFNA(VLOOKUP(Y515,Grade_Scale!$D:$E,2,FALSE),""))</f>
        <v/>
      </c>
    </row>
    <row r="516">
      <c r="P516">
        <f>IF(OR(B516="SP",B516="RP",B516="CP",B516="SP/RP"),"P","H")</f>
        <v/>
      </c>
      <c r="Q516">
        <f>IF(F516="",0,IFNA(VLOOKUP(F516,Trait_Polarity!$A:$C,2,FALSE),0))+IF(G516="",0,IFNA(VLOOKUP(G516,Trait_Polarity!$A:$C,2,FALSE),0))</f>
        <v/>
      </c>
      <c r="R516">
        <f>IF(F516="",0,IFNA(VLOOKUP(F516,Trait_Polarity!$A:$C,3,FALSE),0))+IF(G516="",0,IFNA(VLOOKUP(G516,Trait_Polarity!$A:$C,3,FALSE),0))</f>
        <v/>
      </c>
      <c r="S516">
        <f>IF(P516="P",(M516+N516+O516)/3,0.3*H516+0.3*I516+0.2*J516+0.1*K516+0.1*L516)</f>
        <v/>
      </c>
      <c r="T516">
        <f>IF(P516="P",IFNA(VLOOKUP(B516,Pitcher_RoleAdj!$A:$B,2,FALSE),0),IFNA(VLOOKUP(B516,Hitter_PrimaryAdj!$A:$B,2,FALSE),0))</f>
        <v/>
      </c>
      <c r="U516">
        <f>IFNA(VLOOKUP(IF(C516="","(none)",C516),SecondaryAdj!$A:$B,2,FALSE),0)</f>
        <v/>
      </c>
      <c r="V516">
        <f>IF(P516="P",0.7780+0.1628*S516+0.2957*Q516-0.1912*R516-0.1512*IF(D516="S",1,0)+0.1600*IF(E516="L",1,0)+0.0091*H516+0.0124*I516+0.0017*J516+T516+U516,-0.8294+0.1849*S516+0.1750*Q516-0.2969*R516+0.6924*IF(D516="S",1,0)+0.0457*IF(E516="L",1,0)+T516+U516)</f>
        <v/>
      </c>
      <c r="W516">
        <f>MAX(0,MIN(16,ROUND(V516,0)))</f>
        <v/>
      </c>
      <c r="X516">
        <f>IFNA(VLOOKUP(W516,Grade_Scale!$A:$B,2,FALSE),"F")</f>
        <v/>
      </c>
      <c r="Z516">
        <f>IF(Y516="","",W516-IFNA(VLOOKUP(Y516,Grade_Scale!$D:$E,2,FALSE),""))</f>
        <v/>
      </c>
    </row>
    <row r="517">
      <c r="P517">
        <f>IF(OR(B517="SP",B517="RP",B517="CP",B517="SP/RP"),"P","H")</f>
        <v/>
      </c>
      <c r="Q517">
        <f>IF(F517="",0,IFNA(VLOOKUP(F517,Trait_Polarity!$A:$C,2,FALSE),0))+IF(G517="",0,IFNA(VLOOKUP(G517,Trait_Polarity!$A:$C,2,FALSE),0))</f>
        <v/>
      </c>
      <c r="R517">
        <f>IF(F517="",0,IFNA(VLOOKUP(F517,Trait_Polarity!$A:$C,3,FALSE),0))+IF(G517="",0,IFNA(VLOOKUP(G517,Trait_Polarity!$A:$C,3,FALSE),0))</f>
        <v/>
      </c>
      <c r="S517">
        <f>IF(P517="P",(M517+N517+O517)/3,0.3*H517+0.3*I517+0.2*J517+0.1*K517+0.1*L517)</f>
        <v/>
      </c>
      <c r="T517">
        <f>IF(P517="P",IFNA(VLOOKUP(B517,Pitcher_RoleAdj!$A:$B,2,FALSE),0),IFNA(VLOOKUP(B517,Hitter_PrimaryAdj!$A:$B,2,FALSE),0))</f>
        <v/>
      </c>
      <c r="U517">
        <f>IFNA(VLOOKUP(IF(C517="","(none)",C517),SecondaryAdj!$A:$B,2,FALSE),0)</f>
        <v/>
      </c>
      <c r="V517">
        <f>IF(P517="P",0.7780+0.1628*S517+0.2957*Q517-0.1912*R517-0.1512*IF(D517="S",1,0)+0.1600*IF(E517="L",1,0)+0.0091*H517+0.0124*I517+0.0017*J517+T517+U517,-0.8294+0.1849*S517+0.1750*Q517-0.2969*R517+0.6924*IF(D517="S",1,0)+0.0457*IF(E517="L",1,0)+T517+U517)</f>
        <v/>
      </c>
      <c r="W517">
        <f>MAX(0,MIN(16,ROUND(V517,0)))</f>
        <v/>
      </c>
      <c r="X517">
        <f>IFNA(VLOOKUP(W517,Grade_Scale!$A:$B,2,FALSE),"F")</f>
        <v/>
      </c>
      <c r="Z517">
        <f>IF(Y517="","",W517-IFNA(VLOOKUP(Y517,Grade_Scale!$D:$E,2,FALSE),""))</f>
        <v/>
      </c>
    </row>
    <row r="518">
      <c r="P518">
        <f>IF(OR(B518="SP",B518="RP",B518="CP",B518="SP/RP"),"P","H")</f>
        <v/>
      </c>
      <c r="Q518">
        <f>IF(F518="",0,IFNA(VLOOKUP(F518,Trait_Polarity!$A:$C,2,FALSE),0))+IF(G518="",0,IFNA(VLOOKUP(G518,Trait_Polarity!$A:$C,2,FALSE),0))</f>
        <v/>
      </c>
      <c r="R518">
        <f>IF(F518="",0,IFNA(VLOOKUP(F518,Trait_Polarity!$A:$C,3,FALSE),0))+IF(G518="",0,IFNA(VLOOKUP(G518,Trait_Polarity!$A:$C,3,FALSE),0))</f>
        <v/>
      </c>
      <c r="S518">
        <f>IF(P518="P",(M518+N518+O518)/3,0.3*H518+0.3*I518+0.2*J518+0.1*K518+0.1*L518)</f>
        <v/>
      </c>
      <c r="T518">
        <f>IF(P518="P",IFNA(VLOOKUP(B518,Pitcher_RoleAdj!$A:$B,2,FALSE),0),IFNA(VLOOKUP(B518,Hitter_PrimaryAdj!$A:$B,2,FALSE),0))</f>
        <v/>
      </c>
      <c r="U518">
        <f>IFNA(VLOOKUP(IF(C518="","(none)",C518),SecondaryAdj!$A:$B,2,FALSE),0)</f>
        <v/>
      </c>
      <c r="V518">
        <f>IF(P518="P",0.7780+0.1628*S518+0.2957*Q518-0.1912*R518-0.1512*IF(D518="S",1,0)+0.1600*IF(E518="L",1,0)+0.0091*H518+0.0124*I518+0.0017*J518+T518+U518,-0.8294+0.1849*S518+0.1750*Q518-0.2969*R518+0.6924*IF(D518="S",1,0)+0.0457*IF(E518="L",1,0)+T518+U518)</f>
        <v/>
      </c>
      <c r="W518">
        <f>MAX(0,MIN(16,ROUND(V518,0)))</f>
        <v/>
      </c>
      <c r="X518">
        <f>IFNA(VLOOKUP(W518,Grade_Scale!$A:$B,2,FALSE),"F")</f>
        <v/>
      </c>
      <c r="Z518">
        <f>IF(Y518="","",W518-IFNA(VLOOKUP(Y518,Grade_Scale!$D:$E,2,FALSE),""))</f>
        <v/>
      </c>
    </row>
    <row r="519">
      <c r="P519">
        <f>IF(OR(B519="SP",B519="RP",B519="CP",B519="SP/RP"),"P","H")</f>
        <v/>
      </c>
      <c r="Q519">
        <f>IF(F519="",0,IFNA(VLOOKUP(F519,Trait_Polarity!$A:$C,2,FALSE),0))+IF(G519="",0,IFNA(VLOOKUP(G519,Trait_Polarity!$A:$C,2,FALSE),0))</f>
        <v/>
      </c>
      <c r="R519">
        <f>IF(F519="",0,IFNA(VLOOKUP(F519,Trait_Polarity!$A:$C,3,FALSE),0))+IF(G519="",0,IFNA(VLOOKUP(G519,Trait_Polarity!$A:$C,3,FALSE),0))</f>
        <v/>
      </c>
      <c r="S519">
        <f>IF(P519="P",(M519+N519+O519)/3,0.3*H519+0.3*I519+0.2*J519+0.1*K519+0.1*L519)</f>
        <v/>
      </c>
      <c r="T519">
        <f>IF(P519="P",IFNA(VLOOKUP(B519,Pitcher_RoleAdj!$A:$B,2,FALSE),0),IFNA(VLOOKUP(B519,Hitter_PrimaryAdj!$A:$B,2,FALSE),0))</f>
        <v/>
      </c>
      <c r="U519">
        <f>IFNA(VLOOKUP(IF(C519="","(none)",C519),SecondaryAdj!$A:$B,2,FALSE),0)</f>
        <v/>
      </c>
      <c r="V519">
        <f>IF(P519="P",0.7780+0.1628*S519+0.2957*Q519-0.1912*R519-0.1512*IF(D519="S",1,0)+0.1600*IF(E519="L",1,0)+0.0091*H519+0.0124*I519+0.0017*J519+T519+U519,-0.8294+0.1849*S519+0.1750*Q519-0.2969*R519+0.6924*IF(D519="S",1,0)+0.0457*IF(E519="L",1,0)+T519+U519)</f>
        <v/>
      </c>
      <c r="W519">
        <f>MAX(0,MIN(16,ROUND(V519,0)))</f>
        <v/>
      </c>
      <c r="X519">
        <f>IFNA(VLOOKUP(W519,Grade_Scale!$A:$B,2,FALSE),"F")</f>
        <v/>
      </c>
      <c r="Z519">
        <f>IF(Y519="","",W519-IFNA(VLOOKUP(Y519,Grade_Scale!$D:$E,2,FALSE),""))</f>
        <v/>
      </c>
    </row>
    <row r="520">
      <c r="P520">
        <f>IF(OR(B520="SP",B520="RP",B520="CP",B520="SP/RP"),"P","H")</f>
        <v/>
      </c>
      <c r="Q520">
        <f>IF(F520="",0,IFNA(VLOOKUP(F520,Trait_Polarity!$A:$C,2,FALSE),0))+IF(G520="",0,IFNA(VLOOKUP(G520,Trait_Polarity!$A:$C,2,FALSE),0))</f>
        <v/>
      </c>
      <c r="R520">
        <f>IF(F520="",0,IFNA(VLOOKUP(F520,Trait_Polarity!$A:$C,3,FALSE),0))+IF(G520="",0,IFNA(VLOOKUP(G520,Trait_Polarity!$A:$C,3,FALSE),0))</f>
        <v/>
      </c>
      <c r="S520">
        <f>IF(P520="P",(M520+N520+O520)/3,0.3*H520+0.3*I520+0.2*J520+0.1*K520+0.1*L520)</f>
        <v/>
      </c>
      <c r="T520">
        <f>IF(P520="P",IFNA(VLOOKUP(B520,Pitcher_RoleAdj!$A:$B,2,FALSE),0),IFNA(VLOOKUP(B520,Hitter_PrimaryAdj!$A:$B,2,FALSE),0))</f>
        <v/>
      </c>
      <c r="U520">
        <f>IFNA(VLOOKUP(IF(C520="","(none)",C520),SecondaryAdj!$A:$B,2,FALSE),0)</f>
        <v/>
      </c>
      <c r="V520">
        <f>IF(P520="P",0.7780+0.1628*S520+0.2957*Q520-0.1912*R520-0.1512*IF(D520="S",1,0)+0.1600*IF(E520="L",1,0)+0.0091*H520+0.0124*I520+0.0017*J520+T520+U520,-0.8294+0.1849*S520+0.1750*Q520-0.2969*R520+0.6924*IF(D520="S",1,0)+0.0457*IF(E520="L",1,0)+T520+U520)</f>
        <v/>
      </c>
      <c r="W520">
        <f>MAX(0,MIN(16,ROUND(V520,0)))</f>
        <v/>
      </c>
      <c r="X520">
        <f>IFNA(VLOOKUP(W520,Grade_Scale!$A:$B,2,FALSE),"F")</f>
        <v/>
      </c>
      <c r="Z520">
        <f>IF(Y520="","",W520-IFNA(VLOOKUP(Y520,Grade_Scale!$D:$E,2,FALSE),""))</f>
        <v/>
      </c>
    </row>
    <row r="521">
      <c r="P521">
        <f>IF(OR(B521="SP",B521="RP",B521="CP",B521="SP/RP"),"P","H")</f>
        <v/>
      </c>
      <c r="Q521">
        <f>IF(F521="",0,IFNA(VLOOKUP(F521,Trait_Polarity!$A:$C,2,FALSE),0))+IF(G521="",0,IFNA(VLOOKUP(G521,Trait_Polarity!$A:$C,2,FALSE),0))</f>
        <v/>
      </c>
      <c r="R521">
        <f>IF(F521="",0,IFNA(VLOOKUP(F521,Trait_Polarity!$A:$C,3,FALSE),0))+IF(G521="",0,IFNA(VLOOKUP(G521,Trait_Polarity!$A:$C,3,FALSE),0))</f>
        <v/>
      </c>
      <c r="S521">
        <f>IF(P521="P",(M521+N521+O521)/3,0.3*H521+0.3*I521+0.2*J521+0.1*K521+0.1*L521)</f>
        <v/>
      </c>
      <c r="T521">
        <f>IF(P521="P",IFNA(VLOOKUP(B521,Pitcher_RoleAdj!$A:$B,2,FALSE),0),IFNA(VLOOKUP(B521,Hitter_PrimaryAdj!$A:$B,2,FALSE),0))</f>
        <v/>
      </c>
      <c r="U521">
        <f>IFNA(VLOOKUP(IF(C521="","(none)",C521),SecondaryAdj!$A:$B,2,FALSE),0)</f>
        <v/>
      </c>
      <c r="V521">
        <f>IF(P521="P",0.7780+0.1628*S521+0.2957*Q521-0.1912*R521-0.1512*IF(D521="S",1,0)+0.1600*IF(E521="L",1,0)+0.0091*H521+0.0124*I521+0.0017*J521+T521+U521,-0.8294+0.1849*S521+0.1750*Q521-0.2969*R521+0.6924*IF(D521="S",1,0)+0.0457*IF(E521="L",1,0)+T521+U521)</f>
        <v/>
      </c>
      <c r="W521">
        <f>MAX(0,MIN(16,ROUND(V521,0)))</f>
        <v/>
      </c>
      <c r="X521">
        <f>IFNA(VLOOKUP(W521,Grade_Scale!$A:$B,2,FALSE),"F")</f>
        <v/>
      </c>
      <c r="Z521">
        <f>IF(Y521="","",W521-IFNA(VLOOKUP(Y521,Grade_Scale!$D:$E,2,FALSE),""))</f>
        <v/>
      </c>
    </row>
    <row r="522">
      <c r="P522">
        <f>IF(OR(B522="SP",B522="RP",B522="CP",B522="SP/RP"),"P","H")</f>
        <v/>
      </c>
      <c r="Q522">
        <f>IF(F522="",0,IFNA(VLOOKUP(F522,Trait_Polarity!$A:$C,2,FALSE),0))+IF(G522="",0,IFNA(VLOOKUP(G522,Trait_Polarity!$A:$C,2,FALSE),0))</f>
        <v/>
      </c>
      <c r="R522">
        <f>IF(F522="",0,IFNA(VLOOKUP(F522,Trait_Polarity!$A:$C,3,FALSE),0))+IF(G522="",0,IFNA(VLOOKUP(G522,Trait_Polarity!$A:$C,3,FALSE),0))</f>
        <v/>
      </c>
      <c r="S522">
        <f>IF(P522="P",(M522+N522+O522)/3,0.3*H522+0.3*I522+0.2*J522+0.1*K522+0.1*L522)</f>
        <v/>
      </c>
      <c r="T522">
        <f>IF(P522="P",IFNA(VLOOKUP(B522,Pitcher_RoleAdj!$A:$B,2,FALSE),0),IFNA(VLOOKUP(B522,Hitter_PrimaryAdj!$A:$B,2,FALSE),0))</f>
        <v/>
      </c>
      <c r="U522">
        <f>IFNA(VLOOKUP(IF(C522="","(none)",C522),SecondaryAdj!$A:$B,2,FALSE),0)</f>
        <v/>
      </c>
      <c r="V522">
        <f>IF(P522="P",0.7780+0.1628*S522+0.2957*Q522-0.1912*R522-0.1512*IF(D522="S",1,0)+0.1600*IF(E522="L",1,0)+0.0091*H522+0.0124*I522+0.0017*J522+T522+U522,-0.8294+0.1849*S522+0.1750*Q522-0.2969*R522+0.6924*IF(D522="S",1,0)+0.0457*IF(E522="L",1,0)+T522+U522)</f>
        <v/>
      </c>
      <c r="W522">
        <f>MAX(0,MIN(16,ROUND(V522,0)))</f>
        <v/>
      </c>
      <c r="X522">
        <f>IFNA(VLOOKUP(W522,Grade_Scale!$A:$B,2,FALSE),"F")</f>
        <v/>
      </c>
      <c r="Z522">
        <f>IF(Y522="","",W522-IFNA(VLOOKUP(Y522,Grade_Scale!$D:$E,2,FALSE),""))</f>
        <v/>
      </c>
    </row>
    <row r="523">
      <c r="P523">
        <f>IF(OR(B523="SP",B523="RP",B523="CP",B523="SP/RP"),"P","H")</f>
        <v/>
      </c>
      <c r="Q523">
        <f>IF(F523="",0,IFNA(VLOOKUP(F523,Trait_Polarity!$A:$C,2,FALSE),0))+IF(G523="",0,IFNA(VLOOKUP(G523,Trait_Polarity!$A:$C,2,FALSE),0))</f>
        <v/>
      </c>
      <c r="R523">
        <f>IF(F523="",0,IFNA(VLOOKUP(F523,Trait_Polarity!$A:$C,3,FALSE),0))+IF(G523="",0,IFNA(VLOOKUP(G523,Trait_Polarity!$A:$C,3,FALSE),0))</f>
        <v/>
      </c>
      <c r="S523">
        <f>IF(P523="P",(M523+N523+O523)/3,0.3*H523+0.3*I523+0.2*J523+0.1*K523+0.1*L523)</f>
        <v/>
      </c>
      <c r="T523">
        <f>IF(P523="P",IFNA(VLOOKUP(B523,Pitcher_RoleAdj!$A:$B,2,FALSE),0),IFNA(VLOOKUP(B523,Hitter_PrimaryAdj!$A:$B,2,FALSE),0))</f>
        <v/>
      </c>
      <c r="U523">
        <f>IFNA(VLOOKUP(IF(C523="","(none)",C523),SecondaryAdj!$A:$B,2,FALSE),0)</f>
        <v/>
      </c>
      <c r="V523">
        <f>IF(P523="P",0.7780+0.1628*S523+0.2957*Q523-0.1912*R523-0.1512*IF(D523="S",1,0)+0.1600*IF(E523="L",1,0)+0.0091*H523+0.0124*I523+0.0017*J523+T523+U523,-0.8294+0.1849*S523+0.1750*Q523-0.2969*R523+0.6924*IF(D523="S",1,0)+0.0457*IF(E523="L",1,0)+T523+U523)</f>
        <v/>
      </c>
      <c r="W523">
        <f>MAX(0,MIN(16,ROUND(V523,0)))</f>
        <v/>
      </c>
      <c r="X523">
        <f>IFNA(VLOOKUP(W523,Grade_Scale!$A:$B,2,FALSE),"F")</f>
        <v/>
      </c>
      <c r="Z523">
        <f>IF(Y523="","",W523-IFNA(VLOOKUP(Y523,Grade_Scale!$D:$E,2,FALSE),""))</f>
        <v/>
      </c>
    </row>
    <row r="524">
      <c r="P524">
        <f>IF(OR(B524="SP",B524="RP",B524="CP",B524="SP/RP"),"P","H")</f>
        <v/>
      </c>
      <c r="Q524">
        <f>IF(F524="",0,IFNA(VLOOKUP(F524,Trait_Polarity!$A:$C,2,FALSE),0))+IF(G524="",0,IFNA(VLOOKUP(G524,Trait_Polarity!$A:$C,2,FALSE),0))</f>
        <v/>
      </c>
      <c r="R524">
        <f>IF(F524="",0,IFNA(VLOOKUP(F524,Trait_Polarity!$A:$C,3,FALSE),0))+IF(G524="",0,IFNA(VLOOKUP(G524,Trait_Polarity!$A:$C,3,FALSE),0))</f>
        <v/>
      </c>
      <c r="S524">
        <f>IF(P524="P",(M524+N524+O524)/3,0.3*H524+0.3*I524+0.2*J524+0.1*K524+0.1*L524)</f>
        <v/>
      </c>
      <c r="T524">
        <f>IF(P524="P",IFNA(VLOOKUP(B524,Pitcher_RoleAdj!$A:$B,2,FALSE),0),IFNA(VLOOKUP(B524,Hitter_PrimaryAdj!$A:$B,2,FALSE),0))</f>
        <v/>
      </c>
      <c r="U524">
        <f>IFNA(VLOOKUP(IF(C524="","(none)",C524),SecondaryAdj!$A:$B,2,FALSE),0)</f>
        <v/>
      </c>
      <c r="V524">
        <f>IF(P524="P",0.7780+0.1628*S524+0.2957*Q524-0.1912*R524-0.1512*IF(D524="S",1,0)+0.1600*IF(E524="L",1,0)+0.0091*H524+0.0124*I524+0.0017*J524+T524+U524,-0.8294+0.1849*S524+0.1750*Q524-0.2969*R524+0.6924*IF(D524="S",1,0)+0.0457*IF(E524="L",1,0)+T524+U524)</f>
        <v/>
      </c>
      <c r="W524">
        <f>MAX(0,MIN(16,ROUND(V524,0)))</f>
        <v/>
      </c>
      <c r="X524">
        <f>IFNA(VLOOKUP(W524,Grade_Scale!$A:$B,2,FALSE),"F")</f>
        <v/>
      </c>
      <c r="Z524">
        <f>IF(Y524="","",W524-IFNA(VLOOKUP(Y524,Grade_Scale!$D:$E,2,FALSE),""))</f>
        <v/>
      </c>
    </row>
    <row r="525">
      <c r="P525">
        <f>IF(OR(B525="SP",B525="RP",B525="CP",B525="SP/RP"),"P","H")</f>
        <v/>
      </c>
      <c r="Q525">
        <f>IF(F525="",0,IFNA(VLOOKUP(F525,Trait_Polarity!$A:$C,2,FALSE),0))+IF(G525="",0,IFNA(VLOOKUP(G525,Trait_Polarity!$A:$C,2,FALSE),0))</f>
        <v/>
      </c>
      <c r="R525">
        <f>IF(F525="",0,IFNA(VLOOKUP(F525,Trait_Polarity!$A:$C,3,FALSE),0))+IF(G525="",0,IFNA(VLOOKUP(G525,Trait_Polarity!$A:$C,3,FALSE),0))</f>
        <v/>
      </c>
      <c r="S525">
        <f>IF(P525="P",(M525+N525+O525)/3,0.3*H525+0.3*I525+0.2*J525+0.1*K525+0.1*L525)</f>
        <v/>
      </c>
      <c r="T525">
        <f>IF(P525="P",IFNA(VLOOKUP(B525,Pitcher_RoleAdj!$A:$B,2,FALSE),0),IFNA(VLOOKUP(B525,Hitter_PrimaryAdj!$A:$B,2,FALSE),0))</f>
        <v/>
      </c>
      <c r="U525">
        <f>IFNA(VLOOKUP(IF(C525="","(none)",C525),SecondaryAdj!$A:$B,2,FALSE),0)</f>
        <v/>
      </c>
      <c r="V525">
        <f>IF(P525="P",0.7780+0.1628*S525+0.2957*Q525-0.1912*R525-0.1512*IF(D525="S",1,0)+0.1600*IF(E525="L",1,0)+0.0091*H525+0.0124*I525+0.0017*J525+T525+U525,-0.8294+0.1849*S525+0.1750*Q525-0.2969*R525+0.6924*IF(D525="S",1,0)+0.0457*IF(E525="L",1,0)+T525+U525)</f>
        <v/>
      </c>
      <c r="W525">
        <f>MAX(0,MIN(16,ROUND(V525,0)))</f>
        <v/>
      </c>
      <c r="X525">
        <f>IFNA(VLOOKUP(W525,Grade_Scale!$A:$B,2,FALSE),"F")</f>
        <v/>
      </c>
      <c r="Z525">
        <f>IF(Y525="","",W525-IFNA(VLOOKUP(Y525,Grade_Scale!$D:$E,2,FALSE),""))</f>
        <v/>
      </c>
    </row>
    <row r="526">
      <c r="P526">
        <f>IF(OR(B526="SP",B526="RP",B526="CP",B526="SP/RP"),"P","H")</f>
        <v/>
      </c>
      <c r="Q526">
        <f>IF(F526="",0,IFNA(VLOOKUP(F526,Trait_Polarity!$A:$C,2,FALSE),0))+IF(G526="",0,IFNA(VLOOKUP(G526,Trait_Polarity!$A:$C,2,FALSE),0))</f>
        <v/>
      </c>
      <c r="R526">
        <f>IF(F526="",0,IFNA(VLOOKUP(F526,Trait_Polarity!$A:$C,3,FALSE),0))+IF(G526="",0,IFNA(VLOOKUP(G526,Trait_Polarity!$A:$C,3,FALSE),0))</f>
        <v/>
      </c>
      <c r="S526">
        <f>IF(P526="P",(M526+N526+O526)/3,0.3*H526+0.3*I526+0.2*J526+0.1*K526+0.1*L526)</f>
        <v/>
      </c>
      <c r="T526">
        <f>IF(P526="P",IFNA(VLOOKUP(B526,Pitcher_RoleAdj!$A:$B,2,FALSE),0),IFNA(VLOOKUP(B526,Hitter_PrimaryAdj!$A:$B,2,FALSE),0))</f>
        <v/>
      </c>
      <c r="U526">
        <f>IFNA(VLOOKUP(IF(C526="","(none)",C526),SecondaryAdj!$A:$B,2,FALSE),0)</f>
        <v/>
      </c>
      <c r="V526">
        <f>IF(P526="P",0.7780+0.1628*S526+0.2957*Q526-0.1912*R526-0.1512*IF(D526="S",1,0)+0.1600*IF(E526="L",1,0)+0.0091*H526+0.0124*I526+0.0017*J526+T526+U526,-0.8294+0.1849*S526+0.1750*Q526-0.2969*R526+0.6924*IF(D526="S",1,0)+0.0457*IF(E526="L",1,0)+T526+U526)</f>
        <v/>
      </c>
      <c r="W526">
        <f>MAX(0,MIN(16,ROUND(V526,0)))</f>
        <v/>
      </c>
      <c r="X526">
        <f>IFNA(VLOOKUP(W526,Grade_Scale!$A:$B,2,FALSE),"F")</f>
        <v/>
      </c>
      <c r="Z526">
        <f>IF(Y526="","",W526-IFNA(VLOOKUP(Y526,Grade_Scale!$D:$E,2,FALSE),""))</f>
        <v/>
      </c>
    </row>
    <row r="527">
      <c r="P527">
        <f>IF(OR(B527="SP",B527="RP",B527="CP",B527="SP/RP"),"P","H")</f>
        <v/>
      </c>
      <c r="Q527">
        <f>IF(F527="",0,IFNA(VLOOKUP(F527,Trait_Polarity!$A:$C,2,FALSE),0))+IF(G527="",0,IFNA(VLOOKUP(G527,Trait_Polarity!$A:$C,2,FALSE),0))</f>
        <v/>
      </c>
      <c r="R527">
        <f>IF(F527="",0,IFNA(VLOOKUP(F527,Trait_Polarity!$A:$C,3,FALSE),0))+IF(G527="",0,IFNA(VLOOKUP(G527,Trait_Polarity!$A:$C,3,FALSE),0))</f>
        <v/>
      </c>
      <c r="S527">
        <f>IF(P527="P",(M527+N527+O527)/3,0.3*H527+0.3*I527+0.2*J527+0.1*K527+0.1*L527)</f>
        <v/>
      </c>
      <c r="T527">
        <f>IF(P527="P",IFNA(VLOOKUP(B527,Pitcher_RoleAdj!$A:$B,2,FALSE),0),IFNA(VLOOKUP(B527,Hitter_PrimaryAdj!$A:$B,2,FALSE),0))</f>
        <v/>
      </c>
      <c r="U527">
        <f>IFNA(VLOOKUP(IF(C527="","(none)",C527),SecondaryAdj!$A:$B,2,FALSE),0)</f>
        <v/>
      </c>
      <c r="V527">
        <f>IF(P527="P",0.7780+0.1628*S527+0.2957*Q527-0.1912*R527-0.1512*IF(D527="S",1,0)+0.1600*IF(E527="L",1,0)+0.0091*H527+0.0124*I527+0.0017*J527+T527+U527,-0.8294+0.1849*S527+0.1750*Q527-0.2969*R527+0.6924*IF(D527="S",1,0)+0.0457*IF(E527="L",1,0)+T527+U527)</f>
        <v/>
      </c>
      <c r="W527">
        <f>MAX(0,MIN(16,ROUND(V527,0)))</f>
        <v/>
      </c>
      <c r="X527">
        <f>IFNA(VLOOKUP(W527,Grade_Scale!$A:$B,2,FALSE),"F")</f>
        <v/>
      </c>
      <c r="Z527">
        <f>IF(Y527="","",W527-IFNA(VLOOKUP(Y527,Grade_Scale!$D:$E,2,FALSE),""))</f>
        <v/>
      </c>
    </row>
    <row r="528">
      <c r="P528">
        <f>IF(OR(B528="SP",B528="RP",B528="CP",B528="SP/RP"),"P","H")</f>
        <v/>
      </c>
      <c r="Q528">
        <f>IF(F528="",0,IFNA(VLOOKUP(F528,Trait_Polarity!$A:$C,2,FALSE),0))+IF(G528="",0,IFNA(VLOOKUP(G528,Trait_Polarity!$A:$C,2,FALSE),0))</f>
        <v/>
      </c>
      <c r="R528">
        <f>IF(F528="",0,IFNA(VLOOKUP(F528,Trait_Polarity!$A:$C,3,FALSE),0))+IF(G528="",0,IFNA(VLOOKUP(G528,Trait_Polarity!$A:$C,3,FALSE),0))</f>
        <v/>
      </c>
      <c r="S528">
        <f>IF(P528="P",(M528+N528+O528)/3,0.3*H528+0.3*I528+0.2*J528+0.1*K528+0.1*L528)</f>
        <v/>
      </c>
      <c r="T528">
        <f>IF(P528="P",IFNA(VLOOKUP(B528,Pitcher_RoleAdj!$A:$B,2,FALSE),0),IFNA(VLOOKUP(B528,Hitter_PrimaryAdj!$A:$B,2,FALSE),0))</f>
        <v/>
      </c>
      <c r="U528">
        <f>IFNA(VLOOKUP(IF(C528="","(none)",C528),SecondaryAdj!$A:$B,2,FALSE),0)</f>
        <v/>
      </c>
      <c r="V528">
        <f>IF(P528="P",0.7780+0.1628*S528+0.2957*Q528-0.1912*R528-0.1512*IF(D528="S",1,0)+0.1600*IF(E528="L",1,0)+0.0091*H528+0.0124*I528+0.0017*J528+T528+U528,-0.8294+0.1849*S528+0.1750*Q528-0.2969*R528+0.6924*IF(D528="S",1,0)+0.0457*IF(E528="L",1,0)+T528+U528)</f>
        <v/>
      </c>
      <c r="W528">
        <f>MAX(0,MIN(16,ROUND(V528,0)))</f>
        <v/>
      </c>
      <c r="X528">
        <f>IFNA(VLOOKUP(W528,Grade_Scale!$A:$B,2,FALSE),"F")</f>
        <v/>
      </c>
      <c r="Z528">
        <f>IF(Y528="","",W528-IFNA(VLOOKUP(Y528,Grade_Scale!$D:$E,2,FALSE),""))</f>
        <v/>
      </c>
    </row>
    <row r="529">
      <c r="P529">
        <f>IF(OR(B529="SP",B529="RP",B529="CP",B529="SP/RP"),"P","H")</f>
        <v/>
      </c>
      <c r="Q529">
        <f>IF(F529="",0,IFNA(VLOOKUP(F529,Trait_Polarity!$A:$C,2,FALSE),0))+IF(G529="",0,IFNA(VLOOKUP(G529,Trait_Polarity!$A:$C,2,FALSE),0))</f>
        <v/>
      </c>
      <c r="R529">
        <f>IF(F529="",0,IFNA(VLOOKUP(F529,Trait_Polarity!$A:$C,3,FALSE),0))+IF(G529="",0,IFNA(VLOOKUP(G529,Trait_Polarity!$A:$C,3,FALSE),0))</f>
        <v/>
      </c>
      <c r="S529">
        <f>IF(P529="P",(M529+N529+O529)/3,0.3*H529+0.3*I529+0.2*J529+0.1*K529+0.1*L529)</f>
        <v/>
      </c>
      <c r="T529">
        <f>IF(P529="P",IFNA(VLOOKUP(B529,Pitcher_RoleAdj!$A:$B,2,FALSE),0),IFNA(VLOOKUP(B529,Hitter_PrimaryAdj!$A:$B,2,FALSE),0))</f>
        <v/>
      </c>
      <c r="U529">
        <f>IFNA(VLOOKUP(IF(C529="","(none)",C529),SecondaryAdj!$A:$B,2,FALSE),0)</f>
        <v/>
      </c>
      <c r="V529">
        <f>IF(P529="P",0.7780+0.1628*S529+0.2957*Q529-0.1912*R529-0.1512*IF(D529="S",1,0)+0.1600*IF(E529="L",1,0)+0.0091*H529+0.0124*I529+0.0017*J529+T529+U529,-0.8294+0.1849*S529+0.1750*Q529-0.2969*R529+0.6924*IF(D529="S",1,0)+0.0457*IF(E529="L",1,0)+T529+U529)</f>
        <v/>
      </c>
      <c r="W529">
        <f>MAX(0,MIN(16,ROUND(V529,0)))</f>
        <v/>
      </c>
      <c r="X529">
        <f>IFNA(VLOOKUP(W529,Grade_Scale!$A:$B,2,FALSE),"F")</f>
        <v/>
      </c>
      <c r="Z529">
        <f>IF(Y529="","",W529-IFNA(VLOOKUP(Y529,Grade_Scale!$D:$E,2,FALSE),""))</f>
        <v/>
      </c>
    </row>
    <row r="530">
      <c r="P530">
        <f>IF(OR(B530="SP",B530="RP",B530="CP",B530="SP/RP"),"P","H")</f>
        <v/>
      </c>
      <c r="Q530">
        <f>IF(F530="",0,IFNA(VLOOKUP(F530,Trait_Polarity!$A:$C,2,FALSE),0))+IF(G530="",0,IFNA(VLOOKUP(G530,Trait_Polarity!$A:$C,2,FALSE),0))</f>
        <v/>
      </c>
      <c r="R530">
        <f>IF(F530="",0,IFNA(VLOOKUP(F530,Trait_Polarity!$A:$C,3,FALSE),0))+IF(G530="",0,IFNA(VLOOKUP(G530,Trait_Polarity!$A:$C,3,FALSE),0))</f>
        <v/>
      </c>
      <c r="S530">
        <f>IF(P530="P",(M530+N530+O530)/3,0.3*H530+0.3*I530+0.2*J530+0.1*K530+0.1*L530)</f>
        <v/>
      </c>
      <c r="T530">
        <f>IF(P530="P",IFNA(VLOOKUP(B530,Pitcher_RoleAdj!$A:$B,2,FALSE),0),IFNA(VLOOKUP(B530,Hitter_PrimaryAdj!$A:$B,2,FALSE),0))</f>
        <v/>
      </c>
      <c r="U530">
        <f>IFNA(VLOOKUP(IF(C530="","(none)",C530),SecondaryAdj!$A:$B,2,FALSE),0)</f>
        <v/>
      </c>
      <c r="V530">
        <f>IF(P530="P",0.7780+0.1628*S530+0.2957*Q530-0.1912*R530-0.1512*IF(D530="S",1,0)+0.1600*IF(E530="L",1,0)+0.0091*H530+0.0124*I530+0.0017*J530+T530+U530,-0.8294+0.1849*S530+0.1750*Q530-0.2969*R530+0.6924*IF(D530="S",1,0)+0.0457*IF(E530="L",1,0)+T530+U530)</f>
        <v/>
      </c>
      <c r="W530">
        <f>MAX(0,MIN(16,ROUND(V530,0)))</f>
        <v/>
      </c>
      <c r="X530">
        <f>IFNA(VLOOKUP(W530,Grade_Scale!$A:$B,2,FALSE),"F")</f>
        <v/>
      </c>
      <c r="Z530">
        <f>IF(Y530="","",W530-IFNA(VLOOKUP(Y530,Grade_Scale!$D:$E,2,FALSE),""))</f>
        <v/>
      </c>
    </row>
    <row r="531">
      <c r="P531">
        <f>IF(OR(B531="SP",B531="RP",B531="CP",B531="SP/RP"),"P","H")</f>
        <v/>
      </c>
      <c r="Q531">
        <f>IF(F531="",0,IFNA(VLOOKUP(F531,Trait_Polarity!$A:$C,2,FALSE),0))+IF(G531="",0,IFNA(VLOOKUP(G531,Trait_Polarity!$A:$C,2,FALSE),0))</f>
        <v/>
      </c>
      <c r="R531">
        <f>IF(F531="",0,IFNA(VLOOKUP(F531,Trait_Polarity!$A:$C,3,FALSE),0))+IF(G531="",0,IFNA(VLOOKUP(G531,Trait_Polarity!$A:$C,3,FALSE),0))</f>
        <v/>
      </c>
      <c r="S531">
        <f>IF(P531="P",(M531+N531+O531)/3,0.3*H531+0.3*I531+0.2*J531+0.1*K531+0.1*L531)</f>
        <v/>
      </c>
      <c r="T531">
        <f>IF(P531="P",IFNA(VLOOKUP(B531,Pitcher_RoleAdj!$A:$B,2,FALSE),0),IFNA(VLOOKUP(B531,Hitter_PrimaryAdj!$A:$B,2,FALSE),0))</f>
        <v/>
      </c>
      <c r="U531">
        <f>IFNA(VLOOKUP(IF(C531="","(none)",C531),SecondaryAdj!$A:$B,2,FALSE),0)</f>
        <v/>
      </c>
      <c r="V531">
        <f>IF(P531="P",0.7780+0.1628*S531+0.2957*Q531-0.1912*R531-0.1512*IF(D531="S",1,0)+0.1600*IF(E531="L",1,0)+0.0091*H531+0.0124*I531+0.0017*J531+T531+U531,-0.8294+0.1849*S531+0.1750*Q531-0.2969*R531+0.6924*IF(D531="S",1,0)+0.0457*IF(E531="L",1,0)+T531+U531)</f>
        <v/>
      </c>
      <c r="W531">
        <f>MAX(0,MIN(16,ROUND(V531,0)))</f>
        <v/>
      </c>
      <c r="X531">
        <f>IFNA(VLOOKUP(W531,Grade_Scale!$A:$B,2,FALSE),"F")</f>
        <v/>
      </c>
      <c r="Z531">
        <f>IF(Y531="","",W531-IFNA(VLOOKUP(Y531,Grade_Scale!$D:$E,2,FALSE),""))</f>
        <v/>
      </c>
    </row>
    <row r="532">
      <c r="P532">
        <f>IF(OR(B532="SP",B532="RP",B532="CP",B532="SP/RP"),"P","H")</f>
        <v/>
      </c>
      <c r="Q532">
        <f>IF(F532="",0,IFNA(VLOOKUP(F532,Trait_Polarity!$A:$C,2,FALSE),0))+IF(G532="",0,IFNA(VLOOKUP(G532,Trait_Polarity!$A:$C,2,FALSE),0))</f>
        <v/>
      </c>
      <c r="R532">
        <f>IF(F532="",0,IFNA(VLOOKUP(F532,Trait_Polarity!$A:$C,3,FALSE),0))+IF(G532="",0,IFNA(VLOOKUP(G532,Trait_Polarity!$A:$C,3,FALSE),0))</f>
        <v/>
      </c>
      <c r="S532">
        <f>IF(P532="P",(M532+N532+O532)/3,0.3*H532+0.3*I532+0.2*J532+0.1*K532+0.1*L532)</f>
        <v/>
      </c>
      <c r="T532">
        <f>IF(P532="P",IFNA(VLOOKUP(B532,Pitcher_RoleAdj!$A:$B,2,FALSE),0),IFNA(VLOOKUP(B532,Hitter_PrimaryAdj!$A:$B,2,FALSE),0))</f>
        <v/>
      </c>
      <c r="U532">
        <f>IFNA(VLOOKUP(IF(C532="","(none)",C532),SecondaryAdj!$A:$B,2,FALSE),0)</f>
        <v/>
      </c>
      <c r="V532">
        <f>IF(P532="P",0.7780+0.1628*S532+0.2957*Q532-0.1912*R532-0.1512*IF(D532="S",1,0)+0.1600*IF(E532="L",1,0)+0.0091*H532+0.0124*I532+0.0017*J532+T532+U532,-0.8294+0.1849*S532+0.1750*Q532-0.2969*R532+0.6924*IF(D532="S",1,0)+0.0457*IF(E532="L",1,0)+T532+U532)</f>
        <v/>
      </c>
      <c r="W532">
        <f>MAX(0,MIN(16,ROUND(V532,0)))</f>
        <v/>
      </c>
      <c r="X532">
        <f>IFNA(VLOOKUP(W532,Grade_Scale!$A:$B,2,FALSE),"F")</f>
        <v/>
      </c>
      <c r="Z532">
        <f>IF(Y532="","",W532-IFNA(VLOOKUP(Y532,Grade_Scale!$D:$E,2,FALSE),""))</f>
        <v/>
      </c>
    </row>
    <row r="533">
      <c r="P533">
        <f>IF(OR(B533="SP",B533="RP",B533="CP",B533="SP/RP"),"P","H")</f>
        <v/>
      </c>
      <c r="Q533">
        <f>IF(F533="",0,IFNA(VLOOKUP(F533,Trait_Polarity!$A:$C,2,FALSE),0))+IF(G533="",0,IFNA(VLOOKUP(G533,Trait_Polarity!$A:$C,2,FALSE),0))</f>
        <v/>
      </c>
      <c r="R533">
        <f>IF(F533="",0,IFNA(VLOOKUP(F533,Trait_Polarity!$A:$C,3,FALSE),0))+IF(G533="",0,IFNA(VLOOKUP(G533,Trait_Polarity!$A:$C,3,FALSE),0))</f>
        <v/>
      </c>
      <c r="S533">
        <f>IF(P533="P",(M533+N533+O533)/3,0.3*H533+0.3*I533+0.2*J533+0.1*K533+0.1*L533)</f>
        <v/>
      </c>
      <c r="T533">
        <f>IF(P533="P",IFNA(VLOOKUP(B533,Pitcher_RoleAdj!$A:$B,2,FALSE),0),IFNA(VLOOKUP(B533,Hitter_PrimaryAdj!$A:$B,2,FALSE),0))</f>
        <v/>
      </c>
      <c r="U533">
        <f>IFNA(VLOOKUP(IF(C533="","(none)",C533),SecondaryAdj!$A:$B,2,FALSE),0)</f>
        <v/>
      </c>
      <c r="V533">
        <f>IF(P533="P",0.7780+0.1628*S533+0.2957*Q533-0.1912*R533-0.1512*IF(D533="S",1,0)+0.1600*IF(E533="L",1,0)+0.0091*H533+0.0124*I533+0.0017*J533+T533+U533,-0.8294+0.1849*S533+0.1750*Q533-0.2969*R533+0.6924*IF(D533="S",1,0)+0.0457*IF(E533="L",1,0)+T533+U533)</f>
        <v/>
      </c>
      <c r="W533">
        <f>MAX(0,MIN(16,ROUND(V533,0)))</f>
        <v/>
      </c>
      <c r="X533">
        <f>IFNA(VLOOKUP(W533,Grade_Scale!$A:$B,2,FALSE),"F")</f>
        <v/>
      </c>
      <c r="Z533">
        <f>IF(Y533="","",W533-IFNA(VLOOKUP(Y533,Grade_Scale!$D:$E,2,FALSE),""))</f>
        <v/>
      </c>
    </row>
    <row r="534">
      <c r="P534">
        <f>IF(OR(B534="SP",B534="RP",B534="CP",B534="SP/RP"),"P","H")</f>
        <v/>
      </c>
      <c r="Q534">
        <f>IF(F534="",0,IFNA(VLOOKUP(F534,Trait_Polarity!$A:$C,2,FALSE),0))+IF(G534="",0,IFNA(VLOOKUP(G534,Trait_Polarity!$A:$C,2,FALSE),0))</f>
        <v/>
      </c>
      <c r="R534">
        <f>IF(F534="",0,IFNA(VLOOKUP(F534,Trait_Polarity!$A:$C,3,FALSE),0))+IF(G534="",0,IFNA(VLOOKUP(G534,Trait_Polarity!$A:$C,3,FALSE),0))</f>
        <v/>
      </c>
      <c r="S534">
        <f>IF(P534="P",(M534+N534+O534)/3,0.3*H534+0.3*I534+0.2*J534+0.1*K534+0.1*L534)</f>
        <v/>
      </c>
      <c r="T534">
        <f>IF(P534="P",IFNA(VLOOKUP(B534,Pitcher_RoleAdj!$A:$B,2,FALSE),0),IFNA(VLOOKUP(B534,Hitter_PrimaryAdj!$A:$B,2,FALSE),0))</f>
        <v/>
      </c>
      <c r="U534">
        <f>IFNA(VLOOKUP(IF(C534="","(none)",C534),SecondaryAdj!$A:$B,2,FALSE),0)</f>
        <v/>
      </c>
      <c r="V534">
        <f>IF(P534="P",0.7780+0.1628*S534+0.2957*Q534-0.1912*R534-0.1512*IF(D534="S",1,0)+0.1600*IF(E534="L",1,0)+0.0091*H534+0.0124*I534+0.0017*J534+T534+U534,-0.8294+0.1849*S534+0.1750*Q534-0.2969*R534+0.6924*IF(D534="S",1,0)+0.0457*IF(E534="L",1,0)+T534+U534)</f>
        <v/>
      </c>
      <c r="W534">
        <f>MAX(0,MIN(16,ROUND(V534,0)))</f>
        <v/>
      </c>
      <c r="X534">
        <f>IFNA(VLOOKUP(W534,Grade_Scale!$A:$B,2,FALSE),"F")</f>
        <v/>
      </c>
      <c r="Z534">
        <f>IF(Y534="","",W534-IFNA(VLOOKUP(Y534,Grade_Scale!$D:$E,2,FALSE),""))</f>
        <v/>
      </c>
    </row>
    <row r="535">
      <c r="P535">
        <f>IF(OR(B535="SP",B535="RP",B535="CP",B535="SP/RP"),"P","H")</f>
        <v/>
      </c>
      <c r="Q535">
        <f>IF(F535="",0,IFNA(VLOOKUP(F535,Trait_Polarity!$A:$C,2,FALSE),0))+IF(G535="",0,IFNA(VLOOKUP(G535,Trait_Polarity!$A:$C,2,FALSE),0))</f>
        <v/>
      </c>
      <c r="R535">
        <f>IF(F535="",0,IFNA(VLOOKUP(F535,Trait_Polarity!$A:$C,3,FALSE),0))+IF(G535="",0,IFNA(VLOOKUP(G535,Trait_Polarity!$A:$C,3,FALSE),0))</f>
        <v/>
      </c>
      <c r="S535">
        <f>IF(P535="P",(M535+N535+O535)/3,0.3*H535+0.3*I535+0.2*J535+0.1*K535+0.1*L535)</f>
        <v/>
      </c>
      <c r="T535">
        <f>IF(P535="P",IFNA(VLOOKUP(B535,Pitcher_RoleAdj!$A:$B,2,FALSE),0),IFNA(VLOOKUP(B535,Hitter_PrimaryAdj!$A:$B,2,FALSE),0))</f>
        <v/>
      </c>
      <c r="U535">
        <f>IFNA(VLOOKUP(IF(C535="","(none)",C535),SecondaryAdj!$A:$B,2,FALSE),0)</f>
        <v/>
      </c>
      <c r="V535">
        <f>IF(P535="P",0.7780+0.1628*S535+0.2957*Q535-0.1912*R535-0.1512*IF(D535="S",1,0)+0.1600*IF(E535="L",1,0)+0.0091*H535+0.0124*I535+0.0017*J535+T535+U535,-0.8294+0.1849*S535+0.1750*Q535-0.2969*R535+0.6924*IF(D535="S",1,0)+0.0457*IF(E535="L",1,0)+T535+U535)</f>
        <v/>
      </c>
      <c r="W535">
        <f>MAX(0,MIN(16,ROUND(V535,0)))</f>
        <v/>
      </c>
      <c r="X535">
        <f>IFNA(VLOOKUP(W535,Grade_Scale!$A:$B,2,FALSE),"F")</f>
        <v/>
      </c>
      <c r="Z535">
        <f>IF(Y535="","",W535-IFNA(VLOOKUP(Y535,Grade_Scale!$D:$E,2,FALSE),""))</f>
        <v/>
      </c>
    </row>
    <row r="536">
      <c r="P536">
        <f>IF(OR(B536="SP",B536="RP",B536="CP",B536="SP/RP"),"P","H")</f>
        <v/>
      </c>
      <c r="Q536">
        <f>IF(F536="",0,IFNA(VLOOKUP(F536,Trait_Polarity!$A:$C,2,FALSE),0))+IF(G536="",0,IFNA(VLOOKUP(G536,Trait_Polarity!$A:$C,2,FALSE),0))</f>
        <v/>
      </c>
      <c r="R536">
        <f>IF(F536="",0,IFNA(VLOOKUP(F536,Trait_Polarity!$A:$C,3,FALSE),0))+IF(G536="",0,IFNA(VLOOKUP(G536,Trait_Polarity!$A:$C,3,FALSE),0))</f>
        <v/>
      </c>
      <c r="S536">
        <f>IF(P536="P",(M536+N536+O536)/3,0.3*H536+0.3*I536+0.2*J536+0.1*K536+0.1*L536)</f>
        <v/>
      </c>
      <c r="T536">
        <f>IF(P536="P",IFNA(VLOOKUP(B536,Pitcher_RoleAdj!$A:$B,2,FALSE),0),IFNA(VLOOKUP(B536,Hitter_PrimaryAdj!$A:$B,2,FALSE),0))</f>
        <v/>
      </c>
      <c r="U536">
        <f>IFNA(VLOOKUP(IF(C536="","(none)",C536),SecondaryAdj!$A:$B,2,FALSE),0)</f>
        <v/>
      </c>
      <c r="V536">
        <f>IF(P536="P",0.7780+0.1628*S536+0.2957*Q536-0.1912*R536-0.1512*IF(D536="S",1,0)+0.1600*IF(E536="L",1,0)+0.0091*H536+0.0124*I536+0.0017*J536+T536+U536,-0.8294+0.1849*S536+0.1750*Q536-0.2969*R536+0.6924*IF(D536="S",1,0)+0.0457*IF(E536="L",1,0)+T536+U536)</f>
        <v/>
      </c>
      <c r="W536">
        <f>MAX(0,MIN(16,ROUND(V536,0)))</f>
        <v/>
      </c>
      <c r="X536">
        <f>IFNA(VLOOKUP(W536,Grade_Scale!$A:$B,2,FALSE),"F")</f>
        <v/>
      </c>
      <c r="Z536">
        <f>IF(Y536="","",W536-IFNA(VLOOKUP(Y536,Grade_Scale!$D:$E,2,FALSE),""))</f>
        <v/>
      </c>
    </row>
    <row r="537">
      <c r="P537">
        <f>IF(OR(B537="SP",B537="RP",B537="CP",B537="SP/RP"),"P","H")</f>
        <v/>
      </c>
      <c r="Q537">
        <f>IF(F537="",0,IFNA(VLOOKUP(F537,Trait_Polarity!$A:$C,2,FALSE),0))+IF(G537="",0,IFNA(VLOOKUP(G537,Trait_Polarity!$A:$C,2,FALSE),0))</f>
        <v/>
      </c>
      <c r="R537">
        <f>IF(F537="",0,IFNA(VLOOKUP(F537,Trait_Polarity!$A:$C,3,FALSE),0))+IF(G537="",0,IFNA(VLOOKUP(G537,Trait_Polarity!$A:$C,3,FALSE),0))</f>
        <v/>
      </c>
      <c r="S537">
        <f>IF(P537="P",(M537+N537+O537)/3,0.3*H537+0.3*I537+0.2*J537+0.1*K537+0.1*L537)</f>
        <v/>
      </c>
      <c r="T537">
        <f>IF(P537="P",IFNA(VLOOKUP(B537,Pitcher_RoleAdj!$A:$B,2,FALSE),0),IFNA(VLOOKUP(B537,Hitter_PrimaryAdj!$A:$B,2,FALSE),0))</f>
        <v/>
      </c>
      <c r="U537">
        <f>IFNA(VLOOKUP(IF(C537="","(none)",C537),SecondaryAdj!$A:$B,2,FALSE),0)</f>
        <v/>
      </c>
      <c r="V537">
        <f>IF(P537="P",0.7780+0.1628*S537+0.2957*Q537-0.1912*R537-0.1512*IF(D537="S",1,0)+0.1600*IF(E537="L",1,0)+0.0091*H537+0.0124*I537+0.0017*J537+T537+U537,-0.8294+0.1849*S537+0.1750*Q537-0.2969*R537+0.6924*IF(D537="S",1,0)+0.0457*IF(E537="L",1,0)+T537+U537)</f>
        <v/>
      </c>
      <c r="W537">
        <f>MAX(0,MIN(16,ROUND(V537,0)))</f>
        <v/>
      </c>
      <c r="X537">
        <f>IFNA(VLOOKUP(W537,Grade_Scale!$A:$B,2,FALSE),"F")</f>
        <v/>
      </c>
      <c r="Z537">
        <f>IF(Y537="","",W537-IFNA(VLOOKUP(Y537,Grade_Scale!$D:$E,2,FALSE),""))</f>
        <v/>
      </c>
    </row>
    <row r="538">
      <c r="P538">
        <f>IF(OR(B538="SP",B538="RP",B538="CP",B538="SP/RP"),"P","H")</f>
        <v/>
      </c>
      <c r="Q538">
        <f>IF(F538="",0,IFNA(VLOOKUP(F538,Trait_Polarity!$A:$C,2,FALSE),0))+IF(G538="",0,IFNA(VLOOKUP(G538,Trait_Polarity!$A:$C,2,FALSE),0))</f>
        <v/>
      </c>
      <c r="R538">
        <f>IF(F538="",0,IFNA(VLOOKUP(F538,Trait_Polarity!$A:$C,3,FALSE),0))+IF(G538="",0,IFNA(VLOOKUP(G538,Trait_Polarity!$A:$C,3,FALSE),0))</f>
        <v/>
      </c>
      <c r="S538">
        <f>IF(P538="P",(M538+N538+O538)/3,0.3*H538+0.3*I538+0.2*J538+0.1*K538+0.1*L538)</f>
        <v/>
      </c>
      <c r="T538">
        <f>IF(P538="P",IFNA(VLOOKUP(B538,Pitcher_RoleAdj!$A:$B,2,FALSE),0),IFNA(VLOOKUP(B538,Hitter_PrimaryAdj!$A:$B,2,FALSE),0))</f>
        <v/>
      </c>
      <c r="U538">
        <f>IFNA(VLOOKUP(IF(C538="","(none)",C538),SecondaryAdj!$A:$B,2,FALSE),0)</f>
        <v/>
      </c>
      <c r="V538">
        <f>IF(P538="P",0.7780+0.1628*S538+0.2957*Q538-0.1912*R538-0.1512*IF(D538="S",1,0)+0.1600*IF(E538="L",1,0)+0.0091*H538+0.0124*I538+0.0017*J538+T538+U538,-0.8294+0.1849*S538+0.1750*Q538-0.2969*R538+0.6924*IF(D538="S",1,0)+0.0457*IF(E538="L",1,0)+T538+U538)</f>
        <v/>
      </c>
      <c r="W538">
        <f>MAX(0,MIN(16,ROUND(V538,0)))</f>
        <v/>
      </c>
      <c r="X538">
        <f>IFNA(VLOOKUP(W538,Grade_Scale!$A:$B,2,FALSE),"F")</f>
        <v/>
      </c>
      <c r="Z538">
        <f>IF(Y538="","",W538-IFNA(VLOOKUP(Y538,Grade_Scale!$D:$E,2,FALSE),""))</f>
        <v/>
      </c>
    </row>
    <row r="539">
      <c r="P539">
        <f>IF(OR(B539="SP",B539="RP",B539="CP",B539="SP/RP"),"P","H")</f>
        <v/>
      </c>
      <c r="Q539">
        <f>IF(F539="",0,IFNA(VLOOKUP(F539,Trait_Polarity!$A:$C,2,FALSE),0))+IF(G539="",0,IFNA(VLOOKUP(G539,Trait_Polarity!$A:$C,2,FALSE),0))</f>
        <v/>
      </c>
      <c r="R539">
        <f>IF(F539="",0,IFNA(VLOOKUP(F539,Trait_Polarity!$A:$C,3,FALSE),0))+IF(G539="",0,IFNA(VLOOKUP(G539,Trait_Polarity!$A:$C,3,FALSE),0))</f>
        <v/>
      </c>
      <c r="S539">
        <f>IF(P539="P",(M539+N539+O539)/3,0.3*H539+0.3*I539+0.2*J539+0.1*K539+0.1*L539)</f>
        <v/>
      </c>
      <c r="T539">
        <f>IF(P539="P",IFNA(VLOOKUP(B539,Pitcher_RoleAdj!$A:$B,2,FALSE),0),IFNA(VLOOKUP(B539,Hitter_PrimaryAdj!$A:$B,2,FALSE),0))</f>
        <v/>
      </c>
      <c r="U539">
        <f>IFNA(VLOOKUP(IF(C539="","(none)",C539),SecondaryAdj!$A:$B,2,FALSE),0)</f>
        <v/>
      </c>
      <c r="V539">
        <f>IF(P539="P",0.7780+0.1628*S539+0.2957*Q539-0.1912*R539-0.1512*IF(D539="S",1,0)+0.1600*IF(E539="L",1,0)+0.0091*H539+0.0124*I539+0.0017*J539+T539+U539,-0.8294+0.1849*S539+0.1750*Q539-0.2969*R539+0.6924*IF(D539="S",1,0)+0.0457*IF(E539="L",1,0)+T539+U539)</f>
        <v/>
      </c>
      <c r="W539">
        <f>MAX(0,MIN(16,ROUND(V539,0)))</f>
        <v/>
      </c>
      <c r="X539">
        <f>IFNA(VLOOKUP(W539,Grade_Scale!$A:$B,2,FALSE),"F")</f>
        <v/>
      </c>
      <c r="Z539">
        <f>IF(Y539="","",W539-IFNA(VLOOKUP(Y539,Grade_Scale!$D:$E,2,FALSE),""))</f>
        <v/>
      </c>
    </row>
    <row r="540">
      <c r="P540">
        <f>IF(OR(B540="SP",B540="RP",B540="CP",B540="SP/RP"),"P","H")</f>
        <v/>
      </c>
      <c r="Q540">
        <f>IF(F540="",0,IFNA(VLOOKUP(F540,Trait_Polarity!$A:$C,2,FALSE),0))+IF(G540="",0,IFNA(VLOOKUP(G540,Trait_Polarity!$A:$C,2,FALSE),0))</f>
        <v/>
      </c>
      <c r="R540">
        <f>IF(F540="",0,IFNA(VLOOKUP(F540,Trait_Polarity!$A:$C,3,FALSE),0))+IF(G540="",0,IFNA(VLOOKUP(G540,Trait_Polarity!$A:$C,3,FALSE),0))</f>
        <v/>
      </c>
      <c r="S540">
        <f>IF(P540="P",(M540+N540+O540)/3,0.3*H540+0.3*I540+0.2*J540+0.1*K540+0.1*L540)</f>
        <v/>
      </c>
      <c r="T540">
        <f>IF(P540="P",IFNA(VLOOKUP(B540,Pitcher_RoleAdj!$A:$B,2,FALSE),0),IFNA(VLOOKUP(B540,Hitter_PrimaryAdj!$A:$B,2,FALSE),0))</f>
        <v/>
      </c>
      <c r="U540">
        <f>IFNA(VLOOKUP(IF(C540="","(none)",C540),SecondaryAdj!$A:$B,2,FALSE),0)</f>
        <v/>
      </c>
      <c r="V540">
        <f>IF(P540="P",0.7780+0.1628*S540+0.2957*Q540-0.1912*R540-0.1512*IF(D540="S",1,0)+0.1600*IF(E540="L",1,0)+0.0091*H540+0.0124*I540+0.0017*J540+T540+U540,-0.8294+0.1849*S540+0.1750*Q540-0.2969*R540+0.6924*IF(D540="S",1,0)+0.0457*IF(E540="L",1,0)+T540+U540)</f>
        <v/>
      </c>
      <c r="W540">
        <f>MAX(0,MIN(16,ROUND(V540,0)))</f>
        <v/>
      </c>
      <c r="X540">
        <f>IFNA(VLOOKUP(W540,Grade_Scale!$A:$B,2,FALSE),"F")</f>
        <v/>
      </c>
      <c r="Z540">
        <f>IF(Y540="","",W540-IFNA(VLOOKUP(Y540,Grade_Scale!$D:$E,2,FALSE),""))</f>
        <v/>
      </c>
    </row>
    <row r="541">
      <c r="P541">
        <f>IF(OR(B541="SP",B541="RP",B541="CP",B541="SP/RP"),"P","H")</f>
        <v/>
      </c>
      <c r="Q541">
        <f>IF(F541="",0,IFNA(VLOOKUP(F541,Trait_Polarity!$A:$C,2,FALSE),0))+IF(G541="",0,IFNA(VLOOKUP(G541,Trait_Polarity!$A:$C,2,FALSE),0))</f>
        <v/>
      </c>
      <c r="R541">
        <f>IF(F541="",0,IFNA(VLOOKUP(F541,Trait_Polarity!$A:$C,3,FALSE),0))+IF(G541="",0,IFNA(VLOOKUP(G541,Trait_Polarity!$A:$C,3,FALSE),0))</f>
        <v/>
      </c>
      <c r="S541">
        <f>IF(P541="P",(M541+N541+O541)/3,0.3*H541+0.3*I541+0.2*J541+0.1*K541+0.1*L541)</f>
        <v/>
      </c>
      <c r="T541">
        <f>IF(P541="P",IFNA(VLOOKUP(B541,Pitcher_RoleAdj!$A:$B,2,FALSE),0),IFNA(VLOOKUP(B541,Hitter_PrimaryAdj!$A:$B,2,FALSE),0))</f>
        <v/>
      </c>
      <c r="U541">
        <f>IFNA(VLOOKUP(IF(C541="","(none)",C541),SecondaryAdj!$A:$B,2,FALSE),0)</f>
        <v/>
      </c>
      <c r="V541">
        <f>IF(P541="P",0.7780+0.1628*S541+0.2957*Q541-0.1912*R541-0.1512*IF(D541="S",1,0)+0.1600*IF(E541="L",1,0)+0.0091*H541+0.0124*I541+0.0017*J541+T541+U541,-0.8294+0.1849*S541+0.1750*Q541-0.2969*R541+0.6924*IF(D541="S",1,0)+0.0457*IF(E541="L",1,0)+T541+U541)</f>
        <v/>
      </c>
      <c r="W541">
        <f>MAX(0,MIN(16,ROUND(V541,0)))</f>
        <v/>
      </c>
      <c r="X541">
        <f>IFNA(VLOOKUP(W541,Grade_Scale!$A:$B,2,FALSE),"F")</f>
        <v/>
      </c>
      <c r="Z541">
        <f>IF(Y541="","",W541-IFNA(VLOOKUP(Y541,Grade_Scale!$D:$E,2,FALSE),""))</f>
        <v/>
      </c>
    </row>
    <row r="542">
      <c r="P542">
        <f>IF(OR(B542="SP",B542="RP",B542="CP",B542="SP/RP"),"P","H")</f>
        <v/>
      </c>
      <c r="Q542">
        <f>IF(F542="",0,IFNA(VLOOKUP(F542,Trait_Polarity!$A:$C,2,FALSE),0))+IF(G542="",0,IFNA(VLOOKUP(G542,Trait_Polarity!$A:$C,2,FALSE),0))</f>
        <v/>
      </c>
      <c r="R542">
        <f>IF(F542="",0,IFNA(VLOOKUP(F542,Trait_Polarity!$A:$C,3,FALSE),0))+IF(G542="",0,IFNA(VLOOKUP(G542,Trait_Polarity!$A:$C,3,FALSE),0))</f>
        <v/>
      </c>
      <c r="S542">
        <f>IF(P542="P",(M542+N542+O542)/3,0.3*H542+0.3*I542+0.2*J542+0.1*K542+0.1*L542)</f>
        <v/>
      </c>
      <c r="T542">
        <f>IF(P542="P",IFNA(VLOOKUP(B542,Pitcher_RoleAdj!$A:$B,2,FALSE),0),IFNA(VLOOKUP(B542,Hitter_PrimaryAdj!$A:$B,2,FALSE),0))</f>
        <v/>
      </c>
      <c r="U542">
        <f>IFNA(VLOOKUP(IF(C542="","(none)",C542),SecondaryAdj!$A:$B,2,FALSE),0)</f>
        <v/>
      </c>
      <c r="V542">
        <f>IF(P542="P",0.7780+0.1628*S542+0.2957*Q542-0.1912*R542-0.1512*IF(D542="S",1,0)+0.1600*IF(E542="L",1,0)+0.0091*H542+0.0124*I542+0.0017*J542+T542+U542,-0.8294+0.1849*S542+0.1750*Q542-0.2969*R542+0.6924*IF(D542="S",1,0)+0.0457*IF(E542="L",1,0)+T542+U542)</f>
        <v/>
      </c>
      <c r="W542">
        <f>MAX(0,MIN(16,ROUND(V542,0)))</f>
        <v/>
      </c>
      <c r="X542">
        <f>IFNA(VLOOKUP(W542,Grade_Scale!$A:$B,2,FALSE),"F")</f>
        <v/>
      </c>
      <c r="Z542">
        <f>IF(Y542="","",W542-IFNA(VLOOKUP(Y542,Grade_Scale!$D:$E,2,FALSE),""))</f>
        <v/>
      </c>
    </row>
    <row r="543">
      <c r="P543">
        <f>IF(OR(B543="SP",B543="RP",B543="CP",B543="SP/RP"),"P","H")</f>
        <v/>
      </c>
      <c r="Q543">
        <f>IF(F543="",0,IFNA(VLOOKUP(F543,Trait_Polarity!$A:$C,2,FALSE),0))+IF(G543="",0,IFNA(VLOOKUP(G543,Trait_Polarity!$A:$C,2,FALSE),0))</f>
        <v/>
      </c>
      <c r="R543">
        <f>IF(F543="",0,IFNA(VLOOKUP(F543,Trait_Polarity!$A:$C,3,FALSE),0))+IF(G543="",0,IFNA(VLOOKUP(G543,Trait_Polarity!$A:$C,3,FALSE),0))</f>
        <v/>
      </c>
      <c r="S543">
        <f>IF(P543="P",(M543+N543+O543)/3,0.3*H543+0.3*I543+0.2*J543+0.1*K543+0.1*L543)</f>
        <v/>
      </c>
      <c r="T543">
        <f>IF(P543="P",IFNA(VLOOKUP(B543,Pitcher_RoleAdj!$A:$B,2,FALSE),0),IFNA(VLOOKUP(B543,Hitter_PrimaryAdj!$A:$B,2,FALSE),0))</f>
        <v/>
      </c>
      <c r="U543">
        <f>IFNA(VLOOKUP(IF(C543="","(none)",C543),SecondaryAdj!$A:$B,2,FALSE),0)</f>
        <v/>
      </c>
      <c r="V543">
        <f>IF(P543="P",0.7780+0.1628*S543+0.2957*Q543-0.1912*R543-0.1512*IF(D543="S",1,0)+0.1600*IF(E543="L",1,0)+0.0091*H543+0.0124*I543+0.0017*J543+T543+U543,-0.8294+0.1849*S543+0.1750*Q543-0.2969*R543+0.6924*IF(D543="S",1,0)+0.0457*IF(E543="L",1,0)+T543+U543)</f>
        <v/>
      </c>
      <c r="W543">
        <f>MAX(0,MIN(16,ROUND(V543,0)))</f>
        <v/>
      </c>
      <c r="X543">
        <f>IFNA(VLOOKUP(W543,Grade_Scale!$A:$B,2,FALSE),"F")</f>
        <v/>
      </c>
      <c r="Z543">
        <f>IF(Y543="","",W543-IFNA(VLOOKUP(Y543,Grade_Scale!$D:$E,2,FALSE),""))</f>
        <v/>
      </c>
    </row>
    <row r="544">
      <c r="P544">
        <f>IF(OR(B544="SP",B544="RP",B544="CP",B544="SP/RP"),"P","H")</f>
        <v/>
      </c>
      <c r="Q544">
        <f>IF(F544="",0,IFNA(VLOOKUP(F544,Trait_Polarity!$A:$C,2,FALSE),0))+IF(G544="",0,IFNA(VLOOKUP(G544,Trait_Polarity!$A:$C,2,FALSE),0))</f>
        <v/>
      </c>
      <c r="R544">
        <f>IF(F544="",0,IFNA(VLOOKUP(F544,Trait_Polarity!$A:$C,3,FALSE),0))+IF(G544="",0,IFNA(VLOOKUP(G544,Trait_Polarity!$A:$C,3,FALSE),0))</f>
        <v/>
      </c>
      <c r="S544">
        <f>IF(P544="P",(M544+N544+O544)/3,0.3*H544+0.3*I544+0.2*J544+0.1*K544+0.1*L544)</f>
        <v/>
      </c>
      <c r="T544">
        <f>IF(P544="P",IFNA(VLOOKUP(B544,Pitcher_RoleAdj!$A:$B,2,FALSE),0),IFNA(VLOOKUP(B544,Hitter_PrimaryAdj!$A:$B,2,FALSE),0))</f>
        <v/>
      </c>
      <c r="U544">
        <f>IFNA(VLOOKUP(IF(C544="","(none)",C544),SecondaryAdj!$A:$B,2,FALSE),0)</f>
        <v/>
      </c>
      <c r="V544">
        <f>IF(P544="P",0.7780+0.1628*S544+0.2957*Q544-0.1912*R544-0.1512*IF(D544="S",1,0)+0.1600*IF(E544="L",1,0)+0.0091*H544+0.0124*I544+0.0017*J544+T544+U544,-0.8294+0.1849*S544+0.1750*Q544-0.2969*R544+0.6924*IF(D544="S",1,0)+0.0457*IF(E544="L",1,0)+T544+U544)</f>
        <v/>
      </c>
      <c r="W544">
        <f>MAX(0,MIN(16,ROUND(V544,0)))</f>
        <v/>
      </c>
      <c r="X544">
        <f>IFNA(VLOOKUP(W544,Grade_Scale!$A:$B,2,FALSE),"F")</f>
        <v/>
      </c>
      <c r="Z544">
        <f>IF(Y544="","",W544-IFNA(VLOOKUP(Y544,Grade_Scale!$D:$E,2,FALSE),""))</f>
        <v/>
      </c>
    </row>
    <row r="545">
      <c r="P545">
        <f>IF(OR(B545="SP",B545="RP",B545="CP",B545="SP/RP"),"P","H")</f>
        <v/>
      </c>
      <c r="Q545">
        <f>IF(F545="",0,IFNA(VLOOKUP(F545,Trait_Polarity!$A:$C,2,FALSE),0))+IF(G545="",0,IFNA(VLOOKUP(G545,Trait_Polarity!$A:$C,2,FALSE),0))</f>
        <v/>
      </c>
      <c r="R545">
        <f>IF(F545="",0,IFNA(VLOOKUP(F545,Trait_Polarity!$A:$C,3,FALSE),0))+IF(G545="",0,IFNA(VLOOKUP(G545,Trait_Polarity!$A:$C,3,FALSE),0))</f>
        <v/>
      </c>
      <c r="S545">
        <f>IF(P545="P",(M545+N545+O545)/3,0.3*H545+0.3*I545+0.2*J545+0.1*K545+0.1*L545)</f>
        <v/>
      </c>
      <c r="T545">
        <f>IF(P545="P",IFNA(VLOOKUP(B545,Pitcher_RoleAdj!$A:$B,2,FALSE),0),IFNA(VLOOKUP(B545,Hitter_PrimaryAdj!$A:$B,2,FALSE),0))</f>
        <v/>
      </c>
      <c r="U545">
        <f>IFNA(VLOOKUP(IF(C545="","(none)",C545),SecondaryAdj!$A:$B,2,FALSE),0)</f>
        <v/>
      </c>
      <c r="V545">
        <f>IF(P545="P",0.7780+0.1628*S545+0.2957*Q545-0.1912*R545-0.1512*IF(D545="S",1,0)+0.1600*IF(E545="L",1,0)+0.0091*H545+0.0124*I545+0.0017*J545+T545+U545,-0.8294+0.1849*S545+0.1750*Q545-0.2969*R545+0.6924*IF(D545="S",1,0)+0.0457*IF(E545="L",1,0)+T545+U545)</f>
        <v/>
      </c>
      <c r="W545">
        <f>MAX(0,MIN(16,ROUND(V545,0)))</f>
        <v/>
      </c>
      <c r="X545">
        <f>IFNA(VLOOKUP(W545,Grade_Scale!$A:$B,2,FALSE),"F")</f>
        <v/>
      </c>
      <c r="Z545">
        <f>IF(Y545="","",W545-IFNA(VLOOKUP(Y545,Grade_Scale!$D:$E,2,FALSE),""))</f>
        <v/>
      </c>
    </row>
    <row r="546">
      <c r="P546">
        <f>IF(OR(B546="SP",B546="RP",B546="CP",B546="SP/RP"),"P","H")</f>
        <v/>
      </c>
      <c r="Q546">
        <f>IF(F546="",0,IFNA(VLOOKUP(F546,Trait_Polarity!$A:$C,2,FALSE),0))+IF(G546="",0,IFNA(VLOOKUP(G546,Trait_Polarity!$A:$C,2,FALSE),0))</f>
        <v/>
      </c>
      <c r="R546">
        <f>IF(F546="",0,IFNA(VLOOKUP(F546,Trait_Polarity!$A:$C,3,FALSE),0))+IF(G546="",0,IFNA(VLOOKUP(G546,Trait_Polarity!$A:$C,3,FALSE),0))</f>
        <v/>
      </c>
      <c r="S546">
        <f>IF(P546="P",(M546+N546+O546)/3,0.3*H546+0.3*I546+0.2*J546+0.1*K546+0.1*L546)</f>
        <v/>
      </c>
      <c r="T546">
        <f>IF(P546="P",IFNA(VLOOKUP(B546,Pitcher_RoleAdj!$A:$B,2,FALSE),0),IFNA(VLOOKUP(B546,Hitter_PrimaryAdj!$A:$B,2,FALSE),0))</f>
        <v/>
      </c>
      <c r="U546">
        <f>IFNA(VLOOKUP(IF(C546="","(none)",C546),SecondaryAdj!$A:$B,2,FALSE),0)</f>
        <v/>
      </c>
      <c r="V546">
        <f>IF(P546="P",0.7780+0.1628*S546+0.2957*Q546-0.1912*R546-0.1512*IF(D546="S",1,0)+0.1600*IF(E546="L",1,0)+0.0091*H546+0.0124*I546+0.0017*J546+T546+U546,-0.8294+0.1849*S546+0.1750*Q546-0.2969*R546+0.6924*IF(D546="S",1,0)+0.0457*IF(E546="L",1,0)+T546+U546)</f>
        <v/>
      </c>
      <c r="W546">
        <f>MAX(0,MIN(16,ROUND(V546,0)))</f>
        <v/>
      </c>
      <c r="X546">
        <f>IFNA(VLOOKUP(W546,Grade_Scale!$A:$B,2,FALSE),"F")</f>
        <v/>
      </c>
      <c r="Z546">
        <f>IF(Y546="","",W546-IFNA(VLOOKUP(Y546,Grade_Scale!$D:$E,2,FALSE),""))</f>
        <v/>
      </c>
    </row>
    <row r="547">
      <c r="P547">
        <f>IF(OR(B547="SP",B547="RP",B547="CP",B547="SP/RP"),"P","H")</f>
        <v/>
      </c>
      <c r="Q547">
        <f>IF(F547="",0,IFNA(VLOOKUP(F547,Trait_Polarity!$A:$C,2,FALSE),0))+IF(G547="",0,IFNA(VLOOKUP(G547,Trait_Polarity!$A:$C,2,FALSE),0))</f>
        <v/>
      </c>
      <c r="R547">
        <f>IF(F547="",0,IFNA(VLOOKUP(F547,Trait_Polarity!$A:$C,3,FALSE),0))+IF(G547="",0,IFNA(VLOOKUP(G547,Trait_Polarity!$A:$C,3,FALSE),0))</f>
        <v/>
      </c>
      <c r="S547">
        <f>IF(P547="P",(M547+N547+O547)/3,0.3*H547+0.3*I547+0.2*J547+0.1*K547+0.1*L547)</f>
        <v/>
      </c>
      <c r="T547">
        <f>IF(P547="P",IFNA(VLOOKUP(B547,Pitcher_RoleAdj!$A:$B,2,FALSE),0),IFNA(VLOOKUP(B547,Hitter_PrimaryAdj!$A:$B,2,FALSE),0))</f>
        <v/>
      </c>
      <c r="U547">
        <f>IFNA(VLOOKUP(IF(C547="","(none)",C547),SecondaryAdj!$A:$B,2,FALSE),0)</f>
        <v/>
      </c>
      <c r="V547">
        <f>IF(P547="P",0.7780+0.1628*S547+0.2957*Q547-0.1912*R547-0.1512*IF(D547="S",1,0)+0.1600*IF(E547="L",1,0)+0.0091*H547+0.0124*I547+0.0017*J547+T547+U547,-0.8294+0.1849*S547+0.1750*Q547-0.2969*R547+0.6924*IF(D547="S",1,0)+0.0457*IF(E547="L",1,0)+T547+U547)</f>
        <v/>
      </c>
      <c r="W547">
        <f>MAX(0,MIN(16,ROUND(V547,0)))</f>
        <v/>
      </c>
      <c r="X547">
        <f>IFNA(VLOOKUP(W547,Grade_Scale!$A:$B,2,FALSE),"F")</f>
        <v/>
      </c>
      <c r="Z547">
        <f>IF(Y547="","",W547-IFNA(VLOOKUP(Y547,Grade_Scale!$D:$E,2,FALSE),""))</f>
        <v/>
      </c>
    </row>
    <row r="548">
      <c r="P548">
        <f>IF(OR(B548="SP",B548="RP",B548="CP",B548="SP/RP"),"P","H")</f>
        <v/>
      </c>
      <c r="Q548">
        <f>IF(F548="",0,IFNA(VLOOKUP(F548,Trait_Polarity!$A:$C,2,FALSE),0))+IF(G548="",0,IFNA(VLOOKUP(G548,Trait_Polarity!$A:$C,2,FALSE),0))</f>
        <v/>
      </c>
      <c r="R548">
        <f>IF(F548="",0,IFNA(VLOOKUP(F548,Trait_Polarity!$A:$C,3,FALSE),0))+IF(G548="",0,IFNA(VLOOKUP(G548,Trait_Polarity!$A:$C,3,FALSE),0))</f>
        <v/>
      </c>
      <c r="S548">
        <f>IF(P548="P",(M548+N548+O548)/3,0.3*H548+0.3*I548+0.2*J548+0.1*K548+0.1*L548)</f>
        <v/>
      </c>
      <c r="T548">
        <f>IF(P548="P",IFNA(VLOOKUP(B548,Pitcher_RoleAdj!$A:$B,2,FALSE),0),IFNA(VLOOKUP(B548,Hitter_PrimaryAdj!$A:$B,2,FALSE),0))</f>
        <v/>
      </c>
      <c r="U548">
        <f>IFNA(VLOOKUP(IF(C548="","(none)",C548),SecondaryAdj!$A:$B,2,FALSE),0)</f>
        <v/>
      </c>
      <c r="V548">
        <f>IF(P548="P",0.7780+0.1628*S548+0.2957*Q548-0.1912*R548-0.1512*IF(D548="S",1,0)+0.1600*IF(E548="L",1,0)+0.0091*H548+0.0124*I548+0.0017*J548+T548+U548,-0.8294+0.1849*S548+0.1750*Q548-0.2969*R548+0.6924*IF(D548="S",1,0)+0.0457*IF(E548="L",1,0)+T548+U548)</f>
        <v/>
      </c>
      <c r="W548">
        <f>MAX(0,MIN(16,ROUND(V548,0)))</f>
        <v/>
      </c>
      <c r="X548">
        <f>IFNA(VLOOKUP(W548,Grade_Scale!$A:$B,2,FALSE),"F")</f>
        <v/>
      </c>
      <c r="Z548">
        <f>IF(Y548="","",W548-IFNA(VLOOKUP(Y548,Grade_Scale!$D:$E,2,FALSE),""))</f>
        <v/>
      </c>
    </row>
    <row r="549">
      <c r="P549">
        <f>IF(OR(B549="SP",B549="RP",B549="CP",B549="SP/RP"),"P","H")</f>
        <v/>
      </c>
      <c r="Q549">
        <f>IF(F549="",0,IFNA(VLOOKUP(F549,Trait_Polarity!$A:$C,2,FALSE),0))+IF(G549="",0,IFNA(VLOOKUP(G549,Trait_Polarity!$A:$C,2,FALSE),0))</f>
        <v/>
      </c>
      <c r="R549">
        <f>IF(F549="",0,IFNA(VLOOKUP(F549,Trait_Polarity!$A:$C,3,FALSE),0))+IF(G549="",0,IFNA(VLOOKUP(G549,Trait_Polarity!$A:$C,3,FALSE),0))</f>
        <v/>
      </c>
      <c r="S549">
        <f>IF(P549="P",(M549+N549+O549)/3,0.3*H549+0.3*I549+0.2*J549+0.1*K549+0.1*L549)</f>
        <v/>
      </c>
      <c r="T549">
        <f>IF(P549="P",IFNA(VLOOKUP(B549,Pitcher_RoleAdj!$A:$B,2,FALSE),0),IFNA(VLOOKUP(B549,Hitter_PrimaryAdj!$A:$B,2,FALSE),0))</f>
        <v/>
      </c>
      <c r="U549">
        <f>IFNA(VLOOKUP(IF(C549="","(none)",C549),SecondaryAdj!$A:$B,2,FALSE),0)</f>
        <v/>
      </c>
      <c r="V549">
        <f>IF(P549="P",0.7780+0.1628*S549+0.2957*Q549-0.1912*R549-0.1512*IF(D549="S",1,0)+0.1600*IF(E549="L",1,0)+0.0091*H549+0.0124*I549+0.0017*J549+T549+U549,-0.8294+0.1849*S549+0.1750*Q549-0.2969*R549+0.6924*IF(D549="S",1,0)+0.0457*IF(E549="L",1,0)+T549+U549)</f>
        <v/>
      </c>
      <c r="W549">
        <f>MAX(0,MIN(16,ROUND(V549,0)))</f>
        <v/>
      </c>
      <c r="X549">
        <f>IFNA(VLOOKUP(W549,Grade_Scale!$A:$B,2,FALSE),"F")</f>
        <v/>
      </c>
      <c r="Z549">
        <f>IF(Y549="","",W549-IFNA(VLOOKUP(Y549,Grade_Scale!$D:$E,2,FALSE),""))</f>
        <v/>
      </c>
    </row>
    <row r="550">
      <c r="P550">
        <f>IF(OR(B550="SP",B550="RP",B550="CP",B550="SP/RP"),"P","H")</f>
        <v/>
      </c>
      <c r="Q550">
        <f>IF(F550="",0,IFNA(VLOOKUP(F550,Trait_Polarity!$A:$C,2,FALSE),0))+IF(G550="",0,IFNA(VLOOKUP(G550,Trait_Polarity!$A:$C,2,FALSE),0))</f>
        <v/>
      </c>
      <c r="R550">
        <f>IF(F550="",0,IFNA(VLOOKUP(F550,Trait_Polarity!$A:$C,3,FALSE),0))+IF(G550="",0,IFNA(VLOOKUP(G550,Trait_Polarity!$A:$C,3,FALSE),0))</f>
        <v/>
      </c>
      <c r="S550">
        <f>IF(P550="P",(M550+N550+O550)/3,0.3*H550+0.3*I550+0.2*J550+0.1*K550+0.1*L550)</f>
        <v/>
      </c>
      <c r="T550">
        <f>IF(P550="P",IFNA(VLOOKUP(B550,Pitcher_RoleAdj!$A:$B,2,FALSE),0),IFNA(VLOOKUP(B550,Hitter_PrimaryAdj!$A:$B,2,FALSE),0))</f>
        <v/>
      </c>
      <c r="U550">
        <f>IFNA(VLOOKUP(IF(C550="","(none)",C550),SecondaryAdj!$A:$B,2,FALSE),0)</f>
        <v/>
      </c>
      <c r="V550">
        <f>IF(P550="P",0.7780+0.1628*S550+0.2957*Q550-0.1912*R550-0.1512*IF(D550="S",1,0)+0.1600*IF(E550="L",1,0)+0.0091*H550+0.0124*I550+0.0017*J550+T550+U550,-0.8294+0.1849*S550+0.1750*Q550-0.2969*R550+0.6924*IF(D550="S",1,0)+0.0457*IF(E550="L",1,0)+T550+U550)</f>
        <v/>
      </c>
      <c r="W550">
        <f>MAX(0,MIN(16,ROUND(V550,0)))</f>
        <v/>
      </c>
      <c r="X550">
        <f>IFNA(VLOOKUP(W550,Grade_Scale!$A:$B,2,FALSE),"F")</f>
        <v/>
      </c>
      <c r="Z550">
        <f>IF(Y550="","",W550-IFNA(VLOOKUP(Y550,Grade_Scale!$D:$E,2,FALSE),""))</f>
        <v/>
      </c>
    </row>
    <row r="551">
      <c r="P551">
        <f>IF(OR(B551="SP",B551="RP",B551="CP",B551="SP/RP"),"P","H")</f>
        <v/>
      </c>
      <c r="Q551">
        <f>IF(F551="",0,IFNA(VLOOKUP(F551,Trait_Polarity!$A:$C,2,FALSE),0))+IF(G551="",0,IFNA(VLOOKUP(G551,Trait_Polarity!$A:$C,2,FALSE),0))</f>
        <v/>
      </c>
      <c r="R551">
        <f>IF(F551="",0,IFNA(VLOOKUP(F551,Trait_Polarity!$A:$C,3,FALSE),0))+IF(G551="",0,IFNA(VLOOKUP(G551,Trait_Polarity!$A:$C,3,FALSE),0))</f>
        <v/>
      </c>
      <c r="S551">
        <f>IF(P551="P",(M551+N551+O551)/3,0.3*H551+0.3*I551+0.2*J551+0.1*K551+0.1*L551)</f>
        <v/>
      </c>
      <c r="T551">
        <f>IF(P551="P",IFNA(VLOOKUP(B551,Pitcher_RoleAdj!$A:$B,2,FALSE),0),IFNA(VLOOKUP(B551,Hitter_PrimaryAdj!$A:$B,2,FALSE),0))</f>
        <v/>
      </c>
      <c r="U551">
        <f>IFNA(VLOOKUP(IF(C551="","(none)",C551),SecondaryAdj!$A:$B,2,FALSE),0)</f>
        <v/>
      </c>
      <c r="V551">
        <f>IF(P551="P",0.7780+0.1628*S551+0.2957*Q551-0.1912*R551-0.1512*IF(D551="S",1,0)+0.1600*IF(E551="L",1,0)+0.0091*H551+0.0124*I551+0.0017*J551+T551+U551,-0.8294+0.1849*S551+0.1750*Q551-0.2969*R551+0.6924*IF(D551="S",1,0)+0.0457*IF(E551="L",1,0)+T551+U551)</f>
        <v/>
      </c>
      <c r="W551">
        <f>MAX(0,MIN(16,ROUND(V551,0)))</f>
        <v/>
      </c>
      <c r="X551">
        <f>IFNA(VLOOKUP(W551,Grade_Scale!$A:$B,2,FALSE),"F")</f>
        <v/>
      </c>
      <c r="Z551">
        <f>IF(Y551="","",W551-IFNA(VLOOKUP(Y551,Grade_Scale!$D:$E,2,FALSE),""))</f>
        <v/>
      </c>
    </row>
    <row r="552">
      <c r="P552">
        <f>IF(OR(B552="SP",B552="RP",B552="CP",B552="SP/RP"),"P","H")</f>
        <v/>
      </c>
      <c r="Q552">
        <f>IF(F552="",0,IFNA(VLOOKUP(F552,Trait_Polarity!$A:$C,2,FALSE),0))+IF(G552="",0,IFNA(VLOOKUP(G552,Trait_Polarity!$A:$C,2,FALSE),0))</f>
        <v/>
      </c>
      <c r="R552">
        <f>IF(F552="",0,IFNA(VLOOKUP(F552,Trait_Polarity!$A:$C,3,FALSE),0))+IF(G552="",0,IFNA(VLOOKUP(G552,Trait_Polarity!$A:$C,3,FALSE),0))</f>
        <v/>
      </c>
      <c r="S552">
        <f>IF(P552="P",(M552+N552+O552)/3,0.3*H552+0.3*I552+0.2*J552+0.1*K552+0.1*L552)</f>
        <v/>
      </c>
      <c r="T552">
        <f>IF(P552="P",IFNA(VLOOKUP(B552,Pitcher_RoleAdj!$A:$B,2,FALSE),0),IFNA(VLOOKUP(B552,Hitter_PrimaryAdj!$A:$B,2,FALSE),0))</f>
        <v/>
      </c>
      <c r="U552">
        <f>IFNA(VLOOKUP(IF(C552="","(none)",C552),SecondaryAdj!$A:$B,2,FALSE),0)</f>
        <v/>
      </c>
      <c r="V552">
        <f>IF(P552="P",0.7780+0.1628*S552+0.2957*Q552-0.1912*R552-0.1512*IF(D552="S",1,0)+0.1600*IF(E552="L",1,0)+0.0091*H552+0.0124*I552+0.0017*J552+T552+U552,-0.8294+0.1849*S552+0.1750*Q552-0.2969*R552+0.6924*IF(D552="S",1,0)+0.0457*IF(E552="L",1,0)+T552+U552)</f>
        <v/>
      </c>
      <c r="W552">
        <f>MAX(0,MIN(16,ROUND(V552,0)))</f>
        <v/>
      </c>
      <c r="X552">
        <f>IFNA(VLOOKUP(W552,Grade_Scale!$A:$B,2,FALSE),"F")</f>
        <v/>
      </c>
      <c r="Z552">
        <f>IF(Y552="","",W552-IFNA(VLOOKUP(Y552,Grade_Scale!$D:$E,2,FALSE),""))</f>
        <v/>
      </c>
    </row>
    <row r="553">
      <c r="P553">
        <f>IF(OR(B553="SP",B553="RP",B553="CP",B553="SP/RP"),"P","H")</f>
        <v/>
      </c>
      <c r="Q553">
        <f>IF(F553="",0,IFNA(VLOOKUP(F553,Trait_Polarity!$A:$C,2,FALSE),0))+IF(G553="",0,IFNA(VLOOKUP(G553,Trait_Polarity!$A:$C,2,FALSE),0))</f>
        <v/>
      </c>
      <c r="R553">
        <f>IF(F553="",0,IFNA(VLOOKUP(F553,Trait_Polarity!$A:$C,3,FALSE),0))+IF(G553="",0,IFNA(VLOOKUP(G553,Trait_Polarity!$A:$C,3,FALSE),0))</f>
        <v/>
      </c>
      <c r="S553">
        <f>IF(P553="P",(M553+N553+O553)/3,0.3*H553+0.3*I553+0.2*J553+0.1*K553+0.1*L553)</f>
        <v/>
      </c>
      <c r="T553">
        <f>IF(P553="P",IFNA(VLOOKUP(B553,Pitcher_RoleAdj!$A:$B,2,FALSE),0),IFNA(VLOOKUP(B553,Hitter_PrimaryAdj!$A:$B,2,FALSE),0))</f>
        <v/>
      </c>
      <c r="U553">
        <f>IFNA(VLOOKUP(IF(C553="","(none)",C553),SecondaryAdj!$A:$B,2,FALSE),0)</f>
        <v/>
      </c>
      <c r="V553">
        <f>IF(P553="P",0.7780+0.1628*S553+0.2957*Q553-0.1912*R553-0.1512*IF(D553="S",1,0)+0.1600*IF(E553="L",1,0)+0.0091*H553+0.0124*I553+0.0017*J553+T553+U553,-0.8294+0.1849*S553+0.1750*Q553-0.2969*R553+0.6924*IF(D553="S",1,0)+0.0457*IF(E553="L",1,0)+T553+U553)</f>
        <v/>
      </c>
      <c r="W553">
        <f>MAX(0,MIN(16,ROUND(V553,0)))</f>
        <v/>
      </c>
      <c r="X553">
        <f>IFNA(VLOOKUP(W553,Grade_Scale!$A:$B,2,FALSE),"F")</f>
        <v/>
      </c>
      <c r="Z553">
        <f>IF(Y553="","",W553-IFNA(VLOOKUP(Y553,Grade_Scale!$D:$E,2,FALSE),""))</f>
        <v/>
      </c>
    </row>
    <row r="554">
      <c r="P554">
        <f>IF(OR(B554="SP",B554="RP",B554="CP",B554="SP/RP"),"P","H")</f>
        <v/>
      </c>
      <c r="Q554">
        <f>IF(F554="",0,IFNA(VLOOKUP(F554,Trait_Polarity!$A:$C,2,FALSE),0))+IF(G554="",0,IFNA(VLOOKUP(G554,Trait_Polarity!$A:$C,2,FALSE),0))</f>
        <v/>
      </c>
      <c r="R554">
        <f>IF(F554="",0,IFNA(VLOOKUP(F554,Trait_Polarity!$A:$C,3,FALSE),0))+IF(G554="",0,IFNA(VLOOKUP(G554,Trait_Polarity!$A:$C,3,FALSE),0))</f>
        <v/>
      </c>
      <c r="S554">
        <f>IF(P554="P",(M554+N554+O554)/3,0.3*H554+0.3*I554+0.2*J554+0.1*K554+0.1*L554)</f>
        <v/>
      </c>
      <c r="T554">
        <f>IF(P554="P",IFNA(VLOOKUP(B554,Pitcher_RoleAdj!$A:$B,2,FALSE),0),IFNA(VLOOKUP(B554,Hitter_PrimaryAdj!$A:$B,2,FALSE),0))</f>
        <v/>
      </c>
      <c r="U554">
        <f>IFNA(VLOOKUP(IF(C554="","(none)",C554),SecondaryAdj!$A:$B,2,FALSE),0)</f>
        <v/>
      </c>
      <c r="V554">
        <f>IF(P554="P",0.7780+0.1628*S554+0.2957*Q554-0.1912*R554-0.1512*IF(D554="S",1,0)+0.1600*IF(E554="L",1,0)+0.0091*H554+0.0124*I554+0.0017*J554+T554+U554,-0.8294+0.1849*S554+0.1750*Q554-0.2969*R554+0.6924*IF(D554="S",1,0)+0.0457*IF(E554="L",1,0)+T554+U554)</f>
        <v/>
      </c>
      <c r="W554">
        <f>MAX(0,MIN(16,ROUND(V554,0)))</f>
        <v/>
      </c>
      <c r="X554">
        <f>IFNA(VLOOKUP(W554,Grade_Scale!$A:$B,2,FALSE),"F")</f>
        <v/>
      </c>
      <c r="Z554">
        <f>IF(Y554="","",W554-IFNA(VLOOKUP(Y554,Grade_Scale!$D:$E,2,FALSE),""))</f>
        <v/>
      </c>
    </row>
    <row r="555">
      <c r="P555">
        <f>IF(OR(B555="SP",B555="RP",B555="CP",B555="SP/RP"),"P","H")</f>
        <v/>
      </c>
      <c r="Q555">
        <f>IF(F555="",0,IFNA(VLOOKUP(F555,Trait_Polarity!$A:$C,2,FALSE),0))+IF(G555="",0,IFNA(VLOOKUP(G555,Trait_Polarity!$A:$C,2,FALSE),0))</f>
        <v/>
      </c>
      <c r="R555">
        <f>IF(F555="",0,IFNA(VLOOKUP(F555,Trait_Polarity!$A:$C,3,FALSE),0))+IF(G555="",0,IFNA(VLOOKUP(G555,Trait_Polarity!$A:$C,3,FALSE),0))</f>
        <v/>
      </c>
      <c r="S555">
        <f>IF(P555="P",(M555+N555+O555)/3,0.3*H555+0.3*I555+0.2*J555+0.1*K555+0.1*L555)</f>
        <v/>
      </c>
      <c r="T555">
        <f>IF(P555="P",IFNA(VLOOKUP(B555,Pitcher_RoleAdj!$A:$B,2,FALSE),0),IFNA(VLOOKUP(B555,Hitter_PrimaryAdj!$A:$B,2,FALSE),0))</f>
        <v/>
      </c>
      <c r="U555">
        <f>IFNA(VLOOKUP(IF(C555="","(none)",C555),SecondaryAdj!$A:$B,2,FALSE),0)</f>
        <v/>
      </c>
      <c r="V555">
        <f>IF(P555="P",0.7780+0.1628*S555+0.2957*Q555-0.1912*R555-0.1512*IF(D555="S",1,0)+0.1600*IF(E555="L",1,0)+0.0091*H555+0.0124*I555+0.0017*J555+T555+U555,-0.8294+0.1849*S555+0.1750*Q555-0.2969*R555+0.6924*IF(D555="S",1,0)+0.0457*IF(E555="L",1,0)+T555+U555)</f>
        <v/>
      </c>
      <c r="W555">
        <f>MAX(0,MIN(16,ROUND(V555,0)))</f>
        <v/>
      </c>
      <c r="X555">
        <f>IFNA(VLOOKUP(W555,Grade_Scale!$A:$B,2,FALSE),"F")</f>
        <v/>
      </c>
      <c r="Z555">
        <f>IF(Y555="","",W555-IFNA(VLOOKUP(Y555,Grade_Scale!$D:$E,2,FALSE),""))</f>
        <v/>
      </c>
    </row>
    <row r="556">
      <c r="P556">
        <f>IF(OR(B556="SP",B556="RP",B556="CP",B556="SP/RP"),"P","H")</f>
        <v/>
      </c>
      <c r="Q556">
        <f>IF(F556="",0,IFNA(VLOOKUP(F556,Trait_Polarity!$A:$C,2,FALSE),0))+IF(G556="",0,IFNA(VLOOKUP(G556,Trait_Polarity!$A:$C,2,FALSE),0))</f>
        <v/>
      </c>
      <c r="R556">
        <f>IF(F556="",0,IFNA(VLOOKUP(F556,Trait_Polarity!$A:$C,3,FALSE),0))+IF(G556="",0,IFNA(VLOOKUP(G556,Trait_Polarity!$A:$C,3,FALSE),0))</f>
        <v/>
      </c>
      <c r="S556">
        <f>IF(P556="P",(M556+N556+O556)/3,0.3*H556+0.3*I556+0.2*J556+0.1*K556+0.1*L556)</f>
        <v/>
      </c>
      <c r="T556">
        <f>IF(P556="P",IFNA(VLOOKUP(B556,Pitcher_RoleAdj!$A:$B,2,FALSE),0),IFNA(VLOOKUP(B556,Hitter_PrimaryAdj!$A:$B,2,FALSE),0))</f>
        <v/>
      </c>
      <c r="U556">
        <f>IFNA(VLOOKUP(IF(C556="","(none)",C556),SecondaryAdj!$A:$B,2,FALSE),0)</f>
        <v/>
      </c>
      <c r="V556">
        <f>IF(P556="P",0.7780+0.1628*S556+0.2957*Q556-0.1912*R556-0.1512*IF(D556="S",1,0)+0.1600*IF(E556="L",1,0)+0.0091*H556+0.0124*I556+0.0017*J556+T556+U556,-0.8294+0.1849*S556+0.1750*Q556-0.2969*R556+0.6924*IF(D556="S",1,0)+0.0457*IF(E556="L",1,0)+T556+U556)</f>
        <v/>
      </c>
      <c r="W556">
        <f>MAX(0,MIN(16,ROUND(V556,0)))</f>
        <v/>
      </c>
      <c r="X556">
        <f>IFNA(VLOOKUP(W556,Grade_Scale!$A:$B,2,FALSE),"F")</f>
        <v/>
      </c>
      <c r="Z556">
        <f>IF(Y556="","",W556-IFNA(VLOOKUP(Y556,Grade_Scale!$D:$E,2,FALSE),""))</f>
        <v/>
      </c>
    </row>
    <row r="557">
      <c r="P557">
        <f>IF(OR(B557="SP",B557="RP",B557="CP",B557="SP/RP"),"P","H")</f>
        <v/>
      </c>
      <c r="Q557">
        <f>IF(F557="",0,IFNA(VLOOKUP(F557,Trait_Polarity!$A:$C,2,FALSE),0))+IF(G557="",0,IFNA(VLOOKUP(G557,Trait_Polarity!$A:$C,2,FALSE),0))</f>
        <v/>
      </c>
      <c r="R557">
        <f>IF(F557="",0,IFNA(VLOOKUP(F557,Trait_Polarity!$A:$C,3,FALSE),0))+IF(G557="",0,IFNA(VLOOKUP(G557,Trait_Polarity!$A:$C,3,FALSE),0))</f>
        <v/>
      </c>
      <c r="S557">
        <f>IF(P557="P",(M557+N557+O557)/3,0.3*H557+0.3*I557+0.2*J557+0.1*K557+0.1*L557)</f>
        <v/>
      </c>
      <c r="T557">
        <f>IF(P557="P",IFNA(VLOOKUP(B557,Pitcher_RoleAdj!$A:$B,2,FALSE),0),IFNA(VLOOKUP(B557,Hitter_PrimaryAdj!$A:$B,2,FALSE),0))</f>
        <v/>
      </c>
      <c r="U557">
        <f>IFNA(VLOOKUP(IF(C557="","(none)",C557),SecondaryAdj!$A:$B,2,FALSE),0)</f>
        <v/>
      </c>
      <c r="V557">
        <f>IF(P557="P",0.7780+0.1628*S557+0.2957*Q557-0.1912*R557-0.1512*IF(D557="S",1,0)+0.1600*IF(E557="L",1,0)+0.0091*H557+0.0124*I557+0.0017*J557+T557+U557,-0.8294+0.1849*S557+0.1750*Q557-0.2969*R557+0.6924*IF(D557="S",1,0)+0.0457*IF(E557="L",1,0)+T557+U557)</f>
        <v/>
      </c>
      <c r="W557">
        <f>MAX(0,MIN(16,ROUND(V557,0)))</f>
        <v/>
      </c>
      <c r="X557">
        <f>IFNA(VLOOKUP(W557,Grade_Scale!$A:$B,2,FALSE),"F")</f>
        <v/>
      </c>
      <c r="Z557">
        <f>IF(Y557="","",W557-IFNA(VLOOKUP(Y557,Grade_Scale!$D:$E,2,FALSE),""))</f>
        <v/>
      </c>
    </row>
    <row r="558">
      <c r="P558">
        <f>IF(OR(B558="SP",B558="RP",B558="CP",B558="SP/RP"),"P","H")</f>
        <v/>
      </c>
      <c r="Q558">
        <f>IF(F558="",0,IFNA(VLOOKUP(F558,Trait_Polarity!$A:$C,2,FALSE),0))+IF(G558="",0,IFNA(VLOOKUP(G558,Trait_Polarity!$A:$C,2,FALSE),0))</f>
        <v/>
      </c>
      <c r="R558">
        <f>IF(F558="",0,IFNA(VLOOKUP(F558,Trait_Polarity!$A:$C,3,FALSE),0))+IF(G558="",0,IFNA(VLOOKUP(G558,Trait_Polarity!$A:$C,3,FALSE),0))</f>
        <v/>
      </c>
      <c r="S558">
        <f>IF(P558="P",(M558+N558+O558)/3,0.3*H558+0.3*I558+0.2*J558+0.1*K558+0.1*L558)</f>
        <v/>
      </c>
      <c r="T558">
        <f>IF(P558="P",IFNA(VLOOKUP(B558,Pitcher_RoleAdj!$A:$B,2,FALSE),0),IFNA(VLOOKUP(B558,Hitter_PrimaryAdj!$A:$B,2,FALSE),0))</f>
        <v/>
      </c>
      <c r="U558">
        <f>IFNA(VLOOKUP(IF(C558="","(none)",C558),SecondaryAdj!$A:$B,2,FALSE),0)</f>
        <v/>
      </c>
      <c r="V558">
        <f>IF(P558="P",0.7780+0.1628*S558+0.2957*Q558-0.1912*R558-0.1512*IF(D558="S",1,0)+0.1600*IF(E558="L",1,0)+0.0091*H558+0.0124*I558+0.0017*J558+T558+U558,-0.8294+0.1849*S558+0.1750*Q558-0.2969*R558+0.6924*IF(D558="S",1,0)+0.0457*IF(E558="L",1,0)+T558+U558)</f>
        <v/>
      </c>
      <c r="W558">
        <f>MAX(0,MIN(16,ROUND(V558,0)))</f>
        <v/>
      </c>
      <c r="X558">
        <f>IFNA(VLOOKUP(W558,Grade_Scale!$A:$B,2,FALSE),"F")</f>
        <v/>
      </c>
      <c r="Z558">
        <f>IF(Y558="","",W558-IFNA(VLOOKUP(Y558,Grade_Scale!$D:$E,2,FALSE),""))</f>
        <v/>
      </c>
    </row>
    <row r="559">
      <c r="P559">
        <f>IF(OR(B559="SP",B559="RP",B559="CP",B559="SP/RP"),"P","H")</f>
        <v/>
      </c>
      <c r="Q559">
        <f>IF(F559="",0,IFNA(VLOOKUP(F559,Trait_Polarity!$A:$C,2,FALSE),0))+IF(G559="",0,IFNA(VLOOKUP(G559,Trait_Polarity!$A:$C,2,FALSE),0))</f>
        <v/>
      </c>
      <c r="R559">
        <f>IF(F559="",0,IFNA(VLOOKUP(F559,Trait_Polarity!$A:$C,3,FALSE),0))+IF(G559="",0,IFNA(VLOOKUP(G559,Trait_Polarity!$A:$C,3,FALSE),0))</f>
        <v/>
      </c>
      <c r="S559">
        <f>IF(P559="P",(M559+N559+O559)/3,0.3*H559+0.3*I559+0.2*J559+0.1*K559+0.1*L559)</f>
        <v/>
      </c>
      <c r="T559">
        <f>IF(P559="P",IFNA(VLOOKUP(B559,Pitcher_RoleAdj!$A:$B,2,FALSE),0),IFNA(VLOOKUP(B559,Hitter_PrimaryAdj!$A:$B,2,FALSE),0))</f>
        <v/>
      </c>
      <c r="U559">
        <f>IFNA(VLOOKUP(IF(C559="","(none)",C559),SecondaryAdj!$A:$B,2,FALSE),0)</f>
        <v/>
      </c>
      <c r="V559">
        <f>IF(P559="P",0.7780+0.1628*S559+0.2957*Q559-0.1912*R559-0.1512*IF(D559="S",1,0)+0.1600*IF(E559="L",1,0)+0.0091*H559+0.0124*I559+0.0017*J559+T559+U559,-0.8294+0.1849*S559+0.1750*Q559-0.2969*R559+0.6924*IF(D559="S",1,0)+0.0457*IF(E559="L",1,0)+T559+U559)</f>
        <v/>
      </c>
      <c r="W559">
        <f>MAX(0,MIN(16,ROUND(V559,0)))</f>
        <v/>
      </c>
      <c r="X559">
        <f>IFNA(VLOOKUP(W559,Grade_Scale!$A:$B,2,FALSE),"F")</f>
        <v/>
      </c>
      <c r="Z559">
        <f>IF(Y559="","",W559-IFNA(VLOOKUP(Y559,Grade_Scale!$D:$E,2,FALSE),""))</f>
        <v/>
      </c>
    </row>
    <row r="560">
      <c r="P560">
        <f>IF(OR(B560="SP",B560="RP",B560="CP",B560="SP/RP"),"P","H")</f>
        <v/>
      </c>
      <c r="Q560">
        <f>IF(F560="",0,IFNA(VLOOKUP(F560,Trait_Polarity!$A:$C,2,FALSE),0))+IF(G560="",0,IFNA(VLOOKUP(G560,Trait_Polarity!$A:$C,2,FALSE),0))</f>
        <v/>
      </c>
      <c r="R560">
        <f>IF(F560="",0,IFNA(VLOOKUP(F560,Trait_Polarity!$A:$C,3,FALSE),0))+IF(G560="",0,IFNA(VLOOKUP(G560,Trait_Polarity!$A:$C,3,FALSE),0))</f>
        <v/>
      </c>
      <c r="S560">
        <f>IF(P560="P",(M560+N560+O560)/3,0.3*H560+0.3*I560+0.2*J560+0.1*K560+0.1*L560)</f>
        <v/>
      </c>
      <c r="T560">
        <f>IF(P560="P",IFNA(VLOOKUP(B560,Pitcher_RoleAdj!$A:$B,2,FALSE),0),IFNA(VLOOKUP(B560,Hitter_PrimaryAdj!$A:$B,2,FALSE),0))</f>
        <v/>
      </c>
      <c r="U560">
        <f>IFNA(VLOOKUP(IF(C560="","(none)",C560),SecondaryAdj!$A:$B,2,FALSE),0)</f>
        <v/>
      </c>
      <c r="V560">
        <f>IF(P560="P",0.7780+0.1628*S560+0.2957*Q560-0.1912*R560-0.1512*IF(D560="S",1,0)+0.1600*IF(E560="L",1,0)+0.0091*H560+0.0124*I560+0.0017*J560+T560+U560,-0.8294+0.1849*S560+0.1750*Q560-0.2969*R560+0.6924*IF(D560="S",1,0)+0.0457*IF(E560="L",1,0)+T560+U560)</f>
        <v/>
      </c>
      <c r="W560">
        <f>MAX(0,MIN(16,ROUND(V560,0)))</f>
        <v/>
      </c>
      <c r="X560">
        <f>IFNA(VLOOKUP(W560,Grade_Scale!$A:$B,2,FALSE),"F")</f>
        <v/>
      </c>
      <c r="Z560">
        <f>IF(Y560="","",W560-IFNA(VLOOKUP(Y560,Grade_Scale!$D:$E,2,FALSE),""))</f>
        <v/>
      </c>
    </row>
    <row r="561">
      <c r="P561">
        <f>IF(OR(B561="SP",B561="RP",B561="CP",B561="SP/RP"),"P","H")</f>
        <v/>
      </c>
      <c r="Q561">
        <f>IF(F561="",0,IFNA(VLOOKUP(F561,Trait_Polarity!$A:$C,2,FALSE),0))+IF(G561="",0,IFNA(VLOOKUP(G561,Trait_Polarity!$A:$C,2,FALSE),0))</f>
        <v/>
      </c>
      <c r="R561">
        <f>IF(F561="",0,IFNA(VLOOKUP(F561,Trait_Polarity!$A:$C,3,FALSE),0))+IF(G561="",0,IFNA(VLOOKUP(G561,Trait_Polarity!$A:$C,3,FALSE),0))</f>
        <v/>
      </c>
      <c r="S561">
        <f>IF(P561="P",(M561+N561+O561)/3,0.3*H561+0.3*I561+0.2*J561+0.1*K561+0.1*L561)</f>
        <v/>
      </c>
      <c r="T561">
        <f>IF(P561="P",IFNA(VLOOKUP(B561,Pitcher_RoleAdj!$A:$B,2,FALSE),0),IFNA(VLOOKUP(B561,Hitter_PrimaryAdj!$A:$B,2,FALSE),0))</f>
        <v/>
      </c>
      <c r="U561">
        <f>IFNA(VLOOKUP(IF(C561="","(none)",C561),SecondaryAdj!$A:$B,2,FALSE),0)</f>
        <v/>
      </c>
      <c r="V561">
        <f>IF(P561="P",0.7780+0.1628*S561+0.2957*Q561-0.1912*R561-0.1512*IF(D561="S",1,0)+0.1600*IF(E561="L",1,0)+0.0091*H561+0.0124*I561+0.0017*J561+T561+U561,-0.8294+0.1849*S561+0.1750*Q561-0.2969*R561+0.6924*IF(D561="S",1,0)+0.0457*IF(E561="L",1,0)+T561+U561)</f>
        <v/>
      </c>
      <c r="W561">
        <f>MAX(0,MIN(16,ROUND(V561,0)))</f>
        <v/>
      </c>
      <c r="X561">
        <f>IFNA(VLOOKUP(W561,Grade_Scale!$A:$B,2,FALSE),"F")</f>
        <v/>
      </c>
      <c r="Z561">
        <f>IF(Y561="","",W561-IFNA(VLOOKUP(Y561,Grade_Scale!$D:$E,2,FALSE),""))</f>
        <v/>
      </c>
    </row>
    <row r="562">
      <c r="P562">
        <f>IF(OR(B562="SP",B562="RP",B562="CP",B562="SP/RP"),"P","H")</f>
        <v/>
      </c>
      <c r="Q562">
        <f>IF(F562="",0,IFNA(VLOOKUP(F562,Trait_Polarity!$A:$C,2,FALSE),0))+IF(G562="",0,IFNA(VLOOKUP(G562,Trait_Polarity!$A:$C,2,FALSE),0))</f>
        <v/>
      </c>
      <c r="R562">
        <f>IF(F562="",0,IFNA(VLOOKUP(F562,Trait_Polarity!$A:$C,3,FALSE),0))+IF(G562="",0,IFNA(VLOOKUP(G562,Trait_Polarity!$A:$C,3,FALSE),0))</f>
        <v/>
      </c>
      <c r="S562">
        <f>IF(P562="P",(M562+N562+O562)/3,0.3*H562+0.3*I562+0.2*J562+0.1*K562+0.1*L562)</f>
        <v/>
      </c>
      <c r="T562">
        <f>IF(P562="P",IFNA(VLOOKUP(B562,Pitcher_RoleAdj!$A:$B,2,FALSE),0),IFNA(VLOOKUP(B562,Hitter_PrimaryAdj!$A:$B,2,FALSE),0))</f>
        <v/>
      </c>
      <c r="U562">
        <f>IFNA(VLOOKUP(IF(C562="","(none)",C562),SecondaryAdj!$A:$B,2,FALSE),0)</f>
        <v/>
      </c>
      <c r="V562">
        <f>IF(P562="P",0.7780+0.1628*S562+0.2957*Q562-0.1912*R562-0.1512*IF(D562="S",1,0)+0.1600*IF(E562="L",1,0)+0.0091*H562+0.0124*I562+0.0017*J562+T562+U562,-0.8294+0.1849*S562+0.1750*Q562-0.2969*R562+0.6924*IF(D562="S",1,0)+0.0457*IF(E562="L",1,0)+T562+U562)</f>
        <v/>
      </c>
      <c r="W562">
        <f>MAX(0,MIN(16,ROUND(V562,0)))</f>
        <v/>
      </c>
      <c r="X562">
        <f>IFNA(VLOOKUP(W562,Grade_Scale!$A:$B,2,FALSE),"F")</f>
        <v/>
      </c>
      <c r="Z562">
        <f>IF(Y562="","",W562-IFNA(VLOOKUP(Y562,Grade_Scale!$D:$E,2,FALSE),""))</f>
        <v/>
      </c>
    </row>
    <row r="563">
      <c r="P563">
        <f>IF(OR(B563="SP",B563="RP",B563="CP",B563="SP/RP"),"P","H")</f>
        <v/>
      </c>
      <c r="Q563">
        <f>IF(F563="",0,IFNA(VLOOKUP(F563,Trait_Polarity!$A:$C,2,FALSE),0))+IF(G563="",0,IFNA(VLOOKUP(G563,Trait_Polarity!$A:$C,2,FALSE),0))</f>
        <v/>
      </c>
      <c r="R563">
        <f>IF(F563="",0,IFNA(VLOOKUP(F563,Trait_Polarity!$A:$C,3,FALSE),0))+IF(G563="",0,IFNA(VLOOKUP(G563,Trait_Polarity!$A:$C,3,FALSE),0))</f>
        <v/>
      </c>
      <c r="S563">
        <f>IF(P563="P",(M563+N563+O563)/3,0.3*H563+0.3*I563+0.2*J563+0.1*K563+0.1*L563)</f>
        <v/>
      </c>
      <c r="T563">
        <f>IF(P563="P",IFNA(VLOOKUP(B563,Pitcher_RoleAdj!$A:$B,2,FALSE),0),IFNA(VLOOKUP(B563,Hitter_PrimaryAdj!$A:$B,2,FALSE),0))</f>
        <v/>
      </c>
      <c r="U563">
        <f>IFNA(VLOOKUP(IF(C563="","(none)",C563),SecondaryAdj!$A:$B,2,FALSE),0)</f>
        <v/>
      </c>
      <c r="V563">
        <f>IF(P563="P",0.7780+0.1628*S563+0.2957*Q563-0.1912*R563-0.1512*IF(D563="S",1,0)+0.1600*IF(E563="L",1,0)+0.0091*H563+0.0124*I563+0.0017*J563+T563+U563,-0.8294+0.1849*S563+0.1750*Q563-0.2969*R563+0.6924*IF(D563="S",1,0)+0.0457*IF(E563="L",1,0)+T563+U563)</f>
        <v/>
      </c>
      <c r="W563">
        <f>MAX(0,MIN(16,ROUND(V563,0)))</f>
        <v/>
      </c>
      <c r="X563">
        <f>IFNA(VLOOKUP(W563,Grade_Scale!$A:$B,2,FALSE),"F")</f>
        <v/>
      </c>
      <c r="Z563">
        <f>IF(Y563="","",W563-IFNA(VLOOKUP(Y563,Grade_Scale!$D:$E,2,FALSE),""))</f>
        <v/>
      </c>
    </row>
    <row r="564">
      <c r="P564">
        <f>IF(OR(B564="SP",B564="RP",B564="CP",B564="SP/RP"),"P","H")</f>
        <v/>
      </c>
      <c r="Q564">
        <f>IF(F564="",0,IFNA(VLOOKUP(F564,Trait_Polarity!$A:$C,2,FALSE),0))+IF(G564="",0,IFNA(VLOOKUP(G564,Trait_Polarity!$A:$C,2,FALSE),0))</f>
        <v/>
      </c>
      <c r="R564">
        <f>IF(F564="",0,IFNA(VLOOKUP(F564,Trait_Polarity!$A:$C,3,FALSE),0))+IF(G564="",0,IFNA(VLOOKUP(G564,Trait_Polarity!$A:$C,3,FALSE),0))</f>
        <v/>
      </c>
      <c r="S564">
        <f>IF(P564="P",(M564+N564+O564)/3,0.3*H564+0.3*I564+0.2*J564+0.1*K564+0.1*L564)</f>
        <v/>
      </c>
      <c r="T564">
        <f>IF(P564="P",IFNA(VLOOKUP(B564,Pitcher_RoleAdj!$A:$B,2,FALSE),0),IFNA(VLOOKUP(B564,Hitter_PrimaryAdj!$A:$B,2,FALSE),0))</f>
        <v/>
      </c>
      <c r="U564">
        <f>IFNA(VLOOKUP(IF(C564="","(none)",C564),SecondaryAdj!$A:$B,2,FALSE),0)</f>
        <v/>
      </c>
      <c r="V564">
        <f>IF(P564="P",0.7780+0.1628*S564+0.2957*Q564-0.1912*R564-0.1512*IF(D564="S",1,0)+0.1600*IF(E564="L",1,0)+0.0091*H564+0.0124*I564+0.0017*J564+T564+U564,-0.8294+0.1849*S564+0.1750*Q564-0.2969*R564+0.6924*IF(D564="S",1,0)+0.0457*IF(E564="L",1,0)+T564+U564)</f>
        <v/>
      </c>
      <c r="W564">
        <f>MAX(0,MIN(16,ROUND(V564,0)))</f>
        <v/>
      </c>
      <c r="X564">
        <f>IFNA(VLOOKUP(W564,Grade_Scale!$A:$B,2,FALSE),"F")</f>
        <v/>
      </c>
      <c r="Z564">
        <f>IF(Y564="","",W564-IFNA(VLOOKUP(Y564,Grade_Scale!$D:$E,2,FALSE),""))</f>
        <v/>
      </c>
    </row>
    <row r="565">
      <c r="P565">
        <f>IF(OR(B565="SP",B565="RP",B565="CP",B565="SP/RP"),"P","H")</f>
        <v/>
      </c>
      <c r="Q565">
        <f>IF(F565="",0,IFNA(VLOOKUP(F565,Trait_Polarity!$A:$C,2,FALSE),0))+IF(G565="",0,IFNA(VLOOKUP(G565,Trait_Polarity!$A:$C,2,FALSE),0))</f>
        <v/>
      </c>
      <c r="R565">
        <f>IF(F565="",0,IFNA(VLOOKUP(F565,Trait_Polarity!$A:$C,3,FALSE),0))+IF(G565="",0,IFNA(VLOOKUP(G565,Trait_Polarity!$A:$C,3,FALSE),0))</f>
        <v/>
      </c>
      <c r="S565">
        <f>IF(P565="P",(M565+N565+O565)/3,0.3*H565+0.3*I565+0.2*J565+0.1*K565+0.1*L565)</f>
        <v/>
      </c>
      <c r="T565">
        <f>IF(P565="P",IFNA(VLOOKUP(B565,Pitcher_RoleAdj!$A:$B,2,FALSE),0),IFNA(VLOOKUP(B565,Hitter_PrimaryAdj!$A:$B,2,FALSE),0))</f>
        <v/>
      </c>
      <c r="U565">
        <f>IFNA(VLOOKUP(IF(C565="","(none)",C565),SecondaryAdj!$A:$B,2,FALSE),0)</f>
        <v/>
      </c>
      <c r="V565">
        <f>IF(P565="P",0.7780+0.1628*S565+0.2957*Q565-0.1912*R565-0.1512*IF(D565="S",1,0)+0.1600*IF(E565="L",1,0)+0.0091*H565+0.0124*I565+0.0017*J565+T565+U565,-0.8294+0.1849*S565+0.1750*Q565-0.2969*R565+0.6924*IF(D565="S",1,0)+0.0457*IF(E565="L",1,0)+T565+U565)</f>
        <v/>
      </c>
      <c r="W565">
        <f>MAX(0,MIN(16,ROUND(V565,0)))</f>
        <v/>
      </c>
      <c r="X565">
        <f>IFNA(VLOOKUP(W565,Grade_Scale!$A:$B,2,FALSE),"F")</f>
        <v/>
      </c>
      <c r="Z565">
        <f>IF(Y565="","",W565-IFNA(VLOOKUP(Y565,Grade_Scale!$D:$E,2,FALSE),""))</f>
        <v/>
      </c>
    </row>
    <row r="566">
      <c r="P566">
        <f>IF(OR(B566="SP",B566="RP",B566="CP",B566="SP/RP"),"P","H")</f>
        <v/>
      </c>
      <c r="Q566">
        <f>IF(F566="",0,IFNA(VLOOKUP(F566,Trait_Polarity!$A:$C,2,FALSE),0))+IF(G566="",0,IFNA(VLOOKUP(G566,Trait_Polarity!$A:$C,2,FALSE),0))</f>
        <v/>
      </c>
      <c r="R566">
        <f>IF(F566="",0,IFNA(VLOOKUP(F566,Trait_Polarity!$A:$C,3,FALSE),0))+IF(G566="",0,IFNA(VLOOKUP(G566,Trait_Polarity!$A:$C,3,FALSE),0))</f>
        <v/>
      </c>
      <c r="S566">
        <f>IF(P566="P",(M566+N566+O566)/3,0.3*H566+0.3*I566+0.2*J566+0.1*K566+0.1*L566)</f>
        <v/>
      </c>
      <c r="T566">
        <f>IF(P566="P",IFNA(VLOOKUP(B566,Pitcher_RoleAdj!$A:$B,2,FALSE),0),IFNA(VLOOKUP(B566,Hitter_PrimaryAdj!$A:$B,2,FALSE),0))</f>
        <v/>
      </c>
      <c r="U566">
        <f>IFNA(VLOOKUP(IF(C566="","(none)",C566),SecondaryAdj!$A:$B,2,FALSE),0)</f>
        <v/>
      </c>
      <c r="V566">
        <f>IF(P566="P",0.7780+0.1628*S566+0.2957*Q566-0.1912*R566-0.1512*IF(D566="S",1,0)+0.1600*IF(E566="L",1,0)+0.0091*H566+0.0124*I566+0.0017*J566+T566+U566,-0.8294+0.1849*S566+0.1750*Q566-0.2969*R566+0.6924*IF(D566="S",1,0)+0.0457*IF(E566="L",1,0)+T566+U566)</f>
        <v/>
      </c>
      <c r="W566">
        <f>MAX(0,MIN(16,ROUND(V566,0)))</f>
        <v/>
      </c>
      <c r="X566">
        <f>IFNA(VLOOKUP(W566,Grade_Scale!$A:$B,2,FALSE),"F")</f>
        <v/>
      </c>
      <c r="Z566">
        <f>IF(Y566="","",W566-IFNA(VLOOKUP(Y566,Grade_Scale!$D:$E,2,FALSE),""))</f>
        <v/>
      </c>
    </row>
    <row r="567">
      <c r="P567">
        <f>IF(OR(B567="SP",B567="RP",B567="CP",B567="SP/RP"),"P","H")</f>
        <v/>
      </c>
      <c r="Q567">
        <f>IF(F567="",0,IFNA(VLOOKUP(F567,Trait_Polarity!$A:$C,2,FALSE),0))+IF(G567="",0,IFNA(VLOOKUP(G567,Trait_Polarity!$A:$C,2,FALSE),0))</f>
        <v/>
      </c>
      <c r="R567">
        <f>IF(F567="",0,IFNA(VLOOKUP(F567,Trait_Polarity!$A:$C,3,FALSE),0))+IF(G567="",0,IFNA(VLOOKUP(G567,Trait_Polarity!$A:$C,3,FALSE),0))</f>
        <v/>
      </c>
      <c r="S567">
        <f>IF(P567="P",(M567+N567+O567)/3,0.3*H567+0.3*I567+0.2*J567+0.1*K567+0.1*L567)</f>
        <v/>
      </c>
      <c r="T567">
        <f>IF(P567="P",IFNA(VLOOKUP(B567,Pitcher_RoleAdj!$A:$B,2,FALSE),0),IFNA(VLOOKUP(B567,Hitter_PrimaryAdj!$A:$B,2,FALSE),0))</f>
        <v/>
      </c>
      <c r="U567">
        <f>IFNA(VLOOKUP(IF(C567="","(none)",C567),SecondaryAdj!$A:$B,2,FALSE),0)</f>
        <v/>
      </c>
      <c r="V567">
        <f>IF(P567="P",0.7780+0.1628*S567+0.2957*Q567-0.1912*R567-0.1512*IF(D567="S",1,0)+0.1600*IF(E567="L",1,0)+0.0091*H567+0.0124*I567+0.0017*J567+T567+U567,-0.8294+0.1849*S567+0.1750*Q567-0.2969*R567+0.6924*IF(D567="S",1,0)+0.0457*IF(E567="L",1,0)+T567+U567)</f>
        <v/>
      </c>
      <c r="W567">
        <f>MAX(0,MIN(16,ROUND(V567,0)))</f>
        <v/>
      </c>
      <c r="X567">
        <f>IFNA(VLOOKUP(W567,Grade_Scale!$A:$B,2,FALSE),"F")</f>
        <v/>
      </c>
      <c r="Z567">
        <f>IF(Y567="","",W567-IFNA(VLOOKUP(Y567,Grade_Scale!$D:$E,2,FALSE),""))</f>
        <v/>
      </c>
    </row>
    <row r="568">
      <c r="P568">
        <f>IF(OR(B568="SP",B568="RP",B568="CP",B568="SP/RP"),"P","H")</f>
        <v/>
      </c>
      <c r="Q568">
        <f>IF(F568="",0,IFNA(VLOOKUP(F568,Trait_Polarity!$A:$C,2,FALSE),0))+IF(G568="",0,IFNA(VLOOKUP(G568,Trait_Polarity!$A:$C,2,FALSE),0))</f>
        <v/>
      </c>
      <c r="R568">
        <f>IF(F568="",0,IFNA(VLOOKUP(F568,Trait_Polarity!$A:$C,3,FALSE),0))+IF(G568="",0,IFNA(VLOOKUP(G568,Trait_Polarity!$A:$C,3,FALSE),0))</f>
        <v/>
      </c>
      <c r="S568">
        <f>IF(P568="P",(M568+N568+O568)/3,0.3*H568+0.3*I568+0.2*J568+0.1*K568+0.1*L568)</f>
        <v/>
      </c>
      <c r="T568">
        <f>IF(P568="P",IFNA(VLOOKUP(B568,Pitcher_RoleAdj!$A:$B,2,FALSE),0),IFNA(VLOOKUP(B568,Hitter_PrimaryAdj!$A:$B,2,FALSE),0))</f>
        <v/>
      </c>
      <c r="U568">
        <f>IFNA(VLOOKUP(IF(C568="","(none)",C568),SecondaryAdj!$A:$B,2,FALSE),0)</f>
        <v/>
      </c>
      <c r="V568">
        <f>IF(P568="P",0.7780+0.1628*S568+0.2957*Q568-0.1912*R568-0.1512*IF(D568="S",1,0)+0.1600*IF(E568="L",1,0)+0.0091*H568+0.0124*I568+0.0017*J568+T568+U568,-0.8294+0.1849*S568+0.1750*Q568-0.2969*R568+0.6924*IF(D568="S",1,0)+0.0457*IF(E568="L",1,0)+T568+U568)</f>
        <v/>
      </c>
      <c r="W568">
        <f>MAX(0,MIN(16,ROUND(V568,0)))</f>
        <v/>
      </c>
      <c r="X568">
        <f>IFNA(VLOOKUP(W568,Grade_Scale!$A:$B,2,FALSE),"F")</f>
        <v/>
      </c>
      <c r="Z568">
        <f>IF(Y568="","",W568-IFNA(VLOOKUP(Y568,Grade_Scale!$D:$E,2,FALSE),""))</f>
        <v/>
      </c>
    </row>
    <row r="569">
      <c r="P569">
        <f>IF(OR(B569="SP",B569="RP",B569="CP",B569="SP/RP"),"P","H")</f>
        <v/>
      </c>
      <c r="Q569">
        <f>IF(F569="",0,IFNA(VLOOKUP(F569,Trait_Polarity!$A:$C,2,FALSE),0))+IF(G569="",0,IFNA(VLOOKUP(G569,Trait_Polarity!$A:$C,2,FALSE),0))</f>
        <v/>
      </c>
      <c r="R569">
        <f>IF(F569="",0,IFNA(VLOOKUP(F569,Trait_Polarity!$A:$C,3,FALSE),0))+IF(G569="",0,IFNA(VLOOKUP(G569,Trait_Polarity!$A:$C,3,FALSE),0))</f>
        <v/>
      </c>
      <c r="S569">
        <f>IF(P569="P",(M569+N569+O569)/3,0.3*H569+0.3*I569+0.2*J569+0.1*K569+0.1*L569)</f>
        <v/>
      </c>
      <c r="T569">
        <f>IF(P569="P",IFNA(VLOOKUP(B569,Pitcher_RoleAdj!$A:$B,2,FALSE),0),IFNA(VLOOKUP(B569,Hitter_PrimaryAdj!$A:$B,2,FALSE),0))</f>
        <v/>
      </c>
      <c r="U569">
        <f>IFNA(VLOOKUP(IF(C569="","(none)",C569),SecondaryAdj!$A:$B,2,FALSE),0)</f>
        <v/>
      </c>
      <c r="V569">
        <f>IF(P569="P",0.7780+0.1628*S569+0.2957*Q569-0.1912*R569-0.1512*IF(D569="S",1,0)+0.1600*IF(E569="L",1,0)+0.0091*H569+0.0124*I569+0.0017*J569+T569+U569,-0.8294+0.1849*S569+0.1750*Q569-0.2969*R569+0.6924*IF(D569="S",1,0)+0.0457*IF(E569="L",1,0)+T569+U569)</f>
        <v/>
      </c>
      <c r="W569">
        <f>MAX(0,MIN(16,ROUND(V569,0)))</f>
        <v/>
      </c>
      <c r="X569">
        <f>IFNA(VLOOKUP(W569,Grade_Scale!$A:$B,2,FALSE),"F")</f>
        <v/>
      </c>
      <c r="Z569">
        <f>IF(Y569="","",W569-IFNA(VLOOKUP(Y569,Grade_Scale!$D:$E,2,FALSE),""))</f>
        <v/>
      </c>
    </row>
    <row r="570">
      <c r="P570">
        <f>IF(OR(B570="SP",B570="RP",B570="CP",B570="SP/RP"),"P","H")</f>
        <v/>
      </c>
      <c r="Q570">
        <f>IF(F570="",0,IFNA(VLOOKUP(F570,Trait_Polarity!$A:$C,2,FALSE),0))+IF(G570="",0,IFNA(VLOOKUP(G570,Trait_Polarity!$A:$C,2,FALSE),0))</f>
        <v/>
      </c>
      <c r="R570">
        <f>IF(F570="",0,IFNA(VLOOKUP(F570,Trait_Polarity!$A:$C,3,FALSE),0))+IF(G570="",0,IFNA(VLOOKUP(G570,Trait_Polarity!$A:$C,3,FALSE),0))</f>
        <v/>
      </c>
      <c r="S570">
        <f>IF(P570="P",(M570+N570+O570)/3,0.3*H570+0.3*I570+0.2*J570+0.1*K570+0.1*L570)</f>
        <v/>
      </c>
      <c r="T570">
        <f>IF(P570="P",IFNA(VLOOKUP(B570,Pitcher_RoleAdj!$A:$B,2,FALSE),0),IFNA(VLOOKUP(B570,Hitter_PrimaryAdj!$A:$B,2,FALSE),0))</f>
        <v/>
      </c>
      <c r="U570">
        <f>IFNA(VLOOKUP(IF(C570="","(none)",C570),SecondaryAdj!$A:$B,2,FALSE),0)</f>
        <v/>
      </c>
      <c r="V570">
        <f>IF(P570="P",0.7780+0.1628*S570+0.2957*Q570-0.1912*R570-0.1512*IF(D570="S",1,0)+0.1600*IF(E570="L",1,0)+0.0091*H570+0.0124*I570+0.0017*J570+T570+U570,-0.8294+0.1849*S570+0.1750*Q570-0.2969*R570+0.6924*IF(D570="S",1,0)+0.0457*IF(E570="L",1,0)+T570+U570)</f>
        <v/>
      </c>
      <c r="W570">
        <f>MAX(0,MIN(16,ROUND(V570,0)))</f>
        <v/>
      </c>
      <c r="X570">
        <f>IFNA(VLOOKUP(W570,Grade_Scale!$A:$B,2,FALSE),"F")</f>
        <v/>
      </c>
      <c r="Z570">
        <f>IF(Y570="","",W570-IFNA(VLOOKUP(Y570,Grade_Scale!$D:$E,2,FALSE),""))</f>
        <v/>
      </c>
    </row>
    <row r="571">
      <c r="P571">
        <f>IF(OR(B571="SP",B571="RP",B571="CP",B571="SP/RP"),"P","H")</f>
        <v/>
      </c>
      <c r="Q571">
        <f>IF(F571="",0,IFNA(VLOOKUP(F571,Trait_Polarity!$A:$C,2,FALSE),0))+IF(G571="",0,IFNA(VLOOKUP(G571,Trait_Polarity!$A:$C,2,FALSE),0))</f>
        <v/>
      </c>
      <c r="R571">
        <f>IF(F571="",0,IFNA(VLOOKUP(F571,Trait_Polarity!$A:$C,3,FALSE),0))+IF(G571="",0,IFNA(VLOOKUP(G571,Trait_Polarity!$A:$C,3,FALSE),0))</f>
        <v/>
      </c>
      <c r="S571">
        <f>IF(P571="P",(M571+N571+O571)/3,0.3*H571+0.3*I571+0.2*J571+0.1*K571+0.1*L571)</f>
        <v/>
      </c>
      <c r="T571">
        <f>IF(P571="P",IFNA(VLOOKUP(B571,Pitcher_RoleAdj!$A:$B,2,FALSE),0),IFNA(VLOOKUP(B571,Hitter_PrimaryAdj!$A:$B,2,FALSE),0))</f>
        <v/>
      </c>
      <c r="U571">
        <f>IFNA(VLOOKUP(IF(C571="","(none)",C571),SecondaryAdj!$A:$B,2,FALSE),0)</f>
        <v/>
      </c>
      <c r="V571">
        <f>IF(P571="P",0.7780+0.1628*S571+0.2957*Q571-0.1912*R571-0.1512*IF(D571="S",1,0)+0.1600*IF(E571="L",1,0)+0.0091*H571+0.0124*I571+0.0017*J571+T571+U571,-0.8294+0.1849*S571+0.1750*Q571-0.2969*R571+0.6924*IF(D571="S",1,0)+0.0457*IF(E571="L",1,0)+T571+U571)</f>
        <v/>
      </c>
      <c r="W571">
        <f>MAX(0,MIN(16,ROUND(V571,0)))</f>
        <v/>
      </c>
      <c r="X571">
        <f>IFNA(VLOOKUP(W571,Grade_Scale!$A:$B,2,FALSE),"F")</f>
        <v/>
      </c>
      <c r="Z571">
        <f>IF(Y571="","",W571-IFNA(VLOOKUP(Y571,Grade_Scale!$D:$E,2,FALSE),""))</f>
        <v/>
      </c>
    </row>
    <row r="572">
      <c r="P572">
        <f>IF(OR(B572="SP",B572="RP",B572="CP",B572="SP/RP"),"P","H")</f>
        <v/>
      </c>
      <c r="Q572">
        <f>IF(F572="",0,IFNA(VLOOKUP(F572,Trait_Polarity!$A:$C,2,FALSE),0))+IF(G572="",0,IFNA(VLOOKUP(G572,Trait_Polarity!$A:$C,2,FALSE),0))</f>
        <v/>
      </c>
      <c r="R572">
        <f>IF(F572="",0,IFNA(VLOOKUP(F572,Trait_Polarity!$A:$C,3,FALSE),0))+IF(G572="",0,IFNA(VLOOKUP(G572,Trait_Polarity!$A:$C,3,FALSE),0))</f>
        <v/>
      </c>
      <c r="S572">
        <f>IF(P572="P",(M572+N572+O572)/3,0.3*H572+0.3*I572+0.2*J572+0.1*K572+0.1*L572)</f>
        <v/>
      </c>
      <c r="T572">
        <f>IF(P572="P",IFNA(VLOOKUP(B572,Pitcher_RoleAdj!$A:$B,2,FALSE),0),IFNA(VLOOKUP(B572,Hitter_PrimaryAdj!$A:$B,2,FALSE),0))</f>
        <v/>
      </c>
      <c r="U572">
        <f>IFNA(VLOOKUP(IF(C572="","(none)",C572),SecondaryAdj!$A:$B,2,FALSE),0)</f>
        <v/>
      </c>
      <c r="V572">
        <f>IF(P572="P",0.7780+0.1628*S572+0.2957*Q572-0.1912*R572-0.1512*IF(D572="S",1,0)+0.1600*IF(E572="L",1,0)+0.0091*H572+0.0124*I572+0.0017*J572+T572+U572,-0.8294+0.1849*S572+0.1750*Q572-0.2969*R572+0.6924*IF(D572="S",1,0)+0.0457*IF(E572="L",1,0)+T572+U572)</f>
        <v/>
      </c>
      <c r="W572">
        <f>MAX(0,MIN(16,ROUND(V572,0)))</f>
        <v/>
      </c>
      <c r="X572">
        <f>IFNA(VLOOKUP(W572,Grade_Scale!$A:$B,2,FALSE),"F")</f>
        <v/>
      </c>
      <c r="Z572">
        <f>IF(Y572="","",W572-IFNA(VLOOKUP(Y572,Grade_Scale!$D:$E,2,FALSE),""))</f>
        <v/>
      </c>
    </row>
    <row r="573">
      <c r="P573">
        <f>IF(OR(B573="SP",B573="RP",B573="CP",B573="SP/RP"),"P","H")</f>
        <v/>
      </c>
      <c r="Q573">
        <f>IF(F573="",0,IFNA(VLOOKUP(F573,Trait_Polarity!$A:$C,2,FALSE),0))+IF(G573="",0,IFNA(VLOOKUP(G573,Trait_Polarity!$A:$C,2,FALSE),0))</f>
        <v/>
      </c>
      <c r="R573">
        <f>IF(F573="",0,IFNA(VLOOKUP(F573,Trait_Polarity!$A:$C,3,FALSE),0))+IF(G573="",0,IFNA(VLOOKUP(G573,Trait_Polarity!$A:$C,3,FALSE),0))</f>
        <v/>
      </c>
      <c r="S573">
        <f>IF(P573="P",(M573+N573+O573)/3,0.3*H573+0.3*I573+0.2*J573+0.1*K573+0.1*L573)</f>
        <v/>
      </c>
      <c r="T573">
        <f>IF(P573="P",IFNA(VLOOKUP(B573,Pitcher_RoleAdj!$A:$B,2,FALSE),0),IFNA(VLOOKUP(B573,Hitter_PrimaryAdj!$A:$B,2,FALSE),0))</f>
        <v/>
      </c>
      <c r="U573">
        <f>IFNA(VLOOKUP(IF(C573="","(none)",C573),SecondaryAdj!$A:$B,2,FALSE),0)</f>
        <v/>
      </c>
      <c r="V573">
        <f>IF(P573="P",0.7780+0.1628*S573+0.2957*Q573-0.1912*R573-0.1512*IF(D573="S",1,0)+0.1600*IF(E573="L",1,0)+0.0091*H573+0.0124*I573+0.0017*J573+T573+U573,-0.8294+0.1849*S573+0.1750*Q573-0.2969*R573+0.6924*IF(D573="S",1,0)+0.0457*IF(E573="L",1,0)+T573+U573)</f>
        <v/>
      </c>
      <c r="W573">
        <f>MAX(0,MIN(16,ROUND(V573,0)))</f>
        <v/>
      </c>
      <c r="X573">
        <f>IFNA(VLOOKUP(W573,Grade_Scale!$A:$B,2,FALSE),"F")</f>
        <v/>
      </c>
      <c r="Z573">
        <f>IF(Y573="","",W573-IFNA(VLOOKUP(Y573,Grade_Scale!$D:$E,2,FALSE),""))</f>
        <v/>
      </c>
    </row>
    <row r="574">
      <c r="P574">
        <f>IF(OR(B574="SP",B574="RP",B574="CP",B574="SP/RP"),"P","H")</f>
        <v/>
      </c>
      <c r="Q574">
        <f>IF(F574="",0,IFNA(VLOOKUP(F574,Trait_Polarity!$A:$C,2,FALSE),0))+IF(G574="",0,IFNA(VLOOKUP(G574,Trait_Polarity!$A:$C,2,FALSE),0))</f>
        <v/>
      </c>
      <c r="R574">
        <f>IF(F574="",0,IFNA(VLOOKUP(F574,Trait_Polarity!$A:$C,3,FALSE),0))+IF(G574="",0,IFNA(VLOOKUP(G574,Trait_Polarity!$A:$C,3,FALSE),0))</f>
        <v/>
      </c>
      <c r="S574">
        <f>IF(P574="P",(M574+N574+O574)/3,0.3*H574+0.3*I574+0.2*J574+0.1*K574+0.1*L574)</f>
        <v/>
      </c>
      <c r="T574">
        <f>IF(P574="P",IFNA(VLOOKUP(B574,Pitcher_RoleAdj!$A:$B,2,FALSE),0),IFNA(VLOOKUP(B574,Hitter_PrimaryAdj!$A:$B,2,FALSE),0))</f>
        <v/>
      </c>
      <c r="U574">
        <f>IFNA(VLOOKUP(IF(C574="","(none)",C574),SecondaryAdj!$A:$B,2,FALSE),0)</f>
        <v/>
      </c>
      <c r="V574">
        <f>IF(P574="P",0.7780+0.1628*S574+0.2957*Q574-0.1912*R574-0.1512*IF(D574="S",1,0)+0.1600*IF(E574="L",1,0)+0.0091*H574+0.0124*I574+0.0017*J574+T574+U574,-0.8294+0.1849*S574+0.1750*Q574-0.2969*R574+0.6924*IF(D574="S",1,0)+0.0457*IF(E574="L",1,0)+T574+U574)</f>
        <v/>
      </c>
      <c r="W574">
        <f>MAX(0,MIN(16,ROUND(V574,0)))</f>
        <v/>
      </c>
      <c r="X574">
        <f>IFNA(VLOOKUP(W574,Grade_Scale!$A:$B,2,FALSE),"F")</f>
        <v/>
      </c>
      <c r="Z574">
        <f>IF(Y574="","",W574-IFNA(VLOOKUP(Y574,Grade_Scale!$D:$E,2,FALSE),""))</f>
        <v/>
      </c>
    </row>
    <row r="575">
      <c r="P575">
        <f>IF(OR(B575="SP",B575="RP",B575="CP",B575="SP/RP"),"P","H")</f>
        <v/>
      </c>
      <c r="Q575">
        <f>IF(F575="",0,IFNA(VLOOKUP(F575,Trait_Polarity!$A:$C,2,FALSE),0))+IF(G575="",0,IFNA(VLOOKUP(G575,Trait_Polarity!$A:$C,2,FALSE),0))</f>
        <v/>
      </c>
      <c r="R575">
        <f>IF(F575="",0,IFNA(VLOOKUP(F575,Trait_Polarity!$A:$C,3,FALSE),0))+IF(G575="",0,IFNA(VLOOKUP(G575,Trait_Polarity!$A:$C,3,FALSE),0))</f>
        <v/>
      </c>
      <c r="S575">
        <f>IF(P575="P",(M575+N575+O575)/3,0.3*H575+0.3*I575+0.2*J575+0.1*K575+0.1*L575)</f>
        <v/>
      </c>
      <c r="T575">
        <f>IF(P575="P",IFNA(VLOOKUP(B575,Pitcher_RoleAdj!$A:$B,2,FALSE),0),IFNA(VLOOKUP(B575,Hitter_PrimaryAdj!$A:$B,2,FALSE),0))</f>
        <v/>
      </c>
      <c r="U575">
        <f>IFNA(VLOOKUP(IF(C575="","(none)",C575),SecondaryAdj!$A:$B,2,FALSE),0)</f>
        <v/>
      </c>
      <c r="V575">
        <f>IF(P575="P",0.7780+0.1628*S575+0.2957*Q575-0.1912*R575-0.1512*IF(D575="S",1,0)+0.1600*IF(E575="L",1,0)+0.0091*H575+0.0124*I575+0.0017*J575+T575+U575,-0.8294+0.1849*S575+0.1750*Q575-0.2969*R575+0.6924*IF(D575="S",1,0)+0.0457*IF(E575="L",1,0)+T575+U575)</f>
        <v/>
      </c>
      <c r="W575">
        <f>MAX(0,MIN(16,ROUND(V575,0)))</f>
        <v/>
      </c>
      <c r="X575">
        <f>IFNA(VLOOKUP(W575,Grade_Scale!$A:$B,2,FALSE),"F")</f>
        <v/>
      </c>
      <c r="Z575">
        <f>IF(Y575="","",W575-IFNA(VLOOKUP(Y575,Grade_Scale!$D:$E,2,FALSE),""))</f>
        <v/>
      </c>
    </row>
    <row r="576">
      <c r="P576">
        <f>IF(OR(B576="SP",B576="RP",B576="CP",B576="SP/RP"),"P","H")</f>
        <v/>
      </c>
      <c r="Q576">
        <f>IF(F576="",0,IFNA(VLOOKUP(F576,Trait_Polarity!$A:$C,2,FALSE),0))+IF(G576="",0,IFNA(VLOOKUP(G576,Trait_Polarity!$A:$C,2,FALSE),0))</f>
        <v/>
      </c>
      <c r="R576">
        <f>IF(F576="",0,IFNA(VLOOKUP(F576,Trait_Polarity!$A:$C,3,FALSE),0))+IF(G576="",0,IFNA(VLOOKUP(G576,Trait_Polarity!$A:$C,3,FALSE),0))</f>
        <v/>
      </c>
      <c r="S576">
        <f>IF(P576="P",(M576+N576+O576)/3,0.3*H576+0.3*I576+0.2*J576+0.1*K576+0.1*L576)</f>
        <v/>
      </c>
      <c r="T576">
        <f>IF(P576="P",IFNA(VLOOKUP(B576,Pitcher_RoleAdj!$A:$B,2,FALSE),0),IFNA(VLOOKUP(B576,Hitter_PrimaryAdj!$A:$B,2,FALSE),0))</f>
        <v/>
      </c>
      <c r="U576">
        <f>IFNA(VLOOKUP(IF(C576="","(none)",C576),SecondaryAdj!$A:$B,2,FALSE),0)</f>
        <v/>
      </c>
      <c r="V576">
        <f>IF(P576="P",0.7780+0.1628*S576+0.2957*Q576-0.1912*R576-0.1512*IF(D576="S",1,0)+0.1600*IF(E576="L",1,0)+0.0091*H576+0.0124*I576+0.0017*J576+T576+U576,-0.8294+0.1849*S576+0.1750*Q576-0.2969*R576+0.6924*IF(D576="S",1,0)+0.0457*IF(E576="L",1,0)+T576+U576)</f>
        <v/>
      </c>
      <c r="W576">
        <f>MAX(0,MIN(16,ROUND(V576,0)))</f>
        <v/>
      </c>
      <c r="X576">
        <f>IFNA(VLOOKUP(W576,Grade_Scale!$A:$B,2,FALSE),"F")</f>
        <v/>
      </c>
      <c r="Z576">
        <f>IF(Y576="","",W576-IFNA(VLOOKUP(Y576,Grade_Scale!$D:$E,2,FALSE),""))</f>
        <v/>
      </c>
    </row>
    <row r="577">
      <c r="P577">
        <f>IF(OR(B577="SP",B577="RP",B577="CP",B577="SP/RP"),"P","H")</f>
        <v/>
      </c>
      <c r="Q577">
        <f>IF(F577="",0,IFNA(VLOOKUP(F577,Trait_Polarity!$A:$C,2,FALSE),0))+IF(G577="",0,IFNA(VLOOKUP(G577,Trait_Polarity!$A:$C,2,FALSE),0))</f>
        <v/>
      </c>
      <c r="R577">
        <f>IF(F577="",0,IFNA(VLOOKUP(F577,Trait_Polarity!$A:$C,3,FALSE),0))+IF(G577="",0,IFNA(VLOOKUP(G577,Trait_Polarity!$A:$C,3,FALSE),0))</f>
        <v/>
      </c>
      <c r="S577">
        <f>IF(P577="P",(M577+N577+O577)/3,0.3*H577+0.3*I577+0.2*J577+0.1*K577+0.1*L577)</f>
        <v/>
      </c>
      <c r="T577">
        <f>IF(P577="P",IFNA(VLOOKUP(B577,Pitcher_RoleAdj!$A:$B,2,FALSE),0),IFNA(VLOOKUP(B577,Hitter_PrimaryAdj!$A:$B,2,FALSE),0))</f>
        <v/>
      </c>
      <c r="U577">
        <f>IFNA(VLOOKUP(IF(C577="","(none)",C577),SecondaryAdj!$A:$B,2,FALSE),0)</f>
        <v/>
      </c>
      <c r="V577">
        <f>IF(P577="P",0.7780+0.1628*S577+0.2957*Q577-0.1912*R577-0.1512*IF(D577="S",1,0)+0.1600*IF(E577="L",1,0)+0.0091*H577+0.0124*I577+0.0017*J577+T577+U577,-0.8294+0.1849*S577+0.1750*Q577-0.2969*R577+0.6924*IF(D577="S",1,0)+0.0457*IF(E577="L",1,0)+T577+U577)</f>
        <v/>
      </c>
      <c r="W577">
        <f>MAX(0,MIN(16,ROUND(V577,0)))</f>
        <v/>
      </c>
      <c r="X577">
        <f>IFNA(VLOOKUP(W577,Grade_Scale!$A:$B,2,FALSE),"F")</f>
        <v/>
      </c>
      <c r="Z577">
        <f>IF(Y577="","",W577-IFNA(VLOOKUP(Y577,Grade_Scale!$D:$E,2,FALSE),""))</f>
        <v/>
      </c>
    </row>
    <row r="578">
      <c r="P578">
        <f>IF(OR(B578="SP",B578="RP",B578="CP",B578="SP/RP"),"P","H")</f>
        <v/>
      </c>
      <c r="Q578">
        <f>IF(F578="",0,IFNA(VLOOKUP(F578,Trait_Polarity!$A:$C,2,FALSE),0))+IF(G578="",0,IFNA(VLOOKUP(G578,Trait_Polarity!$A:$C,2,FALSE),0))</f>
        <v/>
      </c>
      <c r="R578">
        <f>IF(F578="",0,IFNA(VLOOKUP(F578,Trait_Polarity!$A:$C,3,FALSE),0))+IF(G578="",0,IFNA(VLOOKUP(G578,Trait_Polarity!$A:$C,3,FALSE),0))</f>
        <v/>
      </c>
      <c r="S578">
        <f>IF(P578="P",(M578+N578+O578)/3,0.3*H578+0.3*I578+0.2*J578+0.1*K578+0.1*L578)</f>
        <v/>
      </c>
      <c r="T578">
        <f>IF(P578="P",IFNA(VLOOKUP(B578,Pitcher_RoleAdj!$A:$B,2,FALSE),0),IFNA(VLOOKUP(B578,Hitter_PrimaryAdj!$A:$B,2,FALSE),0))</f>
        <v/>
      </c>
      <c r="U578">
        <f>IFNA(VLOOKUP(IF(C578="","(none)",C578),SecondaryAdj!$A:$B,2,FALSE),0)</f>
        <v/>
      </c>
      <c r="V578">
        <f>IF(P578="P",0.7780+0.1628*S578+0.2957*Q578-0.1912*R578-0.1512*IF(D578="S",1,0)+0.1600*IF(E578="L",1,0)+0.0091*H578+0.0124*I578+0.0017*J578+T578+U578,-0.8294+0.1849*S578+0.1750*Q578-0.2969*R578+0.6924*IF(D578="S",1,0)+0.0457*IF(E578="L",1,0)+T578+U578)</f>
        <v/>
      </c>
      <c r="W578">
        <f>MAX(0,MIN(16,ROUND(V578,0)))</f>
        <v/>
      </c>
      <c r="X578">
        <f>IFNA(VLOOKUP(W578,Grade_Scale!$A:$B,2,FALSE),"F")</f>
        <v/>
      </c>
      <c r="Z578">
        <f>IF(Y578="","",W578-IFNA(VLOOKUP(Y578,Grade_Scale!$D:$E,2,FALSE),""))</f>
        <v/>
      </c>
    </row>
    <row r="579">
      <c r="P579">
        <f>IF(OR(B579="SP",B579="RP",B579="CP",B579="SP/RP"),"P","H")</f>
        <v/>
      </c>
      <c r="Q579">
        <f>IF(F579="",0,IFNA(VLOOKUP(F579,Trait_Polarity!$A:$C,2,FALSE),0))+IF(G579="",0,IFNA(VLOOKUP(G579,Trait_Polarity!$A:$C,2,FALSE),0))</f>
        <v/>
      </c>
      <c r="R579">
        <f>IF(F579="",0,IFNA(VLOOKUP(F579,Trait_Polarity!$A:$C,3,FALSE),0))+IF(G579="",0,IFNA(VLOOKUP(G579,Trait_Polarity!$A:$C,3,FALSE),0))</f>
        <v/>
      </c>
      <c r="S579">
        <f>IF(P579="P",(M579+N579+O579)/3,0.3*H579+0.3*I579+0.2*J579+0.1*K579+0.1*L579)</f>
        <v/>
      </c>
      <c r="T579">
        <f>IF(P579="P",IFNA(VLOOKUP(B579,Pitcher_RoleAdj!$A:$B,2,FALSE),0),IFNA(VLOOKUP(B579,Hitter_PrimaryAdj!$A:$B,2,FALSE),0))</f>
        <v/>
      </c>
      <c r="U579">
        <f>IFNA(VLOOKUP(IF(C579="","(none)",C579),SecondaryAdj!$A:$B,2,FALSE),0)</f>
        <v/>
      </c>
      <c r="V579">
        <f>IF(P579="P",0.7780+0.1628*S579+0.2957*Q579-0.1912*R579-0.1512*IF(D579="S",1,0)+0.1600*IF(E579="L",1,0)+0.0091*H579+0.0124*I579+0.0017*J579+T579+U579,-0.8294+0.1849*S579+0.1750*Q579-0.2969*R579+0.6924*IF(D579="S",1,0)+0.0457*IF(E579="L",1,0)+T579+U579)</f>
        <v/>
      </c>
      <c r="W579">
        <f>MAX(0,MIN(16,ROUND(V579,0)))</f>
        <v/>
      </c>
      <c r="X579">
        <f>IFNA(VLOOKUP(W579,Grade_Scale!$A:$B,2,FALSE),"F")</f>
        <v/>
      </c>
      <c r="Z579">
        <f>IF(Y579="","",W579-IFNA(VLOOKUP(Y579,Grade_Scale!$D:$E,2,FALSE),""))</f>
        <v/>
      </c>
    </row>
    <row r="580">
      <c r="P580">
        <f>IF(OR(B580="SP",B580="RP",B580="CP",B580="SP/RP"),"P","H")</f>
        <v/>
      </c>
      <c r="Q580">
        <f>IF(F580="",0,IFNA(VLOOKUP(F580,Trait_Polarity!$A:$C,2,FALSE),0))+IF(G580="",0,IFNA(VLOOKUP(G580,Trait_Polarity!$A:$C,2,FALSE),0))</f>
        <v/>
      </c>
      <c r="R580">
        <f>IF(F580="",0,IFNA(VLOOKUP(F580,Trait_Polarity!$A:$C,3,FALSE),0))+IF(G580="",0,IFNA(VLOOKUP(G580,Trait_Polarity!$A:$C,3,FALSE),0))</f>
        <v/>
      </c>
      <c r="S580">
        <f>IF(P580="P",(M580+N580+O580)/3,0.3*H580+0.3*I580+0.2*J580+0.1*K580+0.1*L580)</f>
        <v/>
      </c>
      <c r="T580">
        <f>IF(P580="P",IFNA(VLOOKUP(B580,Pitcher_RoleAdj!$A:$B,2,FALSE),0),IFNA(VLOOKUP(B580,Hitter_PrimaryAdj!$A:$B,2,FALSE),0))</f>
        <v/>
      </c>
      <c r="U580">
        <f>IFNA(VLOOKUP(IF(C580="","(none)",C580),SecondaryAdj!$A:$B,2,FALSE),0)</f>
        <v/>
      </c>
      <c r="V580">
        <f>IF(P580="P",0.7780+0.1628*S580+0.2957*Q580-0.1912*R580-0.1512*IF(D580="S",1,0)+0.1600*IF(E580="L",1,0)+0.0091*H580+0.0124*I580+0.0017*J580+T580+U580,-0.8294+0.1849*S580+0.1750*Q580-0.2969*R580+0.6924*IF(D580="S",1,0)+0.0457*IF(E580="L",1,0)+T580+U580)</f>
        <v/>
      </c>
      <c r="W580">
        <f>MAX(0,MIN(16,ROUND(V580,0)))</f>
        <v/>
      </c>
      <c r="X580">
        <f>IFNA(VLOOKUP(W580,Grade_Scale!$A:$B,2,FALSE),"F")</f>
        <v/>
      </c>
      <c r="Z580">
        <f>IF(Y580="","",W580-IFNA(VLOOKUP(Y580,Grade_Scale!$D:$E,2,FALSE),""))</f>
        <v/>
      </c>
    </row>
    <row r="581">
      <c r="P581">
        <f>IF(OR(B581="SP",B581="RP",B581="CP",B581="SP/RP"),"P","H")</f>
        <v/>
      </c>
      <c r="Q581">
        <f>IF(F581="",0,IFNA(VLOOKUP(F581,Trait_Polarity!$A:$C,2,FALSE),0))+IF(G581="",0,IFNA(VLOOKUP(G581,Trait_Polarity!$A:$C,2,FALSE),0))</f>
        <v/>
      </c>
      <c r="R581">
        <f>IF(F581="",0,IFNA(VLOOKUP(F581,Trait_Polarity!$A:$C,3,FALSE),0))+IF(G581="",0,IFNA(VLOOKUP(G581,Trait_Polarity!$A:$C,3,FALSE),0))</f>
        <v/>
      </c>
      <c r="S581">
        <f>IF(P581="P",(M581+N581+O581)/3,0.3*H581+0.3*I581+0.2*J581+0.1*K581+0.1*L581)</f>
        <v/>
      </c>
      <c r="T581">
        <f>IF(P581="P",IFNA(VLOOKUP(B581,Pitcher_RoleAdj!$A:$B,2,FALSE),0),IFNA(VLOOKUP(B581,Hitter_PrimaryAdj!$A:$B,2,FALSE),0))</f>
        <v/>
      </c>
      <c r="U581">
        <f>IFNA(VLOOKUP(IF(C581="","(none)",C581),SecondaryAdj!$A:$B,2,FALSE),0)</f>
        <v/>
      </c>
      <c r="V581">
        <f>IF(P581="P",0.7780+0.1628*S581+0.2957*Q581-0.1912*R581-0.1512*IF(D581="S",1,0)+0.1600*IF(E581="L",1,0)+0.0091*H581+0.0124*I581+0.0017*J581+T581+U581,-0.8294+0.1849*S581+0.1750*Q581-0.2969*R581+0.6924*IF(D581="S",1,0)+0.0457*IF(E581="L",1,0)+T581+U581)</f>
        <v/>
      </c>
      <c r="W581">
        <f>MAX(0,MIN(16,ROUND(V581,0)))</f>
        <v/>
      </c>
      <c r="X581">
        <f>IFNA(VLOOKUP(W581,Grade_Scale!$A:$B,2,FALSE),"F")</f>
        <v/>
      </c>
      <c r="Z581">
        <f>IF(Y581="","",W581-IFNA(VLOOKUP(Y581,Grade_Scale!$D:$E,2,FALSE),""))</f>
        <v/>
      </c>
    </row>
    <row r="582">
      <c r="P582">
        <f>IF(OR(B582="SP",B582="RP",B582="CP",B582="SP/RP"),"P","H")</f>
        <v/>
      </c>
      <c r="Q582">
        <f>IF(F582="",0,IFNA(VLOOKUP(F582,Trait_Polarity!$A:$C,2,FALSE),0))+IF(G582="",0,IFNA(VLOOKUP(G582,Trait_Polarity!$A:$C,2,FALSE),0))</f>
        <v/>
      </c>
      <c r="R582">
        <f>IF(F582="",0,IFNA(VLOOKUP(F582,Trait_Polarity!$A:$C,3,FALSE),0))+IF(G582="",0,IFNA(VLOOKUP(G582,Trait_Polarity!$A:$C,3,FALSE),0))</f>
        <v/>
      </c>
      <c r="S582">
        <f>IF(P582="P",(M582+N582+O582)/3,0.3*H582+0.3*I582+0.2*J582+0.1*K582+0.1*L582)</f>
        <v/>
      </c>
      <c r="T582">
        <f>IF(P582="P",IFNA(VLOOKUP(B582,Pitcher_RoleAdj!$A:$B,2,FALSE),0),IFNA(VLOOKUP(B582,Hitter_PrimaryAdj!$A:$B,2,FALSE),0))</f>
        <v/>
      </c>
      <c r="U582">
        <f>IFNA(VLOOKUP(IF(C582="","(none)",C582),SecondaryAdj!$A:$B,2,FALSE),0)</f>
        <v/>
      </c>
      <c r="V582">
        <f>IF(P582="P",0.7780+0.1628*S582+0.2957*Q582-0.1912*R582-0.1512*IF(D582="S",1,0)+0.1600*IF(E582="L",1,0)+0.0091*H582+0.0124*I582+0.0017*J582+T582+U582,-0.8294+0.1849*S582+0.1750*Q582-0.2969*R582+0.6924*IF(D582="S",1,0)+0.0457*IF(E582="L",1,0)+T582+U582)</f>
        <v/>
      </c>
      <c r="W582">
        <f>MAX(0,MIN(16,ROUND(V582,0)))</f>
        <v/>
      </c>
      <c r="X582">
        <f>IFNA(VLOOKUP(W582,Grade_Scale!$A:$B,2,FALSE),"F")</f>
        <v/>
      </c>
      <c r="Z582">
        <f>IF(Y582="","",W582-IFNA(VLOOKUP(Y582,Grade_Scale!$D:$E,2,FALSE),""))</f>
        <v/>
      </c>
    </row>
    <row r="583">
      <c r="P583">
        <f>IF(OR(B583="SP",B583="RP",B583="CP",B583="SP/RP"),"P","H")</f>
        <v/>
      </c>
      <c r="Q583">
        <f>IF(F583="",0,IFNA(VLOOKUP(F583,Trait_Polarity!$A:$C,2,FALSE),0))+IF(G583="",0,IFNA(VLOOKUP(G583,Trait_Polarity!$A:$C,2,FALSE),0))</f>
        <v/>
      </c>
      <c r="R583">
        <f>IF(F583="",0,IFNA(VLOOKUP(F583,Trait_Polarity!$A:$C,3,FALSE),0))+IF(G583="",0,IFNA(VLOOKUP(G583,Trait_Polarity!$A:$C,3,FALSE),0))</f>
        <v/>
      </c>
      <c r="S583">
        <f>IF(P583="P",(M583+N583+O583)/3,0.3*H583+0.3*I583+0.2*J583+0.1*K583+0.1*L583)</f>
        <v/>
      </c>
      <c r="T583">
        <f>IF(P583="P",IFNA(VLOOKUP(B583,Pitcher_RoleAdj!$A:$B,2,FALSE),0),IFNA(VLOOKUP(B583,Hitter_PrimaryAdj!$A:$B,2,FALSE),0))</f>
        <v/>
      </c>
      <c r="U583">
        <f>IFNA(VLOOKUP(IF(C583="","(none)",C583),SecondaryAdj!$A:$B,2,FALSE),0)</f>
        <v/>
      </c>
      <c r="V583">
        <f>IF(P583="P",0.7780+0.1628*S583+0.2957*Q583-0.1912*R583-0.1512*IF(D583="S",1,0)+0.1600*IF(E583="L",1,0)+0.0091*H583+0.0124*I583+0.0017*J583+T583+U583,-0.8294+0.1849*S583+0.1750*Q583-0.2969*R583+0.6924*IF(D583="S",1,0)+0.0457*IF(E583="L",1,0)+T583+U583)</f>
        <v/>
      </c>
      <c r="W583">
        <f>MAX(0,MIN(16,ROUND(V583,0)))</f>
        <v/>
      </c>
      <c r="X583">
        <f>IFNA(VLOOKUP(W583,Grade_Scale!$A:$B,2,FALSE),"F")</f>
        <v/>
      </c>
      <c r="Z583">
        <f>IF(Y583="","",W583-IFNA(VLOOKUP(Y583,Grade_Scale!$D:$E,2,FALSE),""))</f>
        <v/>
      </c>
    </row>
    <row r="584">
      <c r="P584">
        <f>IF(OR(B584="SP",B584="RP",B584="CP",B584="SP/RP"),"P","H")</f>
        <v/>
      </c>
      <c r="Q584">
        <f>IF(F584="",0,IFNA(VLOOKUP(F584,Trait_Polarity!$A:$C,2,FALSE),0))+IF(G584="",0,IFNA(VLOOKUP(G584,Trait_Polarity!$A:$C,2,FALSE),0))</f>
        <v/>
      </c>
      <c r="R584">
        <f>IF(F584="",0,IFNA(VLOOKUP(F584,Trait_Polarity!$A:$C,3,FALSE),0))+IF(G584="",0,IFNA(VLOOKUP(G584,Trait_Polarity!$A:$C,3,FALSE),0))</f>
        <v/>
      </c>
      <c r="S584">
        <f>IF(P584="P",(M584+N584+O584)/3,0.3*H584+0.3*I584+0.2*J584+0.1*K584+0.1*L584)</f>
        <v/>
      </c>
      <c r="T584">
        <f>IF(P584="P",IFNA(VLOOKUP(B584,Pitcher_RoleAdj!$A:$B,2,FALSE),0),IFNA(VLOOKUP(B584,Hitter_PrimaryAdj!$A:$B,2,FALSE),0))</f>
        <v/>
      </c>
      <c r="U584">
        <f>IFNA(VLOOKUP(IF(C584="","(none)",C584),SecondaryAdj!$A:$B,2,FALSE),0)</f>
        <v/>
      </c>
      <c r="V584">
        <f>IF(P584="P",0.7780+0.1628*S584+0.2957*Q584-0.1912*R584-0.1512*IF(D584="S",1,0)+0.1600*IF(E584="L",1,0)+0.0091*H584+0.0124*I584+0.0017*J584+T584+U584,-0.8294+0.1849*S584+0.1750*Q584-0.2969*R584+0.6924*IF(D584="S",1,0)+0.0457*IF(E584="L",1,0)+T584+U584)</f>
        <v/>
      </c>
      <c r="W584">
        <f>MAX(0,MIN(16,ROUND(V584,0)))</f>
        <v/>
      </c>
      <c r="X584">
        <f>IFNA(VLOOKUP(W584,Grade_Scale!$A:$B,2,FALSE),"F")</f>
        <v/>
      </c>
      <c r="Z584">
        <f>IF(Y584="","",W584-IFNA(VLOOKUP(Y584,Grade_Scale!$D:$E,2,FALSE),""))</f>
        <v/>
      </c>
    </row>
    <row r="585">
      <c r="P585">
        <f>IF(OR(B585="SP",B585="RP",B585="CP",B585="SP/RP"),"P","H")</f>
        <v/>
      </c>
      <c r="Q585">
        <f>IF(F585="",0,IFNA(VLOOKUP(F585,Trait_Polarity!$A:$C,2,FALSE),0))+IF(G585="",0,IFNA(VLOOKUP(G585,Trait_Polarity!$A:$C,2,FALSE),0))</f>
        <v/>
      </c>
      <c r="R585">
        <f>IF(F585="",0,IFNA(VLOOKUP(F585,Trait_Polarity!$A:$C,3,FALSE),0))+IF(G585="",0,IFNA(VLOOKUP(G585,Trait_Polarity!$A:$C,3,FALSE),0))</f>
        <v/>
      </c>
      <c r="S585">
        <f>IF(P585="P",(M585+N585+O585)/3,0.3*H585+0.3*I585+0.2*J585+0.1*K585+0.1*L585)</f>
        <v/>
      </c>
      <c r="T585">
        <f>IF(P585="P",IFNA(VLOOKUP(B585,Pitcher_RoleAdj!$A:$B,2,FALSE),0),IFNA(VLOOKUP(B585,Hitter_PrimaryAdj!$A:$B,2,FALSE),0))</f>
        <v/>
      </c>
      <c r="U585">
        <f>IFNA(VLOOKUP(IF(C585="","(none)",C585),SecondaryAdj!$A:$B,2,FALSE),0)</f>
        <v/>
      </c>
      <c r="V585">
        <f>IF(P585="P",0.7780+0.1628*S585+0.2957*Q585-0.1912*R585-0.1512*IF(D585="S",1,0)+0.1600*IF(E585="L",1,0)+0.0091*H585+0.0124*I585+0.0017*J585+T585+U585,-0.8294+0.1849*S585+0.1750*Q585-0.2969*R585+0.6924*IF(D585="S",1,0)+0.0457*IF(E585="L",1,0)+T585+U585)</f>
        <v/>
      </c>
      <c r="W585">
        <f>MAX(0,MIN(16,ROUND(V585,0)))</f>
        <v/>
      </c>
      <c r="X585">
        <f>IFNA(VLOOKUP(W585,Grade_Scale!$A:$B,2,FALSE),"F")</f>
        <v/>
      </c>
      <c r="Z585">
        <f>IF(Y585="","",W585-IFNA(VLOOKUP(Y585,Grade_Scale!$D:$E,2,FALSE),""))</f>
        <v/>
      </c>
    </row>
    <row r="586">
      <c r="P586">
        <f>IF(OR(B586="SP",B586="RP",B586="CP",B586="SP/RP"),"P","H")</f>
        <v/>
      </c>
      <c r="Q586">
        <f>IF(F586="",0,IFNA(VLOOKUP(F586,Trait_Polarity!$A:$C,2,FALSE),0))+IF(G586="",0,IFNA(VLOOKUP(G586,Trait_Polarity!$A:$C,2,FALSE),0))</f>
        <v/>
      </c>
      <c r="R586">
        <f>IF(F586="",0,IFNA(VLOOKUP(F586,Trait_Polarity!$A:$C,3,FALSE),0))+IF(G586="",0,IFNA(VLOOKUP(G586,Trait_Polarity!$A:$C,3,FALSE),0))</f>
        <v/>
      </c>
      <c r="S586">
        <f>IF(P586="P",(M586+N586+O586)/3,0.3*H586+0.3*I586+0.2*J586+0.1*K586+0.1*L586)</f>
        <v/>
      </c>
      <c r="T586">
        <f>IF(P586="P",IFNA(VLOOKUP(B586,Pitcher_RoleAdj!$A:$B,2,FALSE),0),IFNA(VLOOKUP(B586,Hitter_PrimaryAdj!$A:$B,2,FALSE),0))</f>
        <v/>
      </c>
      <c r="U586">
        <f>IFNA(VLOOKUP(IF(C586="","(none)",C586),SecondaryAdj!$A:$B,2,FALSE),0)</f>
        <v/>
      </c>
      <c r="V586">
        <f>IF(P586="P",0.7780+0.1628*S586+0.2957*Q586-0.1912*R586-0.1512*IF(D586="S",1,0)+0.1600*IF(E586="L",1,0)+0.0091*H586+0.0124*I586+0.0017*J586+T586+U586,-0.8294+0.1849*S586+0.1750*Q586-0.2969*R586+0.6924*IF(D586="S",1,0)+0.0457*IF(E586="L",1,0)+T586+U586)</f>
        <v/>
      </c>
      <c r="W586">
        <f>MAX(0,MIN(16,ROUND(V586,0)))</f>
        <v/>
      </c>
      <c r="X586">
        <f>IFNA(VLOOKUP(W586,Grade_Scale!$A:$B,2,FALSE),"F")</f>
        <v/>
      </c>
      <c r="Z586">
        <f>IF(Y586="","",W586-IFNA(VLOOKUP(Y586,Grade_Scale!$D:$E,2,FALSE),""))</f>
        <v/>
      </c>
    </row>
    <row r="587">
      <c r="P587">
        <f>IF(OR(B587="SP",B587="RP",B587="CP",B587="SP/RP"),"P","H")</f>
        <v/>
      </c>
      <c r="Q587">
        <f>IF(F587="",0,IFNA(VLOOKUP(F587,Trait_Polarity!$A:$C,2,FALSE),0))+IF(G587="",0,IFNA(VLOOKUP(G587,Trait_Polarity!$A:$C,2,FALSE),0))</f>
        <v/>
      </c>
      <c r="R587">
        <f>IF(F587="",0,IFNA(VLOOKUP(F587,Trait_Polarity!$A:$C,3,FALSE),0))+IF(G587="",0,IFNA(VLOOKUP(G587,Trait_Polarity!$A:$C,3,FALSE),0))</f>
        <v/>
      </c>
      <c r="S587">
        <f>IF(P587="P",(M587+N587+O587)/3,0.3*H587+0.3*I587+0.2*J587+0.1*K587+0.1*L587)</f>
        <v/>
      </c>
      <c r="T587">
        <f>IF(P587="P",IFNA(VLOOKUP(B587,Pitcher_RoleAdj!$A:$B,2,FALSE),0),IFNA(VLOOKUP(B587,Hitter_PrimaryAdj!$A:$B,2,FALSE),0))</f>
        <v/>
      </c>
      <c r="U587">
        <f>IFNA(VLOOKUP(IF(C587="","(none)",C587),SecondaryAdj!$A:$B,2,FALSE),0)</f>
        <v/>
      </c>
      <c r="V587">
        <f>IF(P587="P",0.7780+0.1628*S587+0.2957*Q587-0.1912*R587-0.1512*IF(D587="S",1,0)+0.1600*IF(E587="L",1,0)+0.0091*H587+0.0124*I587+0.0017*J587+T587+U587,-0.8294+0.1849*S587+0.1750*Q587-0.2969*R587+0.6924*IF(D587="S",1,0)+0.0457*IF(E587="L",1,0)+T587+U587)</f>
        <v/>
      </c>
      <c r="W587">
        <f>MAX(0,MIN(16,ROUND(V587,0)))</f>
        <v/>
      </c>
      <c r="X587">
        <f>IFNA(VLOOKUP(W587,Grade_Scale!$A:$B,2,FALSE),"F")</f>
        <v/>
      </c>
      <c r="Z587">
        <f>IF(Y587="","",W587-IFNA(VLOOKUP(Y587,Grade_Scale!$D:$E,2,FALSE),""))</f>
        <v/>
      </c>
    </row>
    <row r="588">
      <c r="P588">
        <f>IF(OR(B588="SP",B588="RP",B588="CP",B588="SP/RP"),"P","H")</f>
        <v/>
      </c>
      <c r="Q588">
        <f>IF(F588="",0,IFNA(VLOOKUP(F588,Trait_Polarity!$A:$C,2,FALSE),0))+IF(G588="",0,IFNA(VLOOKUP(G588,Trait_Polarity!$A:$C,2,FALSE),0))</f>
        <v/>
      </c>
      <c r="R588">
        <f>IF(F588="",0,IFNA(VLOOKUP(F588,Trait_Polarity!$A:$C,3,FALSE),0))+IF(G588="",0,IFNA(VLOOKUP(G588,Trait_Polarity!$A:$C,3,FALSE),0))</f>
        <v/>
      </c>
      <c r="S588">
        <f>IF(P588="P",(M588+N588+O588)/3,0.3*H588+0.3*I588+0.2*J588+0.1*K588+0.1*L588)</f>
        <v/>
      </c>
      <c r="T588">
        <f>IF(P588="P",IFNA(VLOOKUP(B588,Pitcher_RoleAdj!$A:$B,2,FALSE),0),IFNA(VLOOKUP(B588,Hitter_PrimaryAdj!$A:$B,2,FALSE),0))</f>
        <v/>
      </c>
      <c r="U588">
        <f>IFNA(VLOOKUP(IF(C588="","(none)",C588),SecondaryAdj!$A:$B,2,FALSE),0)</f>
        <v/>
      </c>
      <c r="V588">
        <f>IF(P588="P",0.7780+0.1628*S588+0.2957*Q588-0.1912*R588-0.1512*IF(D588="S",1,0)+0.1600*IF(E588="L",1,0)+0.0091*H588+0.0124*I588+0.0017*J588+T588+U588,-0.8294+0.1849*S588+0.1750*Q588-0.2969*R588+0.6924*IF(D588="S",1,0)+0.0457*IF(E588="L",1,0)+T588+U588)</f>
        <v/>
      </c>
      <c r="W588">
        <f>MAX(0,MIN(16,ROUND(V588,0)))</f>
        <v/>
      </c>
      <c r="X588">
        <f>IFNA(VLOOKUP(W588,Grade_Scale!$A:$B,2,FALSE),"F")</f>
        <v/>
      </c>
      <c r="Z588">
        <f>IF(Y588="","",W588-IFNA(VLOOKUP(Y588,Grade_Scale!$D:$E,2,FALSE),""))</f>
        <v/>
      </c>
    </row>
    <row r="589">
      <c r="P589">
        <f>IF(OR(B589="SP",B589="RP",B589="CP",B589="SP/RP"),"P","H")</f>
        <v/>
      </c>
      <c r="Q589">
        <f>IF(F589="",0,IFNA(VLOOKUP(F589,Trait_Polarity!$A:$C,2,FALSE),0))+IF(G589="",0,IFNA(VLOOKUP(G589,Trait_Polarity!$A:$C,2,FALSE),0))</f>
        <v/>
      </c>
      <c r="R589">
        <f>IF(F589="",0,IFNA(VLOOKUP(F589,Trait_Polarity!$A:$C,3,FALSE),0))+IF(G589="",0,IFNA(VLOOKUP(G589,Trait_Polarity!$A:$C,3,FALSE),0))</f>
        <v/>
      </c>
      <c r="S589">
        <f>IF(P589="P",(M589+N589+O589)/3,0.3*H589+0.3*I589+0.2*J589+0.1*K589+0.1*L589)</f>
        <v/>
      </c>
      <c r="T589">
        <f>IF(P589="P",IFNA(VLOOKUP(B589,Pitcher_RoleAdj!$A:$B,2,FALSE),0),IFNA(VLOOKUP(B589,Hitter_PrimaryAdj!$A:$B,2,FALSE),0))</f>
        <v/>
      </c>
      <c r="U589">
        <f>IFNA(VLOOKUP(IF(C589="","(none)",C589),SecondaryAdj!$A:$B,2,FALSE),0)</f>
        <v/>
      </c>
      <c r="V589">
        <f>IF(P589="P",0.7780+0.1628*S589+0.2957*Q589-0.1912*R589-0.1512*IF(D589="S",1,0)+0.1600*IF(E589="L",1,0)+0.0091*H589+0.0124*I589+0.0017*J589+T589+U589,-0.8294+0.1849*S589+0.1750*Q589-0.2969*R589+0.6924*IF(D589="S",1,0)+0.0457*IF(E589="L",1,0)+T589+U589)</f>
        <v/>
      </c>
      <c r="W589">
        <f>MAX(0,MIN(16,ROUND(V589,0)))</f>
        <v/>
      </c>
      <c r="X589">
        <f>IFNA(VLOOKUP(W589,Grade_Scale!$A:$B,2,FALSE),"F")</f>
        <v/>
      </c>
      <c r="Z589">
        <f>IF(Y589="","",W589-IFNA(VLOOKUP(Y589,Grade_Scale!$D:$E,2,FALSE),""))</f>
        <v/>
      </c>
    </row>
    <row r="590">
      <c r="P590">
        <f>IF(OR(B590="SP",B590="RP",B590="CP",B590="SP/RP"),"P","H")</f>
        <v/>
      </c>
      <c r="Q590">
        <f>IF(F590="",0,IFNA(VLOOKUP(F590,Trait_Polarity!$A:$C,2,FALSE),0))+IF(G590="",0,IFNA(VLOOKUP(G590,Trait_Polarity!$A:$C,2,FALSE),0))</f>
        <v/>
      </c>
      <c r="R590">
        <f>IF(F590="",0,IFNA(VLOOKUP(F590,Trait_Polarity!$A:$C,3,FALSE),0))+IF(G590="",0,IFNA(VLOOKUP(G590,Trait_Polarity!$A:$C,3,FALSE),0))</f>
        <v/>
      </c>
      <c r="S590">
        <f>IF(P590="P",(M590+N590+O590)/3,0.3*H590+0.3*I590+0.2*J590+0.1*K590+0.1*L590)</f>
        <v/>
      </c>
      <c r="T590">
        <f>IF(P590="P",IFNA(VLOOKUP(B590,Pitcher_RoleAdj!$A:$B,2,FALSE),0),IFNA(VLOOKUP(B590,Hitter_PrimaryAdj!$A:$B,2,FALSE),0))</f>
        <v/>
      </c>
      <c r="U590">
        <f>IFNA(VLOOKUP(IF(C590="","(none)",C590),SecondaryAdj!$A:$B,2,FALSE),0)</f>
        <v/>
      </c>
      <c r="V590">
        <f>IF(P590="P",0.7780+0.1628*S590+0.2957*Q590-0.1912*R590-0.1512*IF(D590="S",1,0)+0.1600*IF(E590="L",1,0)+0.0091*H590+0.0124*I590+0.0017*J590+T590+U590,-0.8294+0.1849*S590+0.1750*Q590-0.2969*R590+0.6924*IF(D590="S",1,0)+0.0457*IF(E590="L",1,0)+T590+U590)</f>
        <v/>
      </c>
      <c r="W590">
        <f>MAX(0,MIN(16,ROUND(V590,0)))</f>
        <v/>
      </c>
      <c r="X590">
        <f>IFNA(VLOOKUP(W590,Grade_Scale!$A:$B,2,FALSE),"F")</f>
        <v/>
      </c>
      <c r="Z590">
        <f>IF(Y590="","",W590-IFNA(VLOOKUP(Y590,Grade_Scale!$D:$E,2,FALSE),""))</f>
        <v/>
      </c>
    </row>
    <row r="591">
      <c r="P591">
        <f>IF(OR(B591="SP",B591="RP",B591="CP",B591="SP/RP"),"P","H")</f>
        <v/>
      </c>
      <c r="Q591">
        <f>IF(F591="",0,IFNA(VLOOKUP(F591,Trait_Polarity!$A:$C,2,FALSE),0))+IF(G591="",0,IFNA(VLOOKUP(G591,Trait_Polarity!$A:$C,2,FALSE),0))</f>
        <v/>
      </c>
      <c r="R591">
        <f>IF(F591="",0,IFNA(VLOOKUP(F591,Trait_Polarity!$A:$C,3,FALSE),0))+IF(G591="",0,IFNA(VLOOKUP(G591,Trait_Polarity!$A:$C,3,FALSE),0))</f>
        <v/>
      </c>
      <c r="S591">
        <f>IF(P591="P",(M591+N591+O591)/3,0.3*H591+0.3*I591+0.2*J591+0.1*K591+0.1*L591)</f>
        <v/>
      </c>
      <c r="T591">
        <f>IF(P591="P",IFNA(VLOOKUP(B591,Pitcher_RoleAdj!$A:$B,2,FALSE),0),IFNA(VLOOKUP(B591,Hitter_PrimaryAdj!$A:$B,2,FALSE),0))</f>
        <v/>
      </c>
      <c r="U591">
        <f>IFNA(VLOOKUP(IF(C591="","(none)",C591),SecondaryAdj!$A:$B,2,FALSE),0)</f>
        <v/>
      </c>
      <c r="V591">
        <f>IF(P591="P",0.7780+0.1628*S591+0.2957*Q591-0.1912*R591-0.1512*IF(D591="S",1,0)+0.1600*IF(E591="L",1,0)+0.0091*H591+0.0124*I591+0.0017*J591+T591+U591,-0.8294+0.1849*S591+0.1750*Q591-0.2969*R591+0.6924*IF(D591="S",1,0)+0.0457*IF(E591="L",1,0)+T591+U591)</f>
        <v/>
      </c>
      <c r="W591">
        <f>MAX(0,MIN(16,ROUND(V591,0)))</f>
        <v/>
      </c>
      <c r="X591">
        <f>IFNA(VLOOKUP(W591,Grade_Scale!$A:$B,2,FALSE),"F")</f>
        <v/>
      </c>
      <c r="Z591">
        <f>IF(Y591="","",W591-IFNA(VLOOKUP(Y591,Grade_Scale!$D:$E,2,FALSE),""))</f>
        <v/>
      </c>
    </row>
    <row r="592">
      <c r="P592">
        <f>IF(OR(B592="SP",B592="RP",B592="CP",B592="SP/RP"),"P","H")</f>
        <v/>
      </c>
      <c r="Q592">
        <f>IF(F592="",0,IFNA(VLOOKUP(F592,Trait_Polarity!$A:$C,2,FALSE),0))+IF(G592="",0,IFNA(VLOOKUP(G592,Trait_Polarity!$A:$C,2,FALSE),0))</f>
        <v/>
      </c>
      <c r="R592">
        <f>IF(F592="",0,IFNA(VLOOKUP(F592,Trait_Polarity!$A:$C,3,FALSE),0))+IF(G592="",0,IFNA(VLOOKUP(G592,Trait_Polarity!$A:$C,3,FALSE),0))</f>
        <v/>
      </c>
      <c r="S592">
        <f>IF(P592="P",(M592+N592+O592)/3,0.3*H592+0.3*I592+0.2*J592+0.1*K592+0.1*L592)</f>
        <v/>
      </c>
      <c r="T592">
        <f>IF(P592="P",IFNA(VLOOKUP(B592,Pitcher_RoleAdj!$A:$B,2,FALSE),0),IFNA(VLOOKUP(B592,Hitter_PrimaryAdj!$A:$B,2,FALSE),0))</f>
        <v/>
      </c>
      <c r="U592">
        <f>IFNA(VLOOKUP(IF(C592="","(none)",C592),SecondaryAdj!$A:$B,2,FALSE),0)</f>
        <v/>
      </c>
      <c r="V592">
        <f>IF(P592="P",0.7780+0.1628*S592+0.2957*Q592-0.1912*R592-0.1512*IF(D592="S",1,0)+0.1600*IF(E592="L",1,0)+0.0091*H592+0.0124*I592+0.0017*J592+T592+U592,-0.8294+0.1849*S592+0.1750*Q592-0.2969*R592+0.6924*IF(D592="S",1,0)+0.0457*IF(E592="L",1,0)+T592+U592)</f>
        <v/>
      </c>
      <c r="W592">
        <f>MAX(0,MIN(16,ROUND(V592,0)))</f>
        <v/>
      </c>
      <c r="X592">
        <f>IFNA(VLOOKUP(W592,Grade_Scale!$A:$B,2,FALSE),"F")</f>
        <v/>
      </c>
      <c r="Z592">
        <f>IF(Y592="","",W592-IFNA(VLOOKUP(Y592,Grade_Scale!$D:$E,2,FALSE),""))</f>
        <v/>
      </c>
    </row>
    <row r="593">
      <c r="P593">
        <f>IF(OR(B593="SP",B593="RP",B593="CP",B593="SP/RP"),"P","H")</f>
        <v/>
      </c>
      <c r="Q593">
        <f>IF(F593="",0,IFNA(VLOOKUP(F593,Trait_Polarity!$A:$C,2,FALSE),0))+IF(G593="",0,IFNA(VLOOKUP(G593,Trait_Polarity!$A:$C,2,FALSE),0))</f>
        <v/>
      </c>
      <c r="R593">
        <f>IF(F593="",0,IFNA(VLOOKUP(F593,Trait_Polarity!$A:$C,3,FALSE),0))+IF(G593="",0,IFNA(VLOOKUP(G593,Trait_Polarity!$A:$C,3,FALSE),0))</f>
        <v/>
      </c>
      <c r="S593">
        <f>IF(P593="P",(M593+N593+O593)/3,0.3*H593+0.3*I593+0.2*J593+0.1*K593+0.1*L593)</f>
        <v/>
      </c>
      <c r="T593">
        <f>IF(P593="P",IFNA(VLOOKUP(B593,Pitcher_RoleAdj!$A:$B,2,FALSE),0),IFNA(VLOOKUP(B593,Hitter_PrimaryAdj!$A:$B,2,FALSE),0))</f>
        <v/>
      </c>
      <c r="U593">
        <f>IFNA(VLOOKUP(IF(C593="","(none)",C593),SecondaryAdj!$A:$B,2,FALSE),0)</f>
        <v/>
      </c>
      <c r="V593">
        <f>IF(P593="P",0.7780+0.1628*S593+0.2957*Q593-0.1912*R593-0.1512*IF(D593="S",1,0)+0.1600*IF(E593="L",1,0)+0.0091*H593+0.0124*I593+0.0017*J593+T593+U593,-0.8294+0.1849*S593+0.1750*Q593-0.2969*R593+0.6924*IF(D593="S",1,0)+0.0457*IF(E593="L",1,0)+T593+U593)</f>
        <v/>
      </c>
      <c r="W593">
        <f>MAX(0,MIN(16,ROUND(V593,0)))</f>
        <v/>
      </c>
      <c r="X593">
        <f>IFNA(VLOOKUP(W593,Grade_Scale!$A:$B,2,FALSE),"F")</f>
        <v/>
      </c>
      <c r="Z593">
        <f>IF(Y593="","",W593-IFNA(VLOOKUP(Y593,Grade_Scale!$D:$E,2,FALSE),""))</f>
        <v/>
      </c>
    </row>
    <row r="594">
      <c r="P594">
        <f>IF(OR(B594="SP",B594="RP",B594="CP",B594="SP/RP"),"P","H")</f>
        <v/>
      </c>
      <c r="Q594">
        <f>IF(F594="",0,IFNA(VLOOKUP(F594,Trait_Polarity!$A:$C,2,FALSE),0))+IF(G594="",0,IFNA(VLOOKUP(G594,Trait_Polarity!$A:$C,2,FALSE),0))</f>
        <v/>
      </c>
      <c r="R594">
        <f>IF(F594="",0,IFNA(VLOOKUP(F594,Trait_Polarity!$A:$C,3,FALSE),0))+IF(G594="",0,IFNA(VLOOKUP(G594,Trait_Polarity!$A:$C,3,FALSE),0))</f>
        <v/>
      </c>
      <c r="S594">
        <f>IF(P594="P",(M594+N594+O594)/3,0.3*H594+0.3*I594+0.2*J594+0.1*K594+0.1*L594)</f>
        <v/>
      </c>
      <c r="T594">
        <f>IF(P594="P",IFNA(VLOOKUP(B594,Pitcher_RoleAdj!$A:$B,2,FALSE),0),IFNA(VLOOKUP(B594,Hitter_PrimaryAdj!$A:$B,2,FALSE),0))</f>
        <v/>
      </c>
      <c r="U594">
        <f>IFNA(VLOOKUP(IF(C594="","(none)",C594),SecondaryAdj!$A:$B,2,FALSE),0)</f>
        <v/>
      </c>
      <c r="V594">
        <f>IF(P594="P",0.7780+0.1628*S594+0.2957*Q594-0.1912*R594-0.1512*IF(D594="S",1,0)+0.1600*IF(E594="L",1,0)+0.0091*H594+0.0124*I594+0.0017*J594+T594+U594,-0.8294+0.1849*S594+0.1750*Q594-0.2969*R594+0.6924*IF(D594="S",1,0)+0.0457*IF(E594="L",1,0)+T594+U594)</f>
        <v/>
      </c>
      <c r="W594">
        <f>MAX(0,MIN(16,ROUND(V594,0)))</f>
        <v/>
      </c>
      <c r="X594">
        <f>IFNA(VLOOKUP(W594,Grade_Scale!$A:$B,2,FALSE),"F")</f>
        <v/>
      </c>
      <c r="Z594">
        <f>IF(Y594="","",W594-IFNA(VLOOKUP(Y594,Grade_Scale!$D:$E,2,FALSE),""))</f>
        <v/>
      </c>
    </row>
    <row r="595">
      <c r="P595">
        <f>IF(OR(B595="SP",B595="RP",B595="CP",B595="SP/RP"),"P","H")</f>
        <v/>
      </c>
      <c r="Q595">
        <f>IF(F595="",0,IFNA(VLOOKUP(F595,Trait_Polarity!$A:$C,2,FALSE),0))+IF(G595="",0,IFNA(VLOOKUP(G595,Trait_Polarity!$A:$C,2,FALSE),0))</f>
        <v/>
      </c>
      <c r="R595">
        <f>IF(F595="",0,IFNA(VLOOKUP(F595,Trait_Polarity!$A:$C,3,FALSE),0))+IF(G595="",0,IFNA(VLOOKUP(G595,Trait_Polarity!$A:$C,3,FALSE),0))</f>
        <v/>
      </c>
      <c r="S595">
        <f>IF(P595="P",(M595+N595+O595)/3,0.3*H595+0.3*I595+0.2*J595+0.1*K595+0.1*L595)</f>
        <v/>
      </c>
      <c r="T595">
        <f>IF(P595="P",IFNA(VLOOKUP(B595,Pitcher_RoleAdj!$A:$B,2,FALSE),0),IFNA(VLOOKUP(B595,Hitter_PrimaryAdj!$A:$B,2,FALSE),0))</f>
        <v/>
      </c>
      <c r="U595">
        <f>IFNA(VLOOKUP(IF(C595="","(none)",C595),SecondaryAdj!$A:$B,2,FALSE),0)</f>
        <v/>
      </c>
      <c r="V595">
        <f>IF(P595="P",0.7780+0.1628*S595+0.2957*Q595-0.1912*R595-0.1512*IF(D595="S",1,0)+0.1600*IF(E595="L",1,0)+0.0091*H595+0.0124*I595+0.0017*J595+T595+U595,-0.8294+0.1849*S595+0.1750*Q595-0.2969*R595+0.6924*IF(D595="S",1,0)+0.0457*IF(E595="L",1,0)+T595+U595)</f>
        <v/>
      </c>
      <c r="W595">
        <f>MAX(0,MIN(16,ROUND(V595,0)))</f>
        <v/>
      </c>
      <c r="X595">
        <f>IFNA(VLOOKUP(W595,Grade_Scale!$A:$B,2,FALSE),"F")</f>
        <v/>
      </c>
      <c r="Z595">
        <f>IF(Y595="","",W595-IFNA(VLOOKUP(Y595,Grade_Scale!$D:$E,2,FALSE),""))</f>
        <v/>
      </c>
    </row>
    <row r="596">
      <c r="P596">
        <f>IF(OR(B596="SP",B596="RP",B596="CP",B596="SP/RP"),"P","H")</f>
        <v/>
      </c>
      <c r="Q596">
        <f>IF(F596="",0,IFNA(VLOOKUP(F596,Trait_Polarity!$A:$C,2,FALSE),0))+IF(G596="",0,IFNA(VLOOKUP(G596,Trait_Polarity!$A:$C,2,FALSE),0))</f>
        <v/>
      </c>
      <c r="R596">
        <f>IF(F596="",0,IFNA(VLOOKUP(F596,Trait_Polarity!$A:$C,3,FALSE),0))+IF(G596="",0,IFNA(VLOOKUP(G596,Trait_Polarity!$A:$C,3,FALSE),0))</f>
        <v/>
      </c>
      <c r="S596">
        <f>IF(P596="P",(M596+N596+O596)/3,0.3*H596+0.3*I596+0.2*J596+0.1*K596+0.1*L596)</f>
        <v/>
      </c>
      <c r="T596">
        <f>IF(P596="P",IFNA(VLOOKUP(B596,Pitcher_RoleAdj!$A:$B,2,FALSE),0),IFNA(VLOOKUP(B596,Hitter_PrimaryAdj!$A:$B,2,FALSE),0))</f>
        <v/>
      </c>
      <c r="U596">
        <f>IFNA(VLOOKUP(IF(C596="","(none)",C596),SecondaryAdj!$A:$B,2,FALSE),0)</f>
        <v/>
      </c>
      <c r="V596">
        <f>IF(P596="P",0.7780+0.1628*S596+0.2957*Q596-0.1912*R596-0.1512*IF(D596="S",1,0)+0.1600*IF(E596="L",1,0)+0.0091*H596+0.0124*I596+0.0017*J596+T596+U596,-0.8294+0.1849*S596+0.1750*Q596-0.2969*R596+0.6924*IF(D596="S",1,0)+0.0457*IF(E596="L",1,0)+T596+U596)</f>
        <v/>
      </c>
      <c r="W596">
        <f>MAX(0,MIN(16,ROUND(V596,0)))</f>
        <v/>
      </c>
      <c r="X596">
        <f>IFNA(VLOOKUP(W596,Grade_Scale!$A:$B,2,FALSE),"F")</f>
        <v/>
      </c>
      <c r="Z596">
        <f>IF(Y596="","",W596-IFNA(VLOOKUP(Y596,Grade_Scale!$D:$E,2,FALSE),""))</f>
        <v/>
      </c>
    </row>
    <row r="597">
      <c r="P597">
        <f>IF(OR(B597="SP",B597="RP",B597="CP",B597="SP/RP"),"P","H")</f>
        <v/>
      </c>
      <c r="Q597">
        <f>IF(F597="",0,IFNA(VLOOKUP(F597,Trait_Polarity!$A:$C,2,FALSE),0))+IF(G597="",0,IFNA(VLOOKUP(G597,Trait_Polarity!$A:$C,2,FALSE),0))</f>
        <v/>
      </c>
      <c r="R597">
        <f>IF(F597="",0,IFNA(VLOOKUP(F597,Trait_Polarity!$A:$C,3,FALSE),0))+IF(G597="",0,IFNA(VLOOKUP(G597,Trait_Polarity!$A:$C,3,FALSE),0))</f>
        <v/>
      </c>
      <c r="S597">
        <f>IF(P597="P",(M597+N597+O597)/3,0.3*H597+0.3*I597+0.2*J597+0.1*K597+0.1*L597)</f>
        <v/>
      </c>
      <c r="T597">
        <f>IF(P597="P",IFNA(VLOOKUP(B597,Pitcher_RoleAdj!$A:$B,2,FALSE),0),IFNA(VLOOKUP(B597,Hitter_PrimaryAdj!$A:$B,2,FALSE),0))</f>
        <v/>
      </c>
      <c r="U597">
        <f>IFNA(VLOOKUP(IF(C597="","(none)",C597),SecondaryAdj!$A:$B,2,FALSE),0)</f>
        <v/>
      </c>
      <c r="V597">
        <f>IF(P597="P",0.7780+0.1628*S597+0.2957*Q597-0.1912*R597-0.1512*IF(D597="S",1,0)+0.1600*IF(E597="L",1,0)+0.0091*H597+0.0124*I597+0.0017*J597+T597+U597,-0.8294+0.1849*S597+0.1750*Q597-0.2969*R597+0.6924*IF(D597="S",1,0)+0.0457*IF(E597="L",1,0)+T597+U597)</f>
        <v/>
      </c>
      <c r="W597">
        <f>MAX(0,MIN(16,ROUND(V597,0)))</f>
        <v/>
      </c>
      <c r="X597">
        <f>IFNA(VLOOKUP(W597,Grade_Scale!$A:$B,2,FALSE),"F")</f>
        <v/>
      </c>
      <c r="Z597">
        <f>IF(Y597="","",W597-IFNA(VLOOKUP(Y597,Grade_Scale!$D:$E,2,FALSE),""))</f>
        <v/>
      </c>
    </row>
    <row r="598">
      <c r="P598">
        <f>IF(OR(B598="SP",B598="RP",B598="CP",B598="SP/RP"),"P","H")</f>
        <v/>
      </c>
      <c r="Q598">
        <f>IF(F598="",0,IFNA(VLOOKUP(F598,Trait_Polarity!$A:$C,2,FALSE),0))+IF(G598="",0,IFNA(VLOOKUP(G598,Trait_Polarity!$A:$C,2,FALSE),0))</f>
        <v/>
      </c>
      <c r="R598">
        <f>IF(F598="",0,IFNA(VLOOKUP(F598,Trait_Polarity!$A:$C,3,FALSE),0))+IF(G598="",0,IFNA(VLOOKUP(G598,Trait_Polarity!$A:$C,3,FALSE),0))</f>
        <v/>
      </c>
      <c r="S598">
        <f>IF(P598="P",(M598+N598+O598)/3,0.3*H598+0.3*I598+0.2*J598+0.1*K598+0.1*L598)</f>
        <v/>
      </c>
      <c r="T598">
        <f>IF(P598="P",IFNA(VLOOKUP(B598,Pitcher_RoleAdj!$A:$B,2,FALSE),0),IFNA(VLOOKUP(B598,Hitter_PrimaryAdj!$A:$B,2,FALSE),0))</f>
        <v/>
      </c>
      <c r="U598">
        <f>IFNA(VLOOKUP(IF(C598="","(none)",C598),SecondaryAdj!$A:$B,2,FALSE),0)</f>
        <v/>
      </c>
      <c r="V598">
        <f>IF(P598="P",0.7780+0.1628*S598+0.2957*Q598-0.1912*R598-0.1512*IF(D598="S",1,0)+0.1600*IF(E598="L",1,0)+0.0091*H598+0.0124*I598+0.0017*J598+T598+U598,-0.8294+0.1849*S598+0.1750*Q598-0.2969*R598+0.6924*IF(D598="S",1,0)+0.0457*IF(E598="L",1,0)+T598+U598)</f>
        <v/>
      </c>
      <c r="W598">
        <f>MAX(0,MIN(16,ROUND(V598,0)))</f>
        <v/>
      </c>
      <c r="X598">
        <f>IFNA(VLOOKUP(W598,Grade_Scale!$A:$B,2,FALSE),"F")</f>
        <v/>
      </c>
      <c r="Z598">
        <f>IF(Y598="","",W598-IFNA(VLOOKUP(Y598,Grade_Scale!$D:$E,2,FALSE),""))</f>
        <v/>
      </c>
    </row>
    <row r="599">
      <c r="P599">
        <f>IF(OR(B599="SP",B599="RP",B599="CP",B599="SP/RP"),"P","H")</f>
        <v/>
      </c>
      <c r="Q599">
        <f>IF(F599="",0,IFNA(VLOOKUP(F599,Trait_Polarity!$A:$C,2,FALSE),0))+IF(G599="",0,IFNA(VLOOKUP(G599,Trait_Polarity!$A:$C,2,FALSE),0))</f>
        <v/>
      </c>
      <c r="R599">
        <f>IF(F599="",0,IFNA(VLOOKUP(F599,Trait_Polarity!$A:$C,3,FALSE),0))+IF(G599="",0,IFNA(VLOOKUP(G599,Trait_Polarity!$A:$C,3,FALSE),0))</f>
        <v/>
      </c>
      <c r="S599">
        <f>IF(P599="P",(M599+N599+O599)/3,0.3*H599+0.3*I599+0.2*J599+0.1*K599+0.1*L599)</f>
        <v/>
      </c>
      <c r="T599">
        <f>IF(P599="P",IFNA(VLOOKUP(B599,Pitcher_RoleAdj!$A:$B,2,FALSE),0),IFNA(VLOOKUP(B599,Hitter_PrimaryAdj!$A:$B,2,FALSE),0))</f>
        <v/>
      </c>
      <c r="U599">
        <f>IFNA(VLOOKUP(IF(C599="","(none)",C599),SecondaryAdj!$A:$B,2,FALSE),0)</f>
        <v/>
      </c>
      <c r="V599">
        <f>IF(P599="P",0.7780+0.1628*S599+0.2957*Q599-0.1912*R599-0.1512*IF(D599="S",1,0)+0.1600*IF(E599="L",1,0)+0.0091*H599+0.0124*I599+0.0017*J599+T599+U599,-0.8294+0.1849*S599+0.1750*Q599-0.2969*R599+0.6924*IF(D599="S",1,0)+0.0457*IF(E599="L",1,0)+T599+U599)</f>
        <v/>
      </c>
      <c r="W599">
        <f>MAX(0,MIN(16,ROUND(V599,0)))</f>
        <v/>
      </c>
      <c r="X599">
        <f>IFNA(VLOOKUP(W599,Grade_Scale!$A:$B,2,FALSE),"F")</f>
        <v/>
      </c>
      <c r="Z599">
        <f>IF(Y599="","",W599-IFNA(VLOOKUP(Y599,Grade_Scale!$D:$E,2,FALSE),""))</f>
        <v/>
      </c>
    </row>
    <row r="600">
      <c r="P600">
        <f>IF(OR(B600="SP",B600="RP",B600="CP",B600="SP/RP"),"P","H")</f>
        <v/>
      </c>
      <c r="Q600">
        <f>IF(F600="",0,IFNA(VLOOKUP(F600,Trait_Polarity!$A:$C,2,FALSE),0))+IF(G600="",0,IFNA(VLOOKUP(G600,Trait_Polarity!$A:$C,2,FALSE),0))</f>
        <v/>
      </c>
      <c r="R600">
        <f>IF(F600="",0,IFNA(VLOOKUP(F600,Trait_Polarity!$A:$C,3,FALSE),0))+IF(G600="",0,IFNA(VLOOKUP(G600,Trait_Polarity!$A:$C,3,FALSE),0))</f>
        <v/>
      </c>
      <c r="S600">
        <f>IF(P600="P",(M600+N600+O600)/3,0.3*H600+0.3*I600+0.2*J600+0.1*K600+0.1*L600)</f>
        <v/>
      </c>
      <c r="T600">
        <f>IF(P600="P",IFNA(VLOOKUP(B600,Pitcher_RoleAdj!$A:$B,2,FALSE),0),IFNA(VLOOKUP(B600,Hitter_PrimaryAdj!$A:$B,2,FALSE),0))</f>
        <v/>
      </c>
      <c r="U600">
        <f>IFNA(VLOOKUP(IF(C600="","(none)",C600),SecondaryAdj!$A:$B,2,FALSE),0)</f>
        <v/>
      </c>
      <c r="V600">
        <f>IF(P600="P",0.7780+0.1628*S600+0.2957*Q600-0.1912*R600-0.1512*IF(D600="S",1,0)+0.1600*IF(E600="L",1,0)+0.0091*H600+0.0124*I600+0.0017*J600+T600+U600,-0.8294+0.1849*S600+0.1750*Q600-0.2969*R600+0.6924*IF(D600="S",1,0)+0.0457*IF(E600="L",1,0)+T600+U600)</f>
        <v/>
      </c>
      <c r="W600">
        <f>MAX(0,MIN(16,ROUND(V600,0)))</f>
        <v/>
      </c>
      <c r="X600">
        <f>IFNA(VLOOKUP(W600,Grade_Scale!$A:$B,2,FALSE),"F")</f>
        <v/>
      </c>
      <c r="Z600">
        <f>IF(Y600="","",W600-IFNA(VLOOKUP(Y600,Grade_Scale!$D:$E,2,FALSE),""))</f>
        <v/>
      </c>
    </row>
    <row r="601">
      <c r="P601">
        <f>IF(OR(B601="SP",B601="RP",B601="CP",B601="SP/RP"),"P","H")</f>
        <v/>
      </c>
      <c r="Q601">
        <f>IF(F601="",0,IFNA(VLOOKUP(F601,Trait_Polarity!$A:$C,2,FALSE),0))+IF(G601="",0,IFNA(VLOOKUP(G601,Trait_Polarity!$A:$C,2,FALSE),0))</f>
        <v/>
      </c>
      <c r="R601">
        <f>IF(F601="",0,IFNA(VLOOKUP(F601,Trait_Polarity!$A:$C,3,FALSE),0))+IF(G601="",0,IFNA(VLOOKUP(G601,Trait_Polarity!$A:$C,3,FALSE),0))</f>
        <v/>
      </c>
      <c r="S601">
        <f>IF(P601="P",(M601+N601+O601)/3,0.3*H601+0.3*I601+0.2*J601+0.1*K601+0.1*L601)</f>
        <v/>
      </c>
      <c r="T601">
        <f>IF(P601="P",IFNA(VLOOKUP(B601,Pitcher_RoleAdj!$A:$B,2,FALSE),0),IFNA(VLOOKUP(B601,Hitter_PrimaryAdj!$A:$B,2,FALSE),0))</f>
        <v/>
      </c>
      <c r="U601">
        <f>IFNA(VLOOKUP(IF(C601="","(none)",C601),SecondaryAdj!$A:$B,2,FALSE),0)</f>
        <v/>
      </c>
      <c r="V601">
        <f>IF(P601="P",0.7780+0.1628*S601+0.2957*Q601-0.1912*R601-0.1512*IF(D601="S",1,0)+0.1600*IF(E601="L",1,0)+0.0091*H601+0.0124*I601+0.0017*J601+T601+U601,-0.8294+0.1849*S601+0.1750*Q601-0.2969*R601+0.6924*IF(D601="S",1,0)+0.0457*IF(E601="L",1,0)+T601+U601)</f>
        <v/>
      </c>
      <c r="W601">
        <f>MAX(0,MIN(16,ROUND(V601,0)))</f>
        <v/>
      </c>
      <c r="X601">
        <f>IFNA(VLOOKUP(W601,Grade_Scale!$A:$B,2,FALSE),"F")</f>
        <v/>
      </c>
      <c r="Z601">
        <f>IF(Y601="","",W601-IFNA(VLOOKUP(Y601,Grade_Scale!$D:$E,2,FALSE),""))</f>
        <v/>
      </c>
    </row>
    <row r="602">
      <c r="P602">
        <f>IF(OR(B602="SP",B602="RP",B602="CP",B602="SP/RP"),"P","H")</f>
        <v/>
      </c>
      <c r="Q602">
        <f>IF(F602="",0,IFNA(VLOOKUP(F602,Trait_Polarity!$A:$C,2,FALSE),0))+IF(G602="",0,IFNA(VLOOKUP(G602,Trait_Polarity!$A:$C,2,FALSE),0))</f>
        <v/>
      </c>
      <c r="R602">
        <f>IF(F602="",0,IFNA(VLOOKUP(F602,Trait_Polarity!$A:$C,3,FALSE),0))+IF(G602="",0,IFNA(VLOOKUP(G602,Trait_Polarity!$A:$C,3,FALSE),0))</f>
        <v/>
      </c>
      <c r="S602">
        <f>IF(P602="P",(M602+N602+O602)/3,0.3*H602+0.3*I602+0.2*J602+0.1*K602+0.1*L602)</f>
        <v/>
      </c>
      <c r="T602">
        <f>IF(P602="P",IFNA(VLOOKUP(B602,Pitcher_RoleAdj!$A:$B,2,FALSE),0),IFNA(VLOOKUP(B602,Hitter_PrimaryAdj!$A:$B,2,FALSE),0))</f>
        <v/>
      </c>
      <c r="U602">
        <f>IFNA(VLOOKUP(IF(C602="","(none)",C602),SecondaryAdj!$A:$B,2,FALSE),0)</f>
        <v/>
      </c>
      <c r="V602">
        <f>IF(P602="P",0.7780+0.1628*S602+0.2957*Q602-0.1912*R602-0.1512*IF(D602="S",1,0)+0.1600*IF(E602="L",1,0)+0.0091*H602+0.0124*I602+0.0017*J602+T602+U602,-0.8294+0.1849*S602+0.1750*Q602-0.2969*R602+0.6924*IF(D602="S",1,0)+0.0457*IF(E602="L",1,0)+T602+U602)</f>
        <v/>
      </c>
      <c r="W602">
        <f>MAX(0,MIN(16,ROUND(V602,0)))</f>
        <v/>
      </c>
      <c r="X602">
        <f>IFNA(VLOOKUP(W602,Grade_Scale!$A:$B,2,FALSE),"F")</f>
        <v/>
      </c>
      <c r="Z602">
        <f>IF(Y602="","",W602-IFNA(VLOOKUP(Y602,Grade_Scale!$D:$E,2,FALSE),""))</f>
        <v/>
      </c>
    </row>
    <row r="603">
      <c r="P603">
        <f>IF(OR(B603="SP",B603="RP",B603="CP",B603="SP/RP"),"P","H")</f>
        <v/>
      </c>
      <c r="Q603">
        <f>IF(F603="",0,IFNA(VLOOKUP(F603,Trait_Polarity!$A:$C,2,FALSE),0))+IF(G603="",0,IFNA(VLOOKUP(G603,Trait_Polarity!$A:$C,2,FALSE),0))</f>
        <v/>
      </c>
      <c r="R603">
        <f>IF(F603="",0,IFNA(VLOOKUP(F603,Trait_Polarity!$A:$C,3,FALSE),0))+IF(G603="",0,IFNA(VLOOKUP(G603,Trait_Polarity!$A:$C,3,FALSE),0))</f>
        <v/>
      </c>
      <c r="S603">
        <f>IF(P603="P",(M603+N603+O603)/3,0.3*H603+0.3*I603+0.2*J603+0.1*K603+0.1*L603)</f>
        <v/>
      </c>
      <c r="T603">
        <f>IF(P603="P",IFNA(VLOOKUP(B603,Pitcher_RoleAdj!$A:$B,2,FALSE),0),IFNA(VLOOKUP(B603,Hitter_PrimaryAdj!$A:$B,2,FALSE),0))</f>
        <v/>
      </c>
      <c r="U603">
        <f>IFNA(VLOOKUP(IF(C603="","(none)",C603),SecondaryAdj!$A:$B,2,FALSE),0)</f>
        <v/>
      </c>
      <c r="V603">
        <f>IF(P603="P",0.7780+0.1628*S603+0.2957*Q603-0.1912*R603-0.1512*IF(D603="S",1,0)+0.1600*IF(E603="L",1,0)+0.0091*H603+0.0124*I603+0.0017*J603+T603+U603,-0.8294+0.1849*S603+0.1750*Q603-0.2969*R603+0.6924*IF(D603="S",1,0)+0.0457*IF(E603="L",1,0)+T603+U603)</f>
        <v/>
      </c>
      <c r="W603">
        <f>MAX(0,MIN(16,ROUND(V603,0)))</f>
        <v/>
      </c>
      <c r="X603">
        <f>IFNA(VLOOKUP(W603,Grade_Scale!$A:$B,2,FALSE),"F")</f>
        <v/>
      </c>
      <c r="Z603">
        <f>IF(Y603="","",W603-IFNA(VLOOKUP(Y603,Grade_Scale!$D:$E,2,FALSE),""))</f>
        <v/>
      </c>
    </row>
    <row r="604">
      <c r="P604">
        <f>IF(OR(B604="SP",B604="RP",B604="CP",B604="SP/RP"),"P","H")</f>
        <v/>
      </c>
      <c r="Q604">
        <f>IF(F604="",0,IFNA(VLOOKUP(F604,Trait_Polarity!$A:$C,2,FALSE),0))+IF(G604="",0,IFNA(VLOOKUP(G604,Trait_Polarity!$A:$C,2,FALSE),0))</f>
        <v/>
      </c>
      <c r="R604">
        <f>IF(F604="",0,IFNA(VLOOKUP(F604,Trait_Polarity!$A:$C,3,FALSE),0))+IF(G604="",0,IFNA(VLOOKUP(G604,Trait_Polarity!$A:$C,3,FALSE),0))</f>
        <v/>
      </c>
      <c r="S604">
        <f>IF(P604="P",(M604+N604+O604)/3,0.3*H604+0.3*I604+0.2*J604+0.1*K604+0.1*L604)</f>
        <v/>
      </c>
      <c r="T604">
        <f>IF(P604="P",IFNA(VLOOKUP(B604,Pitcher_RoleAdj!$A:$B,2,FALSE),0),IFNA(VLOOKUP(B604,Hitter_PrimaryAdj!$A:$B,2,FALSE),0))</f>
        <v/>
      </c>
      <c r="U604">
        <f>IFNA(VLOOKUP(IF(C604="","(none)",C604),SecondaryAdj!$A:$B,2,FALSE),0)</f>
        <v/>
      </c>
      <c r="V604">
        <f>IF(P604="P",0.7780+0.1628*S604+0.2957*Q604-0.1912*R604-0.1512*IF(D604="S",1,0)+0.1600*IF(E604="L",1,0)+0.0091*H604+0.0124*I604+0.0017*J604+T604+U604,-0.8294+0.1849*S604+0.1750*Q604-0.2969*R604+0.6924*IF(D604="S",1,0)+0.0457*IF(E604="L",1,0)+T604+U604)</f>
        <v/>
      </c>
      <c r="W604">
        <f>MAX(0,MIN(16,ROUND(V604,0)))</f>
        <v/>
      </c>
      <c r="X604">
        <f>IFNA(VLOOKUP(W604,Grade_Scale!$A:$B,2,FALSE),"F")</f>
        <v/>
      </c>
      <c r="Z604">
        <f>IF(Y604="","",W604-IFNA(VLOOKUP(Y604,Grade_Scale!$D:$E,2,FALSE),""))</f>
        <v/>
      </c>
    </row>
    <row r="605">
      <c r="P605">
        <f>IF(OR(B605="SP",B605="RP",B605="CP",B605="SP/RP"),"P","H")</f>
        <v/>
      </c>
      <c r="Q605">
        <f>IF(F605="",0,IFNA(VLOOKUP(F605,Trait_Polarity!$A:$C,2,FALSE),0))+IF(G605="",0,IFNA(VLOOKUP(G605,Trait_Polarity!$A:$C,2,FALSE),0))</f>
        <v/>
      </c>
      <c r="R605">
        <f>IF(F605="",0,IFNA(VLOOKUP(F605,Trait_Polarity!$A:$C,3,FALSE),0))+IF(G605="",0,IFNA(VLOOKUP(G605,Trait_Polarity!$A:$C,3,FALSE),0))</f>
        <v/>
      </c>
      <c r="S605">
        <f>IF(P605="P",(M605+N605+O605)/3,0.3*H605+0.3*I605+0.2*J605+0.1*K605+0.1*L605)</f>
        <v/>
      </c>
      <c r="T605">
        <f>IF(P605="P",IFNA(VLOOKUP(B605,Pitcher_RoleAdj!$A:$B,2,FALSE),0),IFNA(VLOOKUP(B605,Hitter_PrimaryAdj!$A:$B,2,FALSE),0))</f>
        <v/>
      </c>
      <c r="U605">
        <f>IFNA(VLOOKUP(IF(C605="","(none)",C605),SecondaryAdj!$A:$B,2,FALSE),0)</f>
        <v/>
      </c>
      <c r="V605">
        <f>IF(P605="P",0.7780+0.1628*S605+0.2957*Q605-0.1912*R605-0.1512*IF(D605="S",1,0)+0.1600*IF(E605="L",1,0)+0.0091*H605+0.0124*I605+0.0017*J605+T605+U605,-0.8294+0.1849*S605+0.1750*Q605-0.2969*R605+0.6924*IF(D605="S",1,0)+0.0457*IF(E605="L",1,0)+T605+U605)</f>
        <v/>
      </c>
      <c r="W605">
        <f>MAX(0,MIN(16,ROUND(V605,0)))</f>
        <v/>
      </c>
      <c r="X605">
        <f>IFNA(VLOOKUP(W605,Grade_Scale!$A:$B,2,FALSE),"F")</f>
        <v/>
      </c>
      <c r="Z605">
        <f>IF(Y605="","",W605-IFNA(VLOOKUP(Y605,Grade_Scale!$D:$E,2,FALSE),""))</f>
        <v/>
      </c>
    </row>
    <row r="606">
      <c r="P606">
        <f>IF(OR(B606="SP",B606="RP",B606="CP",B606="SP/RP"),"P","H")</f>
        <v/>
      </c>
      <c r="Q606">
        <f>IF(F606="",0,IFNA(VLOOKUP(F606,Trait_Polarity!$A:$C,2,FALSE),0))+IF(G606="",0,IFNA(VLOOKUP(G606,Trait_Polarity!$A:$C,2,FALSE),0))</f>
        <v/>
      </c>
      <c r="R606">
        <f>IF(F606="",0,IFNA(VLOOKUP(F606,Trait_Polarity!$A:$C,3,FALSE),0))+IF(G606="",0,IFNA(VLOOKUP(G606,Trait_Polarity!$A:$C,3,FALSE),0))</f>
        <v/>
      </c>
      <c r="S606">
        <f>IF(P606="P",(M606+N606+O606)/3,0.3*H606+0.3*I606+0.2*J606+0.1*K606+0.1*L606)</f>
        <v/>
      </c>
      <c r="T606">
        <f>IF(P606="P",IFNA(VLOOKUP(B606,Pitcher_RoleAdj!$A:$B,2,FALSE),0),IFNA(VLOOKUP(B606,Hitter_PrimaryAdj!$A:$B,2,FALSE),0))</f>
        <v/>
      </c>
      <c r="U606">
        <f>IFNA(VLOOKUP(IF(C606="","(none)",C606),SecondaryAdj!$A:$B,2,FALSE),0)</f>
        <v/>
      </c>
      <c r="V606">
        <f>IF(P606="P",0.7780+0.1628*S606+0.2957*Q606-0.1912*R606-0.1512*IF(D606="S",1,0)+0.1600*IF(E606="L",1,0)+0.0091*H606+0.0124*I606+0.0017*J606+T606+U606,-0.8294+0.1849*S606+0.1750*Q606-0.2969*R606+0.6924*IF(D606="S",1,0)+0.0457*IF(E606="L",1,0)+T606+U606)</f>
        <v/>
      </c>
      <c r="W606">
        <f>MAX(0,MIN(16,ROUND(V606,0)))</f>
        <v/>
      </c>
      <c r="X606">
        <f>IFNA(VLOOKUP(W606,Grade_Scale!$A:$B,2,FALSE),"F")</f>
        <v/>
      </c>
      <c r="Z606">
        <f>IF(Y606="","",W606-IFNA(VLOOKUP(Y606,Grade_Scale!$D:$E,2,FALSE),""))</f>
        <v/>
      </c>
    </row>
    <row r="607">
      <c r="P607">
        <f>IF(OR(B607="SP",B607="RP",B607="CP",B607="SP/RP"),"P","H")</f>
        <v/>
      </c>
      <c r="Q607">
        <f>IF(F607="",0,IFNA(VLOOKUP(F607,Trait_Polarity!$A:$C,2,FALSE),0))+IF(G607="",0,IFNA(VLOOKUP(G607,Trait_Polarity!$A:$C,2,FALSE),0))</f>
        <v/>
      </c>
      <c r="R607">
        <f>IF(F607="",0,IFNA(VLOOKUP(F607,Trait_Polarity!$A:$C,3,FALSE),0))+IF(G607="",0,IFNA(VLOOKUP(G607,Trait_Polarity!$A:$C,3,FALSE),0))</f>
        <v/>
      </c>
      <c r="S607">
        <f>IF(P607="P",(M607+N607+O607)/3,0.3*H607+0.3*I607+0.2*J607+0.1*K607+0.1*L607)</f>
        <v/>
      </c>
      <c r="T607">
        <f>IF(P607="P",IFNA(VLOOKUP(B607,Pitcher_RoleAdj!$A:$B,2,FALSE),0),IFNA(VLOOKUP(B607,Hitter_PrimaryAdj!$A:$B,2,FALSE),0))</f>
        <v/>
      </c>
      <c r="U607">
        <f>IFNA(VLOOKUP(IF(C607="","(none)",C607),SecondaryAdj!$A:$B,2,FALSE),0)</f>
        <v/>
      </c>
      <c r="V607">
        <f>IF(P607="P",0.7780+0.1628*S607+0.2957*Q607-0.1912*R607-0.1512*IF(D607="S",1,0)+0.1600*IF(E607="L",1,0)+0.0091*H607+0.0124*I607+0.0017*J607+T607+U607,-0.8294+0.1849*S607+0.1750*Q607-0.2969*R607+0.6924*IF(D607="S",1,0)+0.0457*IF(E607="L",1,0)+T607+U607)</f>
        <v/>
      </c>
      <c r="W607">
        <f>MAX(0,MIN(16,ROUND(V607,0)))</f>
        <v/>
      </c>
      <c r="X607">
        <f>IFNA(VLOOKUP(W607,Grade_Scale!$A:$B,2,FALSE),"F")</f>
        <v/>
      </c>
      <c r="Z607">
        <f>IF(Y607="","",W607-IFNA(VLOOKUP(Y607,Grade_Scale!$D:$E,2,FALSE),""))</f>
        <v/>
      </c>
    </row>
    <row r="608">
      <c r="P608">
        <f>IF(OR(B608="SP",B608="RP",B608="CP",B608="SP/RP"),"P","H")</f>
        <v/>
      </c>
      <c r="Q608">
        <f>IF(F608="",0,IFNA(VLOOKUP(F608,Trait_Polarity!$A:$C,2,FALSE),0))+IF(G608="",0,IFNA(VLOOKUP(G608,Trait_Polarity!$A:$C,2,FALSE),0))</f>
        <v/>
      </c>
      <c r="R608">
        <f>IF(F608="",0,IFNA(VLOOKUP(F608,Trait_Polarity!$A:$C,3,FALSE),0))+IF(G608="",0,IFNA(VLOOKUP(G608,Trait_Polarity!$A:$C,3,FALSE),0))</f>
        <v/>
      </c>
      <c r="S608">
        <f>IF(P608="P",(M608+N608+O608)/3,0.3*H608+0.3*I608+0.2*J608+0.1*K608+0.1*L608)</f>
        <v/>
      </c>
      <c r="T608">
        <f>IF(P608="P",IFNA(VLOOKUP(B608,Pitcher_RoleAdj!$A:$B,2,FALSE),0),IFNA(VLOOKUP(B608,Hitter_PrimaryAdj!$A:$B,2,FALSE),0))</f>
        <v/>
      </c>
      <c r="U608">
        <f>IFNA(VLOOKUP(IF(C608="","(none)",C608),SecondaryAdj!$A:$B,2,FALSE),0)</f>
        <v/>
      </c>
      <c r="V608">
        <f>IF(P608="P",0.7780+0.1628*S608+0.2957*Q608-0.1912*R608-0.1512*IF(D608="S",1,0)+0.1600*IF(E608="L",1,0)+0.0091*H608+0.0124*I608+0.0017*J608+T608+U608,-0.8294+0.1849*S608+0.1750*Q608-0.2969*R608+0.6924*IF(D608="S",1,0)+0.0457*IF(E608="L",1,0)+T608+U608)</f>
        <v/>
      </c>
      <c r="W608">
        <f>MAX(0,MIN(16,ROUND(V608,0)))</f>
        <v/>
      </c>
      <c r="X608">
        <f>IFNA(VLOOKUP(W608,Grade_Scale!$A:$B,2,FALSE),"F")</f>
        <v/>
      </c>
      <c r="Z608">
        <f>IF(Y608="","",W608-IFNA(VLOOKUP(Y608,Grade_Scale!$D:$E,2,FALSE),""))</f>
        <v/>
      </c>
    </row>
    <row r="609">
      <c r="P609">
        <f>IF(OR(B609="SP",B609="RP",B609="CP",B609="SP/RP"),"P","H")</f>
        <v/>
      </c>
      <c r="Q609">
        <f>IF(F609="",0,IFNA(VLOOKUP(F609,Trait_Polarity!$A:$C,2,FALSE),0))+IF(G609="",0,IFNA(VLOOKUP(G609,Trait_Polarity!$A:$C,2,FALSE),0))</f>
        <v/>
      </c>
      <c r="R609">
        <f>IF(F609="",0,IFNA(VLOOKUP(F609,Trait_Polarity!$A:$C,3,FALSE),0))+IF(G609="",0,IFNA(VLOOKUP(G609,Trait_Polarity!$A:$C,3,FALSE),0))</f>
        <v/>
      </c>
      <c r="S609">
        <f>IF(P609="P",(M609+N609+O609)/3,0.3*H609+0.3*I609+0.2*J609+0.1*K609+0.1*L609)</f>
        <v/>
      </c>
      <c r="T609">
        <f>IF(P609="P",IFNA(VLOOKUP(B609,Pitcher_RoleAdj!$A:$B,2,FALSE),0),IFNA(VLOOKUP(B609,Hitter_PrimaryAdj!$A:$B,2,FALSE),0))</f>
        <v/>
      </c>
      <c r="U609">
        <f>IFNA(VLOOKUP(IF(C609="","(none)",C609),SecondaryAdj!$A:$B,2,FALSE),0)</f>
        <v/>
      </c>
      <c r="V609">
        <f>IF(P609="P",0.7780+0.1628*S609+0.2957*Q609-0.1912*R609-0.1512*IF(D609="S",1,0)+0.1600*IF(E609="L",1,0)+0.0091*H609+0.0124*I609+0.0017*J609+T609+U609,-0.8294+0.1849*S609+0.1750*Q609-0.2969*R609+0.6924*IF(D609="S",1,0)+0.0457*IF(E609="L",1,0)+T609+U609)</f>
        <v/>
      </c>
      <c r="W609">
        <f>MAX(0,MIN(16,ROUND(V609,0)))</f>
        <v/>
      </c>
      <c r="X609">
        <f>IFNA(VLOOKUP(W609,Grade_Scale!$A:$B,2,FALSE),"F")</f>
        <v/>
      </c>
      <c r="Z609">
        <f>IF(Y609="","",W609-IFNA(VLOOKUP(Y609,Grade_Scale!$D:$E,2,FALSE),""))</f>
        <v/>
      </c>
    </row>
    <row r="610">
      <c r="P610">
        <f>IF(OR(B610="SP",B610="RP",B610="CP",B610="SP/RP"),"P","H")</f>
        <v/>
      </c>
      <c r="Q610">
        <f>IF(F610="",0,IFNA(VLOOKUP(F610,Trait_Polarity!$A:$C,2,FALSE),0))+IF(G610="",0,IFNA(VLOOKUP(G610,Trait_Polarity!$A:$C,2,FALSE),0))</f>
        <v/>
      </c>
      <c r="R610">
        <f>IF(F610="",0,IFNA(VLOOKUP(F610,Trait_Polarity!$A:$C,3,FALSE),0))+IF(G610="",0,IFNA(VLOOKUP(G610,Trait_Polarity!$A:$C,3,FALSE),0))</f>
        <v/>
      </c>
      <c r="S610">
        <f>IF(P610="P",(M610+N610+O610)/3,0.3*H610+0.3*I610+0.2*J610+0.1*K610+0.1*L610)</f>
        <v/>
      </c>
      <c r="T610">
        <f>IF(P610="P",IFNA(VLOOKUP(B610,Pitcher_RoleAdj!$A:$B,2,FALSE),0),IFNA(VLOOKUP(B610,Hitter_PrimaryAdj!$A:$B,2,FALSE),0))</f>
        <v/>
      </c>
      <c r="U610">
        <f>IFNA(VLOOKUP(IF(C610="","(none)",C610),SecondaryAdj!$A:$B,2,FALSE),0)</f>
        <v/>
      </c>
      <c r="V610">
        <f>IF(P610="P",0.7780+0.1628*S610+0.2957*Q610-0.1912*R610-0.1512*IF(D610="S",1,0)+0.1600*IF(E610="L",1,0)+0.0091*H610+0.0124*I610+0.0017*J610+T610+U610,-0.8294+0.1849*S610+0.1750*Q610-0.2969*R610+0.6924*IF(D610="S",1,0)+0.0457*IF(E610="L",1,0)+T610+U610)</f>
        <v/>
      </c>
      <c r="W610">
        <f>MAX(0,MIN(16,ROUND(V610,0)))</f>
        <v/>
      </c>
      <c r="X610">
        <f>IFNA(VLOOKUP(W610,Grade_Scale!$A:$B,2,FALSE),"F")</f>
        <v/>
      </c>
      <c r="Z610">
        <f>IF(Y610="","",W610-IFNA(VLOOKUP(Y610,Grade_Scale!$D:$E,2,FALSE),""))</f>
        <v/>
      </c>
    </row>
    <row r="611">
      <c r="P611">
        <f>IF(OR(B611="SP",B611="RP",B611="CP",B611="SP/RP"),"P","H")</f>
        <v/>
      </c>
      <c r="Q611">
        <f>IF(F611="",0,IFNA(VLOOKUP(F611,Trait_Polarity!$A:$C,2,FALSE),0))+IF(G611="",0,IFNA(VLOOKUP(G611,Trait_Polarity!$A:$C,2,FALSE),0))</f>
        <v/>
      </c>
      <c r="R611">
        <f>IF(F611="",0,IFNA(VLOOKUP(F611,Trait_Polarity!$A:$C,3,FALSE),0))+IF(G611="",0,IFNA(VLOOKUP(G611,Trait_Polarity!$A:$C,3,FALSE),0))</f>
        <v/>
      </c>
      <c r="S611">
        <f>IF(P611="P",(M611+N611+O611)/3,0.3*H611+0.3*I611+0.2*J611+0.1*K611+0.1*L611)</f>
        <v/>
      </c>
      <c r="T611">
        <f>IF(P611="P",IFNA(VLOOKUP(B611,Pitcher_RoleAdj!$A:$B,2,FALSE),0),IFNA(VLOOKUP(B611,Hitter_PrimaryAdj!$A:$B,2,FALSE),0))</f>
        <v/>
      </c>
      <c r="U611">
        <f>IFNA(VLOOKUP(IF(C611="","(none)",C611),SecondaryAdj!$A:$B,2,FALSE),0)</f>
        <v/>
      </c>
      <c r="V611">
        <f>IF(P611="P",0.7780+0.1628*S611+0.2957*Q611-0.1912*R611-0.1512*IF(D611="S",1,0)+0.1600*IF(E611="L",1,0)+0.0091*H611+0.0124*I611+0.0017*J611+T611+U611,-0.8294+0.1849*S611+0.1750*Q611-0.2969*R611+0.6924*IF(D611="S",1,0)+0.0457*IF(E611="L",1,0)+T611+U611)</f>
        <v/>
      </c>
      <c r="W611">
        <f>MAX(0,MIN(16,ROUND(V611,0)))</f>
        <v/>
      </c>
      <c r="X611">
        <f>IFNA(VLOOKUP(W611,Grade_Scale!$A:$B,2,FALSE),"F")</f>
        <v/>
      </c>
      <c r="Z611">
        <f>IF(Y611="","",W611-IFNA(VLOOKUP(Y611,Grade_Scale!$D:$E,2,FALSE),""))</f>
        <v/>
      </c>
    </row>
    <row r="612">
      <c r="P612">
        <f>IF(OR(B612="SP",B612="RP",B612="CP",B612="SP/RP"),"P","H")</f>
        <v/>
      </c>
      <c r="Q612">
        <f>IF(F612="",0,IFNA(VLOOKUP(F612,Trait_Polarity!$A:$C,2,FALSE),0))+IF(G612="",0,IFNA(VLOOKUP(G612,Trait_Polarity!$A:$C,2,FALSE),0))</f>
        <v/>
      </c>
      <c r="R612">
        <f>IF(F612="",0,IFNA(VLOOKUP(F612,Trait_Polarity!$A:$C,3,FALSE),0))+IF(G612="",0,IFNA(VLOOKUP(G612,Trait_Polarity!$A:$C,3,FALSE),0))</f>
        <v/>
      </c>
      <c r="S612">
        <f>IF(P612="P",(M612+N612+O612)/3,0.3*H612+0.3*I612+0.2*J612+0.1*K612+0.1*L612)</f>
        <v/>
      </c>
      <c r="T612">
        <f>IF(P612="P",IFNA(VLOOKUP(B612,Pitcher_RoleAdj!$A:$B,2,FALSE),0),IFNA(VLOOKUP(B612,Hitter_PrimaryAdj!$A:$B,2,FALSE),0))</f>
        <v/>
      </c>
      <c r="U612">
        <f>IFNA(VLOOKUP(IF(C612="","(none)",C612),SecondaryAdj!$A:$B,2,FALSE),0)</f>
        <v/>
      </c>
      <c r="V612">
        <f>IF(P612="P",0.7780+0.1628*S612+0.2957*Q612-0.1912*R612-0.1512*IF(D612="S",1,0)+0.1600*IF(E612="L",1,0)+0.0091*H612+0.0124*I612+0.0017*J612+T612+U612,-0.8294+0.1849*S612+0.1750*Q612-0.2969*R612+0.6924*IF(D612="S",1,0)+0.0457*IF(E612="L",1,0)+T612+U612)</f>
        <v/>
      </c>
      <c r="W612">
        <f>MAX(0,MIN(16,ROUND(V612,0)))</f>
        <v/>
      </c>
      <c r="X612">
        <f>IFNA(VLOOKUP(W612,Grade_Scale!$A:$B,2,FALSE),"F")</f>
        <v/>
      </c>
      <c r="Z612">
        <f>IF(Y612="","",W612-IFNA(VLOOKUP(Y612,Grade_Scale!$D:$E,2,FALSE),""))</f>
        <v/>
      </c>
    </row>
    <row r="613">
      <c r="P613">
        <f>IF(OR(B613="SP",B613="RP",B613="CP",B613="SP/RP"),"P","H")</f>
        <v/>
      </c>
      <c r="Q613">
        <f>IF(F613="",0,IFNA(VLOOKUP(F613,Trait_Polarity!$A:$C,2,FALSE),0))+IF(G613="",0,IFNA(VLOOKUP(G613,Trait_Polarity!$A:$C,2,FALSE),0))</f>
        <v/>
      </c>
      <c r="R613">
        <f>IF(F613="",0,IFNA(VLOOKUP(F613,Trait_Polarity!$A:$C,3,FALSE),0))+IF(G613="",0,IFNA(VLOOKUP(G613,Trait_Polarity!$A:$C,3,FALSE),0))</f>
        <v/>
      </c>
      <c r="S613">
        <f>IF(P613="P",(M613+N613+O613)/3,0.3*H613+0.3*I613+0.2*J613+0.1*K613+0.1*L613)</f>
        <v/>
      </c>
      <c r="T613">
        <f>IF(P613="P",IFNA(VLOOKUP(B613,Pitcher_RoleAdj!$A:$B,2,FALSE),0),IFNA(VLOOKUP(B613,Hitter_PrimaryAdj!$A:$B,2,FALSE),0))</f>
        <v/>
      </c>
      <c r="U613">
        <f>IFNA(VLOOKUP(IF(C613="","(none)",C613),SecondaryAdj!$A:$B,2,FALSE),0)</f>
        <v/>
      </c>
      <c r="V613">
        <f>IF(P613="P",0.7780+0.1628*S613+0.2957*Q613-0.1912*R613-0.1512*IF(D613="S",1,0)+0.1600*IF(E613="L",1,0)+0.0091*H613+0.0124*I613+0.0017*J613+T613+U613,-0.8294+0.1849*S613+0.1750*Q613-0.2969*R613+0.6924*IF(D613="S",1,0)+0.0457*IF(E613="L",1,0)+T613+U613)</f>
        <v/>
      </c>
      <c r="W613">
        <f>MAX(0,MIN(16,ROUND(V613,0)))</f>
        <v/>
      </c>
      <c r="X613">
        <f>IFNA(VLOOKUP(W613,Grade_Scale!$A:$B,2,FALSE),"F")</f>
        <v/>
      </c>
      <c r="Z613">
        <f>IF(Y613="","",W613-IFNA(VLOOKUP(Y613,Grade_Scale!$D:$E,2,FALSE),""))</f>
        <v/>
      </c>
    </row>
    <row r="614">
      <c r="P614">
        <f>IF(OR(B614="SP",B614="RP",B614="CP",B614="SP/RP"),"P","H")</f>
        <v/>
      </c>
      <c r="Q614">
        <f>IF(F614="",0,IFNA(VLOOKUP(F614,Trait_Polarity!$A:$C,2,FALSE),0))+IF(G614="",0,IFNA(VLOOKUP(G614,Trait_Polarity!$A:$C,2,FALSE),0))</f>
        <v/>
      </c>
      <c r="R614">
        <f>IF(F614="",0,IFNA(VLOOKUP(F614,Trait_Polarity!$A:$C,3,FALSE),0))+IF(G614="",0,IFNA(VLOOKUP(G614,Trait_Polarity!$A:$C,3,FALSE),0))</f>
        <v/>
      </c>
      <c r="S614">
        <f>IF(P614="P",(M614+N614+O614)/3,0.3*H614+0.3*I614+0.2*J614+0.1*K614+0.1*L614)</f>
        <v/>
      </c>
      <c r="T614">
        <f>IF(P614="P",IFNA(VLOOKUP(B614,Pitcher_RoleAdj!$A:$B,2,FALSE),0),IFNA(VLOOKUP(B614,Hitter_PrimaryAdj!$A:$B,2,FALSE),0))</f>
        <v/>
      </c>
      <c r="U614">
        <f>IFNA(VLOOKUP(IF(C614="","(none)",C614),SecondaryAdj!$A:$B,2,FALSE),0)</f>
        <v/>
      </c>
      <c r="V614">
        <f>IF(P614="P",0.7780+0.1628*S614+0.2957*Q614-0.1912*R614-0.1512*IF(D614="S",1,0)+0.1600*IF(E614="L",1,0)+0.0091*H614+0.0124*I614+0.0017*J614+T614+U614,-0.8294+0.1849*S614+0.1750*Q614-0.2969*R614+0.6924*IF(D614="S",1,0)+0.0457*IF(E614="L",1,0)+T614+U614)</f>
        <v/>
      </c>
      <c r="W614">
        <f>MAX(0,MIN(16,ROUND(V614,0)))</f>
        <v/>
      </c>
      <c r="X614">
        <f>IFNA(VLOOKUP(W614,Grade_Scale!$A:$B,2,FALSE),"F")</f>
        <v/>
      </c>
      <c r="Z614">
        <f>IF(Y614="","",W614-IFNA(VLOOKUP(Y614,Grade_Scale!$D:$E,2,FALSE),""))</f>
        <v/>
      </c>
    </row>
    <row r="615">
      <c r="P615">
        <f>IF(OR(B615="SP",B615="RP",B615="CP",B615="SP/RP"),"P","H")</f>
        <v/>
      </c>
      <c r="Q615">
        <f>IF(F615="",0,IFNA(VLOOKUP(F615,Trait_Polarity!$A:$C,2,FALSE),0))+IF(G615="",0,IFNA(VLOOKUP(G615,Trait_Polarity!$A:$C,2,FALSE),0))</f>
        <v/>
      </c>
      <c r="R615">
        <f>IF(F615="",0,IFNA(VLOOKUP(F615,Trait_Polarity!$A:$C,3,FALSE),0))+IF(G615="",0,IFNA(VLOOKUP(G615,Trait_Polarity!$A:$C,3,FALSE),0))</f>
        <v/>
      </c>
      <c r="S615">
        <f>IF(P615="P",(M615+N615+O615)/3,0.3*H615+0.3*I615+0.2*J615+0.1*K615+0.1*L615)</f>
        <v/>
      </c>
      <c r="T615">
        <f>IF(P615="P",IFNA(VLOOKUP(B615,Pitcher_RoleAdj!$A:$B,2,FALSE),0),IFNA(VLOOKUP(B615,Hitter_PrimaryAdj!$A:$B,2,FALSE),0))</f>
        <v/>
      </c>
      <c r="U615">
        <f>IFNA(VLOOKUP(IF(C615="","(none)",C615),SecondaryAdj!$A:$B,2,FALSE),0)</f>
        <v/>
      </c>
      <c r="V615">
        <f>IF(P615="P",0.7780+0.1628*S615+0.2957*Q615-0.1912*R615-0.1512*IF(D615="S",1,0)+0.1600*IF(E615="L",1,0)+0.0091*H615+0.0124*I615+0.0017*J615+T615+U615,-0.8294+0.1849*S615+0.1750*Q615-0.2969*R615+0.6924*IF(D615="S",1,0)+0.0457*IF(E615="L",1,0)+T615+U615)</f>
        <v/>
      </c>
      <c r="W615">
        <f>MAX(0,MIN(16,ROUND(V615,0)))</f>
        <v/>
      </c>
      <c r="X615">
        <f>IFNA(VLOOKUP(W615,Grade_Scale!$A:$B,2,FALSE),"F")</f>
        <v/>
      </c>
      <c r="Z615">
        <f>IF(Y615="","",W615-IFNA(VLOOKUP(Y615,Grade_Scale!$D:$E,2,FALSE),""))</f>
        <v/>
      </c>
    </row>
    <row r="616">
      <c r="P616">
        <f>IF(OR(B616="SP",B616="RP",B616="CP",B616="SP/RP"),"P","H")</f>
        <v/>
      </c>
      <c r="Q616">
        <f>IF(F616="",0,IFNA(VLOOKUP(F616,Trait_Polarity!$A:$C,2,FALSE),0))+IF(G616="",0,IFNA(VLOOKUP(G616,Trait_Polarity!$A:$C,2,FALSE),0))</f>
        <v/>
      </c>
      <c r="R616">
        <f>IF(F616="",0,IFNA(VLOOKUP(F616,Trait_Polarity!$A:$C,3,FALSE),0))+IF(G616="",0,IFNA(VLOOKUP(G616,Trait_Polarity!$A:$C,3,FALSE),0))</f>
        <v/>
      </c>
      <c r="S616">
        <f>IF(P616="P",(M616+N616+O616)/3,0.3*H616+0.3*I616+0.2*J616+0.1*K616+0.1*L616)</f>
        <v/>
      </c>
      <c r="T616">
        <f>IF(P616="P",IFNA(VLOOKUP(B616,Pitcher_RoleAdj!$A:$B,2,FALSE),0),IFNA(VLOOKUP(B616,Hitter_PrimaryAdj!$A:$B,2,FALSE),0))</f>
        <v/>
      </c>
      <c r="U616">
        <f>IFNA(VLOOKUP(IF(C616="","(none)",C616),SecondaryAdj!$A:$B,2,FALSE),0)</f>
        <v/>
      </c>
      <c r="V616">
        <f>IF(P616="P",0.7780+0.1628*S616+0.2957*Q616-0.1912*R616-0.1512*IF(D616="S",1,0)+0.1600*IF(E616="L",1,0)+0.0091*H616+0.0124*I616+0.0017*J616+T616+U616,-0.8294+0.1849*S616+0.1750*Q616-0.2969*R616+0.6924*IF(D616="S",1,0)+0.0457*IF(E616="L",1,0)+T616+U616)</f>
        <v/>
      </c>
      <c r="W616">
        <f>MAX(0,MIN(16,ROUND(V616,0)))</f>
        <v/>
      </c>
      <c r="X616">
        <f>IFNA(VLOOKUP(W616,Grade_Scale!$A:$B,2,FALSE),"F")</f>
        <v/>
      </c>
      <c r="Z616">
        <f>IF(Y616="","",W616-IFNA(VLOOKUP(Y616,Grade_Scale!$D:$E,2,FALSE),""))</f>
        <v/>
      </c>
    </row>
    <row r="617">
      <c r="P617">
        <f>IF(OR(B617="SP",B617="RP",B617="CP",B617="SP/RP"),"P","H")</f>
        <v/>
      </c>
      <c r="Q617">
        <f>IF(F617="",0,IFNA(VLOOKUP(F617,Trait_Polarity!$A:$C,2,FALSE),0))+IF(G617="",0,IFNA(VLOOKUP(G617,Trait_Polarity!$A:$C,2,FALSE),0))</f>
        <v/>
      </c>
      <c r="R617">
        <f>IF(F617="",0,IFNA(VLOOKUP(F617,Trait_Polarity!$A:$C,3,FALSE),0))+IF(G617="",0,IFNA(VLOOKUP(G617,Trait_Polarity!$A:$C,3,FALSE),0))</f>
        <v/>
      </c>
      <c r="S617">
        <f>IF(P617="P",(M617+N617+O617)/3,0.3*H617+0.3*I617+0.2*J617+0.1*K617+0.1*L617)</f>
        <v/>
      </c>
      <c r="T617">
        <f>IF(P617="P",IFNA(VLOOKUP(B617,Pitcher_RoleAdj!$A:$B,2,FALSE),0),IFNA(VLOOKUP(B617,Hitter_PrimaryAdj!$A:$B,2,FALSE),0))</f>
        <v/>
      </c>
      <c r="U617">
        <f>IFNA(VLOOKUP(IF(C617="","(none)",C617),SecondaryAdj!$A:$B,2,FALSE),0)</f>
        <v/>
      </c>
      <c r="V617">
        <f>IF(P617="P",0.7780+0.1628*S617+0.2957*Q617-0.1912*R617-0.1512*IF(D617="S",1,0)+0.1600*IF(E617="L",1,0)+0.0091*H617+0.0124*I617+0.0017*J617+T617+U617,-0.8294+0.1849*S617+0.1750*Q617-0.2969*R617+0.6924*IF(D617="S",1,0)+0.0457*IF(E617="L",1,0)+T617+U617)</f>
        <v/>
      </c>
      <c r="W617">
        <f>MAX(0,MIN(16,ROUND(V617,0)))</f>
        <v/>
      </c>
      <c r="X617">
        <f>IFNA(VLOOKUP(W617,Grade_Scale!$A:$B,2,FALSE),"F")</f>
        <v/>
      </c>
      <c r="Z617">
        <f>IF(Y617="","",W617-IFNA(VLOOKUP(Y617,Grade_Scale!$D:$E,2,FALSE),""))</f>
        <v/>
      </c>
    </row>
    <row r="618">
      <c r="P618">
        <f>IF(OR(B618="SP",B618="RP",B618="CP",B618="SP/RP"),"P","H")</f>
        <v/>
      </c>
      <c r="Q618">
        <f>IF(F618="",0,IFNA(VLOOKUP(F618,Trait_Polarity!$A:$C,2,FALSE),0))+IF(G618="",0,IFNA(VLOOKUP(G618,Trait_Polarity!$A:$C,2,FALSE),0))</f>
        <v/>
      </c>
      <c r="R618">
        <f>IF(F618="",0,IFNA(VLOOKUP(F618,Trait_Polarity!$A:$C,3,FALSE),0))+IF(G618="",0,IFNA(VLOOKUP(G618,Trait_Polarity!$A:$C,3,FALSE),0))</f>
        <v/>
      </c>
      <c r="S618">
        <f>IF(P618="P",(M618+N618+O618)/3,0.3*H618+0.3*I618+0.2*J618+0.1*K618+0.1*L618)</f>
        <v/>
      </c>
      <c r="T618">
        <f>IF(P618="P",IFNA(VLOOKUP(B618,Pitcher_RoleAdj!$A:$B,2,FALSE),0),IFNA(VLOOKUP(B618,Hitter_PrimaryAdj!$A:$B,2,FALSE),0))</f>
        <v/>
      </c>
      <c r="U618">
        <f>IFNA(VLOOKUP(IF(C618="","(none)",C618),SecondaryAdj!$A:$B,2,FALSE),0)</f>
        <v/>
      </c>
      <c r="V618">
        <f>IF(P618="P",0.7780+0.1628*S618+0.2957*Q618-0.1912*R618-0.1512*IF(D618="S",1,0)+0.1600*IF(E618="L",1,0)+0.0091*H618+0.0124*I618+0.0017*J618+T618+U618,-0.8294+0.1849*S618+0.1750*Q618-0.2969*R618+0.6924*IF(D618="S",1,0)+0.0457*IF(E618="L",1,0)+T618+U618)</f>
        <v/>
      </c>
      <c r="W618">
        <f>MAX(0,MIN(16,ROUND(V618,0)))</f>
        <v/>
      </c>
      <c r="X618">
        <f>IFNA(VLOOKUP(W618,Grade_Scale!$A:$B,2,FALSE),"F")</f>
        <v/>
      </c>
      <c r="Z618">
        <f>IF(Y618="","",W618-IFNA(VLOOKUP(Y618,Grade_Scale!$D:$E,2,FALSE),""))</f>
        <v/>
      </c>
    </row>
    <row r="619">
      <c r="P619">
        <f>IF(OR(B619="SP",B619="RP",B619="CP",B619="SP/RP"),"P","H")</f>
        <v/>
      </c>
      <c r="Q619">
        <f>IF(F619="",0,IFNA(VLOOKUP(F619,Trait_Polarity!$A:$C,2,FALSE),0))+IF(G619="",0,IFNA(VLOOKUP(G619,Trait_Polarity!$A:$C,2,FALSE),0))</f>
        <v/>
      </c>
      <c r="R619">
        <f>IF(F619="",0,IFNA(VLOOKUP(F619,Trait_Polarity!$A:$C,3,FALSE),0))+IF(G619="",0,IFNA(VLOOKUP(G619,Trait_Polarity!$A:$C,3,FALSE),0))</f>
        <v/>
      </c>
      <c r="S619">
        <f>IF(P619="P",(M619+N619+O619)/3,0.3*H619+0.3*I619+0.2*J619+0.1*K619+0.1*L619)</f>
        <v/>
      </c>
      <c r="T619">
        <f>IF(P619="P",IFNA(VLOOKUP(B619,Pitcher_RoleAdj!$A:$B,2,FALSE),0),IFNA(VLOOKUP(B619,Hitter_PrimaryAdj!$A:$B,2,FALSE),0))</f>
        <v/>
      </c>
      <c r="U619">
        <f>IFNA(VLOOKUP(IF(C619="","(none)",C619),SecondaryAdj!$A:$B,2,FALSE),0)</f>
        <v/>
      </c>
      <c r="V619">
        <f>IF(P619="P",0.7780+0.1628*S619+0.2957*Q619-0.1912*R619-0.1512*IF(D619="S",1,0)+0.1600*IF(E619="L",1,0)+0.0091*H619+0.0124*I619+0.0017*J619+T619+U619,-0.8294+0.1849*S619+0.1750*Q619-0.2969*R619+0.6924*IF(D619="S",1,0)+0.0457*IF(E619="L",1,0)+T619+U619)</f>
        <v/>
      </c>
      <c r="W619">
        <f>MAX(0,MIN(16,ROUND(V619,0)))</f>
        <v/>
      </c>
      <c r="X619">
        <f>IFNA(VLOOKUP(W619,Grade_Scale!$A:$B,2,FALSE),"F")</f>
        <v/>
      </c>
      <c r="Z619">
        <f>IF(Y619="","",W619-IFNA(VLOOKUP(Y619,Grade_Scale!$D:$E,2,FALSE),""))</f>
        <v/>
      </c>
    </row>
    <row r="620">
      <c r="P620">
        <f>IF(OR(B620="SP",B620="RP",B620="CP",B620="SP/RP"),"P","H")</f>
        <v/>
      </c>
      <c r="Q620">
        <f>IF(F620="",0,IFNA(VLOOKUP(F620,Trait_Polarity!$A:$C,2,FALSE),0))+IF(G620="",0,IFNA(VLOOKUP(G620,Trait_Polarity!$A:$C,2,FALSE),0))</f>
        <v/>
      </c>
      <c r="R620">
        <f>IF(F620="",0,IFNA(VLOOKUP(F620,Trait_Polarity!$A:$C,3,FALSE),0))+IF(G620="",0,IFNA(VLOOKUP(G620,Trait_Polarity!$A:$C,3,FALSE),0))</f>
        <v/>
      </c>
      <c r="S620">
        <f>IF(P620="P",(M620+N620+O620)/3,0.3*H620+0.3*I620+0.2*J620+0.1*K620+0.1*L620)</f>
        <v/>
      </c>
      <c r="T620">
        <f>IF(P620="P",IFNA(VLOOKUP(B620,Pitcher_RoleAdj!$A:$B,2,FALSE),0),IFNA(VLOOKUP(B620,Hitter_PrimaryAdj!$A:$B,2,FALSE),0))</f>
        <v/>
      </c>
      <c r="U620">
        <f>IFNA(VLOOKUP(IF(C620="","(none)",C620),SecondaryAdj!$A:$B,2,FALSE),0)</f>
        <v/>
      </c>
      <c r="V620">
        <f>IF(P620="P",0.7780+0.1628*S620+0.2957*Q620-0.1912*R620-0.1512*IF(D620="S",1,0)+0.1600*IF(E620="L",1,0)+0.0091*H620+0.0124*I620+0.0017*J620+T620+U620,-0.8294+0.1849*S620+0.1750*Q620-0.2969*R620+0.6924*IF(D620="S",1,0)+0.0457*IF(E620="L",1,0)+T620+U620)</f>
        <v/>
      </c>
      <c r="W620">
        <f>MAX(0,MIN(16,ROUND(V620,0)))</f>
        <v/>
      </c>
      <c r="X620">
        <f>IFNA(VLOOKUP(W620,Grade_Scale!$A:$B,2,FALSE),"F")</f>
        <v/>
      </c>
      <c r="Z620">
        <f>IF(Y620="","",W620-IFNA(VLOOKUP(Y620,Grade_Scale!$D:$E,2,FALSE),""))</f>
        <v/>
      </c>
    </row>
    <row r="621">
      <c r="P621">
        <f>IF(OR(B621="SP",B621="RP",B621="CP",B621="SP/RP"),"P","H")</f>
        <v/>
      </c>
      <c r="Q621">
        <f>IF(F621="",0,IFNA(VLOOKUP(F621,Trait_Polarity!$A:$C,2,FALSE),0))+IF(G621="",0,IFNA(VLOOKUP(G621,Trait_Polarity!$A:$C,2,FALSE),0))</f>
        <v/>
      </c>
      <c r="R621">
        <f>IF(F621="",0,IFNA(VLOOKUP(F621,Trait_Polarity!$A:$C,3,FALSE),0))+IF(G621="",0,IFNA(VLOOKUP(G621,Trait_Polarity!$A:$C,3,FALSE),0))</f>
        <v/>
      </c>
      <c r="S621">
        <f>IF(P621="P",(M621+N621+O621)/3,0.3*H621+0.3*I621+0.2*J621+0.1*K621+0.1*L621)</f>
        <v/>
      </c>
      <c r="T621">
        <f>IF(P621="P",IFNA(VLOOKUP(B621,Pitcher_RoleAdj!$A:$B,2,FALSE),0),IFNA(VLOOKUP(B621,Hitter_PrimaryAdj!$A:$B,2,FALSE),0))</f>
        <v/>
      </c>
      <c r="U621">
        <f>IFNA(VLOOKUP(IF(C621="","(none)",C621),SecondaryAdj!$A:$B,2,FALSE),0)</f>
        <v/>
      </c>
      <c r="V621">
        <f>IF(P621="P",0.7780+0.1628*S621+0.2957*Q621-0.1912*R621-0.1512*IF(D621="S",1,0)+0.1600*IF(E621="L",1,0)+0.0091*H621+0.0124*I621+0.0017*J621+T621+U621,-0.8294+0.1849*S621+0.1750*Q621-0.2969*R621+0.6924*IF(D621="S",1,0)+0.0457*IF(E621="L",1,0)+T621+U621)</f>
        <v/>
      </c>
      <c r="W621">
        <f>MAX(0,MIN(16,ROUND(V621,0)))</f>
        <v/>
      </c>
      <c r="X621">
        <f>IFNA(VLOOKUP(W621,Grade_Scale!$A:$B,2,FALSE),"F")</f>
        <v/>
      </c>
      <c r="Z621">
        <f>IF(Y621="","",W621-IFNA(VLOOKUP(Y621,Grade_Scale!$D:$E,2,FALSE),""))</f>
        <v/>
      </c>
    </row>
    <row r="622">
      <c r="P622">
        <f>IF(OR(B622="SP",B622="RP",B622="CP",B622="SP/RP"),"P","H")</f>
        <v/>
      </c>
      <c r="Q622">
        <f>IF(F622="",0,IFNA(VLOOKUP(F622,Trait_Polarity!$A:$C,2,FALSE),0))+IF(G622="",0,IFNA(VLOOKUP(G622,Trait_Polarity!$A:$C,2,FALSE),0))</f>
        <v/>
      </c>
      <c r="R622">
        <f>IF(F622="",0,IFNA(VLOOKUP(F622,Trait_Polarity!$A:$C,3,FALSE),0))+IF(G622="",0,IFNA(VLOOKUP(G622,Trait_Polarity!$A:$C,3,FALSE),0))</f>
        <v/>
      </c>
      <c r="S622">
        <f>IF(P622="P",(M622+N622+O622)/3,0.3*H622+0.3*I622+0.2*J622+0.1*K622+0.1*L622)</f>
        <v/>
      </c>
      <c r="T622">
        <f>IF(P622="P",IFNA(VLOOKUP(B622,Pitcher_RoleAdj!$A:$B,2,FALSE),0),IFNA(VLOOKUP(B622,Hitter_PrimaryAdj!$A:$B,2,FALSE),0))</f>
        <v/>
      </c>
      <c r="U622">
        <f>IFNA(VLOOKUP(IF(C622="","(none)",C622),SecondaryAdj!$A:$B,2,FALSE),0)</f>
        <v/>
      </c>
      <c r="V622">
        <f>IF(P622="P",0.7780+0.1628*S622+0.2957*Q622-0.1912*R622-0.1512*IF(D622="S",1,0)+0.1600*IF(E622="L",1,0)+0.0091*H622+0.0124*I622+0.0017*J622+T622+U622,-0.8294+0.1849*S622+0.1750*Q622-0.2969*R622+0.6924*IF(D622="S",1,0)+0.0457*IF(E622="L",1,0)+T622+U622)</f>
        <v/>
      </c>
      <c r="W622">
        <f>MAX(0,MIN(16,ROUND(V622,0)))</f>
        <v/>
      </c>
      <c r="X622">
        <f>IFNA(VLOOKUP(W622,Grade_Scale!$A:$B,2,FALSE),"F")</f>
        <v/>
      </c>
      <c r="Z622">
        <f>IF(Y622="","",W622-IFNA(VLOOKUP(Y622,Grade_Scale!$D:$E,2,FALSE),""))</f>
        <v/>
      </c>
    </row>
    <row r="623">
      <c r="P623">
        <f>IF(OR(B623="SP",B623="RP",B623="CP",B623="SP/RP"),"P","H")</f>
        <v/>
      </c>
      <c r="Q623">
        <f>IF(F623="",0,IFNA(VLOOKUP(F623,Trait_Polarity!$A:$C,2,FALSE),0))+IF(G623="",0,IFNA(VLOOKUP(G623,Trait_Polarity!$A:$C,2,FALSE),0))</f>
        <v/>
      </c>
      <c r="R623">
        <f>IF(F623="",0,IFNA(VLOOKUP(F623,Trait_Polarity!$A:$C,3,FALSE),0))+IF(G623="",0,IFNA(VLOOKUP(G623,Trait_Polarity!$A:$C,3,FALSE),0))</f>
        <v/>
      </c>
      <c r="S623">
        <f>IF(P623="P",(M623+N623+O623)/3,0.3*H623+0.3*I623+0.2*J623+0.1*K623+0.1*L623)</f>
        <v/>
      </c>
      <c r="T623">
        <f>IF(P623="P",IFNA(VLOOKUP(B623,Pitcher_RoleAdj!$A:$B,2,FALSE),0),IFNA(VLOOKUP(B623,Hitter_PrimaryAdj!$A:$B,2,FALSE),0))</f>
        <v/>
      </c>
      <c r="U623">
        <f>IFNA(VLOOKUP(IF(C623="","(none)",C623),SecondaryAdj!$A:$B,2,FALSE),0)</f>
        <v/>
      </c>
      <c r="V623">
        <f>IF(P623="P",0.7780+0.1628*S623+0.2957*Q623-0.1912*R623-0.1512*IF(D623="S",1,0)+0.1600*IF(E623="L",1,0)+0.0091*H623+0.0124*I623+0.0017*J623+T623+U623,-0.8294+0.1849*S623+0.1750*Q623-0.2969*R623+0.6924*IF(D623="S",1,0)+0.0457*IF(E623="L",1,0)+T623+U623)</f>
        <v/>
      </c>
      <c r="W623">
        <f>MAX(0,MIN(16,ROUND(V623,0)))</f>
        <v/>
      </c>
      <c r="X623">
        <f>IFNA(VLOOKUP(W623,Grade_Scale!$A:$B,2,FALSE),"F")</f>
        <v/>
      </c>
      <c r="Z623">
        <f>IF(Y623="","",W623-IFNA(VLOOKUP(Y623,Grade_Scale!$D:$E,2,FALSE),""))</f>
        <v/>
      </c>
    </row>
    <row r="624">
      <c r="P624">
        <f>IF(OR(B624="SP",B624="RP",B624="CP",B624="SP/RP"),"P","H")</f>
        <v/>
      </c>
      <c r="Q624">
        <f>IF(F624="",0,IFNA(VLOOKUP(F624,Trait_Polarity!$A:$C,2,FALSE),0))+IF(G624="",0,IFNA(VLOOKUP(G624,Trait_Polarity!$A:$C,2,FALSE),0))</f>
        <v/>
      </c>
      <c r="R624">
        <f>IF(F624="",0,IFNA(VLOOKUP(F624,Trait_Polarity!$A:$C,3,FALSE),0))+IF(G624="",0,IFNA(VLOOKUP(G624,Trait_Polarity!$A:$C,3,FALSE),0))</f>
        <v/>
      </c>
      <c r="S624">
        <f>IF(P624="P",(M624+N624+O624)/3,0.3*H624+0.3*I624+0.2*J624+0.1*K624+0.1*L624)</f>
        <v/>
      </c>
      <c r="T624">
        <f>IF(P624="P",IFNA(VLOOKUP(B624,Pitcher_RoleAdj!$A:$B,2,FALSE),0),IFNA(VLOOKUP(B624,Hitter_PrimaryAdj!$A:$B,2,FALSE),0))</f>
        <v/>
      </c>
      <c r="U624">
        <f>IFNA(VLOOKUP(IF(C624="","(none)",C624),SecondaryAdj!$A:$B,2,FALSE),0)</f>
        <v/>
      </c>
      <c r="V624">
        <f>IF(P624="P",0.7780+0.1628*S624+0.2957*Q624-0.1912*R624-0.1512*IF(D624="S",1,0)+0.1600*IF(E624="L",1,0)+0.0091*H624+0.0124*I624+0.0017*J624+T624+U624,-0.8294+0.1849*S624+0.1750*Q624-0.2969*R624+0.6924*IF(D624="S",1,0)+0.0457*IF(E624="L",1,0)+T624+U624)</f>
        <v/>
      </c>
      <c r="W624">
        <f>MAX(0,MIN(16,ROUND(V624,0)))</f>
        <v/>
      </c>
      <c r="X624">
        <f>IFNA(VLOOKUP(W624,Grade_Scale!$A:$B,2,FALSE),"F")</f>
        <v/>
      </c>
      <c r="Z624">
        <f>IF(Y624="","",W624-IFNA(VLOOKUP(Y624,Grade_Scale!$D:$E,2,FALSE),""))</f>
        <v/>
      </c>
    </row>
    <row r="625">
      <c r="P625">
        <f>IF(OR(B625="SP",B625="RP",B625="CP",B625="SP/RP"),"P","H")</f>
        <v/>
      </c>
      <c r="Q625">
        <f>IF(F625="",0,IFNA(VLOOKUP(F625,Trait_Polarity!$A:$C,2,FALSE),0))+IF(G625="",0,IFNA(VLOOKUP(G625,Trait_Polarity!$A:$C,2,FALSE),0))</f>
        <v/>
      </c>
      <c r="R625">
        <f>IF(F625="",0,IFNA(VLOOKUP(F625,Trait_Polarity!$A:$C,3,FALSE),0))+IF(G625="",0,IFNA(VLOOKUP(G625,Trait_Polarity!$A:$C,3,FALSE),0))</f>
        <v/>
      </c>
      <c r="S625">
        <f>IF(P625="P",(M625+N625+O625)/3,0.3*H625+0.3*I625+0.2*J625+0.1*K625+0.1*L625)</f>
        <v/>
      </c>
      <c r="T625">
        <f>IF(P625="P",IFNA(VLOOKUP(B625,Pitcher_RoleAdj!$A:$B,2,FALSE),0),IFNA(VLOOKUP(B625,Hitter_PrimaryAdj!$A:$B,2,FALSE),0))</f>
        <v/>
      </c>
      <c r="U625">
        <f>IFNA(VLOOKUP(IF(C625="","(none)",C625),SecondaryAdj!$A:$B,2,FALSE),0)</f>
        <v/>
      </c>
      <c r="V625">
        <f>IF(P625="P",0.7780+0.1628*S625+0.2957*Q625-0.1912*R625-0.1512*IF(D625="S",1,0)+0.1600*IF(E625="L",1,0)+0.0091*H625+0.0124*I625+0.0017*J625+T625+U625,-0.8294+0.1849*S625+0.1750*Q625-0.2969*R625+0.6924*IF(D625="S",1,0)+0.0457*IF(E625="L",1,0)+T625+U625)</f>
        <v/>
      </c>
      <c r="W625">
        <f>MAX(0,MIN(16,ROUND(V625,0)))</f>
        <v/>
      </c>
      <c r="X625">
        <f>IFNA(VLOOKUP(W625,Grade_Scale!$A:$B,2,FALSE),"F")</f>
        <v/>
      </c>
      <c r="Z625">
        <f>IF(Y625="","",W625-IFNA(VLOOKUP(Y625,Grade_Scale!$D:$E,2,FALSE),""))</f>
        <v/>
      </c>
    </row>
    <row r="626">
      <c r="P626">
        <f>IF(OR(B626="SP",B626="RP",B626="CP",B626="SP/RP"),"P","H")</f>
        <v/>
      </c>
      <c r="Q626">
        <f>IF(F626="",0,IFNA(VLOOKUP(F626,Trait_Polarity!$A:$C,2,FALSE),0))+IF(G626="",0,IFNA(VLOOKUP(G626,Trait_Polarity!$A:$C,2,FALSE),0))</f>
        <v/>
      </c>
      <c r="R626">
        <f>IF(F626="",0,IFNA(VLOOKUP(F626,Trait_Polarity!$A:$C,3,FALSE),0))+IF(G626="",0,IFNA(VLOOKUP(G626,Trait_Polarity!$A:$C,3,FALSE),0))</f>
        <v/>
      </c>
      <c r="S626">
        <f>IF(P626="P",(M626+N626+O626)/3,0.3*H626+0.3*I626+0.2*J626+0.1*K626+0.1*L626)</f>
        <v/>
      </c>
      <c r="T626">
        <f>IF(P626="P",IFNA(VLOOKUP(B626,Pitcher_RoleAdj!$A:$B,2,FALSE),0),IFNA(VLOOKUP(B626,Hitter_PrimaryAdj!$A:$B,2,FALSE),0))</f>
        <v/>
      </c>
      <c r="U626">
        <f>IFNA(VLOOKUP(IF(C626="","(none)",C626),SecondaryAdj!$A:$B,2,FALSE),0)</f>
        <v/>
      </c>
      <c r="V626">
        <f>IF(P626="P",0.7780+0.1628*S626+0.2957*Q626-0.1912*R626-0.1512*IF(D626="S",1,0)+0.1600*IF(E626="L",1,0)+0.0091*H626+0.0124*I626+0.0017*J626+T626+U626,-0.8294+0.1849*S626+0.1750*Q626-0.2969*R626+0.6924*IF(D626="S",1,0)+0.0457*IF(E626="L",1,0)+T626+U626)</f>
        <v/>
      </c>
      <c r="W626">
        <f>MAX(0,MIN(16,ROUND(V626,0)))</f>
        <v/>
      </c>
      <c r="X626">
        <f>IFNA(VLOOKUP(W626,Grade_Scale!$A:$B,2,FALSE),"F")</f>
        <v/>
      </c>
      <c r="Z626">
        <f>IF(Y626="","",W626-IFNA(VLOOKUP(Y626,Grade_Scale!$D:$E,2,FALSE),""))</f>
        <v/>
      </c>
    </row>
    <row r="627">
      <c r="P627">
        <f>IF(OR(B627="SP",B627="RP",B627="CP",B627="SP/RP"),"P","H")</f>
        <v/>
      </c>
      <c r="Q627">
        <f>IF(F627="",0,IFNA(VLOOKUP(F627,Trait_Polarity!$A:$C,2,FALSE),0))+IF(G627="",0,IFNA(VLOOKUP(G627,Trait_Polarity!$A:$C,2,FALSE),0))</f>
        <v/>
      </c>
      <c r="R627">
        <f>IF(F627="",0,IFNA(VLOOKUP(F627,Trait_Polarity!$A:$C,3,FALSE),0))+IF(G627="",0,IFNA(VLOOKUP(G627,Trait_Polarity!$A:$C,3,FALSE),0))</f>
        <v/>
      </c>
      <c r="S627">
        <f>IF(P627="P",(M627+N627+O627)/3,0.3*H627+0.3*I627+0.2*J627+0.1*K627+0.1*L627)</f>
        <v/>
      </c>
      <c r="T627">
        <f>IF(P627="P",IFNA(VLOOKUP(B627,Pitcher_RoleAdj!$A:$B,2,FALSE),0),IFNA(VLOOKUP(B627,Hitter_PrimaryAdj!$A:$B,2,FALSE),0))</f>
        <v/>
      </c>
      <c r="U627">
        <f>IFNA(VLOOKUP(IF(C627="","(none)",C627),SecondaryAdj!$A:$B,2,FALSE),0)</f>
        <v/>
      </c>
      <c r="V627">
        <f>IF(P627="P",0.7780+0.1628*S627+0.2957*Q627-0.1912*R627-0.1512*IF(D627="S",1,0)+0.1600*IF(E627="L",1,0)+0.0091*H627+0.0124*I627+0.0017*J627+T627+U627,-0.8294+0.1849*S627+0.1750*Q627-0.2969*R627+0.6924*IF(D627="S",1,0)+0.0457*IF(E627="L",1,0)+T627+U627)</f>
        <v/>
      </c>
      <c r="W627">
        <f>MAX(0,MIN(16,ROUND(V627,0)))</f>
        <v/>
      </c>
      <c r="X627">
        <f>IFNA(VLOOKUP(W627,Grade_Scale!$A:$B,2,FALSE),"F")</f>
        <v/>
      </c>
      <c r="Z627">
        <f>IF(Y627="","",W627-IFNA(VLOOKUP(Y627,Grade_Scale!$D:$E,2,FALSE),""))</f>
        <v/>
      </c>
    </row>
    <row r="628">
      <c r="P628">
        <f>IF(OR(B628="SP",B628="RP",B628="CP",B628="SP/RP"),"P","H")</f>
        <v/>
      </c>
      <c r="Q628">
        <f>IF(F628="",0,IFNA(VLOOKUP(F628,Trait_Polarity!$A:$C,2,FALSE),0))+IF(G628="",0,IFNA(VLOOKUP(G628,Trait_Polarity!$A:$C,2,FALSE),0))</f>
        <v/>
      </c>
      <c r="R628">
        <f>IF(F628="",0,IFNA(VLOOKUP(F628,Trait_Polarity!$A:$C,3,FALSE),0))+IF(G628="",0,IFNA(VLOOKUP(G628,Trait_Polarity!$A:$C,3,FALSE),0))</f>
        <v/>
      </c>
      <c r="S628">
        <f>IF(P628="P",(M628+N628+O628)/3,0.3*H628+0.3*I628+0.2*J628+0.1*K628+0.1*L628)</f>
        <v/>
      </c>
      <c r="T628">
        <f>IF(P628="P",IFNA(VLOOKUP(B628,Pitcher_RoleAdj!$A:$B,2,FALSE),0),IFNA(VLOOKUP(B628,Hitter_PrimaryAdj!$A:$B,2,FALSE),0))</f>
        <v/>
      </c>
      <c r="U628">
        <f>IFNA(VLOOKUP(IF(C628="","(none)",C628),SecondaryAdj!$A:$B,2,FALSE),0)</f>
        <v/>
      </c>
      <c r="V628">
        <f>IF(P628="P",0.7780+0.1628*S628+0.2957*Q628-0.1912*R628-0.1512*IF(D628="S",1,0)+0.1600*IF(E628="L",1,0)+0.0091*H628+0.0124*I628+0.0017*J628+T628+U628,-0.8294+0.1849*S628+0.1750*Q628-0.2969*R628+0.6924*IF(D628="S",1,0)+0.0457*IF(E628="L",1,0)+T628+U628)</f>
        <v/>
      </c>
      <c r="W628">
        <f>MAX(0,MIN(16,ROUND(V628,0)))</f>
        <v/>
      </c>
      <c r="X628">
        <f>IFNA(VLOOKUP(W628,Grade_Scale!$A:$B,2,FALSE),"F")</f>
        <v/>
      </c>
      <c r="Z628">
        <f>IF(Y628="","",W628-IFNA(VLOOKUP(Y628,Grade_Scale!$D:$E,2,FALSE),""))</f>
        <v/>
      </c>
    </row>
    <row r="629">
      <c r="P629">
        <f>IF(OR(B629="SP",B629="RP",B629="CP",B629="SP/RP"),"P","H")</f>
        <v/>
      </c>
      <c r="Q629">
        <f>IF(F629="",0,IFNA(VLOOKUP(F629,Trait_Polarity!$A:$C,2,FALSE),0))+IF(G629="",0,IFNA(VLOOKUP(G629,Trait_Polarity!$A:$C,2,FALSE),0))</f>
        <v/>
      </c>
      <c r="R629">
        <f>IF(F629="",0,IFNA(VLOOKUP(F629,Trait_Polarity!$A:$C,3,FALSE),0))+IF(G629="",0,IFNA(VLOOKUP(G629,Trait_Polarity!$A:$C,3,FALSE),0))</f>
        <v/>
      </c>
      <c r="S629">
        <f>IF(P629="P",(M629+N629+O629)/3,0.3*H629+0.3*I629+0.2*J629+0.1*K629+0.1*L629)</f>
        <v/>
      </c>
      <c r="T629">
        <f>IF(P629="P",IFNA(VLOOKUP(B629,Pitcher_RoleAdj!$A:$B,2,FALSE),0),IFNA(VLOOKUP(B629,Hitter_PrimaryAdj!$A:$B,2,FALSE),0))</f>
        <v/>
      </c>
      <c r="U629">
        <f>IFNA(VLOOKUP(IF(C629="","(none)",C629),SecondaryAdj!$A:$B,2,FALSE),0)</f>
        <v/>
      </c>
      <c r="V629">
        <f>IF(P629="P",0.7780+0.1628*S629+0.2957*Q629-0.1912*R629-0.1512*IF(D629="S",1,0)+0.1600*IF(E629="L",1,0)+0.0091*H629+0.0124*I629+0.0017*J629+T629+U629,-0.8294+0.1849*S629+0.1750*Q629-0.2969*R629+0.6924*IF(D629="S",1,0)+0.0457*IF(E629="L",1,0)+T629+U629)</f>
        <v/>
      </c>
      <c r="W629">
        <f>MAX(0,MIN(16,ROUND(V629,0)))</f>
        <v/>
      </c>
      <c r="X629">
        <f>IFNA(VLOOKUP(W629,Grade_Scale!$A:$B,2,FALSE),"F")</f>
        <v/>
      </c>
      <c r="Z629">
        <f>IF(Y629="","",W629-IFNA(VLOOKUP(Y629,Grade_Scale!$D:$E,2,FALSE),""))</f>
        <v/>
      </c>
    </row>
    <row r="630">
      <c r="P630">
        <f>IF(OR(B630="SP",B630="RP",B630="CP",B630="SP/RP"),"P","H")</f>
        <v/>
      </c>
      <c r="Q630">
        <f>IF(F630="",0,IFNA(VLOOKUP(F630,Trait_Polarity!$A:$C,2,FALSE),0))+IF(G630="",0,IFNA(VLOOKUP(G630,Trait_Polarity!$A:$C,2,FALSE),0))</f>
        <v/>
      </c>
      <c r="R630">
        <f>IF(F630="",0,IFNA(VLOOKUP(F630,Trait_Polarity!$A:$C,3,FALSE),0))+IF(G630="",0,IFNA(VLOOKUP(G630,Trait_Polarity!$A:$C,3,FALSE),0))</f>
        <v/>
      </c>
      <c r="S630">
        <f>IF(P630="P",(M630+N630+O630)/3,0.3*H630+0.3*I630+0.2*J630+0.1*K630+0.1*L630)</f>
        <v/>
      </c>
      <c r="T630">
        <f>IF(P630="P",IFNA(VLOOKUP(B630,Pitcher_RoleAdj!$A:$B,2,FALSE),0),IFNA(VLOOKUP(B630,Hitter_PrimaryAdj!$A:$B,2,FALSE),0))</f>
        <v/>
      </c>
      <c r="U630">
        <f>IFNA(VLOOKUP(IF(C630="","(none)",C630),SecondaryAdj!$A:$B,2,FALSE),0)</f>
        <v/>
      </c>
      <c r="V630">
        <f>IF(P630="P",0.7780+0.1628*S630+0.2957*Q630-0.1912*R630-0.1512*IF(D630="S",1,0)+0.1600*IF(E630="L",1,0)+0.0091*H630+0.0124*I630+0.0017*J630+T630+U630,-0.8294+0.1849*S630+0.1750*Q630-0.2969*R630+0.6924*IF(D630="S",1,0)+0.0457*IF(E630="L",1,0)+T630+U630)</f>
        <v/>
      </c>
      <c r="W630">
        <f>MAX(0,MIN(16,ROUND(V630,0)))</f>
        <v/>
      </c>
      <c r="X630">
        <f>IFNA(VLOOKUP(W630,Grade_Scale!$A:$B,2,FALSE),"F")</f>
        <v/>
      </c>
      <c r="Z630">
        <f>IF(Y630="","",W630-IFNA(VLOOKUP(Y630,Grade_Scale!$D:$E,2,FALSE),""))</f>
        <v/>
      </c>
    </row>
    <row r="631">
      <c r="P631">
        <f>IF(OR(B631="SP",B631="RP",B631="CP",B631="SP/RP"),"P","H")</f>
        <v/>
      </c>
      <c r="Q631">
        <f>IF(F631="",0,IFNA(VLOOKUP(F631,Trait_Polarity!$A:$C,2,FALSE),0))+IF(G631="",0,IFNA(VLOOKUP(G631,Trait_Polarity!$A:$C,2,FALSE),0))</f>
        <v/>
      </c>
      <c r="R631">
        <f>IF(F631="",0,IFNA(VLOOKUP(F631,Trait_Polarity!$A:$C,3,FALSE),0))+IF(G631="",0,IFNA(VLOOKUP(G631,Trait_Polarity!$A:$C,3,FALSE),0))</f>
        <v/>
      </c>
      <c r="S631">
        <f>IF(P631="P",(M631+N631+O631)/3,0.3*H631+0.3*I631+0.2*J631+0.1*K631+0.1*L631)</f>
        <v/>
      </c>
      <c r="T631">
        <f>IF(P631="P",IFNA(VLOOKUP(B631,Pitcher_RoleAdj!$A:$B,2,FALSE),0),IFNA(VLOOKUP(B631,Hitter_PrimaryAdj!$A:$B,2,FALSE),0))</f>
        <v/>
      </c>
      <c r="U631">
        <f>IFNA(VLOOKUP(IF(C631="","(none)",C631),SecondaryAdj!$A:$B,2,FALSE),0)</f>
        <v/>
      </c>
      <c r="V631">
        <f>IF(P631="P",0.7780+0.1628*S631+0.2957*Q631-0.1912*R631-0.1512*IF(D631="S",1,0)+0.1600*IF(E631="L",1,0)+0.0091*H631+0.0124*I631+0.0017*J631+T631+U631,-0.8294+0.1849*S631+0.1750*Q631-0.2969*R631+0.6924*IF(D631="S",1,0)+0.0457*IF(E631="L",1,0)+T631+U631)</f>
        <v/>
      </c>
      <c r="W631">
        <f>MAX(0,MIN(16,ROUND(V631,0)))</f>
        <v/>
      </c>
      <c r="X631">
        <f>IFNA(VLOOKUP(W631,Grade_Scale!$A:$B,2,FALSE),"F")</f>
        <v/>
      </c>
      <c r="Z631">
        <f>IF(Y631="","",W631-IFNA(VLOOKUP(Y631,Grade_Scale!$D:$E,2,FALSE),""))</f>
        <v/>
      </c>
    </row>
    <row r="632">
      <c r="P632">
        <f>IF(OR(B632="SP",B632="RP",B632="CP",B632="SP/RP"),"P","H")</f>
        <v/>
      </c>
      <c r="Q632">
        <f>IF(F632="",0,IFNA(VLOOKUP(F632,Trait_Polarity!$A:$C,2,FALSE),0))+IF(G632="",0,IFNA(VLOOKUP(G632,Trait_Polarity!$A:$C,2,FALSE),0))</f>
        <v/>
      </c>
      <c r="R632">
        <f>IF(F632="",0,IFNA(VLOOKUP(F632,Trait_Polarity!$A:$C,3,FALSE),0))+IF(G632="",0,IFNA(VLOOKUP(G632,Trait_Polarity!$A:$C,3,FALSE),0))</f>
        <v/>
      </c>
      <c r="S632">
        <f>IF(P632="P",(M632+N632+O632)/3,0.3*H632+0.3*I632+0.2*J632+0.1*K632+0.1*L632)</f>
        <v/>
      </c>
      <c r="T632">
        <f>IF(P632="P",IFNA(VLOOKUP(B632,Pitcher_RoleAdj!$A:$B,2,FALSE),0),IFNA(VLOOKUP(B632,Hitter_PrimaryAdj!$A:$B,2,FALSE),0))</f>
        <v/>
      </c>
      <c r="U632">
        <f>IFNA(VLOOKUP(IF(C632="","(none)",C632),SecondaryAdj!$A:$B,2,FALSE),0)</f>
        <v/>
      </c>
      <c r="V632">
        <f>IF(P632="P",0.7780+0.1628*S632+0.2957*Q632-0.1912*R632-0.1512*IF(D632="S",1,0)+0.1600*IF(E632="L",1,0)+0.0091*H632+0.0124*I632+0.0017*J632+T632+U632,-0.8294+0.1849*S632+0.1750*Q632-0.2969*R632+0.6924*IF(D632="S",1,0)+0.0457*IF(E632="L",1,0)+T632+U632)</f>
        <v/>
      </c>
      <c r="W632">
        <f>MAX(0,MIN(16,ROUND(V632,0)))</f>
        <v/>
      </c>
      <c r="X632">
        <f>IFNA(VLOOKUP(W632,Grade_Scale!$A:$B,2,FALSE),"F")</f>
        <v/>
      </c>
      <c r="Z632">
        <f>IF(Y632="","",W632-IFNA(VLOOKUP(Y632,Grade_Scale!$D:$E,2,FALSE),""))</f>
        <v/>
      </c>
    </row>
    <row r="633">
      <c r="P633">
        <f>IF(OR(B633="SP",B633="RP",B633="CP",B633="SP/RP"),"P","H")</f>
        <v/>
      </c>
      <c r="Q633">
        <f>IF(F633="",0,IFNA(VLOOKUP(F633,Trait_Polarity!$A:$C,2,FALSE),0))+IF(G633="",0,IFNA(VLOOKUP(G633,Trait_Polarity!$A:$C,2,FALSE),0))</f>
        <v/>
      </c>
      <c r="R633">
        <f>IF(F633="",0,IFNA(VLOOKUP(F633,Trait_Polarity!$A:$C,3,FALSE),0))+IF(G633="",0,IFNA(VLOOKUP(G633,Trait_Polarity!$A:$C,3,FALSE),0))</f>
        <v/>
      </c>
      <c r="S633">
        <f>IF(P633="P",(M633+N633+O633)/3,0.3*H633+0.3*I633+0.2*J633+0.1*K633+0.1*L633)</f>
        <v/>
      </c>
      <c r="T633">
        <f>IF(P633="P",IFNA(VLOOKUP(B633,Pitcher_RoleAdj!$A:$B,2,FALSE),0),IFNA(VLOOKUP(B633,Hitter_PrimaryAdj!$A:$B,2,FALSE),0))</f>
        <v/>
      </c>
      <c r="U633">
        <f>IFNA(VLOOKUP(IF(C633="","(none)",C633),SecondaryAdj!$A:$B,2,FALSE),0)</f>
        <v/>
      </c>
      <c r="V633">
        <f>IF(P633="P",0.7780+0.1628*S633+0.2957*Q633-0.1912*R633-0.1512*IF(D633="S",1,0)+0.1600*IF(E633="L",1,0)+0.0091*H633+0.0124*I633+0.0017*J633+T633+U633,-0.8294+0.1849*S633+0.1750*Q633-0.2969*R633+0.6924*IF(D633="S",1,0)+0.0457*IF(E633="L",1,0)+T633+U633)</f>
        <v/>
      </c>
      <c r="W633">
        <f>MAX(0,MIN(16,ROUND(V633,0)))</f>
        <v/>
      </c>
      <c r="X633">
        <f>IFNA(VLOOKUP(W633,Grade_Scale!$A:$B,2,FALSE),"F")</f>
        <v/>
      </c>
      <c r="Z633">
        <f>IF(Y633="","",W633-IFNA(VLOOKUP(Y633,Grade_Scale!$D:$E,2,FALSE),""))</f>
        <v/>
      </c>
    </row>
    <row r="634">
      <c r="P634">
        <f>IF(OR(B634="SP",B634="RP",B634="CP",B634="SP/RP"),"P","H")</f>
        <v/>
      </c>
      <c r="Q634">
        <f>IF(F634="",0,IFNA(VLOOKUP(F634,Trait_Polarity!$A:$C,2,FALSE),0))+IF(G634="",0,IFNA(VLOOKUP(G634,Trait_Polarity!$A:$C,2,FALSE),0))</f>
        <v/>
      </c>
      <c r="R634">
        <f>IF(F634="",0,IFNA(VLOOKUP(F634,Trait_Polarity!$A:$C,3,FALSE),0))+IF(G634="",0,IFNA(VLOOKUP(G634,Trait_Polarity!$A:$C,3,FALSE),0))</f>
        <v/>
      </c>
      <c r="S634">
        <f>IF(P634="P",(M634+N634+O634)/3,0.3*H634+0.3*I634+0.2*J634+0.1*K634+0.1*L634)</f>
        <v/>
      </c>
      <c r="T634">
        <f>IF(P634="P",IFNA(VLOOKUP(B634,Pitcher_RoleAdj!$A:$B,2,FALSE),0),IFNA(VLOOKUP(B634,Hitter_PrimaryAdj!$A:$B,2,FALSE),0))</f>
        <v/>
      </c>
      <c r="U634">
        <f>IFNA(VLOOKUP(IF(C634="","(none)",C634),SecondaryAdj!$A:$B,2,FALSE),0)</f>
        <v/>
      </c>
      <c r="V634">
        <f>IF(P634="P",0.7780+0.1628*S634+0.2957*Q634-0.1912*R634-0.1512*IF(D634="S",1,0)+0.1600*IF(E634="L",1,0)+0.0091*H634+0.0124*I634+0.0017*J634+T634+U634,-0.8294+0.1849*S634+0.1750*Q634-0.2969*R634+0.6924*IF(D634="S",1,0)+0.0457*IF(E634="L",1,0)+T634+U634)</f>
        <v/>
      </c>
      <c r="W634">
        <f>MAX(0,MIN(16,ROUND(V634,0)))</f>
        <v/>
      </c>
      <c r="X634">
        <f>IFNA(VLOOKUP(W634,Grade_Scale!$A:$B,2,FALSE),"F")</f>
        <v/>
      </c>
      <c r="Z634">
        <f>IF(Y634="","",W634-IFNA(VLOOKUP(Y634,Grade_Scale!$D:$E,2,FALSE),""))</f>
        <v/>
      </c>
    </row>
    <row r="635">
      <c r="P635">
        <f>IF(OR(B635="SP",B635="RP",B635="CP",B635="SP/RP"),"P","H")</f>
        <v/>
      </c>
      <c r="Q635">
        <f>IF(F635="",0,IFNA(VLOOKUP(F635,Trait_Polarity!$A:$C,2,FALSE),0))+IF(G635="",0,IFNA(VLOOKUP(G635,Trait_Polarity!$A:$C,2,FALSE),0))</f>
        <v/>
      </c>
      <c r="R635">
        <f>IF(F635="",0,IFNA(VLOOKUP(F635,Trait_Polarity!$A:$C,3,FALSE),0))+IF(G635="",0,IFNA(VLOOKUP(G635,Trait_Polarity!$A:$C,3,FALSE),0))</f>
        <v/>
      </c>
      <c r="S635">
        <f>IF(P635="P",(M635+N635+O635)/3,0.3*H635+0.3*I635+0.2*J635+0.1*K635+0.1*L635)</f>
        <v/>
      </c>
      <c r="T635">
        <f>IF(P635="P",IFNA(VLOOKUP(B635,Pitcher_RoleAdj!$A:$B,2,FALSE),0),IFNA(VLOOKUP(B635,Hitter_PrimaryAdj!$A:$B,2,FALSE),0))</f>
        <v/>
      </c>
      <c r="U635">
        <f>IFNA(VLOOKUP(IF(C635="","(none)",C635),SecondaryAdj!$A:$B,2,FALSE),0)</f>
        <v/>
      </c>
      <c r="V635">
        <f>IF(P635="P",0.7780+0.1628*S635+0.2957*Q635-0.1912*R635-0.1512*IF(D635="S",1,0)+0.1600*IF(E635="L",1,0)+0.0091*H635+0.0124*I635+0.0017*J635+T635+U635,-0.8294+0.1849*S635+0.1750*Q635-0.2969*R635+0.6924*IF(D635="S",1,0)+0.0457*IF(E635="L",1,0)+T635+U635)</f>
        <v/>
      </c>
      <c r="W635">
        <f>MAX(0,MIN(16,ROUND(V635,0)))</f>
        <v/>
      </c>
      <c r="X635">
        <f>IFNA(VLOOKUP(W635,Grade_Scale!$A:$B,2,FALSE),"F")</f>
        <v/>
      </c>
      <c r="Z635">
        <f>IF(Y635="","",W635-IFNA(VLOOKUP(Y635,Grade_Scale!$D:$E,2,FALSE),""))</f>
        <v/>
      </c>
    </row>
    <row r="636">
      <c r="P636">
        <f>IF(OR(B636="SP",B636="RP",B636="CP",B636="SP/RP"),"P","H")</f>
        <v/>
      </c>
      <c r="Q636">
        <f>IF(F636="",0,IFNA(VLOOKUP(F636,Trait_Polarity!$A:$C,2,FALSE),0))+IF(G636="",0,IFNA(VLOOKUP(G636,Trait_Polarity!$A:$C,2,FALSE),0))</f>
        <v/>
      </c>
      <c r="R636">
        <f>IF(F636="",0,IFNA(VLOOKUP(F636,Trait_Polarity!$A:$C,3,FALSE),0))+IF(G636="",0,IFNA(VLOOKUP(G636,Trait_Polarity!$A:$C,3,FALSE),0))</f>
        <v/>
      </c>
      <c r="S636">
        <f>IF(P636="P",(M636+N636+O636)/3,0.3*H636+0.3*I636+0.2*J636+0.1*K636+0.1*L636)</f>
        <v/>
      </c>
      <c r="T636">
        <f>IF(P636="P",IFNA(VLOOKUP(B636,Pitcher_RoleAdj!$A:$B,2,FALSE),0),IFNA(VLOOKUP(B636,Hitter_PrimaryAdj!$A:$B,2,FALSE),0))</f>
        <v/>
      </c>
      <c r="U636">
        <f>IFNA(VLOOKUP(IF(C636="","(none)",C636),SecondaryAdj!$A:$B,2,FALSE),0)</f>
        <v/>
      </c>
      <c r="V636">
        <f>IF(P636="P",0.7780+0.1628*S636+0.2957*Q636-0.1912*R636-0.1512*IF(D636="S",1,0)+0.1600*IF(E636="L",1,0)+0.0091*H636+0.0124*I636+0.0017*J636+T636+U636,-0.8294+0.1849*S636+0.1750*Q636-0.2969*R636+0.6924*IF(D636="S",1,0)+0.0457*IF(E636="L",1,0)+T636+U636)</f>
        <v/>
      </c>
      <c r="W636">
        <f>MAX(0,MIN(16,ROUND(V636,0)))</f>
        <v/>
      </c>
      <c r="X636">
        <f>IFNA(VLOOKUP(W636,Grade_Scale!$A:$B,2,FALSE),"F")</f>
        <v/>
      </c>
      <c r="Z636">
        <f>IF(Y636="","",W636-IFNA(VLOOKUP(Y636,Grade_Scale!$D:$E,2,FALSE),""))</f>
        <v/>
      </c>
    </row>
    <row r="637">
      <c r="P637">
        <f>IF(OR(B637="SP",B637="RP",B637="CP",B637="SP/RP"),"P","H")</f>
        <v/>
      </c>
      <c r="Q637">
        <f>IF(F637="",0,IFNA(VLOOKUP(F637,Trait_Polarity!$A:$C,2,FALSE),0))+IF(G637="",0,IFNA(VLOOKUP(G637,Trait_Polarity!$A:$C,2,FALSE),0))</f>
        <v/>
      </c>
      <c r="R637">
        <f>IF(F637="",0,IFNA(VLOOKUP(F637,Trait_Polarity!$A:$C,3,FALSE),0))+IF(G637="",0,IFNA(VLOOKUP(G637,Trait_Polarity!$A:$C,3,FALSE),0))</f>
        <v/>
      </c>
      <c r="S637">
        <f>IF(P637="P",(M637+N637+O637)/3,0.3*H637+0.3*I637+0.2*J637+0.1*K637+0.1*L637)</f>
        <v/>
      </c>
      <c r="T637">
        <f>IF(P637="P",IFNA(VLOOKUP(B637,Pitcher_RoleAdj!$A:$B,2,FALSE),0),IFNA(VLOOKUP(B637,Hitter_PrimaryAdj!$A:$B,2,FALSE),0))</f>
        <v/>
      </c>
      <c r="U637">
        <f>IFNA(VLOOKUP(IF(C637="","(none)",C637),SecondaryAdj!$A:$B,2,FALSE),0)</f>
        <v/>
      </c>
      <c r="V637">
        <f>IF(P637="P",0.7780+0.1628*S637+0.2957*Q637-0.1912*R637-0.1512*IF(D637="S",1,0)+0.1600*IF(E637="L",1,0)+0.0091*H637+0.0124*I637+0.0017*J637+T637+U637,-0.8294+0.1849*S637+0.1750*Q637-0.2969*R637+0.6924*IF(D637="S",1,0)+0.0457*IF(E637="L",1,0)+T637+U637)</f>
        <v/>
      </c>
      <c r="W637">
        <f>MAX(0,MIN(16,ROUND(V637,0)))</f>
        <v/>
      </c>
      <c r="X637">
        <f>IFNA(VLOOKUP(W637,Grade_Scale!$A:$B,2,FALSE),"F")</f>
        <v/>
      </c>
      <c r="Z637">
        <f>IF(Y637="","",W637-IFNA(VLOOKUP(Y637,Grade_Scale!$D:$E,2,FALSE),""))</f>
        <v/>
      </c>
    </row>
    <row r="638">
      <c r="P638">
        <f>IF(OR(B638="SP",B638="RP",B638="CP",B638="SP/RP"),"P","H")</f>
        <v/>
      </c>
      <c r="Q638">
        <f>IF(F638="",0,IFNA(VLOOKUP(F638,Trait_Polarity!$A:$C,2,FALSE),0))+IF(G638="",0,IFNA(VLOOKUP(G638,Trait_Polarity!$A:$C,2,FALSE),0))</f>
        <v/>
      </c>
      <c r="R638">
        <f>IF(F638="",0,IFNA(VLOOKUP(F638,Trait_Polarity!$A:$C,3,FALSE),0))+IF(G638="",0,IFNA(VLOOKUP(G638,Trait_Polarity!$A:$C,3,FALSE),0))</f>
        <v/>
      </c>
      <c r="S638">
        <f>IF(P638="P",(M638+N638+O638)/3,0.3*H638+0.3*I638+0.2*J638+0.1*K638+0.1*L638)</f>
        <v/>
      </c>
      <c r="T638">
        <f>IF(P638="P",IFNA(VLOOKUP(B638,Pitcher_RoleAdj!$A:$B,2,FALSE),0),IFNA(VLOOKUP(B638,Hitter_PrimaryAdj!$A:$B,2,FALSE),0))</f>
        <v/>
      </c>
      <c r="U638">
        <f>IFNA(VLOOKUP(IF(C638="","(none)",C638),SecondaryAdj!$A:$B,2,FALSE),0)</f>
        <v/>
      </c>
      <c r="V638">
        <f>IF(P638="P",0.7780+0.1628*S638+0.2957*Q638-0.1912*R638-0.1512*IF(D638="S",1,0)+0.1600*IF(E638="L",1,0)+0.0091*H638+0.0124*I638+0.0017*J638+T638+U638,-0.8294+0.1849*S638+0.1750*Q638-0.2969*R638+0.6924*IF(D638="S",1,0)+0.0457*IF(E638="L",1,0)+T638+U638)</f>
        <v/>
      </c>
      <c r="W638">
        <f>MAX(0,MIN(16,ROUND(V638,0)))</f>
        <v/>
      </c>
      <c r="X638">
        <f>IFNA(VLOOKUP(W638,Grade_Scale!$A:$B,2,FALSE),"F")</f>
        <v/>
      </c>
      <c r="Z638">
        <f>IF(Y638="","",W638-IFNA(VLOOKUP(Y638,Grade_Scale!$D:$E,2,FALSE),""))</f>
        <v/>
      </c>
    </row>
    <row r="639">
      <c r="P639">
        <f>IF(OR(B639="SP",B639="RP",B639="CP",B639="SP/RP"),"P","H")</f>
        <v/>
      </c>
      <c r="Q639">
        <f>IF(F639="",0,IFNA(VLOOKUP(F639,Trait_Polarity!$A:$C,2,FALSE),0))+IF(G639="",0,IFNA(VLOOKUP(G639,Trait_Polarity!$A:$C,2,FALSE),0))</f>
        <v/>
      </c>
      <c r="R639">
        <f>IF(F639="",0,IFNA(VLOOKUP(F639,Trait_Polarity!$A:$C,3,FALSE),0))+IF(G639="",0,IFNA(VLOOKUP(G639,Trait_Polarity!$A:$C,3,FALSE),0))</f>
        <v/>
      </c>
      <c r="S639">
        <f>IF(P639="P",(M639+N639+O639)/3,0.3*H639+0.3*I639+0.2*J639+0.1*K639+0.1*L639)</f>
        <v/>
      </c>
      <c r="T639">
        <f>IF(P639="P",IFNA(VLOOKUP(B639,Pitcher_RoleAdj!$A:$B,2,FALSE),0),IFNA(VLOOKUP(B639,Hitter_PrimaryAdj!$A:$B,2,FALSE),0))</f>
        <v/>
      </c>
      <c r="U639">
        <f>IFNA(VLOOKUP(IF(C639="","(none)",C639),SecondaryAdj!$A:$B,2,FALSE),0)</f>
        <v/>
      </c>
      <c r="V639">
        <f>IF(P639="P",0.7780+0.1628*S639+0.2957*Q639-0.1912*R639-0.1512*IF(D639="S",1,0)+0.1600*IF(E639="L",1,0)+0.0091*H639+0.0124*I639+0.0017*J639+T639+U639,-0.8294+0.1849*S639+0.1750*Q639-0.2969*R639+0.6924*IF(D639="S",1,0)+0.0457*IF(E639="L",1,0)+T639+U639)</f>
        <v/>
      </c>
      <c r="W639">
        <f>MAX(0,MIN(16,ROUND(V639,0)))</f>
        <v/>
      </c>
      <c r="X639">
        <f>IFNA(VLOOKUP(W639,Grade_Scale!$A:$B,2,FALSE),"F")</f>
        <v/>
      </c>
      <c r="Z639">
        <f>IF(Y639="","",W639-IFNA(VLOOKUP(Y639,Grade_Scale!$D:$E,2,FALSE),""))</f>
        <v/>
      </c>
    </row>
    <row r="640">
      <c r="P640">
        <f>IF(OR(B640="SP",B640="RP",B640="CP",B640="SP/RP"),"P","H")</f>
        <v/>
      </c>
      <c r="Q640">
        <f>IF(F640="",0,IFNA(VLOOKUP(F640,Trait_Polarity!$A:$C,2,FALSE),0))+IF(G640="",0,IFNA(VLOOKUP(G640,Trait_Polarity!$A:$C,2,FALSE),0))</f>
        <v/>
      </c>
      <c r="R640">
        <f>IF(F640="",0,IFNA(VLOOKUP(F640,Trait_Polarity!$A:$C,3,FALSE),0))+IF(G640="",0,IFNA(VLOOKUP(G640,Trait_Polarity!$A:$C,3,FALSE),0))</f>
        <v/>
      </c>
      <c r="S640">
        <f>IF(P640="P",(M640+N640+O640)/3,0.3*H640+0.3*I640+0.2*J640+0.1*K640+0.1*L640)</f>
        <v/>
      </c>
      <c r="T640">
        <f>IF(P640="P",IFNA(VLOOKUP(B640,Pitcher_RoleAdj!$A:$B,2,FALSE),0),IFNA(VLOOKUP(B640,Hitter_PrimaryAdj!$A:$B,2,FALSE),0))</f>
        <v/>
      </c>
      <c r="U640">
        <f>IFNA(VLOOKUP(IF(C640="","(none)",C640),SecondaryAdj!$A:$B,2,FALSE),0)</f>
        <v/>
      </c>
      <c r="V640">
        <f>IF(P640="P",0.7780+0.1628*S640+0.2957*Q640-0.1912*R640-0.1512*IF(D640="S",1,0)+0.1600*IF(E640="L",1,0)+0.0091*H640+0.0124*I640+0.0017*J640+T640+U640,-0.8294+0.1849*S640+0.1750*Q640-0.2969*R640+0.6924*IF(D640="S",1,0)+0.0457*IF(E640="L",1,0)+T640+U640)</f>
        <v/>
      </c>
      <c r="W640">
        <f>MAX(0,MIN(16,ROUND(V640,0)))</f>
        <v/>
      </c>
      <c r="X640">
        <f>IFNA(VLOOKUP(W640,Grade_Scale!$A:$B,2,FALSE),"F")</f>
        <v/>
      </c>
      <c r="Z640">
        <f>IF(Y640="","",W640-IFNA(VLOOKUP(Y640,Grade_Scale!$D:$E,2,FALSE),""))</f>
        <v/>
      </c>
    </row>
    <row r="641">
      <c r="P641">
        <f>IF(OR(B641="SP",B641="RP",B641="CP",B641="SP/RP"),"P","H")</f>
        <v/>
      </c>
      <c r="Q641">
        <f>IF(F641="",0,IFNA(VLOOKUP(F641,Trait_Polarity!$A:$C,2,FALSE),0))+IF(G641="",0,IFNA(VLOOKUP(G641,Trait_Polarity!$A:$C,2,FALSE),0))</f>
        <v/>
      </c>
      <c r="R641">
        <f>IF(F641="",0,IFNA(VLOOKUP(F641,Trait_Polarity!$A:$C,3,FALSE),0))+IF(G641="",0,IFNA(VLOOKUP(G641,Trait_Polarity!$A:$C,3,FALSE),0))</f>
        <v/>
      </c>
      <c r="S641">
        <f>IF(P641="P",(M641+N641+O641)/3,0.3*H641+0.3*I641+0.2*J641+0.1*K641+0.1*L641)</f>
        <v/>
      </c>
      <c r="T641">
        <f>IF(P641="P",IFNA(VLOOKUP(B641,Pitcher_RoleAdj!$A:$B,2,FALSE),0),IFNA(VLOOKUP(B641,Hitter_PrimaryAdj!$A:$B,2,FALSE),0))</f>
        <v/>
      </c>
      <c r="U641">
        <f>IFNA(VLOOKUP(IF(C641="","(none)",C641),SecondaryAdj!$A:$B,2,FALSE),0)</f>
        <v/>
      </c>
      <c r="V641">
        <f>IF(P641="P",0.7780+0.1628*S641+0.2957*Q641-0.1912*R641-0.1512*IF(D641="S",1,0)+0.1600*IF(E641="L",1,0)+0.0091*H641+0.0124*I641+0.0017*J641+T641+U641,-0.8294+0.1849*S641+0.1750*Q641-0.2969*R641+0.6924*IF(D641="S",1,0)+0.0457*IF(E641="L",1,0)+T641+U641)</f>
        <v/>
      </c>
      <c r="W641">
        <f>MAX(0,MIN(16,ROUND(V641,0)))</f>
        <v/>
      </c>
      <c r="X641">
        <f>IFNA(VLOOKUP(W641,Grade_Scale!$A:$B,2,FALSE),"F")</f>
        <v/>
      </c>
      <c r="Z641">
        <f>IF(Y641="","",W641-IFNA(VLOOKUP(Y641,Grade_Scale!$D:$E,2,FALSE),""))</f>
        <v/>
      </c>
    </row>
    <row r="642">
      <c r="P642">
        <f>IF(OR(B642="SP",B642="RP",B642="CP",B642="SP/RP"),"P","H")</f>
        <v/>
      </c>
      <c r="Q642">
        <f>IF(F642="",0,IFNA(VLOOKUP(F642,Trait_Polarity!$A:$C,2,FALSE),0))+IF(G642="",0,IFNA(VLOOKUP(G642,Trait_Polarity!$A:$C,2,FALSE),0))</f>
        <v/>
      </c>
      <c r="R642">
        <f>IF(F642="",0,IFNA(VLOOKUP(F642,Trait_Polarity!$A:$C,3,FALSE),0))+IF(G642="",0,IFNA(VLOOKUP(G642,Trait_Polarity!$A:$C,3,FALSE),0))</f>
        <v/>
      </c>
      <c r="S642">
        <f>IF(P642="P",(M642+N642+O642)/3,0.3*H642+0.3*I642+0.2*J642+0.1*K642+0.1*L642)</f>
        <v/>
      </c>
      <c r="T642">
        <f>IF(P642="P",IFNA(VLOOKUP(B642,Pitcher_RoleAdj!$A:$B,2,FALSE),0),IFNA(VLOOKUP(B642,Hitter_PrimaryAdj!$A:$B,2,FALSE),0))</f>
        <v/>
      </c>
      <c r="U642">
        <f>IFNA(VLOOKUP(IF(C642="","(none)",C642),SecondaryAdj!$A:$B,2,FALSE),0)</f>
        <v/>
      </c>
      <c r="V642">
        <f>IF(P642="P",0.7780+0.1628*S642+0.2957*Q642-0.1912*R642-0.1512*IF(D642="S",1,0)+0.1600*IF(E642="L",1,0)+0.0091*H642+0.0124*I642+0.0017*J642+T642+U642,-0.8294+0.1849*S642+0.1750*Q642-0.2969*R642+0.6924*IF(D642="S",1,0)+0.0457*IF(E642="L",1,0)+T642+U642)</f>
        <v/>
      </c>
      <c r="W642">
        <f>MAX(0,MIN(16,ROUND(V642,0)))</f>
        <v/>
      </c>
      <c r="X642">
        <f>IFNA(VLOOKUP(W642,Grade_Scale!$A:$B,2,FALSE),"F")</f>
        <v/>
      </c>
      <c r="Z642">
        <f>IF(Y642="","",W642-IFNA(VLOOKUP(Y642,Grade_Scale!$D:$E,2,FALSE),""))</f>
        <v/>
      </c>
    </row>
    <row r="643">
      <c r="P643">
        <f>IF(OR(B643="SP",B643="RP",B643="CP",B643="SP/RP"),"P","H")</f>
        <v/>
      </c>
      <c r="Q643">
        <f>IF(F643="",0,IFNA(VLOOKUP(F643,Trait_Polarity!$A:$C,2,FALSE),0))+IF(G643="",0,IFNA(VLOOKUP(G643,Trait_Polarity!$A:$C,2,FALSE),0))</f>
        <v/>
      </c>
      <c r="R643">
        <f>IF(F643="",0,IFNA(VLOOKUP(F643,Trait_Polarity!$A:$C,3,FALSE),0))+IF(G643="",0,IFNA(VLOOKUP(G643,Trait_Polarity!$A:$C,3,FALSE),0))</f>
        <v/>
      </c>
      <c r="S643">
        <f>IF(P643="P",(M643+N643+O643)/3,0.3*H643+0.3*I643+0.2*J643+0.1*K643+0.1*L643)</f>
        <v/>
      </c>
      <c r="T643">
        <f>IF(P643="P",IFNA(VLOOKUP(B643,Pitcher_RoleAdj!$A:$B,2,FALSE),0),IFNA(VLOOKUP(B643,Hitter_PrimaryAdj!$A:$B,2,FALSE),0))</f>
        <v/>
      </c>
      <c r="U643">
        <f>IFNA(VLOOKUP(IF(C643="","(none)",C643),SecondaryAdj!$A:$B,2,FALSE),0)</f>
        <v/>
      </c>
      <c r="V643">
        <f>IF(P643="P",0.7780+0.1628*S643+0.2957*Q643-0.1912*R643-0.1512*IF(D643="S",1,0)+0.1600*IF(E643="L",1,0)+0.0091*H643+0.0124*I643+0.0017*J643+T643+U643,-0.8294+0.1849*S643+0.1750*Q643-0.2969*R643+0.6924*IF(D643="S",1,0)+0.0457*IF(E643="L",1,0)+T643+U643)</f>
        <v/>
      </c>
      <c r="W643">
        <f>MAX(0,MIN(16,ROUND(V643,0)))</f>
        <v/>
      </c>
      <c r="X643">
        <f>IFNA(VLOOKUP(W643,Grade_Scale!$A:$B,2,FALSE),"F")</f>
        <v/>
      </c>
      <c r="Z643">
        <f>IF(Y643="","",W643-IFNA(VLOOKUP(Y643,Grade_Scale!$D:$E,2,FALSE),""))</f>
        <v/>
      </c>
    </row>
    <row r="644">
      <c r="P644">
        <f>IF(OR(B644="SP",B644="RP",B644="CP",B644="SP/RP"),"P","H")</f>
        <v/>
      </c>
      <c r="Q644">
        <f>IF(F644="",0,IFNA(VLOOKUP(F644,Trait_Polarity!$A:$C,2,FALSE),0))+IF(G644="",0,IFNA(VLOOKUP(G644,Trait_Polarity!$A:$C,2,FALSE),0))</f>
        <v/>
      </c>
      <c r="R644">
        <f>IF(F644="",0,IFNA(VLOOKUP(F644,Trait_Polarity!$A:$C,3,FALSE),0))+IF(G644="",0,IFNA(VLOOKUP(G644,Trait_Polarity!$A:$C,3,FALSE),0))</f>
        <v/>
      </c>
      <c r="S644">
        <f>IF(P644="P",(M644+N644+O644)/3,0.3*H644+0.3*I644+0.2*J644+0.1*K644+0.1*L644)</f>
        <v/>
      </c>
      <c r="T644">
        <f>IF(P644="P",IFNA(VLOOKUP(B644,Pitcher_RoleAdj!$A:$B,2,FALSE),0),IFNA(VLOOKUP(B644,Hitter_PrimaryAdj!$A:$B,2,FALSE),0))</f>
        <v/>
      </c>
      <c r="U644">
        <f>IFNA(VLOOKUP(IF(C644="","(none)",C644),SecondaryAdj!$A:$B,2,FALSE),0)</f>
        <v/>
      </c>
      <c r="V644">
        <f>IF(P644="P",0.7780+0.1628*S644+0.2957*Q644-0.1912*R644-0.1512*IF(D644="S",1,0)+0.1600*IF(E644="L",1,0)+0.0091*H644+0.0124*I644+0.0017*J644+T644+U644,-0.8294+0.1849*S644+0.1750*Q644-0.2969*R644+0.6924*IF(D644="S",1,0)+0.0457*IF(E644="L",1,0)+T644+U644)</f>
        <v/>
      </c>
      <c r="W644">
        <f>MAX(0,MIN(16,ROUND(V644,0)))</f>
        <v/>
      </c>
      <c r="X644">
        <f>IFNA(VLOOKUP(W644,Grade_Scale!$A:$B,2,FALSE),"F")</f>
        <v/>
      </c>
      <c r="Z644">
        <f>IF(Y644="","",W644-IFNA(VLOOKUP(Y644,Grade_Scale!$D:$E,2,FALSE),""))</f>
        <v/>
      </c>
    </row>
    <row r="645">
      <c r="P645">
        <f>IF(OR(B645="SP",B645="RP",B645="CP",B645="SP/RP"),"P","H")</f>
        <v/>
      </c>
      <c r="Q645">
        <f>IF(F645="",0,IFNA(VLOOKUP(F645,Trait_Polarity!$A:$C,2,FALSE),0))+IF(G645="",0,IFNA(VLOOKUP(G645,Trait_Polarity!$A:$C,2,FALSE),0))</f>
        <v/>
      </c>
      <c r="R645">
        <f>IF(F645="",0,IFNA(VLOOKUP(F645,Trait_Polarity!$A:$C,3,FALSE),0))+IF(G645="",0,IFNA(VLOOKUP(G645,Trait_Polarity!$A:$C,3,FALSE),0))</f>
        <v/>
      </c>
      <c r="S645">
        <f>IF(P645="P",(M645+N645+O645)/3,0.3*H645+0.3*I645+0.2*J645+0.1*K645+0.1*L645)</f>
        <v/>
      </c>
      <c r="T645">
        <f>IF(P645="P",IFNA(VLOOKUP(B645,Pitcher_RoleAdj!$A:$B,2,FALSE),0),IFNA(VLOOKUP(B645,Hitter_PrimaryAdj!$A:$B,2,FALSE),0))</f>
        <v/>
      </c>
      <c r="U645">
        <f>IFNA(VLOOKUP(IF(C645="","(none)",C645),SecondaryAdj!$A:$B,2,FALSE),0)</f>
        <v/>
      </c>
      <c r="V645">
        <f>IF(P645="P",0.7780+0.1628*S645+0.2957*Q645-0.1912*R645-0.1512*IF(D645="S",1,0)+0.1600*IF(E645="L",1,0)+0.0091*H645+0.0124*I645+0.0017*J645+T645+U645,-0.8294+0.1849*S645+0.1750*Q645-0.2969*R645+0.6924*IF(D645="S",1,0)+0.0457*IF(E645="L",1,0)+T645+U645)</f>
        <v/>
      </c>
      <c r="W645">
        <f>MAX(0,MIN(16,ROUND(V645,0)))</f>
        <v/>
      </c>
      <c r="X645">
        <f>IFNA(VLOOKUP(W645,Grade_Scale!$A:$B,2,FALSE),"F")</f>
        <v/>
      </c>
      <c r="Z645">
        <f>IF(Y645="","",W645-IFNA(VLOOKUP(Y645,Grade_Scale!$D:$E,2,FALSE),""))</f>
        <v/>
      </c>
    </row>
    <row r="646">
      <c r="P646">
        <f>IF(OR(B646="SP",B646="RP",B646="CP",B646="SP/RP"),"P","H")</f>
        <v/>
      </c>
      <c r="Q646">
        <f>IF(F646="",0,IFNA(VLOOKUP(F646,Trait_Polarity!$A:$C,2,FALSE),0))+IF(G646="",0,IFNA(VLOOKUP(G646,Trait_Polarity!$A:$C,2,FALSE),0))</f>
        <v/>
      </c>
      <c r="R646">
        <f>IF(F646="",0,IFNA(VLOOKUP(F646,Trait_Polarity!$A:$C,3,FALSE),0))+IF(G646="",0,IFNA(VLOOKUP(G646,Trait_Polarity!$A:$C,3,FALSE),0))</f>
        <v/>
      </c>
      <c r="S646">
        <f>IF(P646="P",(M646+N646+O646)/3,0.3*H646+0.3*I646+0.2*J646+0.1*K646+0.1*L646)</f>
        <v/>
      </c>
      <c r="T646">
        <f>IF(P646="P",IFNA(VLOOKUP(B646,Pitcher_RoleAdj!$A:$B,2,FALSE),0),IFNA(VLOOKUP(B646,Hitter_PrimaryAdj!$A:$B,2,FALSE),0))</f>
        <v/>
      </c>
      <c r="U646">
        <f>IFNA(VLOOKUP(IF(C646="","(none)",C646),SecondaryAdj!$A:$B,2,FALSE),0)</f>
        <v/>
      </c>
      <c r="V646">
        <f>IF(P646="P",0.7780+0.1628*S646+0.2957*Q646-0.1912*R646-0.1512*IF(D646="S",1,0)+0.1600*IF(E646="L",1,0)+0.0091*H646+0.0124*I646+0.0017*J646+T646+U646,-0.8294+0.1849*S646+0.1750*Q646-0.2969*R646+0.6924*IF(D646="S",1,0)+0.0457*IF(E646="L",1,0)+T646+U646)</f>
        <v/>
      </c>
      <c r="W646">
        <f>MAX(0,MIN(16,ROUND(V646,0)))</f>
        <v/>
      </c>
      <c r="X646">
        <f>IFNA(VLOOKUP(W646,Grade_Scale!$A:$B,2,FALSE),"F")</f>
        <v/>
      </c>
      <c r="Z646">
        <f>IF(Y646="","",W646-IFNA(VLOOKUP(Y646,Grade_Scale!$D:$E,2,FALSE),""))</f>
        <v/>
      </c>
    </row>
    <row r="647">
      <c r="P647">
        <f>IF(OR(B647="SP",B647="RP",B647="CP",B647="SP/RP"),"P","H")</f>
        <v/>
      </c>
      <c r="Q647">
        <f>IF(F647="",0,IFNA(VLOOKUP(F647,Trait_Polarity!$A:$C,2,FALSE),0))+IF(G647="",0,IFNA(VLOOKUP(G647,Trait_Polarity!$A:$C,2,FALSE),0))</f>
        <v/>
      </c>
      <c r="R647">
        <f>IF(F647="",0,IFNA(VLOOKUP(F647,Trait_Polarity!$A:$C,3,FALSE),0))+IF(G647="",0,IFNA(VLOOKUP(G647,Trait_Polarity!$A:$C,3,FALSE),0))</f>
        <v/>
      </c>
      <c r="S647">
        <f>IF(P647="P",(M647+N647+O647)/3,0.3*H647+0.3*I647+0.2*J647+0.1*K647+0.1*L647)</f>
        <v/>
      </c>
      <c r="T647">
        <f>IF(P647="P",IFNA(VLOOKUP(B647,Pitcher_RoleAdj!$A:$B,2,FALSE),0),IFNA(VLOOKUP(B647,Hitter_PrimaryAdj!$A:$B,2,FALSE),0))</f>
        <v/>
      </c>
      <c r="U647">
        <f>IFNA(VLOOKUP(IF(C647="","(none)",C647),SecondaryAdj!$A:$B,2,FALSE),0)</f>
        <v/>
      </c>
      <c r="V647">
        <f>IF(P647="P",0.7780+0.1628*S647+0.2957*Q647-0.1912*R647-0.1512*IF(D647="S",1,0)+0.1600*IF(E647="L",1,0)+0.0091*H647+0.0124*I647+0.0017*J647+T647+U647,-0.8294+0.1849*S647+0.1750*Q647-0.2969*R647+0.6924*IF(D647="S",1,0)+0.0457*IF(E647="L",1,0)+T647+U647)</f>
        <v/>
      </c>
      <c r="W647">
        <f>MAX(0,MIN(16,ROUND(V647,0)))</f>
        <v/>
      </c>
      <c r="X647">
        <f>IFNA(VLOOKUP(W647,Grade_Scale!$A:$B,2,FALSE),"F")</f>
        <v/>
      </c>
      <c r="Z647">
        <f>IF(Y647="","",W647-IFNA(VLOOKUP(Y647,Grade_Scale!$D:$E,2,FALSE),""))</f>
        <v/>
      </c>
    </row>
    <row r="648">
      <c r="P648">
        <f>IF(OR(B648="SP",B648="RP",B648="CP",B648="SP/RP"),"P","H")</f>
        <v/>
      </c>
      <c r="Q648">
        <f>IF(F648="",0,IFNA(VLOOKUP(F648,Trait_Polarity!$A:$C,2,FALSE),0))+IF(G648="",0,IFNA(VLOOKUP(G648,Trait_Polarity!$A:$C,2,FALSE),0))</f>
        <v/>
      </c>
      <c r="R648">
        <f>IF(F648="",0,IFNA(VLOOKUP(F648,Trait_Polarity!$A:$C,3,FALSE),0))+IF(G648="",0,IFNA(VLOOKUP(G648,Trait_Polarity!$A:$C,3,FALSE),0))</f>
        <v/>
      </c>
      <c r="S648">
        <f>IF(P648="P",(M648+N648+O648)/3,0.3*H648+0.3*I648+0.2*J648+0.1*K648+0.1*L648)</f>
        <v/>
      </c>
      <c r="T648">
        <f>IF(P648="P",IFNA(VLOOKUP(B648,Pitcher_RoleAdj!$A:$B,2,FALSE),0),IFNA(VLOOKUP(B648,Hitter_PrimaryAdj!$A:$B,2,FALSE),0))</f>
        <v/>
      </c>
      <c r="U648">
        <f>IFNA(VLOOKUP(IF(C648="","(none)",C648),SecondaryAdj!$A:$B,2,FALSE),0)</f>
        <v/>
      </c>
      <c r="V648">
        <f>IF(P648="P",0.7780+0.1628*S648+0.2957*Q648-0.1912*R648-0.1512*IF(D648="S",1,0)+0.1600*IF(E648="L",1,0)+0.0091*H648+0.0124*I648+0.0017*J648+T648+U648,-0.8294+0.1849*S648+0.1750*Q648-0.2969*R648+0.6924*IF(D648="S",1,0)+0.0457*IF(E648="L",1,0)+T648+U648)</f>
        <v/>
      </c>
      <c r="W648">
        <f>MAX(0,MIN(16,ROUND(V648,0)))</f>
        <v/>
      </c>
      <c r="X648">
        <f>IFNA(VLOOKUP(W648,Grade_Scale!$A:$B,2,FALSE),"F")</f>
        <v/>
      </c>
      <c r="Z648">
        <f>IF(Y648="","",W648-IFNA(VLOOKUP(Y648,Grade_Scale!$D:$E,2,FALSE),""))</f>
        <v/>
      </c>
    </row>
    <row r="649">
      <c r="P649">
        <f>IF(OR(B649="SP",B649="RP",B649="CP",B649="SP/RP"),"P","H")</f>
        <v/>
      </c>
      <c r="Q649">
        <f>IF(F649="",0,IFNA(VLOOKUP(F649,Trait_Polarity!$A:$C,2,FALSE),0))+IF(G649="",0,IFNA(VLOOKUP(G649,Trait_Polarity!$A:$C,2,FALSE),0))</f>
        <v/>
      </c>
      <c r="R649">
        <f>IF(F649="",0,IFNA(VLOOKUP(F649,Trait_Polarity!$A:$C,3,FALSE),0))+IF(G649="",0,IFNA(VLOOKUP(G649,Trait_Polarity!$A:$C,3,FALSE),0))</f>
        <v/>
      </c>
      <c r="S649">
        <f>IF(P649="P",(M649+N649+O649)/3,0.3*H649+0.3*I649+0.2*J649+0.1*K649+0.1*L649)</f>
        <v/>
      </c>
      <c r="T649">
        <f>IF(P649="P",IFNA(VLOOKUP(B649,Pitcher_RoleAdj!$A:$B,2,FALSE),0),IFNA(VLOOKUP(B649,Hitter_PrimaryAdj!$A:$B,2,FALSE),0))</f>
        <v/>
      </c>
      <c r="U649">
        <f>IFNA(VLOOKUP(IF(C649="","(none)",C649),SecondaryAdj!$A:$B,2,FALSE),0)</f>
        <v/>
      </c>
      <c r="V649">
        <f>IF(P649="P",0.7780+0.1628*S649+0.2957*Q649-0.1912*R649-0.1512*IF(D649="S",1,0)+0.1600*IF(E649="L",1,0)+0.0091*H649+0.0124*I649+0.0017*J649+T649+U649,-0.8294+0.1849*S649+0.1750*Q649-0.2969*R649+0.6924*IF(D649="S",1,0)+0.0457*IF(E649="L",1,0)+T649+U649)</f>
        <v/>
      </c>
      <c r="W649">
        <f>MAX(0,MIN(16,ROUND(V649,0)))</f>
        <v/>
      </c>
      <c r="X649">
        <f>IFNA(VLOOKUP(W649,Grade_Scale!$A:$B,2,FALSE),"F")</f>
        <v/>
      </c>
      <c r="Z649">
        <f>IF(Y649="","",W649-IFNA(VLOOKUP(Y649,Grade_Scale!$D:$E,2,FALSE),""))</f>
        <v/>
      </c>
    </row>
    <row r="650">
      <c r="P650">
        <f>IF(OR(B650="SP",B650="RP",B650="CP",B650="SP/RP"),"P","H")</f>
        <v/>
      </c>
      <c r="Q650">
        <f>IF(F650="",0,IFNA(VLOOKUP(F650,Trait_Polarity!$A:$C,2,FALSE),0))+IF(G650="",0,IFNA(VLOOKUP(G650,Trait_Polarity!$A:$C,2,FALSE),0))</f>
        <v/>
      </c>
      <c r="R650">
        <f>IF(F650="",0,IFNA(VLOOKUP(F650,Trait_Polarity!$A:$C,3,FALSE),0))+IF(G650="",0,IFNA(VLOOKUP(G650,Trait_Polarity!$A:$C,3,FALSE),0))</f>
        <v/>
      </c>
      <c r="S650">
        <f>IF(P650="P",(M650+N650+O650)/3,0.3*H650+0.3*I650+0.2*J650+0.1*K650+0.1*L650)</f>
        <v/>
      </c>
      <c r="T650">
        <f>IF(P650="P",IFNA(VLOOKUP(B650,Pitcher_RoleAdj!$A:$B,2,FALSE),0),IFNA(VLOOKUP(B650,Hitter_PrimaryAdj!$A:$B,2,FALSE),0))</f>
        <v/>
      </c>
      <c r="U650">
        <f>IFNA(VLOOKUP(IF(C650="","(none)",C650),SecondaryAdj!$A:$B,2,FALSE),0)</f>
        <v/>
      </c>
      <c r="V650">
        <f>IF(P650="P",0.7780+0.1628*S650+0.2957*Q650-0.1912*R650-0.1512*IF(D650="S",1,0)+0.1600*IF(E650="L",1,0)+0.0091*H650+0.0124*I650+0.0017*J650+T650+U650,-0.8294+0.1849*S650+0.1750*Q650-0.2969*R650+0.6924*IF(D650="S",1,0)+0.0457*IF(E650="L",1,0)+T650+U650)</f>
        <v/>
      </c>
      <c r="W650">
        <f>MAX(0,MIN(16,ROUND(V650,0)))</f>
        <v/>
      </c>
      <c r="X650">
        <f>IFNA(VLOOKUP(W650,Grade_Scale!$A:$B,2,FALSE),"F")</f>
        <v/>
      </c>
      <c r="Z650">
        <f>IF(Y650="","",W650-IFNA(VLOOKUP(Y650,Grade_Scale!$D:$E,2,FALSE),""))</f>
        <v/>
      </c>
    </row>
    <row r="651">
      <c r="P651">
        <f>IF(OR(B651="SP",B651="RP",B651="CP",B651="SP/RP"),"P","H")</f>
        <v/>
      </c>
      <c r="Q651">
        <f>IF(F651="",0,IFNA(VLOOKUP(F651,Trait_Polarity!$A:$C,2,FALSE),0))+IF(G651="",0,IFNA(VLOOKUP(G651,Trait_Polarity!$A:$C,2,FALSE),0))</f>
        <v/>
      </c>
      <c r="R651">
        <f>IF(F651="",0,IFNA(VLOOKUP(F651,Trait_Polarity!$A:$C,3,FALSE),0))+IF(G651="",0,IFNA(VLOOKUP(G651,Trait_Polarity!$A:$C,3,FALSE),0))</f>
        <v/>
      </c>
      <c r="S651">
        <f>IF(P651="P",(M651+N651+O651)/3,0.3*H651+0.3*I651+0.2*J651+0.1*K651+0.1*L651)</f>
        <v/>
      </c>
      <c r="T651">
        <f>IF(P651="P",IFNA(VLOOKUP(B651,Pitcher_RoleAdj!$A:$B,2,FALSE),0),IFNA(VLOOKUP(B651,Hitter_PrimaryAdj!$A:$B,2,FALSE),0))</f>
        <v/>
      </c>
      <c r="U651">
        <f>IFNA(VLOOKUP(IF(C651="","(none)",C651),SecondaryAdj!$A:$B,2,FALSE),0)</f>
        <v/>
      </c>
      <c r="V651">
        <f>IF(P651="P",0.7780+0.1628*S651+0.2957*Q651-0.1912*R651-0.1512*IF(D651="S",1,0)+0.1600*IF(E651="L",1,0)+0.0091*H651+0.0124*I651+0.0017*J651+T651+U651,-0.8294+0.1849*S651+0.1750*Q651-0.2969*R651+0.6924*IF(D651="S",1,0)+0.0457*IF(E651="L",1,0)+T651+U651)</f>
        <v/>
      </c>
      <c r="W651">
        <f>MAX(0,MIN(16,ROUND(V651,0)))</f>
        <v/>
      </c>
      <c r="X651">
        <f>IFNA(VLOOKUP(W651,Grade_Scale!$A:$B,2,FALSE),"F")</f>
        <v/>
      </c>
      <c r="Z651">
        <f>IF(Y651="","",W651-IFNA(VLOOKUP(Y651,Grade_Scale!$D:$E,2,FALSE),""))</f>
        <v/>
      </c>
    </row>
    <row r="652">
      <c r="P652">
        <f>IF(OR(B652="SP",B652="RP",B652="CP",B652="SP/RP"),"P","H")</f>
        <v/>
      </c>
      <c r="Q652">
        <f>IF(F652="",0,IFNA(VLOOKUP(F652,Trait_Polarity!$A:$C,2,FALSE),0))+IF(G652="",0,IFNA(VLOOKUP(G652,Trait_Polarity!$A:$C,2,FALSE),0))</f>
        <v/>
      </c>
      <c r="R652">
        <f>IF(F652="",0,IFNA(VLOOKUP(F652,Trait_Polarity!$A:$C,3,FALSE),0))+IF(G652="",0,IFNA(VLOOKUP(G652,Trait_Polarity!$A:$C,3,FALSE),0))</f>
        <v/>
      </c>
      <c r="S652">
        <f>IF(P652="P",(M652+N652+O652)/3,0.3*H652+0.3*I652+0.2*J652+0.1*K652+0.1*L652)</f>
        <v/>
      </c>
      <c r="T652">
        <f>IF(P652="P",IFNA(VLOOKUP(B652,Pitcher_RoleAdj!$A:$B,2,FALSE),0),IFNA(VLOOKUP(B652,Hitter_PrimaryAdj!$A:$B,2,FALSE),0))</f>
        <v/>
      </c>
      <c r="U652">
        <f>IFNA(VLOOKUP(IF(C652="","(none)",C652),SecondaryAdj!$A:$B,2,FALSE),0)</f>
        <v/>
      </c>
      <c r="V652">
        <f>IF(P652="P",0.7780+0.1628*S652+0.2957*Q652-0.1912*R652-0.1512*IF(D652="S",1,0)+0.1600*IF(E652="L",1,0)+0.0091*H652+0.0124*I652+0.0017*J652+T652+U652,-0.8294+0.1849*S652+0.1750*Q652-0.2969*R652+0.6924*IF(D652="S",1,0)+0.0457*IF(E652="L",1,0)+T652+U652)</f>
        <v/>
      </c>
      <c r="W652">
        <f>MAX(0,MIN(16,ROUND(V652,0)))</f>
        <v/>
      </c>
      <c r="X652">
        <f>IFNA(VLOOKUP(W652,Grade_Scale!$A:$B,2,FALSE),"F")</f>
        <v/>
      </c>
      <c r="Z652">
        <f>IF(Y652="","",W652-IFNA(VLOOKUP(Y652,Grade_Scale!$D:$E,2,FALSE),""))</f>
        <v/>
      </c>
    </row>
    <row r="653">
      <c r="P653">
        <f>IF(OR(B653="SP",B653="RP",B653="CP",B653="SP/RP"),"P","H")</f>
        <v/>
      </c>
      <c r="Q653">
        <f>IF(F653="",0,IFNA(VLOOKUP(F653,Trait_Polarity!$A:$C,2,FALSE),0))+IF(G653="",0,IFNA(VLOOKUP(G653,Trait_Polarity!$A:$C,2,FALSE),0))</f>
        <v/>
      </c>
      <c r="R653">
        <f>IF(F653="",0,IFNA(VLOOKUP(F653,Trait_Polarity!$A:$C,3,FALSE),0))+IF(G653="",0,IFNA(VLOOKUP(G653,Trait_Polarity!$A:$C,3,FALSE),0))</f>
        <v/>
      </c>
      <c r="S653">
        <f>IF(P653="P",(M653+N653+O653)/3,0.3*H653+0.3*I653+0.2*J653+0.1*K653+0.1*L653)</f>
        <v/>
      </c>
      <c r="T653">
        <f>IF(P653="P",IFNA(VLOOKUP(B653,Pitcher_RoleAdj!$A:$B,2,FALSE),0),IFNA(VLOOKUP(B653,Hitter_PrimaryAdj!$A:$B,2,FALSE),0))</f>
        <v/>
      </c>
      <c r="U653">
        <f>IFNA(VLOOKUP(IF(C653="","(none)",C653),SecondaryAdj!$A:$B,2,FALSE),0)</f>
        <v/>
      </c>
      <c r="V653">
        <f>IF(P653="P",0.7780+0.1628*S653+0.2957*Q653-0.1912*R653-0.1512*IF(D653="S",1,0)+0.1600*IF(E653="L",1,0)+0.0091*H653+0.0124*I653+0.0017*J653+T653+U653,-0.8294+0.1849*S653+0.1750*Q653-0.2969*R653+0.6924*IF(D653="S",1,0)+0.0457*IF(E653="L",1,0)+T653+U653)</f>
        <v/>
      </c>
      <c r="W653">
        <f>MAX(0,MIN(16,ROUND(V653,0)))</f>
        <v/>
      </c>
      <c r="X653">
        <f>IFNA(VLOOKUP(W653,Grade_Scale!$A:$B,2,FALSE),"F")</f>
        <v/>
      </c>
      <c r="Z653">
        <f>IF(Y653="","",W653-IFNA(VLOOKUP(Y653,Grade_Scale!$D:$E,2,FALSE),""))</f>
        <v/>
      </c>
    </row>
    <row r="654">
      <c r="P654">
        <f>IF(OR(B654="SP",B654="RP",B654="CP",B654="SP/RP"),"P","H")</f>
        <v/>
      </c>
      <c r="Q654">
        <f>IF(F654="",0,IFNA(VLOOKUP(F654,Trait_Polarity!$A:$C,2,FALSE),0))+IF(G654="",0,IFNA(VLOOKUP(G654,Trait_Polarity!$A:$C,2,FALSE),0))</f>
        <v/>
      </c>
      <c r="R654">
        <f>IF(F654="",0,IFNA(VLOOKUP(F654,Trait_Polarity!$A:$C,3,FALSE),0))+IF(G654="",0,IFNA(VLOOKUP(G654,Trait_Polarity!$A:$C,3,FALSE),0))</f>
        <v/>
      </c>
      <c r="S654">
        <f>IF(P654="P",(M654+N654+O654)/3,0.3*H654+0.3*I654+0.2*J654+0.1*K654+0.1*L654)</f>
        <v/>
      </c>
      <c r="T654">
        <f>IF(P654="P",IFNA(VLOOKUP(B654,Pitcher_RoleAdj!$A:$B,2,FALSE),0),IFNA(VLOOKUP(B654,Hitter_PrimaryAdj!$A:$B,2,FALSE),0))</f>
        <v/>
      </c>
      <c r="U654">
        <f>IFNA(VLOOKUP(IF(C654="","(none)",C654),SecondaryAdj!$A:$B,2,FALSE),0)</f>
        <v/>
      </c>
      <c r="V654">
        <f>IF(P654="P",0.7780+0.1628*S654+0.2957*Q654-0.1912*R654-0.1512*IF(D654="S",1,0)+0.1600*IF(E654="L",1,0)+0.0091*H654+0.0124*I654+0.0017*J654+T654+U654,-0.8294+0.1849*S654+0.1750*Q654-0.2969*R654+0.6924*IF(D654="S",1,0)+0.0457*IF(E654="L",1,0)+T654+U654)</f>
        <v/>
      </c>
      <c r="W654">
        <f>MAX(0,MIN(16,ROUND(V654,0)))</f>
        <v/>
      </c>
      <c r="X654">
        <f>IFNA(VLOOKUP(W654,Grade_Scale!$A:$B,2,FALSE),"F")</f>
        <v/>
      </c>
      <c r="Z654">
        <f>IF(Y654="","",W654-IFNA(VLOOKUP(Y654,Grade_Scale!$D:$E,2,FALSE),""))</f>
        <v/>
      </c>
    </row>
    <row r="655">
      <c r="P655">
        <f>IF(OR(B655="SP",B655="RP",B655="CP",B655="SP/RP"),"P","H")</f>
        <v/>
      </c>
      <c r="Q655">
        <f>IF(F655="",0,IFNA(VLOOKUP(F655,Trait_Polarity!$A:$C,2,FALSE),0))+IF(G655="",0,IFNA(VLOOKUP(G655,Trait_Polarity!$A:$C,2,FALSE),0))</f>
        <v/>
      </c>
      <c r="R655">
        <f>IF(F655="",0,IFNA(VLOOKUP(F655,Trait_Polarity!$A:$C,3,FALSE),0))+IF(G655="",0,IFNA(VLOOKUP(G655,Trait_Polarity!$A:$C,3,FALSE),0))</f>
        <v/>
      </c>
      <c r="S655">
        <f>IF(P655="P",(M655+N655+O655)/3,0.3*H655+0.3*I655+0.2*J655+0.1*K655+0.1*L655)</f>
        <v/>
      </c>
      <c r="T655">
        <f>IF(P655="P",IFNA(VLOOKUP(B655,Pitcher_RoleAdj!$A:$B,2,FALSE),0),IFNA(VLOOKUP(B655,Hitter_PrimaryAdj!$A:$B,2,FALSE),0))</f>
        <v/>
      </c>
      <c r="U655">
        <f>IFNA(VLOOKUP(IF(C655="","(none)",C655),SecondaryAdj!$A:$B,2,FALSE),0)</f>
        <v/>
      </c>
      <c r="V655">
        <f>IF(P655="P",0.7780+0.1628*S655+0.2957*Q655-0.1912*R655-0.1512*IF(D655="S",1,0)+0.1600*IF(E655="L",1,0)+0.0091*H655+0.0124*I655+0.0017*J655+T655+U655,-0.8294+0.1849*S655+0.1750*Q655-0.2969*R655+0.6924*IF(D655="S",1,0)+0.0457*IF(E655="L",1,0)+T655+U655)</f>
        <v/>
      </c>
      <c r="W655">
        <f>MAX(0,MIN(16,ROUND(V655,0)))</f>
        <v/>
      </c>
      <c r="X655">
        <f>IFNA(VLOOKUP(W655,Grade_Scale!$A:$B,2,FALSE),"F")</f>
        <v/>
      </c>
      <c r="Z655">
        <f>IF(Y655="","",W655-IFNA(VLOOKUP(Y655,Grade_Scale!$D:$E,2,FALSE),""))</f>
        <v/>
      </c>
    </row>
    <row r="656">
      <c r="P656">
        <f>IF(OR(B656="SP",B656="RP",B656="CP",B656="SP/RP"),"P","H")</f>
        <v/>
      </c>
      <c r="Q656">
        <f>IF(F656="",0,IFNA(VLOOKUP(F656,Trait_Polarity!$A:$C,2,FALSE),0))+IF(G656="",0,IFNA(VLOOKUP(G656,Trait_Polarity!$A:$C,2,FALSE),0))</f>
        <v/>
      </c>
      <c r="R656">
        <f>IF(F656="",0,IFNA(VLOOKUP(F656,Trait_Polarity!$A:$C,3,FALSE),0))+IF(G656="",0,IFNA(VLOOKUP(G656,Trait_Polarity!$A:$C,3,FALSE),0))</f>
        <v/>
      </c>
      <c r="S656">
        <f>IF(P656="P",(M656+N656+O656)/3,0.3*H656+0.3*I656+0.2*J656+0.1*K656+0.1*L656)</f>
        <v/>
      </c>
      <c r="T656">
        <f>IF(P656="P",IFNA(VLOOKUP(B656,Pitcher_RoleAdj!$A:$B,2,FALSE),0),IFNA(VLOOKUP(B656,Hitter_PrimaryAdj!$A:$B,2,FALSE),0))</f>
        <v/>
      </c>
      <c r="U656">
        <f>IFNA(VLOOKUP(IF(C656="","(none)",C656),SecondaryAdj!$A:$B,2,FALSE),0)</f>
        <v/>
      </c>
      <c r="V656">
        <f>IF(P656="P",0.7780+0.1628*S656+0.2957*Q656-0.1912*R656-0.1512*IF(D656="S",1,0)+0.1600*IF(E656="L",1,0)+0.0091*H656+0.0124*I656+0.0017*J656+T656+U656,-0.8294+0.1849*S656+0.1750*Q656-0.2969*R656+0.6924*IF(D656="S",1,0)+0.0457*IF(E656="L",1,0)+T656+U656)</f>
        <v/>
      </c>
      <c r="W656">
        <f>MAX(0,MIN(16,ROUND(V656,0)))</f>
        <v/>
      </c>
      <c r="X656">
        <f>IFNA(VLOOKUP(W656,Grade_Scale!$A:$B,2,FALSE),"F")</f>
        <v/>
      </c>
      <c r="Z656">
        <f>IF(Y656="","",W656-IFNA(VLOOKUP(Y656,Grade_Scale!$D:$E,2,FALSE),""))</f>
        <v/>
      </c>
    </row>
    <row r="657">
      <c r="P657">
        <f>IF(OR(B657="SP",B657="RP",B657="CP",B657="SP/RP"),"P","H")</f>
        <v/>
      </c>
      <c r="Q657">
        <f>IF(F657="",0,IFNA(VLOOKUP(F657,Trait_Polarity!$A:$C,2,FALSE),0))+IF(G657="",0,IFNA(VLOOKUP(G657,Trait_Polarity!$A:$C,2,FALSE),0))</f>
        <v/>
      </c>
      <c r="R657">
        <f>IF(F657="",0,IFNA(VLOOKUP(F657,Trait_Polarity!$A:$C,3,FALSE),0))+IF(G657="",0,IFNA(VLOOKUP(G657,Trait_Polarity!$A:$C,3,FALSE),0))</f>
        <v/>
      </c>
      <c r="S657">
        <f>IF(P657="P",(M657+N657+O657)/3,0.3*H657+0.3*I657+0.2*J657+0.1*K657+0.1*L657)</f>
        <v/>
      </c>
      <c r="T657">
        <f>IF(P657="P",IFNA(VLOOKUP(B657,Pitcher_RoleAdj!$A:$B,2,FALSE),0),IFNA(VLOOKUP(B657,Hitter_PrimaryAdj!$A:$B,2,FALSE),0))</f>
        <v/>
      </c>
      <c r="U657">
        <f>IFNA(VLOOKUP(IF(C657="","(none)",C657),SecondaryAdj!$A:$B,2,FALSE),0)</f>
        <v/>
      </c>
      <c r="V657">
        <f>IF(P657="P",0.7780+0.1628*S657+0.2957*Q657-0.1912*R657-0.1512*IF(D657="S",1,0)+0.1600*IF(E657="L",1,0)+0.0091*H657+0.0124*I657+0.0017*J657+T657+U657,-0.8294+0.1849*S657+0.1750*Q657-0.2969*R657+0.6924*IF(D657="S",1,0)+0.0457*IF(E657="L",1,0)+T657+U657)</f>
        <v/>
      </c>
      <c r="W657">
        <f>MAX(0,MIN(16,ROUND(V657,0)))</f>
        <v/>
      </c>
      <c r="X657">
        <f>IFNA(VLOOKUP(W657,Grade_Scale!$A:$B,2,FALSE),"F")</f>
        <v/>
      </c>
      <c r="Z657">
        <f>IF(Y657="","",W657-IFNA(VLOOKUP(Y657,Grade_Scale!$D:$E,2,FALSE),""))</f>
        <v/>
      </c>
    </row>
    <row r="658">
      <c r="P658">
        <f>IF(OR(B658="SP",B658="RP",B658="CP",B658="SP/RP"),"P","H")</f>
        <v/>
      </c>
      <c r="Q658">
        <f>IF(F658="",0,IFNA(VLOOKUP(F658,Trait_Polarity!$A:$C,2,FALSE),0))+IF(G658="",0,IFNA(VLOOKUP(G658,Trait_Polarity!$A:$C,2,FALSE),0))</f>
        <v/>
      </c>
      <c r="R658">
        <f>IF(F658="",0,IFNA(VLOOKUP(F658,Trait_Polarity!$A:$C,3,FALSE),0))+IF(G658="",0,IFNA(VLOOKUP(G658,Trait_Polarity!$A:$C,3,FALSE),0))</f>
        <v/>
      </c>
      <c r="S658">
        <f>IF(P658="P",(M658+N658+O658)/3,0.3*H658+0.3*I658+0.2*J658+0.1*K658+0.1*L658)</f>
        <v/>
      </c>
      <c r="T658">
        <f>IF(P658="P",IFNA(VLOOKUP(B658,Pitcher_RoleAdj!$A:$B,2,FALSE),0),IFNA(VLOOKUP(B658,Hitter_PrimaryAdj!$A:$B,2,FALSE),0))</f>
        <v/>
      </c>
      <c r="U658">
        <f>IFNA(VLOOKUP(IF(C658="","(none)",C658),SecondaryAdj!$A:$B,2,FALSE),0)</f>
        <v/>
      </c>
      <c r="V658">
        <f>IF(P658="P",0.7780+0.1628*S658+0.2957*Q658-0.1912*R658-0.1512*IF(D658="S",1,0)+0.1600*IF(E658="L",1,0)+0.0091*H658+0.0124*I658+0.0017*J658+T658+U658,-0.8294+0.1849*S658+0.1750*Q658-0.2969*R658+0.6924*IF(D658="S",1,0)+0.0457*IF(E658="L",1,0)+T658+U658)</f>
        <v/>
      </c>
      <c r="W658">
        <f>MAX(0,MIN(16,ROUND(V658,0)))</f>
        <v/>
      </c>
      <c r="X658">
        <f>IFNA(VLOOKUP(W658,Grade_Scale!$A:$B,2,FALSE),"F")</f>
        <v/>
      </c>
      <c r="Z658">
        <f>IF(Y658="","",W658-IFNA(VLOOKUP(Y658,Grade_Scale!$D:$E,2,FALSE),""))</f>
        <v/>
      </c>
    </row>
    <row r="659">
      <c r="P659">
        <f>IF(OR(B659="SP",B659="RP",B659="CP",B659="SP/RP"),"P","H")</f>
        <v/>
      </c>
      <c r="Q659">
        <f>IF(F659="",0,IFNA(VLOOKUP(F659,Trait_Polarity!$A:$C,2,FALSE),0))+IF(G659="",0,IFNA(VLOOKUP(G659,Trait_Polarity!$A:$C,2,FALSE),0))</f>
        <v/>
      </c>
      <c r="R659">
        <f>IF(F659="",0,IFNA(VLOOKUP(F659,Trait_Polarity!$A:$C,3,FALSE),0))+IF(G659="",0,IFNA(VLOOKUP(G659,Trait_Polarity!$A:$C,3,FALSE),0))</f>
        <v/>
      </c>
      <c r="S659">
        <f>IF(P659="P",(M659+N659+O659)/3,0.3*H659+0.3*I659+0.2*J659+0.1*K659+0.1*L659)</f>
        <v/>
      </c>
      <c r="T659">
        <f>IF(P659="P",IFNA(VLOOKUP(B659,Pitcher_RoleAdj!$A:$B,2,FALSE),0),IFNA(VLOOKUP(B659,Hitter_PrimaryAdj!$A:$B,2,FALSE),0))</f>
        <v/>
      </c>
      <c r="U659">
        <f>IFNA(VLOOKUP(IF(C659="","(none)",C659),SecondaryAdj!$A:$B,2,FALSE),0)</f>
        <v/>
      </c>
      <c r="V659">
        <f>IF(P659="P",0.7780+0.1628*S659+0.2957*Q659-0.1912*R659-0.1512*IF(D659="S",1,0)+0.1600*IF(E659="L",1,0)+0.0091*H659+0.0124*I659+0.0017*J659+T659+U659,-0.8294+0.1849*S659+0.1750*Q659-0.2969*R659+0.6924*IF(D659="S",1,0)+0.0457*IF(E659="L",1,0)+T659+U659)</f>
        <v/>
      </c>
      <c r="W659">
        <f>MAX(0,MIN(16,ROUND(V659,0)))</f>
        <v/>
      </c>
      <c r="X659">
        <f>IFNA(VLOOKUP(W659,Grade_Scale!$A:$B,2,FALSE),"F")</f>
        <v/>
      </c>
      <c r="Z659">
        <f>IF(Y659="","",W659-IFNA(VLOOKUP(Y659,Grade_Scale!$D:$E,2,FALSE),""))</f>
        <v/>
      </c>
    </row>
    <row r="660">
      <c r="P660">
        <f>IF(OR(B660="SP",B660="RP",B660="CP",B660="SP/RP"),"P","H")</f>
        <v/>
      </c>
      <c r="Q660">
        <f>IF(F660="",0,IFNA(VLOOKUP(F660,Trait_Polarity!$A:$C,2,FALSE),0))+IF(G660="",0,IFNA(VLOOKUP(G660,Trait_Polarity!$A:$C,2,FALSE),0))</f>
        <v/>
      </c>
      <c r="R660">
        <f>IF(F660="",0,IFNA(VLOOKUP(F660,Trait_Polarity!$A:$C,3,FALSE),0))+IF(G660="",0,IFNA(VLOOKUP(G660,Trait_Polarity!$A:$C,3,FALSE),0))</f>
        <v/>
      </c>
      <c r="S660">
        <f>IF(P660="P",(M660+N660+O660)/3,0.3*H660+0.3*I660+0.2*J660+0.1*K660+0.1*L660)</f>
        <v/>
      </c>
      <c r="T660">
        <f>IF(P660="P",IFNA(VLOOKUP(B660,Pitcher_RoleAdj!$A:$B,2,FALSE),0),IFNA(VLOOKUP(B660,Hitter_PrimaryAdj!$A:$B,2,FALSE),0))</f>
        <v/>
      </c>
      <c r="U660">
        <f>IFNA(VLOOKUP(IF(C660="","(none)",C660),SecondaryAdj!$A:$B,2,FALSE),0)</f>
        <v/>
      </c>
      <c r="V660">
        <f>IF(P660="P",0.7780+0.1628*S660+0.2957*Q660-0.1912*R660-0.1512*IF(D660="S",1,0)+0.1600*IF(E660="L",1,0)+0.0091*H660+0.0124*I660+0.0017*J660+T660+U660,-0.8294+0.1849*S660+0.1750*Q660-0.2969*R660+0.6924*IF(D660="S",1,0)+0.0457*IF(E660="L",1,0)+T660+U660)</f>
        <v/>
      </c>
      <c r="W660">
        <f>MAX(0,MIN(16,ROUND(V660,0)))</f>
        <v/>
      </c>
      <c r="X660">
        <f>IFNA(VLOOKUP(W660,Grade_Scale!$A:$B,2,FALSE),"F")</f>
        <v/>
      </c>
      <c r="Z660">
        <f>IF(Y660="","",W660-IFNA(VLOOKUP(Y660,Grade_Scale!$D:$E,2,FALSE),""))</f>
        <v/>
      </c>
    </row>
    <row r="661">
      <c r="P661">
        <f>IF(OR(B661="SP",B661="RP",B661="CP",B661="SP/RP"),"P","H")</f>
        <v/>
      </c>
      <c r="Q661">
        <f>IF(F661="",0,IFNA(VLOOKUP(F661,Trait_Polarity!$A:$C,2,FALSE),0))+IF(G661="",0,IFNA(VLOOKUP(G661,Trait_Polarity!$A:$C,2,FALSE),0))</f>
        <v/>
      </c>
      <c r="R661">
        <f>IF(F661="",0,IFNA(VLOOKUP(F661,Trait_Polarity!$A:$C,3,FALSE),0))+IF(G661="",0,IFNA(VLOOKUP(G661,Trait_Polarity!$A:$C,3,FALSE),0))</f>
        <v/>
      </c>
      <c r="S661">
        <f>IF(P661="P",(M661+N661+O661)/3,0.3*H661+0.3*I661+0.2*J661+0.1*K661+0.1*L661)</f>
        <v/>
      </c>
      <c r="T661">
        <f>IF(P661="P",IFNA(VLOOKUP(B661,Pitcher_RoleAdj!$A:$B,2,FALSE),0),IFNA(VLOOKUP(B661,Hitter_PrimaryAdj!$A:$B,2,FALSE),0))</f>
        <v/>
      </c>
      <c r="U661">
        <f>IFNA(VLOOKUP(IF(C661="","(none)",C661),SecondaryAdj!$A:$B,2,FALSE),0)</f>
        <v/>
      </c>
      <c r="V661">
        <f>IF(P661="P",0.7780+0.1628*S661+0.2957*Q661-0.1912*R661-0.1512*IF(D661="S",1,0)+0.1600*IF(E661="L",1,0)+0.0091*H661+0.0124*I661+0.0017*J661+T661+U661,-0.8294+0.1849*S661+0.1750*Q661-0.2969*R661+0.6924*IF(D661="S",1,0)+0.0457*IF(E661="L",1,0)+T661+U661)</f>
        <v/>
      </c>
      <c r="W661">
        <f>MAX(0,MIN(16,ROUND(V661,0)))</f>
        <v/>
      </c>
      <c r="X661">
        <f>IFNA(VLOOKUP(W661,Grade_Scale!$A:$B,2,FALSE),"F")</f>
        <v/>
      </c>
      <c r="Z661">
        <f>IF(Y661="","",W661-IFNA(VLOOKUP(Y661,Grade_Scale!$D:$E,2,FALSE),""))</f>
        <v/>
      </c>
    </row>
    <row r="662">
      <c r="P662">
        <f>IF(OR(B662="SP",B662="RP",B662="CP",B662="SP/RP"),"P","H")</f>
        <v/>
      </c>
      <c r="Q662">
        <f>IF(F662="",0,IFNA(VLOOKUP(F662,Trait_Polarity!$A:$C,2,FALSE),0))+IF(G662="",0,IFNA(VLOOKUP(G662,Trait_Polarity!$A:$C,2,FALSE),0))</f>
        <v/>
      </c>
      <c r="R662">
        <f>IF(F662="",0,IFNA(VLOOKUP(F662,Trait_Polarity!$A:$C,3,FALSE),0))+IF(G662="",0,IFNA(VLOOKUP(G662,Trait_Polarity!$A:$C,3,FALSE),0))</f>
        <v/>
      </c>
      <c r="S662">
        <f>IF(P662="P",(M662+N662+O662)/3,0.3*H662+0.3*I662+0.2*J662+0.1*K662+0.1*L662)</f>
        <v/>
      </c>
      <c r="T662">
        <f>IF(P662="P",IFNA(VLOOKUP(B662,Pitcher_RoleAdj!$A:$B,2,FALSE),0),IFNA(VLOOKUP(B662,Hitter_PrimaryAdj!$A:$B,2,FALSE),0))</f>
        <v/>
      </c>
      <c r="U662">
        <f>IFNA(VLOOKUP(IF(C662="","(none)",C662),SecondaryAdj!$A:$B,2,FALSE),0)</f>
        <v/>
      </c>
      <c r="V662">
        <f>IF(P662="P",0.7780+0.1628*S662+0.2957*Q662-0.1912*R662-0.1512*IF(D662="S",1,0)+0.1600*IF(E662="L",1,0)+0.0091*H662+0.0124*I662+0.0017*J662+T662+U662,-0.8294+0.1849*S662+0.1750*Q662-0.2969*R662+0.6924*IF(D662="S",1,0)+0.0457*IF(E662="L",1,0)+T662+U662)</f>
        <v/>
      </c>
      <c r="W662">
        <f>MAX(0,MIN(16,ROUND(V662,0)))</f>
        <v/>
      </c>
      <c r="X662">
        <f>IFNA(VLOOKUP(W662,Grade_Scale!$A:$B,2,FALSE),"F")</f>
        <v/>
      </c>
      <c r="Z662">
        <f>IF(Y662="","",W662-IFNA(VLOOKUP(Y662,Grade_Scale!$D:$E,2,FALSE),""))</f>
        <v/>
      </c>
    </row>
    <row r="663">
      <c r="P663">
        <f>IF(OR(B663="SP",B663="RP",B663="CP",B663="SP/RP"),"P","H")</f>
        <v/>
      </c>
      <c r="Q663">
        <f>IF(F663="",0,IFNA(VLOOKUP(F663,Trait_Polarity!$A:$C,2,FALSE),0))+IF(G663="",0,IFNA(VLOOKUP(G663,Trait_Polarity!$A:$C,2,FALSE),0))</f>
        <v/>
      </c>
      <c r="R663">
        <f>IF(F663="",0,IFNA(VLOOKUP(F663,Trait_Polarity!$A:$C,3,FALSE),0))+IF(G663="",0,IFNA(VLOOKUP(G663,Trait_Polarity!$A:$C,3,FALSE),0))</f>
        <v/>
      </c>
      <c r="S663">
        <f>IF(P663="P",(M663+N663+O663)/3,0.3*H663+0.3*I663+0.2*J663+0.1*K663+0.1*L663)</f>
        <v/>
      </c>
      <c r="T663">
        <f>IF(P663="P",IFNA(VLOOKUP(B663,Pitcher_RoleAdj!$A:$B,2,FALSE),0),IFNA(VLOOKUP(B663,Hitter_PrimaryAdj!$A:$B,2,FALSE),0))</f>
        <v/>
      </c>
      <c r="U663">
        <f>IFNA(VLOOKUP(IF(C663="","(none)",C663),SecondaryAdj!$A:$B,2,FALSE),0)</f>
        <v/>
      </c>
      <c r="V663">
        <f>IF(P663="P",0.7780+0.1628*S663+0.2957*Q663-0.1912*R663-0.1512*IF(D663="S",1,0)+0.1600*IF(E663="L",1,0)+0.0091*H663+0.0124*I663+0.0017*J663+T663+U663,-0.8294+0.1849*S663+0.1750*Q663-0.2969*R663+0.6924*IF(D663="S",1,0)+0.0457*IF(E663="L",1,0)+T663+U663)</f>
        <v/>
      </c>
      <c r="W663">
        <f>MAX(0,MIN(16,ROUND(V663,0)))</f>
        <v/>
      </c>
      <c r="X663">
        <f>IFNA(VLOOKUP(W663,Grade_Scale!$A:$B,2,FALSE),"F")</f>
        <v/>
      </c>
      <c r="Z663">
        <f>IF(Y663="","",W663-IFNA(VLOOKUP(Y663,Grade_Scale!$D:$E,2,FALSE),""))</f>
        <v/>
      </c>
    </row>
    <row r="664">
      <c r="P664">
        <f>IF(OR(B664="SP",B664="RP",B664="CP",B664="SP/RP"),"P","H")</f>
        <v/>
      </c>
      <c r="Q664">
        <f>IF(F664="",0,IFNA(VLOOKUP(F664,Trait_Polarity!$A:$C,2,FALSE),0))+IF(G664="",0,IFNA(VLOOKUP(G664,Trait_Polarity!$A:$C,2,FALSE),0))</f>
        <v/>
      </c>
      <c r="R664">
        <f>IF(F664="",0,IFNA(VLOOKUP(F664,Trait_Polarity!$A:$C,3,FALSE),0))+IF(G664="",0,IFNA(VLOOKUP(G664,Trait_Polarity!$A:$C,3,FALSE),0))</f>
        <v/>
      </c>
      <c r="S664">
        <f>IF(P664="P",(M664+N664+O664)/3,0.3*H664+0.3*I664+0.2*J664+0.1*K664+0.1*L664)</f>
        <v/>
      </c>
      <c r="T664">
        <f>IF(P664="P",IFNA(VLOOKUP(B664,Pitcher_RoleAdj!$A:$B,2,FALSE),0),IFNA(VLOOKUP(B664,Hitter_PrimaryAdj!$A:$B,2,FALSE),0))</f>
        <v/>
      </c>
      <c r="U664">
        <f>IFNA(VLOOKUP(IF(C664="","(none)",C664),SecondaryAdj!$A:$B,2,FALSE),0)</f>
        <v/>
      </c>
      <c r="V664">
        <f>IF(P664="P",0.7780+0.1628*S664+0.2957*Q664-0.1912*R664-0.1512*IF(D664="S",1,0)+0.1600*IF(E664="L",1,0)+0.0091*H664+0.0124*I664+0.0017*J664+T664+U664,-0.8294+0.1849*S664+0.1750*Q664-0.2969*R664+0.6924*IF(D664="S",1,0)+0.0457*IF(E664="L",1,0)+T664+U664)</f>
        <v/>
      </c>
      <c r="W664">
        <f>MAX(0,MIN(16,ROUND(V664,0)))</f>
        <v/>
      </c>
      <c r="X664">
        <f>IFNA(VLOOKUP(W664,Grade_Scale!$A:$B,2,FALSE),"F")</f>
        <v/>
      </c>
      <c r="Z664">
        <f>IF(Y664="","",W664-IFNA(VLOOKUP(Y664,Grade_Scale!$D:$E,2,FALSE),""))</f>
        <v/>
      </c>
    </row>
    <row r="665">
      <c r="P665">
        <f>IF(OR(B665="SP",B665="RP",B665="CP",B665="SP/RP"),"P","H")</f>
        <v/>
      </c>
      <c r="Q665">
        <f>IF(F665="",0,IFNA(VLOOKUP(F665,Trait_Polarity!$A:$C,2,FALSE),0))+IF(G665="",0,IFNA(VLOOKUP(G665,Trait_Polarity!$A:$C,2,FALSE),0))</f>
        <v/>
      </c>
      <c r="R665">
        <f>IF(F665="",0,IFNA(VLOOKUP(F665,Trait_Polarity!$A:$C,3,FALSE),0))+IF(G665="",0,IFNA(VLOOKUP(G665,Trait_Polarity!$A:$C,3,FALSE),0))</f>
        <v/>
      </c>
      <c r="S665">
        <f>IF(P665="P",(M665+N665+O665)/3,0.3*H665+0.3*I665+0.2*J665+0.1*K665+0.1*L665)</f>
        <v/>
      </c>
      <c r="T665">
        <f>IF(P665="P",IFNA(VLOOKUP(B665,Pitcher_RoleAdj!$A:$B,2,FALSE),0),IFNA(VLOOKUP(B665,Hitter_PrimaryAdj!$A:$B,2,FALSE),0))</f>
        <v/>
      </c>
      <c r="U665">
        <f>IFNA(VLOOKUP(IF(C665="","(none)",C665),SecondaryAdj!$A:$B,2,FALSE),0)</f>
        <v/>
      </c>
      <c r="V665">
        <f>IF(P665="P",0.7780+0.1628*S665+0.2957*Q665-0.1912*R665-0.1512*IF(D665="S",1,0)+0.1600*IF(E665="L",1,0)+0.0091*H665+0.0124*I665+0.0017*J665+T665+U665,-0.8294+0.1849*S665+0.1750*Q665-0.2969*R665+0.6924*IF(D665="S",1,0)+0.0457*IF(E665="L",1,0)+T665+U665)</f>
        <v/>
      </c>
      <c r="W665">
        <f>MAX(0,MIN(16,ROUND(V665,0)))</f>
        <v/>
      </c>
      <c r="X665">
        <f>IFNA(VLOOKUP(W665,Grade_Scale!$A:$B,2,FALSE),"F")</f>
        <v/>
      </c>
      <c r="Z665">
        <f>IF(Y665="","",W665-IFNA(VLOOKUP(Y665,Grade_Scale!$D:$E,2,FALSE),""))</f>
        <v/>
      </c>
    </row>
    <row r="666">
      <c r="P666">
        <f>IF(OR(B666="SP",B666="RP",B666="CP",B666="SP/RP"),"P","H")</f>
        <v/>
      </c>
      <c r="Q666">
        <f>IF(F666="",0,IFNA(VLOOKUP(F666,Trait_Polarity!$A:$C,2,FALSE),0))+IF(G666="",0,IFNA(VLOOKUP(G666,Trait_Polarity!$A:$C,2,FALSE),0))</f>
        <v/>
      </c>
      <c r="R666">
        <f>IF(F666="",0,IFNA(VLOOKUP(F666,Trait_Polarity!$A:$C,3,FALSE),0))+IF(G666="",0,IFNA(VLOOKUP(G666,Trait_Polarity!$A:$C,3,FALSE),0))</f>
        <v/>
      </c>
      <c r="S666">
        <f>IF(P666="P",(M666+N666+O666)/3,0.3*H666+0.3*I666+0.2*J666+0.1*K666+0.1*L666)</f>
        <v/>
      </c>
      <c r="T666">
        <f>IF(P666="P",IFNA(VLOOKUP(B666,Pitcher_RoleAdj!$A:$B,2,FALSE),0),IFNA(VLOOKUP(B666,Hitter_PrimaryAdj!$A:$B,2,FALSE),0))</f>
        <v/>
      </c>
      <c r="U666">
        <f>IFNA(VLOOKUP(IF(C666="","(none)",C666),SecondaryAdj!$A:$B,2,FALSE),0)</f>
        <v/>
      </c>
      <c r="V666">
        <f>IF(P666="P",0.7780+0.1628*S666+0.2957*Q666-0.1912*R666-0.1512*IF(D666="S",1,0)+0.1600*IF(E666="L",1,0)+0.0091*H666+0.0124*I666+0.0017*J666+T666+U666,-0.8294+0.1849*S666+0.1750*Q666-0.2969*R666+0.6924*IF(D666="S",1,0)+0.0457*IF(E666="L",1,0)+T666+U666)</f>
        <v/>
      </c>
      <c r="W666">
        <f>MAX(0,MIN(16,ROUND(V666,0)))</f>
        <v/>
      </c>
      <c r="X666">
        <f>IFNA(VLOOKUP(W666,Grade_Scale!$A:$B,2,FALSE),"F")</f>
        <v/>
      </c>
      <c r="Z666">
        <f>IF(Y666="","",W666-IFNA(VLOOKUP(Y666,Grade_Scale!$D:$E,2,FALSE),""))</f>
        <v/>
      </c>
    </row>
    <row r="667">
      <c r="P667">
        <f>IF(OR(B667="SP",B667="RP",B667="CP",B667="SP/RP"),"P","H")</f>
        <v/>
      </c>
      <c r="Q667">
        <f>IF(F667="",0,IFNA(VLOOKUP(F667,Trait_Polarity!$A:$C,2,FALSE),0))+IF(G667="",0,IFNA(VLOOKUP(G667,Trait_Polarity!$A:$C,2,FALSE),0))</f>
        <v/>
      </c>
      <c r="R667">
        <f>IF(F667="",0,IFNA(VLOOKUP(F667,Trait_Polarity!$A:$C,3,FALSE),0))+IF(G667="",0,IFNA(VLOOKUP(G667,Trait_Polarity!$A:$C,3,FALSE),0))</f>
        <v/>
      </c>
      <c r="S667">
        <f>IF(P667="P",(M667+N667+O667)/3,0.3*H667+0.3*I667+0.2*J667+0.1*K667+0.1*L667)</f>
        <v/>
      </c>
      <c r="T667">
        <f>IF(P667="P",IFNA(VLOOKUP(B667,Pitcher_RoleAdj!$A:$B,2,FALSE),0),IFNA(VLOOKUP(B667,Hitter_PrimaryAdj!$A:$B,2,FALSE),0))</f>
        <v/>
      </c>
      <c r="U667">
        <f>IFNA(VLOOKUP(IF(C667="","(none)",C667),SecondaryAdj!$A:$B,2,FALSE),0)</f>
        <v/>
      </c>
      <c r="V667">
        <f>IF(P667="P",0.7780+0.1628*S667+0.2957*Q667-0.1912*R667-0.1512*IF(D667="S",1,0)+0.1600*IF(E667="L",1,0)+0.0091*H667+0.0124*I667+0.0017*J667+T667+U667,-0.8294+0.1849*S667+0.1750*Q667-0.2969*R667+0.6924*IF(D667="S",1,0)+0.0457*IF(E667="L",1,0)+T667+U667)</f>
        <v/>
      </c>
      <c r="W667">
        <f>MAX(0,MIN(16,ROUND(V667,0)))</f>
        <v/>
      </c>
      <c r="X667">
        <f>IFNA(VLOOKUP(W667,Grade_Scale!$A:$B,2,FALSE),"F")</f>
        <v/>
      </c>
      <c r="Z667">
        <f>IF(Y667="","",W667-IFNA(VLOOKUP(Y667,Grade_Scale!$D:$E,2,FALSE),""))</f>
        <v/>
      </c>
    </row>
    <row r="668">
      <c r="P668">
        <f>IF(OR(B668="SP",B668="RP",B668="CP",B668="SP/RP"),"P","H")</f>
        <v/>
      </c>
      <c r="Q668">
        <f>IF(F668="",0,IFNA(VLOOKUP(F668,Trait_Polarity!$A:$C,2,FALSE),0))+IF(G668="",0,IFNA(VLOOKUP(G668,Trait_Polarity!$A:$C,2,FALSE),0))</f>
        <v/>
      </c>
      <c r="R668">
        <f>IF(F668="",0,IFNA(VLOOKUP(F668,Trait_Polarity!$A:$C,3,FALSE),0))+IF(G668="",0,IFNA(VLOOKUP(G668,Trait_Polarity!$A:$C,3,FALSE),0))</f>
        <v/>
      </c>
      <c r="S668">
        <f>IF(P668="P",(M668+N668+O668)/3,0.3*H668+0.3*I668+0.2*J668+0.1*K668+0.1*L668)</f>
        <v/>
      </c>
      <c r="T668">
        <f>IF(P668="P",IFNA(VLOOKUP(B668,Pitcher_RoleAdj!$A:$B,2,FALSE),0),IFNA(VLOOKUP(B668,Hitter_PrimaryAdj!$A:$B,2,FALSE),0))</f>
        <v/>
      </c>
      <c r="U668">
        <f>IFNA(VLOOKUP(IF(C668="","(none)",C668),SecondaryAdj!$A:$B,2,FALSE),0)</f>
        <v/>
      </c>
      <c r="V668">
        <f>IF(P668="P",0.7780+0.1628*S668+0.2957*Q668-0.1912*R668-0.1512*IF(D668="S",1,0)+0.1600*IF(E668="L",1,0)+0.0091*H668+0.0124*I668+0.0017*J668+T668+U668,-0.8294+0.1849*S668+0.1750*Q668-0.2969*R668+0.6924*IF(D668="S",1,0)+0.0457*IF(E668="L",1,0)+T668+U668)</f>
        <v/>
      </c>
      <c r="W668">
        <f>MAX(0,MIN(16,ROUND(V668,0)))</f>
        <v/>
      </c>
      <c r="X668">
        <f>IFNA(VLOOKUP(W668,Grade_Scale!$A:$B,2,FALSE),"F")</f>
        <v/>
      </c>
      <c r="Z668">
        <f>IF(Y668="","",W668-IFNA(VLOOKUP(Y668,Grade_Scale!$D:$E,2,FALSE),""))</f>
        <v/>
      </c>
    </row>
    <row r="669">
      <c r="P669">
        <f>IF(OR(B669="SP",B669="RP",B669="CP",B669="SP/RP"),"P","H")</f>
        <v/>
      </c>
      <c r="Q669">
        <f>IF(F669="",0,IFNA(VLOOKUP(F669,Trait_Polarity!$A:$C,2,FALSE),0))+IF(G669="",0,IFNA(VLOOKUP(G669,Trait_Polarity!$A:$C,2,FALSE),0))</f>
        <v/>
      </c>
      <c r="R669">
        <f>IF(F669="",0,IFNA(VLOOKUP(F669,Trait_Polarity!$A:$C,3,FALSE),0))+IF(G669="",0,IFNA(VLOOKUP(G669,Trait_Polarity!$A:$C,3,FALSE),0))</f>
        <v/>
      </c>
      <c r="S669">
        <f>IF(P669="P",(M669+N669+O669)/3,0.3*H669+0.3*I669+0.2*J669+0.1*K669+0.1*L669)</f>
        <v/>
      </c>
      <c r="T669">
        <f>IF(P669="P",IFNA(VLOOKUP(B669,Pitcher_RoleAdj!$A:$B,2,FALSE),0),IFNA(VLOOKUP(B669,Hitter_PrimaryAdj!$A:$B,2,FALSE),0))</f>
        <v/>
      </c>
      <c r="U669">
        <f>IFNA(VLOOKUP(IF(C669="","(none)",C669),SecondaryAdj!$A:$B,2,FALSE),0)</f>
        <v/>
      </c>
      <c r="V669">
        <f>IF(P669="P",0.7780+0.1628*S669+0.2957*Q669-0.1912*R669-0.1512*IF(D669="S",1,0)+0.1600*IF(E669="L",1,0)+0.0091*H669+0.0124*I669+0.0017*J669+T669+U669,-0.8294+0.1849*S669+0.1750*Q669-0.2969*R669+0.6924*IF(D669="S",1,0)+0.0457*IF(E669="L",1,0)+T669+U669)</f>
        <v/>
      </c>
      <c r="W669">
        <f>MAX(0,MIN(16,ROUND(V669,0)))</f>
        <v/>
      </c>
      <c r="X669">
        <f>IFNA(VLOOKUP(W669,Grade_Scale!$A:$B,2,FALSE),"F")</f>
        <v/>
      </c>
      <c r="Z669">
        <f>IF(Y669="","",W669-IFNA(VLOOKUP(Y669,Grade_Scale!$D:$E,2,FALSE),""))</f>
        <v/>
      </c>
    </row>
    <row r="670">
      <c r="P670">
        <f>IF(OR(B670="SP",B670="RP",B670="CP",B670="SP/RP"),"P","H")</f>
        <v/>
      </c>
      <c r="Q670">
        <f>IF(F670="",0,IFNA(VLOOKUP(F670,Trait_Polarity!$A:$C,2,FALSE),0))+IF(G670="",0,IFNA(VLOOKUP(G670,Trait_Polarity!$A:$C,2,FALSE),0))</f>
        <v/>
      </c>
      <c r="R670">
        <f>IF(F670="",0,IFNA(VLOOKUP(F670,Trait_Polarity!$A:$C,3,FALSE),0))+IF(G670="",0,IFNA(VLOOKUP(G670,Trait_Polarity!$A:$C,3,FALSE),0))</f>
        <v/>
      </c>
      <c r="S670">
        <f>IF(P670="P",(M670+N670+O670)/3,0.3*H670+0.3*I670+0.2*J670+0.1*K670+0.1*L670)</f>
        <v/>
      </c>
      <c r="T670">
        <f>IF(P670="P",IFNA(VLOOKUP(B670,Pitcher_RoleAdj!$A:$B,2,FALSE),0),IFNA(VLOOKUP(B670,Hitter_PrimaryAdj!$A:$B,2,FALSE),0))</f>
        <v/>
      </c>
      <c r="U670">
        <f>IFNA(VLOOKUP(IF(C670="","(none)",C670),SecondaryAdj!$A:$B,2,FALSE),0)</f>
        <v/>
      </c>
      <c r="V670">
        <f>IF(P670="P",0.7780+0.1628*S670+0.2957*Q670-0.1912*R670-0.1512*IF(D670="S",1,0)+0.1600*IF(E670="L",1,0)+0.0091*H670+0.0124*I670+0.0017*J670+T670+U670,-0.8294+0.1849*S670+0.1750*Q670-0.2969*R670+0.6924*IF(D670="S",1,0)+0.0457*IF(E670="L",1,0)+T670+U670)</f>
        <v/>
      </c>
      <c r="W670">
        <f>MAX(0,MIN(16,ROUND(V670,0)))</f>
        <v/>
      </c>
      <c r="X670">
        <f>IFNA(VLOOKUP(W670,Grade_Scale!$A:$B,2,FALSE),"F")</f>
        <v/>
      </c>
      <c r="Z670">
        <f>IF(Y670="","",W670-IFNA(VLOOKUP(Y670,Grade_Scale!$D:$E,2,FALSE),""))</f>
        <v/>
      </c>
    </row>
    <row r="671">
      <c r="P671">
        <f>IF(OR(B671="SP",B671="RP",B671="CP",B671="SP/RP"),"P","H")</f>
        <v/>
      </c>
      <c r="Q671">
        <f>IF(F671="",0,IFNA(VLOOKUP(F671,Trait_Polarity!$A:$C,2,FALSE),0))+IF(G671="",0,IFNA(VLOOKUP(G671,Trait_Polarity!$A:$C,2,FALSE),0))</f>
        <v/>
      </c>
      <c r="R671">
        <f>IF(F671="",0,IFNA(VLOOKUP(F671,Trait_Polarity!$A:$C,3,FALSE),0))+IF(G671="",0,IFNA(VLOOKUP(G671,Trait_Polarity!$A:$C,3,FALSE),0))</f>
        <v/>
      </c>
      <c r="S671">
        <f>IF(P671="P",(M671+N671+O671)/3,0.3*H671+0.3*I671+0.2*J671+0.1*K671+0.1*L671)</f>
        <v/>
      </c>
      <c r="T671">
        <f>IF(P671="P",IFNA(VLOOKUP(B671,Pitcher_RoleAdj!$A:$B,2,FALSE),0),IFNA(VLOOKUP(B671,Hitter_PrimaryAdj!$A:$B,2,FALSE),0))</f>
        <v/>
      </c>
      <c r="U671">
        <f>IFNA(VLOOKUP(IF(C671="","(none)",C671),SecondaryAdj!$A:$B,2,FALSE),0)</f>
        <v/>
      </c>
      <c r="V671">
        <f>IF(P671="P",0.7780+0.1628*S671+0.2957*Q671-0.1912*R671-0.1512*IF(D671="S",1,0)+0.1600*IF(E671="L",1,0)+0.0091*H671+0.0124*I671+0.0017*J671+T671+U671,-0.8294+0.1849*S671+0.1750*Q671-0.2969*R671+0.6924*IF(D671="S",1,0)+0.0457*IF(E671="L",1,0)+T671+U671)</f>
        <v/>
      </c>
      <c r="W671">
        <f>MAX(0,MIN(16,ROUND(V671,0)))</f>
        <v/>
      </c>
      <c r="X671">
        <f>IFNA(VLOOKUP(W671,Grade_Scale!$A:$B,2,FALSE),"F")</f>
        <v/>
      </c>
      <c r="Z671">
        <f>IF(Y671="","",W671-IFNA(VLOOKUP(Y671,Grade_Scale!$D:$E,2,FALSE),""))</f>
        <v/>
      </c>
    </row>
    <row r="672">
      <c r="P672">
        <f>IF(OR(B672="SP",B672="RP",B672="CP",B672="SP/RP"),"P","H")</f>
        <v/>
      </c>
      <c r="Q672">
        <f>IF(F672="",0,IFNA(VLOOKUP(F672,Trait_Polarity!$A:$C,2,FALSE),0))+IF(G672="",0,IFNA(VLOOKUP(G672,Trait_Polarity!$A:$C,2,FALSE),0))</f>
        <v/>
      </c>
      <c r="R672">
        <f>IF(F672="",0,IFNA(VLOOKUP(F672,Trait_Polarity!$A:$C,3,FALSE),0))+IF(G672="",0,IFNA(VLOOKUP(G672,Trait_Polarity!$A:$C,3,FALSE),0))</f>
        <v/>
      </c>
      <c r="S672">
        <f>IF(P672="P",(M672+N672+O672)/3,0.3*H672+0.3*I672+0.2*J672+0.1*K672+0.1*L672)</f>
        <v/>
      </c>
      <c r="T672">
        <f>IF(P672="P",IFNA(VLOOKUP(B672,Pitcher_RoleAdj!$A:$B,2,FALSE),0),IFNA(VLOOKUP(B672,Hitter_PrimaryAdj!$A:$B,2,FALSE),0))</f>
        <v/>
      </c>
      <c r="U672">
        <f>IFNA(VLOOKUP(IF(C672="","(none)",C672),SecondaryAdj!$A:$B,2,FALSE),0)</f>
        <v/>
      </c>
      <c r="V672">
        <f>IF(P672="P",0.7780+0.1628*S672+0.2957*Q672-0.1912*R672-0.1512*IF(D672="S",1,0)+0.1600*IF(E672="L",1,0)+0.0091*H672+0.0124*I672+0.0017*J672+T672+U672,-0.8294+0.1849*S672+0.1750*Q672-0.2969*R672+0.6924*IF(D672="S",1,0)+0.0457*IF(E672="L",1,0)+T672+U672)</f>
        <v/>
      </c>
      <c r="W672">
        <f>MAX(0,MIN(16,ROUND(V672,0)))</f>
        <v/>
      </c>
      <c r="X672">
        <f>IFNA(VLOOKUP(W672,Grade_Scale!$A:$B,2,FALSE),"F")</f>
        <v/>
      </c>
      <c r="Z672">
        <f>IF(Y672="","",W672-IFNA(VLOOKUP(Y672,Grade_Scale!$D:$E,2,FALSE),""))</f>
        <v/>
      </c>
    </row>
    <row r="673">
      <c r="P673">
        <f>IF(OR(B673="SP",B673="RP",B673="CP",B673="SP/RP"),"P","H")</f>
        <v/>
      </c>
      <c r="Q673">
        <f>IF(F673="",0,IFNA(VLOOKUP(F673,Trait_Polarity!$A:$C,2,FALSE),0))+IF(G673="",0,IFNA(VLOOKUP(G673,Trait_Polarity!$A:$C,2,FALSE),0))</f>
        <v/>
      </c>
      <c r="R673">
        <f>IF(F673="",0,IFNA(VLOOKUP(F673,Trait_Polarity!$A:$C,3,FALSE),0))+IF(G673="",0,IFNA(VLOOKUP(G673,Trait_Polarity!$A:$C,3,FALSE),0))</f>
        <v/>
      </c>
      <c r="S673">
        <f>IF(P673="P",(M673+N673+O673)/3,0.3*H673+0.3*I673+0.2*J673+0.1*K673+0.1*L673)</f>
        <v/>
      </c>
      <c r="T673">
        <f>IF(P673="P",IFNA(VLOOKUP(B673,Pitcher_RoleAdj!$A:$B,2,FALSE),0),IFNA(VLOOKUP(B673,Hitter_PrimaryAdj!$A:$B,2,FALSE),0))</f>
        <v/>
      </c>
      <c r="U673">
        <f>IFNA(VLOOKUP(IF(C673="","(none)",C673),SecondaryAdj!$A:$B,2,FALSE),0)</f>
        <v/>
      </c>
      <c r="V673">
        <f>IF(P673="P",0.7780+0.1628*S673+0.2957*Q673-0.1912*R673-0.1512*IF(D673="S",1,0)+0.1600*IF(E673="L",1,0)+0.0091*H673+0.0124*I673+0.0017*J673+T673+U673,-0.8294+0.1849*S673+0.1750*Q673-0.2969*R673+0.6924*IF(D673="S",1,0)+0.0457*IF(E673="L",1,0)+T673+U673)</f>
        <v/>
      </c>
      <c r="W673">
        <f>MAX(0,MIN(16,ROUND(V673,0)))</f>
        <v/>
      </c>
      <c r="X673">
        <f>IFNA(VLOOKUP(W673,Grade_Scale!$A:$B,2,FALSE),"F")</f>
        <v/>
      </c>
      <c r="Z673">
        <f>IF(Y673="","",W673-IFNA(VLOOKUP(Y673,Grade_Scale!$D:$E,2,FALSE),""))</f>
        <v/>
      </c>
    </row>
    <row r="674">
      <c r="P674">
        <f>IF(OR(B674="SP",B674="RP",B674="CP",B674="SP/RP"),"P","H")</f>
        <v/>
      </c>
      <c r="Q674">
        <f>IF(F674="",0,IFNA(VLOOKUP(F674,Trait_Polarity!$A:$C,2,FALSE),0))+IF(G674="",0,IFNA(VLOOKUP(G674,Trait_Polarity!$A:$C,2,FALSE),0))</f>
        <v/>
      </c>
      <c r="R674">
        <f>IF(F674="",0,IFNA(VLOOKUP(F674,Trait_Polarity!$A:$C,3,FALSE),0))+IF(G674="",0,IFNA(VLOOKUP(G674,Trait_Polarity!$A:$C,3,FALSE),0))</f>
        <v/>
      </c>
      <c r="S674">
        <f>IF(P674="P",(M674+N674+O674)/3,0.3*H674+0.3*I674+0.2*J674+0.1*K674+0.1*L674)</f>
        <v/>
      </c>
      <c r="T674">
        <f>IF(P674="P",IFNA(VLOOKUP(B674,Pitcher_RoleAdj!$A:$B,2,FALSE),0),IFNA(VLOOKUP(B674,Hitter_PrimaryAdj!$A:$B,2,FALSE),0))</f>
        <v/>
      </c>
      <c r="U674">
        <f>IFNA(VLOOKUP(IF(C674="","(none)",C674),SecondaryAdj!$A:$B,2,FALSE),0)</f>
        <v/>
      </c>
      <c r="V674">
        <f>IF(P674="P",0.7780+0.1628*S674+0.2957*Q674-0.1912*R674-0.1512*IF(D674="S",1,0)+0.1600*IF(E674="L",1,0)+0.0091*H674+0.0124*I674+0.0017*J674+T674+U674,-0.8294+0.1849*S674+0.1750*Q674-0.2969*R674+0.6924*IF(D674="S",1,0)+0.0457*IF(E674="L",1,0)+T674+U674)</f>
        <v/>
      </c>
      <c r="W674">
        <f>MAX(0,MIN(16,ROUND(V674,0)))</f>
        <v/>
      </c>
      <c r="X674">
        <f>IFNA(VLOOKUP(W674,Grade_Scale!$A:$B,2,FALSE),"F")</f>
        <v/>
      </c>
      <c r="Z674">
        <f>IF(Y674="","",W674-IFNA(VLOOKUP(Y674,Grade_Scale!$D:$E,2,FALSE),""))</f>
        <v/>
      </c>
    </row>
    <row r="675">
      <c r="P675">
        <f>IF(OR(B675="SP",B675="RP",B675="CP",B675="SP/RP"),"P","H")</f>
        <v/>
      </c>
      <c r="Q675">
        <f>IF(F675="",0,IFNA(VLOOKUP(F675,Trait_Polarity!$A:$C,2,FALSE),0))+IF(G675="",0,IFNA(VLOOKUP(G675,Trait_Polarity!$A:$C,2,FALSE),0))</f>
        <v/>
      </c>
      <c r="R675">
        <f>IF(F675="",0,IFNA(VLOOKUP(F675,Trait_Polarity!$A:$C,3,FALSE),0))+IF(G675="",0,IFNA(VLOOKUP(G675,Trait_Polarity!$A:$C,3,FALSE),0))</f>
        <v/>
      </c>
      <c r="S675">
        <f>IF(P675="P",(M675+N675+O675)/3,0.3*H675+0.3*I675+0.2*J675+0.1*K675+0.1*L675)</f>
        <v/>
      </c>
      <c r="T675">
        <f>IF(P675="P",IFNA(VLOOKUP(B675,Pitcher_RoleAdj!$A:$B,2,FALSE),0),IFNA(VLOOKUP(B675,Hitter_PrimaryAdj!$A:$B,2,FALSE),0))</f>
        <v/>
      </c>
      <c r="U675">
        <f>IFNA(VLOOKUP(IF(C675="","(none)",C675),SecondaryAdj!$A:$B,2,FALSE),0)</f>
        <v/>
      </c>
      <c r="V675">
        <f>IF(P675="P",0.7780+0.1628*S675+0.2957*Q675-0.1912*R675-0.1512*IF(D675="S",1,0)+0.1600*IF(E675="L",1,0)+0.0091*H675+0.0124*I675+0.0017*J675+T675+U675,-0.8294+0.1849*S675+0.1750*Q675-0.2969*R675+0.6924*IF(D675="S",1,0)+0.0457*IF(E675="L",1,0)+T675+U675)</f>
        <v/>
      </c>
      <c r="W675">
        <f>MAX(0,MIN(16,ROUND(V675,0)))</f>
        <v/>
      </c>
      <c r="X675">
        <f>IFNA(VLOOKUP(W675,Grade_Scale!$A:$B,2,FALSE),"F")</f>
        <v/>
      </c>
      <c r="Z675">
        <f>IF(Y675="","",W675-IFNA(VLOOKUP(Y675,Grade_Scale!$D:$E,2,FALSE),""))</f>
        <v/>
      </c>
    </row>
    <row r="676">
      <c r="P676">
        <f>IF(OR(B676="SP",B676="RP",B676="CP",B676="SP/RP"),"P","H")</f>
        <v/>
      </c>
      <c r="Q676">
        <f>IF(F676="",0,IFNA(VLOOKUP(F676,Trait_Polarity!$A:$C,2,FALSE),0))+IF(G676="",0,IFNA(VLOOKUP(G676,Trait_Polarity!$A:$C,2,FALSE),0))</f>
        <v/>
      </c>
      <c r="R676">
        <f>IF(F676="",0,IFNA(VLOOKUP(F676,Trait_Polarity!$A:$C,3,FALSE),0))+IF(G676="",0,IFNA(VLOOKUP(G676,Trait_Polarity!$A:$C,3,FALSE),0))</f>
        <v/>
      </c>
      <c r="S676">
        <f>IF(P676="P",(M676+N676+O676)/3,0.3*H676+0.3*I676+0.2*J676+0.1*K676+0.1*L676)</f>
        <v/>
      </c>
      <c r="T676">
        <f>IF(P676="P",IFNA(VLOOKUP(B676,Pitcher_RoleAdj!$A:$B,2,FALSE),0),IFNA(VLOOKUP(B676,Hitter_PrimaryAdj!$A:$B,2,FALSE),0))</f>
        <v/>
      </c>
      <c r="U676">
        <f>IFNA(VLOOKUP(IF(C676="","(none)",C676),SecondaryAdj!$A:$B,2,FALSE),0)</f>
        <v/>
      </c>
      <c r="V676">
        <f>IF(P676="P",0.7780+0.1628*S676+0.2957*Q676-0.1912*R676-0.1512*IF(D676="S",1,0)+0.1600*IF(E676="L",1,0)+0.0091*H676+0.0124*I676+0.0017*J676+T676+U676,-0.8294+0.1849*S676+0.1750*Q676-0.2969*R676+0.6924*IF(D676="S",1,0)+0.0457*IF(E676="L",1,0)+T676+U676)</f>
        <v/>
      </c>
      <c r="W676">
        <f>MAX(0,MIN(16,ROUND(V676,0)))</f>
        <v/>
      </c>
      <c r="X676">
        <f>IFNA(VLOOKUP(W676,Grade_Scale!$A:$B,2,FALSE),"F")</f>
        <v/>
      </c>
      <c r="Z676">
        <f>IF(Y676="","",W676-IFNA(VLOOKUP(Y676,Grade_Scale!$D:$E,2,FALSE),""))</f>
        <v/>
      </c>
    </row>
    <row r="677">
      <c r="P677">
        <f>IF(OR(B677="SP",B677="RP",B677="CP",B677="SP/RP"),"P","H")</f>
        <v/>
      </c>
      <c r="Q677">
        <f>IF(F677="",0,IFNA(VLOOKUP(F677,Trait_Polarity!$A:$C,2,FALSE),0))+IF(G677="",0,IFNA(VLOOKUP(G677,Trait_Polarity!$A:$C,2,FALSE),0))</f>
        <v/>
      </c>
      <c r="R677">
        <f>IF(F677="",0,IFNA(VLOOKUP(F677,Trait_Polarity!$A:$C,3,FALSE),0))+IF(G677="",0,IFNA(VLOOKUP(G677,Trait_Polarity!$A:$C,3,FALSE),0))</f>
        <v/>
      </c>
      <c r="S677">
        <f>IF(P677="P",(M677+N677+O677)/3,0.3*H677+0.3*I677+0.2*J677+0.1*K677+0.1*L677)</f>
        <v/>
      </c>
      <c r="T677">
        <f>IF(P677="P",IFNA(VLOOKUP(B677,Pitcher_RoleAdj!$A:$B,2,FALSE),0),IFNA(VLOOKUP(B677,Hitter_PrimaryAdj!$A:$B,2,FALSE),0))</f>
        <v/>
      </c>
      <c r="U677">
        <f>IFNA(VLOOKUP(IF(C677="","(none)",C677),SecondaryAdj!$A:$B,2,FALSE),0)</f>
        <v/>
      </c>
      <c r="V677">
        <f>IF(P677="P",0.7780+0.1628*S677+0.2957*Q677-0.1912*R677-0.1512*IF(D677="S",1,0)+0.1600*IF(E677="L",1,0)+0.0091*H677+0.0124*I677+0.0017*J677+T677+U677,-0.8294+0.1849*S677+0.1750*Q677-0.2969*R677+0.6924*IF(D677="S",1,0)+0.0457*IF(E677="L",1,0)+T677+U677)</f>
        <v/>
      </c>
      <c r="W677">
        <f>MAX(0,MIN(16,ROUND(V677,0)))</f>
        <v/>
      </c>
      <c r="X677">
        <f>IFNA(VLOOKUP(W677,Grade_Scale!$A:$B,2,FALSE),"F")</f>
        <v/>
      </c>
      <c r="Z677">
        <f>IF(Y677="","",W677-IFNA(VLOOKUP(Y677,Grade_Scale!$D:$E,2,FALSE),""))</f>
        <v/>
      </c>
    </row>
    <row r="678">
      <c r="P678">
        <f>IF(OR(B678="SP",B678="RP",B678="CP",B678="SP/RP"),"P","H")</f>
        <v/>
      </c>
      <c r="Q678">
        <f>IF(F678="",0,IFNA(VLOOKUP(F678,Trait_Polarity!$A:$C,2,FALSE),0))+IF(G678="",0,IFNA(VLOOKUP(G678,Trait_Polarity!$A:$C,2,FALSE),0))</f>
        <v/>
      </c>
      <c r="R678">
        <f>IF(F678="",0,IFNA(VLOOKUP(F678,Trait_Polarity!$A:$C,3,FALSE),0))+IF(G678="",0,IFNA(VLOOKUP(G678,Trait_Polarity!$A:$C,3,FALSE),0))</f>
        <v/>
      </c>
      <c r="S678">
        <f>IF(P678="P",(M678+N678+O678)/3,0.3*H678+0.3*I678+0.2*J678+0.1*K678+0.1*L678)</f>
        <v/>
      </c>
      <c r="T678">
        <f>IF(P678="P",IFNA(VLOOKUP(B678,Pitcher_RoleAdj!$A:$B,2,FALSE),0),IFNA(VLOOKUP(B678,Hitter_PrimaryAdj!$A:$B,2,FALSE),0))</f>
        <v/>
      </c>
      <c r="U678">
        <f>IFNA(VLOOKUP(IF(C678="","(none)",C678),SecondaryAdj!$A:$B,2,FALSE),0)</f>
        <v/>
      </c>
      <c r="V678">
        <f>IF(P678="P",0.7780+0.1628*S678+0.2957*Q678-0.1912*R678-0.1512*IF(D678="S",1,0)+0.1600*IF(E678="L",1,0)+0.0091*H678+0.0124*I678+0.0017*J678+T678+U678,-0.8294+0.1849*S678+0.1750*Q678-0.2969*R678+0.6924*IF(D678="S",1,0)+0.0457*IF(E678="L",1,0)+T678+U678)</f>
        <v/>
      </c>
      <c r="W678">
        <f>MAX(0,MIN(16,ROUND(V678,0)))</f>
        <v/>
      </c>
      <c r="X678">
        <f>IFNA(VLOOKUP(W678,Grade_Scale!$A:$B,2,FALSE),"F")</f>
        <v/>
      </c>
      <c r="Z678">
        <f>IF(Y678="","",W678-IFNA(VLOOKUP(Y678,Grade_Scale!$D:$E,2,FALSE),""))</f>
        <v/>
      </c>
    </row>
    <row r="679">
      <c r="P679">
        <f>IF(OR(B679="SP",B679="RP",B679="CP",B679="SP/RP"),"P","H")</f>
        <v/>
      </c>
      <c r="Q679">
        <f>IF(F679="",0,IFNA(VLOOKUP(F679,Trait_Polarity!$A:$C,2,FALSE),0))+IF(G679="",0,IFNA(VLOOKUP(G679,Trait_Polarity!$A:$C,2,FALSE),0))</f>
        <v/>
      </c>
      <c r="R679">
        <f>IF(F679="",0,IFNA(VLOOKUP(F679,Trait_Polarity!$A:$C,3,FALSE),0))+IF(G679="",0,IFNA(VLOOKUP(G679,Trait_Polarity!$A:$C,3,FALSE),0))</f>
        <v/>
      </c>
      <c r="S679">
        <f>IF(P679="P",(M679+N679+O679)/3,0.3*H679+0.3*I679+0.2*J679+0.1*K679+0.1*L679)</f>
        <v/>
      </c>
      <c r="T679">
        <f>IF(P679="P",IFNA(VLOOKUP(B679,Pitcher_RoleAdj!$A:$B,2,FALSE),0),IFNA(VLOOKUP(B679,Hitter_PrimaryAdj!$A:$B,2,FALSE),0))</f>
        <v/>
      </c>
      <c r="U679">
        <f>IFNA(VLOOKUP(IF(C679="","(none)",C679),SecondaryAdj!$A:$B,2,FALSE),0)</f>
        <v/>
      </c>
      <c r="V679">
        <f>IF(P679="P",0.7780+0.1628*S679+0.2957*Q679-0.1912*R679-0.1512*IF(D679="S",1,0)+0.1600*IF(E679="L",1,0)+0.0091*H679+0.0124*I679+0.0017*J679+T679+U679,-0.8294+0.1849*S679+0.1750*Q679-0.2969*R679+0.6924*IF(D679="S",1,0)+0.0457*IF(E679="L",1,0)+T679+U679)</f>
        <v/>
      </c>
      <c r="W679">
        <f>MAX(0,MIN(16,ROUND(V679,0)))</f>
        <v/>
      </c>
      <c r="X679">
        <f>IFNA(VLOOKUP(W679,Grade_Scale!$A:$B,2,FALSE),"F")</f>
        <v/>
      </c>
      <c r="Z679">
        <f>IF(Y679="","",W679-IFNA(VLOOKUP(Y679,Grade_Scale!$D:$E,2,FALSE),""))</f>
        <v/>
      </c>
    </row>
    <row r="680">
      <c r="P680">
        <f>IF(OR(B680="SP",B680="RP",B680="CP",B680="SP/RP"),"P","H")</f>
        <v/>
      </c>
      <c r="Q680">
        <f>IF(F680="",0,IFNA(VLOOKUP(F680,Trait_Polarity!$A:$C,2,FALSE),0))+IF(G680="",0,IFNA(VLOOKUP(G680,Trait_Polarity!$A:$C,2,FALSE),0))</f>
        <v/>
      </c>
      <c r="R680">
        <f>IF(F680="",0,IFNA(VLOOKUP(F680,Trait_Polarity!$A:$C,3,FALSE),0))+IF(G680="",0,IFNA(VLOOKUP(G680,Trait_Polarity!$A:$C,3,FALSE),0))</f>
        <v/>
      </c>
      <c r="S680">
        <f>IF(P680="P",(M680+N680+O680)/3,0.3*H680+0.3*I680+0.2*J680+0.1*K680+0.1*L680)</f>
        <v/>
      </c>
      <c r="T680">
        <f>IF(P680="P",IFNA(VLOOKUP(B680,Pitcher_RoleAdj!$A:$B,2,FALSE),0),IFNA(VLOOKUP(B680,Hitter_PrimaryAdj!$A:$B,2,FALSE),0))</f>
        <v/>
      </c>
      <c r="U680">
        <f>IFNA(VLOOKUP(IF(C680="","(none)",C680),SecondaryAdj!$A:$B,2,FALSE),0)</f>
        <v/>
      </c>
      <c r="V680">
        <f>IF(P680="P",0.7780+0.1628*S680+0.2957*Q680-0.1912*R680-0.1512*IF(D680="S",1,0)+0.1600*IF(E680="L",1,0)+0.0091*H680+0.0124*I680+0.0017*J680+T680+U680,-0.8294+0.1849*S680+0.1750*Q680-0.2969*R680+0.6924*IF(D680="S",1,0)+0.0457*IF(E680="L",1,0)+T680+U680)</f>
        <v/>
      </c>
      <c r="W680">
        <f>MAX(0,MIN(16,ROUND(V680,0)))</f>
        <v/>
      </c>
      <c r="X680">
        <f>IFNA(VLOOKUP(W680,Grade_Scale!$A:$B,2,FALSE),"F")</f>
        <v/>
      </c>
      <c r="Z680">
        <f>IF(Y680="","",W680-IFNA(VLOOKUP(Y680,Grade_Scale!$D:$E,2,FALSE),""))</f>
        <v/>
      </c>
    </row>
    <row r="681">
      <c r="P681">
        <f>IF(OR(B681="SP",B681="RP",B681="CP",B681="SP/RP"),"P","H")</f>
        <v/>
      </c>
      <c r="Q681">
        <f>IF(F681="",0,IFNA(VLOOKUP(F681,Trait_Polarity!$A:$C,2,FALSE),0))+IF(G681="",0,IFNA(VLOOKUP(G681,Trait_Polarity!$A:$C,2,FALSE),0))</f>
        <v/>
      </c>
      <c r="R681">
        <f>IF(F681="",0,IFNA(VLOOKUP(F681,Trait_Polarity!$A:$C,3,FALSE),0))+IF(G681="",0,IFNA(VLOOKUP(G681,Trait_Polarity!$A:$C,3,FALSE),0))</f>
        <v/>
      </c>
      <c r="S681">
        <f>IF(P681="P",(M681+N681+O681)/3,0.3*H681+0.3*I681+0.2*J681+0.1*K681+0.1*L681)</f>
        <v/>
      </c>
      <c r="T681">
        <f>IF(P681="P",IFNA(VLOOKUP(B681,Pitcher_RoleAdj!$A:$B,2,FALSE),0),IFNA(VLOOKUP(B681,Hitter_PrimaryAdj!$A:$B,2,FALSE),0))</f>
        <v/>
      </c>
      <c r="U681">
        <f>IFNA(VLOOKUP(IF(C681="","(none)",C681),SecondaryAdj!$A:$B,2,FALSE),0)</f>
        <v/>
      </c>
      <c r="V681">
        <f>IF(P681="P",0.7780+0.1628*S681+0.2957*Q681-0.1912*R681-0.1512*IF(D681="S",1,0)+0.1600*IF(E681="L",1,0)+0.0091*H681+0.0124*I681+0.0017*J681+T681+U681,-0.8294+0.1849*S681+0.1750*Q681-0.2969*R681+0.6924*IF(D681="S",1,0)+0.0457*IF(E681="L",1,0)+T681+U681)</f>
        <v/>
      </c>
      <c r="W681">
        <f>MAX(0,MIN(16,ROUND(V681,0)))</f>
        <v/>
      </c>
      <c r="X681">
        <f>IFNA(VLOOKUP(W681,Grade_Scale!$A:$B,2,FALSE),"F")</f>
        <v/>
      </c>
      <c r="Z681">
        <f>IF(Y681="","",W681-IFNA(VLOOKUP(Y681,Grade_Scale!$D:$E,2,FALSE),""))</f>
        <v/>
      </c>
    </row>
    <row r="682">
      <c r="P682">
        <f>IF(OR(B682="SP",B682="RP",B682="CP",B682="SP/RP"),"P","H")</f>
        <v/>
      </c>
      <c r="Q682">
        <f>IF(F682="",0,IFNA(VLOOKUP(F682,Trait_Polarity!$A:$C,2,FALSE),0))+IF(G682="",0,IFNA(VLOOKUP(G682,Trait_Polarity!$A:$C,2,FALSE),0))</f>
        <v/>
      </c>
      <c r="R682">
        <f>IF(F682="",0,IFNA(VLOOKUP(F682,Trait_Polarity!$A:$C,3,FALSE),0))+IF(G682="",0,IFNA(VLOOKUP(G682,Trait_Polarity!$A:$C,3,FALSE),0))</f>
        <v/>
      </c>
      <c r="S682">
        <f>IF(P682="P",(M682+N682+O682)/3,0.3*H682+0.3*I682+0.2*J682+0.1*K682+0.1*L682)</f>
        <v/>
      </c>
      <c r="T682">
        <f>IF(P682="P",IFNA(VLOOKUP(B682,Pitcher_RoleAdj!$A:$B,2,FALSE),0),IFNA(VLOOKUP(B682,Hitter_PrimaryAdj!$A:$B,2,FALSE),0))</f>
        <v/>
      </c>
      <c r="U682">
        <f>IFNA(VLOOKUP(IF(C682="","(none)",C682),SecondaryAdj!$A:$B,2,FALSE),0)</f>
        <v/>
      </c>
      <c r="V682">
        <f>IF(P682="P",0.7780+0.1628*S682+0.2957*Q682-0.1912*R682-0.1512*IF(D682="S",1,0)+0.1600*IF(E682="L",1,0)+0.0091*H682+0.0124*I682+0.0017*J682+T682+U682,-0.8294+0.1849*S682+0.1750*Q682-0.2969*R682+0.6924*IF(D682="S",1,0)+0.0457*IF(E682="L",1,0)+T682+U682)</f>
        <v/>
      </c>
      <c r="W682">
        <f>MAX(0,MIN(16,ROUND(V682,0)))</f>
        <v/>
      </c>
      <c r="X682">
        <f>IFNA(VLOOKUP(W682,Grade_Scale!$A:$B,2,FALSE),"F")</f>
        <v/>
      </c>
      <c r="Z682">
        <f>IF(Y682="","",W682-IFNA(VLOOKUP(Y682,Grade_Scale!$D:$E,2,FALSE),""))</f>
        <v/>
      </c>
    </row>
    <row r="683">
      <c r="P683">
        <f>IF(OR(B683="SP",B683="RP",B683="CP",B683="SP/RP"),"P","H")</f>
        <v/>
      </c>
      <c r="Q683">
        <f>IF(F683="",0,IFNA(VLOOKUP(F683,Trait_Polarity!$A:$C,2,FALSE),0))+IF(G683="",0,IFNA(VLOOKUP(G683,Trait_Polarity!$A:$C,2,FALSE),0))</f>
        <v/>
      </c>
      <c r="R683">
        <f>IF(F683="",0,IFNA(VLOOKUP(F683,Trait_Polarity!$A:$C,3,FALSE),0))+IF(G683="",0,IFNA(VLOOKUP(G683,Trait_Polarity!$A:$C,3,FALSE),0))</f>
        <v/>
      </c>
      <c r="S683">
        <f>IF(P683="P",(M683+N683+O683)/3,0.3*H683+0.3*I683+0.2*J683+0.1*K683+0.1*L683)</f>
        <v/>
      </c>
      <c r="T683">
        <f>IF(P683="P",IFNA(VLOOKUP(B683,Pitcher_RoleAdj!$A:$B,2,FALSE),0),IFNA(VLOOKUP(B683,Hitter_PrimaryAdj!$A:$B,2,FALSE),0))</f>
        <v/>
      </c>
      <c r="U683">
        <f>IFNA(VLOOKUP(IF(C683="","(none)",C683),SecondaryAdj!$A:$B,2,FALSE),0)</f>
        <v/>
      </c>
      <c r="V683">
        <f>IF(P683="P",0.7780+0.1628*S683+0.2957*Q683-0.1912*R683-0.1512*IF(D683="S",1,0)+0.1600*IF(E683="L",1,0)+0.0091*H683+0.0124*I683+0.0017*J683+T683+U683,-0.8294+0.1849*S683+0.1750*Q683-0.2969*R683+0.6924*IF(D683="S",1,0)+0.0457*IF(E683="L",1,0)+T683+U683)</f>
        <v/>
      </c>
      <c r="W683">
        <f>MAX(0,MIN(16,ROUND(V683,0)))</f>
        <v/>
      </c>
      <c r="X683">
        <f>IFNA(VLOOKUP(W683,Grade_Scale!$A:$B,2,FALSE),"F")</f>
        <v/>
      </c>
      <c r="Z683">
        <f>IF(Y683="","",W683-IFNA(VLOOKUP(Y683,Grade_Scale!$D:$E,2,FALSE),""))</f>
        <v/>
      </c>
    </row>
    <row r="684">
      <c r="P684">
        <f>IF(OR(B684="SP",B684="RP",B684="CP",B684="SP/RP"),"P","H")</f>
        <v/>
      </c>
      <c r="Q684">
        <f>IF(F684="",0,IFNA(VLOOKUP(F684,Trait_Polarity!$A:$C,2,FALSE),0))+IF(G684="",0,IFNA(VLOOKUP(G684,Trait_Polarity!$A:$C,2,FALSE),0))</f>
        <v/>
      </c>
      <c r="R684">
        <f>IF(F684="",0,IFNA(VLOOKUP(F684,Trait_Polarity!$A:$C,3,FALSE),0))+IF(G684="",0,IFNA(VLOOKUP(G684,Trait_Polarity!$A:$C,3,FALSE),0))</f>
        <v/>
      </c>
      <c r="S684">
        <f>IF(P684="P",(M684+N684+O684)/3,0.3*H684+0.3*I684+0.2*J684+0.1*K684+0.1*L684)</f>
        <v/>
      </c>
      <c r="T684">
        <f>IF(P684="P",IFNA(VLOOKUP(B684,Pitcher_RoleAdj!$A:$B,2,FALSE),0),IFNA(VLOOKUP(B684,Hitter_PrimaryAdj!$A:$B,2,FALSE),0))</f>
        <v/>
      </c>
      <c r="U684">
        <f>IFNA(VLOOKUP(IF(C684="","(none)",C684),SecondaryAdj!$A:$B,2,FALSE),0)</f>
        <v/>
      </c>
      <c r="V684">
        <f>IF(P684="P",0.7780+0.1628*S684+0.2957*Q684-0.1912*R684-0.1512*IF(D684="S",1,0)+0.1600*IF(E684="L",1,0)+0.0091*H684+0.0124*I684+0.0017*J684+T684+U684,-0.8294+0.1849*S684+0.1750*Q684-0.2969*R684+0.6924*IF(D684="S",1,0)+0.0457*IF(E684="L",1,0)+T684+U684)</f>
        <v/>
      </c>
      <c r="W684">
        <f>MAX(0,MIN(16,ROUND(V684,0)))</f>
        <v/>
      </c>
      <c r="X684">
        <f>IFNA(VLOOKUP(W684,Grade_Scale!$A:$B,2,FALSE),"F")</f>
        <v/>
      </c>
      <c r="Z684">
        <f>IF(Y684="","",W684-IFNA(VLOOKUP(Y684,Grade_Scale!$D:$E,2,FALSE),""))</f>
        <v/>
      </c>
    </row>
    <row r="685">
      <c r="P685">
        <f>IF(OR(B685="SP",B685="RP",B685="CP",B685="SP/RP"),"P","H")</f>
        <v/>
      </c>
      <c r="Q685">
        <f>IF(F685="",0,IFNA(VLOOKUP(F685,Trait_Polarity!$A:$C,2,FALSE),0))+IF(G685="",0,IFNA(VLOOKUP(G685,Trait_Polarity!$A:$C,2,FALSE),0))</f>
        <v/>
      </c>
      <c r="R685">
        <f>IF(F685="",0,IFNA(VLOOKUP(F685,Trait_Polarity!$A:$C,3,FALSE),0))+IF(G685="",0,IFNA(VLOOKUP(G685,Trait_Polarity!$A:$C,3,FALSE),0))</f>
        <v/>
      </c>
      <c r="S685">
        <f>IF(P685="P",(M685+N685+O685)/3,0.3*H685+0.3*I685+0.2*J685+0.1*K685+0.1*L685)</f>
        <v/>
      </c>
      <c r="T685">
        <f>IF(P685="P",IFNA(VLOOKUP(B685,Pitcher_RoleAdj!$A:$B,2,FALSE),0),IFNA(VLOOKUP(B685,Hitter_PrimaryAdj!$A:$B,2,FALSE),0))</f>
        <v/>
      </c>
      <c r="U685">
        <f>IFNA(VLOOKUP(IF(C685="","(none)",C685),SecondaryAdj!$A:$B,2,FALSE),0)</f>
        <v/>
      </c>
      <c r="V685">
        <f>IF(P685="P",0.7780+0.1628*S685+0.2957*Q685-0.1912*R685-0.1512*IF(D685="S",1,0)+0.1600*IF(E685="L",1,0)+0.0091*H685+0.0124*I685+0.0017*J685+T685+U685,-0.8294+0.1849*S685+0.1750*Q685-0.2969*R685+0.6924*IF(D685="S",1,0)+0.0457*IF(E685="L",1,0)+T685+U685)</f>
        <v/>
      </c>
      <c r="W685">
        <f>MAX(0,MIN(16,ROUND(V685,0)))</f>
        <v/>
      </c>
      <c r="X685">
        <f>IFNA(VLOOKUP(W685,Grade_Scale!$A:$B,2,FALSE),"F")</f>
        <v/>
      </c>
      <c r="Z685">
        <f>IF(Y685="","",W685-IFNA(VLOOKUP(Y685,Grade_Scale!$D:$E,2,FALSE),""))</f>
        <v/>
      </c>
    </row>
    <row r="686">
      <c r="P686">
        <f>IF(OR(B686="SP",B686="RP",B686="CP",B686="SP/RP"),"P","H")</f>
        <v/>
      </c>
      <c r="Q686">
        <f>IF(F686="",0,IFNA(VLOOKUP(F686,Trait_Polarity!$A:$C,2,FALSE),0))+IF(G686="",0,IFNA(VLOOKUP(G686,Trait_Polarity!$A:$C,2,FALSE),0))</f>
        <v/>
      </c>
      <c r="R686">
        <f>IF(F686="",0,IFNA(VLOOKUP(F686,Trait_Polarity!$A:$C,3,FALSE),0))+IF(G686="",0,IFNA(VLOOKUP(G686,Trait_Polarity!$A:$C,3,FALSE),0))</f>
        <v/>
      </c>
      <c r="S686">
        <f>IF(P686="P",(M686+N686+O686)/3,0.3*H686+0.3*I686+0.2*J686+0.1*K686+0.1*L686)</f>
        <v/>
      </c>
      <c r="T686">
        <f>IF(P686="P",IFNA(VLOOKUP(B686,Pitcher_RoleAdj!$A:$B,2,FALSE),0),IFNA(VLOOKUP(B686,Hitter_PrimaryAdj!$A:$B,2,FALSE),0))</f>
        <v/>
      </c>
      <c r="U686">
        <f>IFNA(VLOOKUP(IF(C686="","(none)",C686),SecondaryAdj!$A:$B,2,FALSE),0)</f>
        <v/>
      </c>
      <c r="V686">
        <f>IF(P686="P",0.7780+0.1628*S686+0.2957*Q686-0.1912*R686-0.1512*IF(D686="S",1,0)+0.1600*IF(E686="L",1,0)+0.0091*H686+0.0124*I686+0.0017*J686+T686+U686,-0.8294+0.1849*S686+0.1750*Q686-0.2969*R686+0.6924*IF(D686="S",1,0)+0.0457*IF(E686="L",1,0)+T686+U686)</f>
        <v/>
      </c>
      <c r="W686">
        <f>MAX(0,MIN(16,ROUND(V686,0)))</f>
        <v/>
      </c>
      <c r="X686">
        <f>IFNA(VLOOKUP(W686,Grade_Scale!$A:$B,2,FALSE),"F")</f>
        <v/>
      </c>
      <c r="Z686">
        <f>IF(Y686="","",W686-IFNA(VLOOKUP(Y686,Grade_Scale!$D:$E,2,FALSE),""))</f>
        <v/>
      </c>
    </row>
    <row r="687">
      <c r="P687">
        <f>IF(OR(B687="SP",B687="RP",B687="CP",B687="SP/RP"),"P","H")</f>
        <v/>
      </c>
      <c r="Q687">
        <f>IF(F687="",0,IFNA(VLOOKUP(F687,Trait_Polarity!$A:$C,2,FALSE),0))+IF(G687="",0,IFNA(VLOOKUP(G687,Trait_Polarity!$A:$C,2,FALSE),0))</f>
        <v/>
      </c>
      <c r="R687">
        <f>IF(F687="",0,IFNA(VLOOKUP(F687,Trait_Polarity!$A:$C,3,FALSE),0))+IF(G687="",0,IFNA(VLOOKUP(G687,Trait_Polarity!$A:$C,3,FALSE),0))</f>
        <v/>
      </c>
      <c r="S687">
        <f>IF(P687="P",(M687+N687+O687)/3,0.3*H687+0.3*I687+0.2*J687+0.1*K687+0.1*L687)</f>
        <v/>
      </c>
      <c r="T687">
        <f>IF(P687="P",IFNA(VLOOKUP(B687,Pitcher_RoleAdj!$A:$B,2,FALSE),0),IFNA(VLOOKUP(B687,Hitter_PrimaryAdj!$A:$B,2,FALSE),0))</f>
        <v/>
      </c>
      <c r="U687">
        <f>IFNA(VLOOKUP(IF(C687="","(none)",C687),SecondaryAdj!$A:$B,2,FALSE),0)</f>
        <v/>
      </c>
      <c r="V687">
        <f>IF(P687="P",0.7780+0.1628*S687+0.2957*Q687-0.1912*R687-0.1512*IF(D687="S",1,0)+0.1600*IF(E687="L",1,0)+0.0091*H687+0.0124*I687+0.0017*J687+T687+U687,-0.8294+0.1849*S687+0.1750*Q687-0.2969*R687+0.6924*IF(D687="S",1,0)+0.0457*IF(E687="L",1,0)+T687+U687)</f>
        <v/>
      </c>
      <c r="W687">
        <f>MAX(0,MIN(16,ROUND(V687,0)))</f>
        <v/>
      </c>
      <c r="X687">
        <f>IFNA(VLOOKUP(W687,Grade_Scale!$A:$B,2,FALSE),"F")</f>
        <v/>
      </c>
      <c r="Z687">
        <f>IF(Y687="","",W687-IFNA(VLOOKUP(Y687,Grade_Scale!$D:$E,2,FALSE),""))</f>
        <v/>
      </c>
    </row>
    <row r="688">
      <c r="P688">
        <f>IF(OR(B688="SP",B688="RP",B688="CP",B688="SP/RP"),"P","H")</f>
        <v/>
      </c>
      <c r="Q688">
        <f>IF(F688="",0,IFNA(VLOOKUP(F688,Trait_Polarity!$A:$C,2,FALSE),0))+IF(G688="",0,IFNA(VLOOKUP(G688,Trait_Polarity!$A:$C,2,FALSE),0))</f>
        <v/>
      </c>
      <c r="R688">
        <f>IF(F688="",0,IFNA(VLOOKUP(F688,Trait_Polarity!$A:$C,3,FALSE),0))+IF(G688="",0,IFNA(VLOOKUP(G688,Trait_Polarity!$A:$C,3,FALSE),0))</f>
        <v/>
      </c>
      <c r="S688">
        <f>IF(P688="P",(M688+N688+O688)/3,0.3*H688+0.3*I688+0.2*J688+0.1*K688+0.1*L688)</f>
        <v/>
      </c>
      <c r="T688">
        <f>IF(P688="P",IFNA(VLOOKUP(B688,Pitcher_RoleAdj!$A:$B,2,FALSE),0),IFNA(VLOOKUP(B688,Hitter_PrimaryAdj!$A:$B,2,FALSE),0))</f>
        <v/>
      </c>
      <c r="U688">
        <f>IFNA(VLOOKUP(IF(C688="","(none)",C688),SecondaryAdj!$A:$B,2,FALSE),0)</f>
        <v/>
      </c>
      <c r="V688">
        <f>IF(P688="P",0.7780+0.1628*S688+0.2957*Q688-0.1912*R688-0.1512*IF(D688="S",1,0)+0.1600*IF(E688="L",1,0)+0.0091*H688+0.0124*I688+0.0017*J688+T688+U688,-0.8294+0.1849*S688+0.1750*Q688-0.2969*R688+0.6924*IF(D688="S",1,0)+0.0457*IF(E688="L",1,0)+T688+U688)</f>
        <v/>
      </c>
      <c r="W688">
        <f>MAX(0,MIN(16,ROUND(V688,0)))</f>
        <v/>
      </c>
      <c r="X688">
        <f>IFNA(VLOOKUP(W688,Grade_Scale!$A:$B,2,FALSE),"F")</f>
        <v/>
      </c>
      <c r="Z688">
        <f>IF(Y688="","",W688-IFNA(VLOOKUP(Y688,Grade_Scale!$D:$E,2,FALSE),""))</f>
        <v/>
      </c>
    </row>
    <row r="689">
      <c r="P689">
        <f>IF(OR(B689="SP",B689="RP",B689="CP",B689="SP/RP"),"P","H")</f>
        <v/>
      </c>
      <c r="Q689">
        <f>IF(F689="",0,IFNA(VLOOKUP(F689,Trait_Polarity!$A:$C,2,FALSE),0))+IF(G689="",0,IFNA(VLOOKUP(G689,Trait_Polarity!$A:$C,2,FALSE),0))</f>
        <v/>
      </c>
      <c r="R689">
        <f>IF(F689="",0,IFNA(VLOOKUP(F689,Trait_Polarity!$A:$C,3,FALSE),0))+IF(G689="",0,IFNA(VLOOKUP(G689,Trait_Polarity!$A:$C,3,FALSE),0))</f>
        <v/>
      </c>
      <c r="S689">
        <f>IF(P689="P",(M689+N689+O689)/3,0.3*H689+0.3*I689+0.2*J689+0.1*K689+0.1*L689)</f>
        <v/>
      </c>
      <c r="T689">
        <f>IF(P689="P",IFNA(VLOOKUP(B689,Pitcher_RoleAdj!$A:$B,2,FALSE),0),IFNA(VLOOKUP(B689,Hitter_PrimaryAdj!$A:$B,2,FALSE),0))</f>
        <v/>
      </c>
      <c r="U689">
        <f>IFNA(VLOOKUP(IF(C689="","(none)",C689),SecondaryAdj!$A:$B,2,FALSE),0)</f>
        <v/>
      </c>
      <c r="V689">
        <f>IF(P689="P",0.7780+0.1628*S689+0.2957*Q689-0.1912*R689-0.1512*IF(D689="S",1,0)+0.1600*IF(E689="L",1,0)+0.0091*H689+0.0124*I689+0.0017*J689+T689+U689,-0.8294+0.1849*S689+0.1750*Q689-0.2969*R689+0.6924*IF(D689="S",1,0)+0.0457*IF(E689="L",1,0)+T689+U689)</f>
        <v/>
      </c>
      <c r="W689">
        <f>MAX(0,MIN(16,ROUND(V689,0)))</f>
        <v/>
      </c>
      <c r="X689">
        <f>IFNA(VLOOKUP(W689,Grade_Scale!$A:$B,2,FALSE),"F")</f>
        <v/>
      </c>
      <c r="Z689">
        <f>IF(Y689="","",W689-IFNA(VLOOKUP(Y689,Grade_Scale!$D:$E,2,FALSE),""))</f>
        <v/>
      </c>
    </row>
    <row r="690">
      <c r="P690">
        <f>IF(OR(B690="SP",B690="RP",B690="CP",B690="SP/RP"),"P","H")</f>
        <v/>
      </c>
      <c r="Q690">
        <f>IF(F690="",0,IFNA(VLOOKUP(F690,Trait_Polarity!$A:$C,2,FALSE),0))+IF(G690="",0,IFNA(VLOOKUP(G690,Trait_Polarity!$A:$C,2,FALSE),0))</f>
        <v/>
      </c>
      <c r="R690">
        <f>IF(F690="",0,IFNA(VLOOKUP(F690,Trait_Polarity!$A:$C,3,FALSE),0))+IF(G690="",0,IFNA(VLOOKUP(G690,Trait_Polarity!$A:$C,3,FALSE),0))</f>
        <v/>
      </c>
      <c r="S690">
        <f>IF(P690="P",(M690+N690+O690)/3,0.3*H690+0.3*I690+0.2*J690+0.1*K690+0.1*L690)</f>
        <v/>
      </c>
      <c r="T690">
        <f>IF(P690="P",IFNA(VLOOKUP(B690,Pitcher_RoleAdj!$A:$B,2,FALSE),0),IFNA(VLOOKUP(B690,Hitter_PrimaryAdj!$A:$B,2,FALSE),0))</f>
        <v/>
      </c>
      <c r="U690">
        <f>IFNA(VLOOKUP(IF(C690="","(none)",C690),SecondaryAdj!$A:$B,2,FALSE),0)</f>
        <v/>
      </c>
      <c r="V690">
        <f>IF(P690="P",0.7780+0.1628*S690+0.2957*Q690-0.1912*R690-0.1512*IF(D690="S",1,0)+0.1600*IF(E690="L",1,0)+0.0091*H690+0.0124*I690+0.0017*J690+T690+U690,-0.8294+0.1849*S690+0.1750*Q690-0.2969*R690+0.6924*IF(D690="S",1,0)+0.0457*IF(E690="L",1,0)+T690+U690)</f>
        <v/>
      </c>
      <c r="W690">
        <f>MAX(0,MIN(16,ROUND(V690,0)))</f>
        <v/>
      </c>
      <c r="X690">
        <f>IFNA(VLOOKUP(W690,Grade_Scale!$A:$B,2,FALSE),"F")</f>
        <v/>
      </c>
      <c r="Z690">
        <f>IF(Y690="","",W690-IFNA(VLOOKUP(Y690,Grade_Scale!$D:$E,2,FALSE),""))</f>
        <v/>
      </c>
    </row>
    <row r="691">
      <c r="P691">
        <f>IF(OR(B691="SP",B691="RP",B691="CP",B691="SP/RP"),"P","H")</f>
        <v/>
      </c>
      <c r="Q691">
        <f>IF(F691="",0,IFNA(VLOOKUP(F691,Trait_Polarity!$A:$C,2,FALSE),0))+IF(G691="",0,IFNA(VLOOKUP(G691,Trait_Polarity!$A:$C,2,FALSE),0))</f>
        <v/>
      </c>
      <c r="R691">
        <f>IF(F691="",0,IFNA(VLOOKUP(F691,Trait_Polarity!$A:$C,3,FALSE),0))+IF(G691="",0,IFNA(VLOOKUP(G691,Trait_Polarity!$A:$C,3,FALSE),0))</f>
        <v/>
      </c>
      <c r="S691">
        <f>IF(P691="P",(M691+N691+O691)/3,0.3*H691+0.3*I691+0.2*J691+0.1*K691+0.1*L691)</f>
        <v/>
      </c>
      <c r="T691">
        <f>IF(P691="P",IFNA(VLOOKUP(B691,Pitcher_RoleAdj!$A:$B,2,FALSE),0),IFNA(VLOOKUP(B691,Hitter_PrimaryAdj!$A:$B,2,FALSE),0))</f>
        <v/>
      </c>
      <c r="U691">
        <f>IFNA(VLOOKUP(IF(C691="","(none)",C691),SecondaryAdj!$A:$B,2,FALSE),0)</f>
        <v/>
      </c>
      <c r="V691">
        <f>IF(P691="P",0.7780+0.1628*S691+0.2957*Q691-0.1912*R691-0.1512*IF(D691="S",1,0)+0.1600*IF(E691="L",1,0)+0.0091*H691+0.0124*I691+0.0017*J691+T691+U691,-0.8294+0.1849*S691+0.1750*Q691-0.2969*R691+0.6924*IF(D691="S",1,0)+0.0457*IF(E691="L",1,0)+T691+U691)</f>
        <v/>
      </c>
      <c r="W691">
        <f>MAX(0,MIN(16,ROUND(V691,0)))</f>
        <v/>
      </c>
      <c r="X691">
        <f>IFNA(VLOOKUP(W691,Grade_Scale!$A:$B,2,FALSE),"F")</f>
        <v/>
      </c>
      <c r="Z691">
        <f>IF(Y691="","",W691-IFNA(VLOOKUP(Y691,Grade_Scale!$D:$E,2,FALSE),""))</f>
        <v/>
      </c>
    </row>
    <row r="692">
      <c r="P692">
        <f>IF(OR(B692="SP",B692="RP",B692="CP",B692="SP/RP"),"P","H")</f>
        <v/>
      </c>
      <c r="Q692">
        <f>IF(F692="",0,IFNA(VLOOKUP(F692,Trait_Polarity!$A:$C,2,FALSE),0))+IF(G692="",0,IFNA(VLOOKUP(G692,Trait_Polarity!$A:$C,2,FALSE),0))</f>
        <v/>
      </c>
      <c r="R692">
        <f>IF(F692="",0,IFNA(VLOOKUP(F692,Trait_Polarity!$A:$C,3,FALSE),0))+IF(G692="",0,IFNA(VLOOKUP(G692,Trait_Polarity!$A:$C,3,FALSE),0))</f>
        <v/>
      </c>
      <c r="S692">
        <f>IF(P692="P",(M692+N692+O692)/3,0.3*H692+0.3*I692+0.2*J692+0.1*K692+0.1*L692)</f>
        <v/>
      </c>
      <c r="T692">
        <f>IF(P692="P",IFNA(VLOOKUP(B692,Pitcher_RoleAdj!$A:$B,2,FALSE),0),IFNA(VLOOKUP(B692,Hitter_PrimaryAdj!$A:$B,2,FALSE),0))</f>
        <v/>
      </c>
      <c r="U692">
        <f>IFNA(VLOOKUP(IF(C692="","(none)",C692),SecondaryAdj!$A:$B,2,FALSE),0)</f>
        <v/>
      </c>
      <c r="V692">
        <f>IF(P692="P",0.7780+0.1628*S692+0.2957*Q692-0.1912*R692-0.1512*IF(D692="S",1,0)+0.1600*IF(E692="L",1,0)+0.0091*H692+0.0124*I692+0.0017*J692+T692+U692,-0.8294+0.1849*S692+0.1750*Q692-0.2969*R692+0.6924*IF(D692="S",1,0)+0.0457*IF(E692="L",1,0)+T692+U692)</f>
        <v/>
      </c>
      <c r="W692">
        <f>MAX(0,MIN(16,ROUND(V692,0)))</f>
        <v/>
      </c>
      <c r="X692">
        <f>IFNA(VLOOKUP(W692,Grade_Scale!$A:$B,2,FALSE),"F")</f>
        <v/>
      </c>
      <c r="Z692">
        <f>IF(Y692="","",W692-IFNA(VLOOKUP(Y692,Grade_Scale!$D:$E,2,FALSE),""))</f>
        <v/>
      </c>
    </row>
    <row r="693">
      <c r="P693">
        <f>IF(OR(B693="SP",B693="RP",B693="CP",B693="SP/RP"),"P","H")</f>
        <v/>
      </c>
      <c r="Q693">
        <f>IF(F693="",0,IFNA(VLOOKUP(F693,Trait_Polarity!$A:$C,2,FALSE),0))+IF(G693="",0,IFNA(VLOOKUP(G693,Trait_Polarity!$A:$C,2,FALSE),0))</f>
        <v/>
      </c>
      <c r="R693">
        <f>IF(F693="",0,IFNA(VLOOKUP(F693,Trait_Polarity!$A:$C,3,FALSE),0))+IF(G693="",0,IFNA(VLOOKUP(G693,Trait_Polarity!$A:$C,3,FALSE),0))</f>
        <v/>
      </c>
      <c r="S693">
        <f>IF(P693="P",(M693+N693+O693)/3,0.3*H693+0.3*I693+0.2*J693+0.1*K693+0.1*L693)</f>
        <v/>
      </c>
      <c r="T693">
        <f>IF(P693="P",IFNA(VLOOKUP(B693,Pitcher_RoleAdj!$A:$B,2,FALSE),0),IFNA(VLOOKUP(B693,Hitter_PrimaryAdj!$A:$B,2,FALSE),0))</f>
        <v/>
      </c>
      <c r="U693">
        <f>IFNA(VLOOKUP(IF(C693="","(none)",C693),SecondaryAdj!$A:$B,2,FALSE),0)</f>
        <v/>
      </c>
      <c r="V693">
        <f>IF(P693="P",0.7780+0.1628*S693+0.2957*Q693-0.1912*R693-0.1512*IF(D693="S",1,0)+0.1600*IF(E693="L",1,0)+0.0091*H693+0.0124*I693+0.0017*J693+T693+U693,-0.8294+0.1849*S693+0.1750*Q693-0.2969*R693+0.6924*IF(D693="S",1,0)+0.0457*IF(E693="L",1,0)+T693+U693)</f>
        <v/>
      </c>
      <c r="W693">
        <f>MAX(0,MIN(16,ROUND(V693,0)))</f>
        <v/>
      </c>
      <c r="X693">
        <f>IFNA(VLOOKUP(W693,Grade_Scale!$A:$B,2,FALSE),"F")</f>
        <v/>
      </c>
      <c r="Z693">
        <f>IF(Y693="","",W693-IFNA(VLOOKUP(Y693,Grade_Scale!$D:$E,2,FALSE),""))</f>
        <v/>
      </c>
    </row>
    <row r="694">
      <c r="P694">
        <f>IF(OR(B694="SP",B694="RP",B694="CP",B694="SP/RP"),"P","H")</f>
        <v/>
      </c>
      <c r="Q694">
        <f>IF(F694="",0,IFNA(VLOOKUP(F694,Trait_Polarity!$A:$C,2,FALSE),0))+IF(G694="",0,IFNA(VLOOKUP(G694,Trait_Polarity!$A:$C,2,FALSE),0))</f>
        <v/>
      </c>
      <c r="R694">
        <f>IF(F694="",0,IFNA(VLOOKUP(F694,Trait_Polarity!$A:$C,3,FALSE),0))+IF(G694="",0,IFNA(VLOOKUP(G694,Trait_Polarity!$A:$C,3,FALSE),0))</f>
        <v/>
      </c>
      <c r="S694">
        <f>IF(P694="P",(M694+N694+O694)/3,0.3*H694+0.3*I694+0.2*J694+0.1*K694+0.1*L694)</f>
        <v/>
      </c>
      <c r="T694">
        <f>IF(P694="P",IFNA(VLOOKUP(B694,Pitcher_RoleAdj!$A:$B,2,FALSE),0),IFNA(VLOOKUP(B694,Hitter_PrimaryAdj!$A:$B,2,FALSE),0))</f>
        <v/>
      </c>
      <c r="U694">
        <f>IFNA(VLOOKUP(IF(C694="","(none)",C694),SecondaryAdj!$A:$B,2,FALSE),0)</f>
        <v/>
      </c>
      <c r="V694">
        <f>IF(P694="P",0.7780+0.1628*S694+0.2957*Q694-0.1912*R694-0.1512*IF(D694="S",1,0)+0.1600*IF(E694="L",1,0)+0.0091*H694+0.0124*I694+0.0017*J694+T694+U694,-0.8294+0.1849*S694+0.1750*Q694-0.2969*R694+0.6924*IF(D694="S",1,0)+0.0457*IF(E694="L",1,0)+T694+U694)</f>
        <v/>
      </c>
      <c r="W694">
        <f>MAX(0,MIN(16,ROUND(V694,0)))</f>
        <v/>
      </c>
      <c r="X694">
        <f>IFNA(VLOOKUP(W694,Grade_Scale!$A:$B,2,FALSE),"F")</f>
        <v/>
      </c>
      <c r="Z694">
        <f>IF(Y694="","",W694-IFNA(VLOOKUP(Y694,Grade_Scale!$D:$E,2,FALSE),""))</f>
        <v/>
      </c>
    </row>
    <row r="695">
      <c r="P695">
        <f>IF(OR(B695="SP",B695="RP",B695="CP",B695="SP/RP"),"P","H")</f>
        <v/>
      </c>
      <c r="Q695">
        <f>IF(F695="",0,IFNA(VLOOKUP(F695,Trait_Polarity!$A:$C,2,FALSE),0))+IF(G695="",0,IFNA(VLOOKUP(G695,Trait_Polarity!$A:$C,2,FALSE),0))</f>
        <v/>
      </c>
      <c r="R695">
        <f>IF(F695="",0,IFNA(VLOOKUP(F695,Trait_Polarity!$A:$C,3,FALSE),0))+IF(G695="",0,IFNA(VLOOKUP(G695,Trait_Polarity!$A:$C,3,FALSE),0))</f>
        <v/>
      </c>
      <c r="S695">
        <f>IF(P695="P",(M695+N695+O695)/3,0.3*H695+0.3*I695+0.2*J695+0.1*K695+0.1*L695)</f>
        <v/>
      </c>
      <c r="T695">
        <f>IF(P695="P",IFNA(VLOOKUP(B695,Pitcher_RoleAdj!$A:$B,2,FALSE),0),IFNA(VLOOKUP(B695,Hitter_PrimaryAdj!$A:$B,2,FALSE),0))</f>
        <v/>
      </c>
      <c r="U695">
        <f>IFNA(VLOOKUP(IF(C695="","(none)",C695),SecondaryAdj!$A:$B,2,FALSE),0)</f>
        <v/>
      </c>
      <c r="V695">
        <f>IF(P695="P",0.7780+0.1628*S695+0.2957*Q695-0.1912*R695-0.1512*IF(D695="S",1,0)+0.1600*IF(E695="L",1,0)+0.0091*H695+0.0124*I695+0.0017*J695+T695+U695,-0.8294+0.1849*S695+0.1750*Q695-0.2969*R695+0.6924*IF(D695="S",1,0)+0.0457*IF(E695="L",1,0)+T695+U695)</f>
        <v/>
      </c>
      <c r="W695">
        <f>MAX(0,MIN(16,ROUND(V695,0)))</f>
        <v/>
      </c>
      <c r="X695">
        <f>IFNA(VLOOKUP(W695,Grade_Scale!$A:$B,2,FALSE),"F")</f>
        <v/>
      </c>
      <c r="Z695">
        <f>IF(Y695="","",W695-IFNA(VLOOKUP(Y695,Grade_Scale!$D:$E,2,FALSE),""))</f>
        <v/>
      </c>
    </row>
    <row r="696">
      <c r="P696">
        <f>IF(OR(B696="SP",B696="RP",B696="CP",B696="SP/RP"),"P","H")</f>
        <v/>
      </c>
      <c r="Q696">
        <f>IF(F696="",0,IFNA(VLOOKUP(F696,Trait_Polarity!$A:$C,2,FALSE),0))+IF(G696="",0,IFNA(VLOOKUP(G696,Trait_Polarity!$A:$C,2,FALSE),0))</f>
        <v/>
      </c>
      <c r="R696">
        <f>IF(F696="",0,IFNA(VLOOKUP(F696,Trait_Polarity!$A:$C,3,FALSE),0))+IF(G696="",0,IFNA(VLOOKUP(G696,Trait_Polarity!$A:$C,3,FALSE),0))</f>
        <v/>
      </c>
      <c r="S696">
        <f>IF(P696="P",(M696+N696+O696)/3,0.3*H696+0.3*I696+0.2*J696+0.1*K696+0.1*L696)</f>
        <v/>
      </c>
      <c r="T696">
        <f>IF(P696="P",IFNA(VLOOKUP(B696,Pitcher_RoleAdj!$A:$B,2,FALSE),0),IFNA(VLOOKUP(B696,Hitter_PrimaryAdj!$A:$B,2,FALSE),0))</f>
        <v/>
      </c>
      <c r="U696">
        <f>IFNA(VLOOKUP(IF(C696="","(none)",C696),SecondaryAdj!$A:$B,2,FALSE),0)</f>
        <v/>
      </c>
      <c r="V696">
        <f>IF(P696="P",0.7780+0.1628*S696+0.2957*Q696-0.1912*R696-0.1512*IF(D696="S",1,0)+0.1600*IF(E696="L",1,0)+0.0091*H696+0.0124*I696+0.0017*J696+T696+U696,-0.8294+0.1849*S696+0.1750*Q696-0.2969*R696+0.6924*IF(D696="S",1,0)+0.0457*IF(E696="L",1,0)+T696+U696)</f>
        <v/>
      </c>
      <c r="W696">
        <f>MAX(0,MIN(16,ROUND(V696,0)))</f>
        <v/>
      </c>
      <c r="X696">
        <f>IFNA(VLOOKUP(W696,Grade_Scale!$A:$B,2,FALSE),"F")</f>
        <v/>
      </c>
      <c r="Z696">
        <f>IF(Y696="","",W696-IFNA(VLOOKUP(Y696,Grade_Scale!$D:$E,2,FALSE),""))</f>
        <v/>
      </c>
    </row>
    <row r="697">
      <c r="P697">
        <f>IF(OR(B697="SP",B697="RP",B697="CP",B697="SP/RP"),"P","H")</f>
        <v/>
      </c>
      <c r="Q697">
        <f>IF(F697="",0,IFNA(VLOOKUP(F697,Trait_Polarity!$A:$C,2,FALSE),0))+IF(G697="",0,IFNA(VLOOKUP(G697,Trait_Polarity!$A:$C,2,FALSE),0))</f>
        <v/>
      </c>
      <c r="R697">
        <f>IF(F697="",0,IFNA(VLOOKUP(F697,Trait_Polarity!$A:$C,3,FALSE),0))+IF(G697="",0,IFNA(VLOOKUP(G697,Trait_Polarity!$A:$C,3,FALSE),0))</f>
        <v/>
      </c>
      <c r="S697">
        <f>IF(P697="P",(M697+N697+O697)/3,0.3*H697+0.3*I697+0.2*J697+0.1*K697+0.1*L697)</f>
        <v/>
      </c>
      <c r="T697">
        <f>IF(P697="P",IFNA(VLOOKUP(B697,Pitcher_RoleAdj!$A:$B,2,FALSE),0),IFNA(VLOOKUP(B697,Hitter_PrimaryAdj!$A:$B,2,FALSE),0))</f>
        <v/>
      </c>
      <c r="U697">
        <f>IFNA(VLOOKUP(IF(C697="","(none)",C697),SecondaryAdj!$A:$B,2,FALSE),0)</f>
        <v/>
      </c>
      <c r="V697">
        <f>IF(P697="P",0.7780+0.1628*S697+0.2957*Q697-0.1912*R697-0.1512*IF(D697="S",1,0)+0.1600*IF(E697="L",1,0)+0.0091*H697+0.0124*I697+0.0017*J697+T697+U697,-0.8294+0.1849*S697+0.1750*Q697-0.2969*R697+0.6924*IF(D697="S",1,0)+0.0457*IF(E697="L",1,0)+T697+U697)</f>
        <v/>
      </c>
      <c r="W697">
        <f>MAX(0,MIN(16,ROUND(V697,0)))</f>
        <v/>
      </c>
      <c r="X697">
        <f>IFNA(VLOOKUP(W697,Grade_Scale!$A:$B,2,FALSE),"F")</f>
        <v/>
      </c>
      <c r="Z697">
        <f>IF(Y697="","",W697-IFNA(VLOOKUP(Y697,Grade_Scale!$D:$E,2,FALSE),""))</f>
        <v/>
      </c>
    </row>
    <row r="698">
      <c r="P698">
        <f>IF(OR(B698="SP",B698="RP",B698="CP",B698="SP/RP"),"P","H")</f>
        <v/>
      </c>
      <c r="Q698">
        <f>IF(F698="",0,IFNA(VLOOKUP(F698,Trait_Polarity!$A:$C,2,FALSE),0))+IF(G698="",0,IFNA(VLOOKUP(G698,Trait_Polarity!$A:$C,2,FALSE),0))</f>
        <v/>
      </c>
      <c r="R698">
        <f>IF(F698="",0,IFNA(VLOOKUP(F698,Trait_Polarity!$A:$C,3,FALSE),0))+IF(G698="",0,IFNA(VLOOKUP(G698,Trait_Polarity!$A:$C,3,FALSE),0))</f>
        <v/>
      </c>
      <c r="S698">
        <f>IF(P698="P",(M698+N698+O698)/3,0.3*H698+0.3*I698+0.2*J698+0.1*K698+0.1*L698)</f>
        <v/>
      </c>
      <c r="T698">
        <f>IF(P698="P",IFNA(VLOOKUP(B698,Pitcher_RoleAdj!$A:$B,2,FALSE),0),IFNA(VLOOKUP(B698,Hitter_PrimaryAdj!$A:$B,2,FALSE),0))</f>
        <v/>
      </c>
      <c r="U698">
        <f>IFNA(VLOOKUP(IF(C698="","(none)",C698),SecondaryAdj!$A:$B,2,FALSE),0)</f>
        <v/>
      </c>
      <c r="V698">
        <f>IF(P698="P",0.7780+0.1628*S698+0.2957*Q698-0.1912*R698-0.1512*IF(D698="S",1,0)+0.1600*IF(E698="L",1,0)+0.0091*H698+0.0124*I698+0.0017*J698+T698+U698,-0.8294+0.1849*S698+0.1750*Q698-0.2969*R698+0.6924*IF(D698="S",1,0)+0.0457*IF(E698="L",1,0)+T698+U698)</f>
        <v/>
      </c>
      <c r="W698">
        <f>MAX(0,MIN(16,ROUND(V698,0)))</f>
        <v/>
      </c>
      <c r="X698">
        <f>IFNA(VLOOKUP(W698,Grade_Scale!$A:$B,2,FALSE),"F")</f>
        <v/>
      </c>
      <c r="Z698">
        <f>IF(Y698="","",W698-IFNA(VLOOKUP(Y698,Grade_Scale!$D:$E,2,FALSE),""))</f>
        <v/>
      </c>
    </row>
    <row r="699">
      <c r="P699">
        <f>IF(OR(B699="SP",B699="RP",B699="CP",B699="SP/RP"),"P","H")</f>
        <v/>
      </c>
      <c r="Q699">
        <f>IF(F699="",0,IFNA(VLOOKUP(F699,Trait_Polarity!$A:$C,2,FALSE),0))+IF(G699="",0,IFNA(VLOOKUP(G699,Trait_Polarity!$A:$C,2,FALSE),0))</f>
        <v/>
      </c>
      <c r="R699">
        <f>IF(F699="",0,IFNA(VLOOKUP(F699,Trait_Polarity!$A:$C,3,FALSE),0))+IF(G699="",0,IFNA(VLOOKUP(G699,Trait_Polarity!$A:$C,3,FALSE),0))</f>
        <v/>
      </c>
      <c r="S699">
        <f>IF(P699="P",(M699+N699+O699)/3,0.3*H699+0.3*I699+0.2*J699+0.1*K699+0.1*L699)</f>
        <v/>
      </c>
      <c r="T699">
        <f>IF(P699="P",IFNA(VLOOKUP(B699,Pitcher_RoleAdj!$A:$B,2,FALSE),0),IFNA(VLOOKUP(B699,Hitter_PrimaryAdj!$A:$B,2,FALSE),0))</f>
        <v/>
      </c>
      <c r="U699">
        <f>IFNA(VLOOKUP(IF(C699="","(none)",C699),SecondaryAdj!$A:$B,2,FALSE),0)</f>
        <v/>
      </c>
      <c r="V699">
        <f>IF(P699="P",0.7780+0.1628*S699+0.2957*Q699-0.1912*R699-0.1512*IF(D699="S",1,0)+0.1600*IF(E699="L",1,0)+0.0091*H699+0.0124*I699+0.0017*J699+T699+U699,-0.8294+0.1849*S699+0.1750*Q699-0.2969*R699+0.6924*IF(D699="S",1,0)+0.0457*IF(E699="L",1,0)+T699+U699)</f>
        <v/>
      </c>
      <c r="W699">
        <f>MAX(0,MIN(16,ROUND(V699,0)))</f>
        <v/>
      </c>
      <c r="X699">
        <f>IFNA(VLOOKUP(W699,Grade_Scale!$A:$B,2,FALSE),"F")</f>
        <v/>
      </c>
      <c r="Z699">
        <f>IF(Y699="","",W699-IFNA(VLOOKUP(Y699,Grade_Scale!$D:$E,2,FALSE),""))</f>
        <v/>
      </c>
    </row>
    <row r="700">
      <c r="P700">
        <f>IF(OR(B700="SP",B700="RP",B700="CP",B700="SP/RP"),"P","H")</f>
        <v/>
      </c>
      <c r="Q700">
        <f>IF(F700="",0,IFNA(VLOOKUP(F700,Trait_Polarity!$A:$C,2,FALSE),0))+IF(G700="",0,IFNA(VLOOKUP(G700,Trait_Polarity!$A:$C,2,FALSE),0))</f>
        <v/>
      </c>
      <c r="R700">
        <f>IF(F700="",0,IFNA(VLOOKUP(F700,Trait_Polarity!$A:$C,3,FALSE),0))+IF(G700="",0,IFNA(VLOOKUP(G700,Trait_Polarity!$A:$C,3,FALSE),0))</f>
        <v/>
      </c>
      <c r="S700">
        <f>IF(P700="P",(M700+N700+O700)/3,0.3*H700+0.3*I700+0.2*J700+0.1*K700+0.1*L700)</f>
        <v/>
      </c>
      <c r="T700">
        <f>IF(P700="P",IFNA(VLOOKUP(B700,Pitcher_RoleAdj!$A:$B,2,FALSE),0),IFNA(VLOOKUP(B700,Hitter_PrimaryAdj!$A:$B,2,FALSE),0))</f>
        <v/>
      </c>
      <c r="U700">
        <f>IFNA(VLOOKUP(IF(C700="","(none)",C700),SecondaryAdj!$A:$B,2,FALSE),0)</f>
        <v/>
      </c>
      <c r="V700">
        <f>IF(P700="P",0.7780+0.1628*S700+0.2957*Q700-0.1912*R700-0.1512*IF(D700="S",1,0)+0.1600*IF(E700="L",1,0)+0.0091*H700+0.0124*I700+0.0017*J700+T700+U700,-0.8294+0.1849*S700+0.1750*Q700-0.2969*R700+0.6924*IF(D700="S",1,0)+0.0457*IF(E700="L",1,0)+T700+U700)</f>
        <v/>
      </c>
      <c r="W700">
        <f>MAX(0,MIN(16,ROUND(V700,0)))</f>
        <v/>
      </c>
      <c r="X700">
        <f>IFNA(VLOOKUP(W700,Grade_Scale!$A:$B,2,FALSE),"F")</f>
        <v/>
      </c>
      <c r="Z700">
        <f>IF(Y700="","",W700-IFNA(VLOOKUP(Y700,Grade_Scale!$D:$E,2,FALSE),""))</f>
        <v/>
      </c>
    </row>
    <row r="701">
      <c r="P701">
        <f>IF(OR(B701="SP",B701="RP",B701="CP",B701="SP/RP"),"P","H")</f>
        <v/>
      </c>
      <c r="Q701">
        <f>IF(F701="",0,IFNA(VLOOKUP(F701,Trait_Polarity!$A:$C,2,FALSE),0))+IF(G701="",0,IFNA(VLOOKUP(G701,Trait_Polarity!$A:$C,2,FALSE),0))</f>
        <v/>
      </c>
      <c r="R701">
        <f>IF(F701="",0,IFNA(VLOOKUP(F701,Trait_Polarity!$A:$C,3,FALSE),0))+IF(G701="",0,IFNA(VLOOKUP(G701,Trait_Polarity!$A:$C,3,FALSE),0))</f>
        <v/>
      </c>
      <c r="S701">
        <f>IF(P701="P",(M701+N701+O701)/3,0.3*H701+0.3*I701+0.2*J701+0.1*K701+0.1*L701)</f>
        <v/>
      </c>
      <c r="T701">
        <f>IF(P701="P",IFNA(VLOOKUP(B701,Pitcher_RoleAdj!$A:$B,2,FALSE),0),IFNA(VLOOKUP(B701,Hitter_PrimaryAdj!$A:$B,2,FALSE),0))</f>
        <v/>
      </c>
      <c r="U701">
        <f>IFNA(VLOOKUP(IF(C701="","(none)",C701),SecondaryAdj!$A:$B,2,FALSE),0)</f>
        <v/>
      </c>
      <c r="V701">
        <f>IF(P701="P",0.7780+0.1628*S701+0.2957*Q701-0.1912*R701-0.1512*IF(D701="S",1,0)+0.1600*IF(E701="L",1,0)+0.0091*H701+0.0124*I701+0.0017*J701+T701+U701,-0.8294+0.1849*S701+0.1750*Q701-0.2969*R701+0.6924*IF(D701="S",1,0)+0.0457*IF(E701="L",1,0)+T701+U701)</f>
        <v/>
      </c>
      <c r="W701">
        <f>MAX(0,MIN(16,ROUND(V701,0)))</f>
        <v/>
      </c>
      <c r="X701">
        <f>IFNA(VLOOKUP(W701,Grade_Scale!$A:$B,2,FALSE),"F")</f>
        <v/>
      </c>
      <c r="Z701">
        <f>IF(Y701="","",W701-IFNA(VLOOKUP(Y701,Grade_Scale!$D:$E,2,FALSE),""))</f>
        <v/>
      </c>
    </row>
    <row r="702">
      <c r="P702">
        <f>IF(OR(B702="SP",B702="RP",B702="CP",B702="SP/RP"),"P","H")</f>
        <v/>
      </c>
      <c r="Q702">
        <f>IF(F702="",0,IFNA(VLOOKUP(F702,Trait_Polarity!$A:$C,2,FALSE),0))+IF(G702="",0,IFNA(VLOOKUP(G702,Trait_Polarity!$A:$C,2,FALSE),0))</f>
        <v/>
      </c>
      <c r="R702">
        <f>IF(F702="",0,IFNA(VLOOKUP(F702,Trait_Polarity!$A:$C,3,FALSE),0))+IF(G702="",0,IFNA(VLOOKUP(G702,Trait_Polarity!$A:$C,3,FALSE),0))</f>
        <v/>
      </c>
      <c r="S702">
        <f>IF(P702="P",(M702+N702+O702)/3,0.3*H702+0.3*I702+0.2*J702+0.1*K702+0.1*L702)</f>
        <v/>
      </c>
      <c r="T702">
        <f>IF(P702="P",IFNA(VLOOKUP(B702,Pitcher_RoleAdj!$A:$B,2,FALSE),0),IFNA(VLOOKUP(B702,Hitter_PrimaryAdj!$A:$B,2,FALSE),0))</f>
        <v/>
      </c>
      <c r="U702">
        <f>IFNA(VLOOKUP(IF(C702="","(none)",C702),SecondaryAdj!$A:$B,2,FALSE),0)</f>
        <v/>
      </c>
      <c r="V702">
        <f>IF(P702="P",0.7780+0.1628*S702+0.2957*Q702-0.1912*R702-0.1512*IF(D702="S",1,0)+0.1600*IF(E702="L",1,0)+0.0091*H702+0.0124*I702+0.0017*J702+T702+U702,-0.8294+0.1849*S702+0.1750*Q702-0.2969*R702+0.6924*IF(D702="S",1,0)+0.0457*IF(E702="L",1,0)+T702+U702)</f>
        <v/>
      </c>
      <c r="W702">
        <f>MAX(0,MIN(16,ROUND(V702,0)))</f>
        <v/>
      </c>
      <c r="X702">
        <f>IFNA(VLOOKUP(W702,Grade_Scale!$A:$B,2,FALSE),"F")</f>
        <v/>
      </c>
      <c r="Z702">
        <f>IF(Y702="","",W702-IFNA(VLOOKUP(Y702,Grade_Scale!$D:$E,2,FALSE),""))</f>
        <v/>
      </c>
    </row>
    <row r="703">
      <c r="P703">
        <f>IF(OR(B703="SP",B703="RP",B703="CP",B703="SP/RP"),"P","H")</f>
        <v/>
      </c>
      <c r="Q703">
        <f>IF(F703="",0,IFNA(VLOOKUP(F703,Trait_Polarity!$A:$C,2,FALSE),0))+IF(G703="",0,IFNA(VLOOKUP(G703,Trait_Polarity!$A:$C,2,FALSE),0))</f>
        <v/>
      </c>
      <c r="R703">
        <f>IF(F703="",0,IFNA(VLOOKUP(F703,Trait_Polarity!$A:$C,3,FALSE),0))+IF(G703="",0,IFNA(VLOOKUP(G703,Trait_Polarity!$A:$C,3,FALSE),0))</f>
        <v/>
      </c>
      <c r="S703">
        <f>IF(P703="P",(M703+N703+O703)/3,0.3*H703+0.3*I703+0.2*J703+0.1*K703+0.1*L703)</f>
        <v/>
      </c>
      <c r="T703">
        <f>IF(P703="P",IFNA(VLOOKUP(B703,Pitcher_RoleAdj!$A:$B,2,FALSE),0),IFNA(VLOOKUP(B703,Hitter_PrimaryAdj!$A:$B,2,FALSE),0))</f>
        <v/>
      </c>
      <c r="U703">
        <f>IFNA(VLOOKUP(IF(C703="","(none)",C703),SecondaryAdj!$A:$B,2,FALSE),0)</f>
        <v/>
      </c>
      <c r="V703">
        <f>IF(P703="P",0.7780+0.1628*S703+0.2957*Q703-0.1912*R703-0.1512*IF(D703="S",1,0)+0.1600*IF(E703="L",1,0)+0.0091*H703+0.0124*I703+0.0017*J703+T703+U703,-0.8294+0.1849*S703+0.1750*Q703-0.2969*R703+0.6924*IF(D703="S",1,0)+0.0457*IF(E703="L",1,0)+T703+U703)</f>
        <v/>
      </c>
      <c r="W703">
        <f>MAX(0,MIN(16,ROUND(V703,0)))</f>
        <v/>
      </c>
      <c r="X703">
        <f>IFNA(VLOOKUP(W703,Grade_Scale!$A:$B,2,FALSE),"F")</f>
        <v/>
      </c>
      <c r="Z703">
        <f>IF(Y703="","",W703-IFNA(VLOOKUP(Y703,Grade_Scale!$D:$E,2,FALSE),""))</f>
        <v/>
      </c>
    </row>
    <row r="704">
      <c r="P704">
        <f>IF(OR(B704="SP",B704="RP",B704="CP",B704="SP/RP"),"P","H")</f>
        <v/>
      </c>
      <c r="Q704">
        <f>IF(F704="",0,IFNA(VLOOKUP(F704,Trait_Polarity!$A:$C,2,FALSE),0))+IF(G704="",0,IFNA(VLOOKUP(G704,Trait_Polarity!$A:$C,2,FALSE),0))</f>
        <v/>
      </c>
      <c r="R704">
        <f>IF(F704="",0,IFNA(VLOOKUP(F704,Trait_Polarity!$A:$C,3,FALSE),0))+IF(G704="",0,IFNA(VLOOKUP(G704,Trait_Polarity!$A:$C,3,FALSE),0))</f>
        <v/>
      </c>
      <c r="S704">
        <f>IF(P704="P",(M704+N704+O704)/3,0.3*H704+0.3*I704+0.2*J704+0.1*K704+0.1*L704)</f>
        <v/>
      </c>
      <c r="T704">
        <f>IF(P704="P",IFNA(VLOOKUP(B704,Pitcher_RoleAdj!$A:$B,2,FALSE),0),IFNA(VLOOKUP(B704,Hitter_PrimaryAdj!$A:$B,2,FALSE),0))</f>
        <v/>
      </c>
      <c r="U704">
        <f>IFNA(VLOOKUP(IF(C704="","(none)",C704),SecondaryAdj!$A:$B,2,FALSE),0)</f>
        <v/>
      </c>
      <c r="V704">
        <f>IF(P704="P",0.7780+0.1628*S704+0.2957*Q704-0.1912*R704-0.1512*IF(D704="S",1,0)+0.1600*IF(E704="L",1,0)+0.0091*H704+0.0124*I704+0.0017*J704+T704+U704,-0.8294+0.1849*S704+0.1750*Q704-0.2969*R704+0.6924*IF(D704="S",1,0)+0.0457*IF(E704="L",1,0)+T704+U704)</f>
        <v/>
      </c>
      <c r="W704">
        <f>MAX(0,MIN(16,ROUND(V704,0)))</f>
        <v/>
      </c>
      <c r="X704">
        <f>IFNA(VLOOKUP(W704,Grade_Scale!$A:$B,2,FALSE),"F")</f>
        <v/>
      </c>
      <c r="Z704">
        <f>IF(Y704="","",W704-IFNA(VLOOKUP(Y704,Grade_Scale!$D:$E,2,FALSE),""))</f>
        <v/>
      </c>
    </row>
    <row r="705">
      <c r="P705">
        <f>IF(OR(B705="SP",B705="RP",B705="CP",B705="SP/RP"),"P","H")</f>
        <v/>
      </c>
      <c r="Q705">
        <f>IF(F705="",0,IFNA(VLOOKUP(F705,Trait_Polarity!$A:$C,2,FALSE),0))+IF(G705="",0,IFNA(VLOOKUP(G705,Trait_Polarity!$A:$C,2,FALSE),0))</f>
        <v/>
      </c>
      <c r="R705">
        <f>IF(F705="",0,IFNA(VLOOKUP(F705,Trait_Polarity!$A:$C,3,FALSE),0))+IF(G705="",0,IFNA(VLOOKUP(G705,Trait_Polarity!$A:$C,3,FALSE),0))</f>
        <v/>
      </c>
      <c r="S705">
        <f>IF(P705="P",(M705+N705+O705)/3,0.3*H705+0.3*I705+0.2*J705+0.1*K705+0.1*L705)</f>
        <v/>
      </c>
      <c r="T705">
        <f>IF(P705="P",IFNA(VLOOKUP(B705,Pitcher_RoleAdj!$A:$B,2,FALSE),0),IFNA(VLOOKUP(B705,Hitter_PrimaryAdj!$A:$B,2,FALSE),0))</f>
        <v/>
      </c>
      <c r="U705">
        <f>IFNA(VLOOKUP(IF(C705="","(none)",C705),SecondaryAdj!$A:$B,2,FALSE),0)</f>
        <v/>
      </c>
      <c r="V705">
        <f>IF(P705="P",0.7780+0.1628*S705+0.2957*Q705-0.1912*R705-0.1512*IF(D705="S",1,0)+0.1600*IF(E705="L",1,0)+0.0091*H705+0.0124*I705+0.0017*J705+T705+U705,-0.8294+0.1849*S705+0.1750*Q705-0.2969*R705+0.6924*IF(D705="S",1,0)+0.0457*IF(E705="L",1,0)+T705+U705)</f>
        <v/>
      </c>
      <c r="W705">
        <f>MAX(0,MIN(16,ROUND(V705,0)))</f>
        <v/>
      </c>
      <c r="X705">
        <f>IFNA(VLOOKUP(W705,Grade_Scale!$A:$B,2,FALSE),"F")</f>
        <v/>
      </c>
      <c r="Z705">
        <f>IF(Y705="","",W705-IFNA(VLOOKUP(Y705,Grade_Scale!$D:$E,2,FALSE),""))</f>
        <v/>
      </c>
    </row>
    <row r="706">
      <c r="P706">
        <f>IF(OR(B706="SP",B706="RP",B706="CP",B706="SP/RP"),"P","H")</f>
        <v/>
      </c>
      <c r="Q706">
        <f>IF(F706="",0,IFNA(VLOOKUP(F706,Trait_Polarity!$A:$C,2,FALSE),0))+IF(G706="",0,IFNA(VLOOKUP(G706,Trait_Polarity!$A:$C,2,FALSE),0))</f>
        <v/>
      </c>
      <c r="R706">
        <f>IF(F706="",0,IFNA(VLOOKUP(F706,Trait_Polarity!$A:$C,3,FALSE),0))+IF(G706="",0,IFNA(VLOOKUP(G706,Trait_Polarity!$A:$C,3,FALSE),0))</f>
        <v/>
      </c>
      <c r="S706">
        <f>IF(P706="P",(M706+N706+O706)/3,0.3*H706+0.3*I706+0.2*J706+0.1*K706+0.1*L706)</f>
        <v/>
      </c>
      <c r="T706">
        <f>IF(P706="P",IFNA(VLOOKUP(B706,Pitcher_RoleAdj!$A:$B,2,FALSE),0),IFNA(VLOOKUP(B706,Hitter_PrimaryAdj!$A:$B,2,FALSE),0))</f>
        <v/>
      </c>
      <c r="U706">
        <f>IFNA(VLOOKUP(IF(C706="","(none)",C706),SecondaryAdj!$A:$B,2,FALSE),0)</f>
        <v/>
      </c>
      <c r="V706">
        <f>IF(P706="P",0.7780+0.1628*S706+0.2957*Q706-0.1912*R706-0.1512*IF(D706="S",1,0)+0.1600*IF(E706="L",1,0)+0.0091*H706+0.0124*I706+0.0017*J706+T706+U706,-0.8294+0.1849*S706+0.1750*Q706-0.2969*R706+0.6924*IF(D706="S",1,0)+0.0457*IF(E706="L",1,0)+T706+U706)</f>
        <v/>
      </c>
      <c r="W706">
        <f>MAX(0,MIN(16,ROUND(V706,0)))</f>
        <v/>
      </c>
      <c r="X706">
        <f>IFNA(VLOOKUP(W706,Grade_Scale!$A:$B,2,FALSE),"F")</f>
        <v/>
      </c>
      <c r="Z706">
        <f>IF(Y706="","",W706-IFNA(VLOOKUP(Y706,Grade_Scale!$D:$E,2,FALSE),""))</f>
        <v/>
      </c>
    </row>
    <row r="707">
      <c r="P707">
        <f>IF(OR(B707="SP",B707="RP",B707="CP",B707="SP/RP"),"P","H")</f>
        <v/>
      </c>
      <c r="Q707">
        <f>IF(F707="",0,IFNA(VLOOKUP(F707,Trait_Polarity!$A:$C,2,FALSE),0))+IF(G707="",0,IFNA(VLOOKUP(G707,Trait_Polarity!$A:$C,2,FALSE),0))</f>
        <v/>
      </c>
      <c r="R707">
        <f>IF(F707="",0,IFNA(VLOOKUP(F707,Trait_Polarity!$A:$C,3,FALSE),0))+IF(G707="",0,IFNA(VLOOKUP(G707,Trait_Polarity!$A:$C,3,FALSE),0))</f>
        <v/>
      </c>
      <c r="S707">
        <f>IF(P707="P",(M707+N707+O707)/3,0.3*H707+0.3*I707+0.2*J707+0.1*K707+0.1*L707)</f>
        <v/>
      </c>
      <c r="T707">
        <f>IF(P707="P",IFNA(VLOOKUP(B707,Pitcher_RoleAdj!$A:$B,2,FALSE),0),IFNA(VLOOKUP(B707,Hitter_PrimaryAdj!$A:$B,2,FALSE),0))</f>
        <v/>
      </c>
      <c r="U707">
        <f>IFNA(VLOOKUP(IF(C707="","(none)",C707),SecondaryAdj!$A:$B,2,FALSE),0)</f>
        <v/>
      </c>
      <c r="V707">
        <f>IF(P707="P",0.7780+0.1628*S707+0.2957*Q707-0.1912*R707-0.1512*IF(D707="S",1,0)+0.1600*IF(E707="L",1,0)+0.0091*H707+0.0124*I707+0.0017*J707+T707+U707,-0.8294+0.1849*S707+0.1750*Q707-0.2969*R707+0.6924*IF(D707="S",1,0)+0.0457*IF(E707="L",1,0)+T707+U707)</f>
        <v/>
      </c>
      <c r="W707">
        <f>MAX(0,MIN(16,ROUND(V707,0)))</f>
        <v/>
      </c>
      <c r="X707">
        <f>IFNA(VLOOKUP(W707,Grade_Scale!$A:$B,2,FALSE),"F")</f>
        <v/>
      </c>
      <c r="Z707">
        <f>IF(Y707="","",W707-IFNA(VLOOKUP(Y707,Grade_Scale!$D:$E,2,FALSE),""))</f>
        <v/>
      </c>
    </row>
    <row r="708">
      <c r="P708">
        <f>IF(OR(B708="SP",B708="RP",B708="CP",B708="SP/RP"),"P","H")</f>
        <v/>
      </c>
      <c r="Q708">
        <f>IF(F708="",0,IFNA(VLOOKUP(F708,Trait_Polarity!$A:$C,2,FALSE),0))+IF(G708="",0,IFNA(VLOOKUP(G708,Trait_Polarity!$A:$C,2,FALSE),0))</f>
        <v/>
      </c>
      <c r="R708">
        <f>IF(F708="",0,IFNA(VLOOKUP(F708,Trait_Polarity!$A:$C,3,FALSE),0))+IF(G708="",0,IFNA(VLOOKUP(G708,Trait_Polarity!$A:$C,3,FALSE),0))</f>
        <v/>
      </c>
      <c r="S708">
        <f>IF(P708="P",(M708+N708+O708)/3,0.3*H708+0.3*I708+0.2*J708+0.1*K708+0.1*L708)</f>
        <v/>
      </c>
      <c r="T708">
        <f>IF(P708="P",IFNA(VLOOKUP(B708,Pitcher_RoleAdj!$A:$B,2,FALSE),0),IFNA(VLOOKUP(B708,Hitter_PrimaryAdj!$A:$B,2,FALSE),0))</f>
        <v/>
      </c>
      <c r="U708">
        <f>IFNA(VLOOKUP(IF(C708="","(none)",C708),SecondaryAdj!$A:$B,2,FALSE),0)</f>
        <v/>
      </c>
      <c r="V708">
        <f>IF(P708="P",0.7780+0.1628*S708+0.2957*Q708-0.1912*R708-0.1512*IF(D708="S",1,0)+0.1600*IF(E708="L",1,0)+0.0091*H708+0.0124*I708+0.0017*J708+T708+U708,-0.8294+0.1849*S708+0.1750*Q708-0.2969*R708+0.6924*IF(D708="S",1,0)+0.0457*IF(E708="L",1,0)+T708+U708)</f>
        <v/>
      </c>
      <c r="W708">
        <f>MAX(0,MIN(16,ROUND(V708,0)))</f>
        <v/>
      </c>
      <c r="X708">
        <f>IFNA(VLOOKUP(W708,Grade_Scale!$A:$B,2,FALSE),"F")</f>
        <v/>
      </c>
      <c r="Z708">
        <f>IF(Y708="","",W708-IFNA(VLOOKUP(Y708,Grade_Scale!$D:$E,2,FALSE),""))</f>
        <v/>
      </c>
    </row>
    <row r="709">
      <c r="P709">
        <f>IF(OR(B709="SP",B709="RP",B709="CP",B709="SP/RP"),"P","H")</f>
        <v/>
      </c>
      <c r="Q709">
        <f>IF(F709="",0,IFNA(VLOOKUP(F709,Trait_Polarity!$A:$C,2,FALSE),0))+IF(G709="",0,IFNA(VLOOKUP(G709,Trait_Polarity!$A:$C,2,FALSE),0))</f>
        <v/>
      </c>
      <c r="R709">
        <f>IF(F709="",0,IFNA(VLOOKUP(F709,Trait_Polarity!$A:$C,3,FALSE),0))+IF(G709="",0,IFNA(VLOOKUP(G709,Trait_Polarity!$A:$C,3,FALSE),0))</f>
        <v/>
      </c>
      <c r="S709">
        <f>IF(P709="P",(M709+N709+O709)/3,0.3*H709+0.3*I709+0.2*J709+0.1*K709+0.1*L709)</f>
        <v/>
      </c>
      <c r="T709">
        <f>IF(P709="P",IFNA(VLOOKUP(B709,Pitcher_RoleAdj!$A:$B,2,FALSE),0),IFNA(VLOOKUP(B709,Hitter_PrimaryAdj!$A:$B,2,FALSE),0))</f>
        <v/>
      </c>
      <c r="U709">
        <f>IFNA(VLOOKUP(IF(C709="","(none)",C709),SecondaryAdj!$A:$B,2,FALSE),0)</f>
        <v/>
      </c>
      <c r="V709">
        <f>IF(P709="P",0.7780+0.1628*S709+0.2957*Q709-0.1912*R709-0.1512*IF(D709="S",1,0)+0.1600*IF(E709="L",1,0)+0.0091*H709+0.0124*I709+0.0017*J709+T709+U709,-0.8294+0.1849*S709+0.1750*Q709-0.2969*R709+0.6924*IF(D709="S",1,0)+0.0457*IF(E709="L",1,0)+T709+U709)</f>
        <v/>
      </c>
      <c r="W709">
        <f>MAX(0,MIN(16,ROUND(V709,0)))</f>
        <v/>
      </c>
      <c r="X709">
        <f>IFNA(VLOOKUP(W709,Grade_Scale!$A:$B,2,FALSE),"F")</f>
        <v/>
      </c>
      <c r="Z709">
        <f>IF(Y709="","",W709-IFNA(VLOOKUP(Y709,Grade_Scale!$D:$E,2,FALSE),""))</f>
        <v/>
      </c>
    </row>
    <row r="710">
      <c r="P710">
        <f>IF(OR(B710="SP",B710="RP",B710="CP",B710="SP/RP"),"P","H")</f>
        <v/>
      </c>
      <c r="Q710">
        <f>IF(F710="",0,IFNA(VLOOKUP(F710,Trait_Polarity!$A:$C,2,FALSE),0))+IF(G710="",0,IFNA(VLOOKUP(G710,Trait_Polarity!$A:$C,2,FALSE),0))</f>
        <v/>
      </c>
      <c r="R710">
        <f>IF(F710="",0,IFNA(VLOOKUP(F710,Trait_Polarity!$A:$C,3,FALSE),0))+IF(G710="",0,IFNA(VLOOKUP(G710,Trait_Polarity!$A:$C,3,FALSE),0))</f>
        <v/>
      </c>
      <c r="S710">
        <f>IF(P710="P",(M710+N710+O710)/3,0.3*H710+0.3*I710+0.2*J710+0.1*K710+0.1*L710)</f>
        <v/>
      </c>
      <c r="T710">
        <f>IF(P710="P",IFNA(VLOOKUP(B710,Pitcher_RoleAdj!$A:$B,2,FALSE),0),IFNA(VLOOKUP(B710,Hitter_PrimaryAdj!$A:$B,2,FALSE),0))</f>
        <v/>
      </c>
      <c r="U710">
        <f>IFNA(VLOOKUP(IF(C710="","(none)",C710),SecondaryAdj!$A:$B,2,FALSE),0)</f>
        <v/>
      </c>
      <c r="V710">
        <f>IF(P710="P",0.7780+0.1628*S710+0.2957*Q710-0.1912*R710-0.1512*IF(D710="S",1,0)+0.1600*IF(E710="L",1,0)+0.0091*H710+0.0124*I710+0.0017*J710+T710+U710,-0.8294+0.1849*S710+0.1750*Q710-0.2969*R710+0.6924*IF(D710="S",1,0)+0.0457*IF(E710="L",1,0)+T710+U710)</f>
        <v/>
      </c>
      <c r="W710">
        <f>MAX(0,MIN(16,ROUND(V710,0)))</f>
        <v/>
      </c>
      <c r="X710">
        <f>IFNA(VLOOKUP(W710,Grade_Scale!$A:$B,2,FALSE),"F")</f>
        <v/>
      </c>
      <c r="Z710">
        <f>IF(Y710="","",W710-IFNA(VLOOKUP(Y710,Grade_Scale!$D:$E,2,FALSE),""))</f>
        <v/>
      </c>
    </row>
    <row r="711">
      <c r="P711">
        <f>IF(OR(B711="SP",B711="RP",B711="CP",B711="SP/RP"),"P","H")</f>
        <v/>
      </c>
      <c r="Q711">
        <f>IF(F711="",0,IFNA(VLOOKUP(F711,Trait_Polarity!$A:$C,2,FALSE),0))+IF(G711="",0,IFNA(VLOOKUP(G711,Trait_Polarity!$A:$C,2,FALSE),0))</f>
        <v/>
      </c>
      <c r="R711">
        <f>IF(F711="",0,IFNA(VLOOKUP(F711,Trait_Polarity!$A:$C,3,FALSE),0))+IF(G711="",0,IFNA(VLOOKUP(G711,Trait_Polarity!$A:$C,3,FALSE),0))</f>
        <v/>
      </c>
      <c r="S711">
        <f>IF(P711="P",(M711+N711+O711)/3,0.3*H711+0.3*I711+0.2*J711+0.1*K711+0.1*L711)</f>
        <v/>
      </c>
      <c r="T711">
        <f>IF(P711="P",IFNA(VLOOKUP(B711,Pitcher_RoleAdj!$A:$B,2,FALSE),0),IFNA(VLOOKUP(B711,Hitter_PrimaryAdj!$A:$B,2,FALSE),0))</f>
        <v/>
      </c>
      <c r="U711">
        <f>IFNA(VLOOKUP(IF(C711="","(none)",C711),SecondaryAdj!$A:$B,2,FALSE),0)</f>
        <v/>
      </c>
      <c r="V711">
        <f>IF(P711="P",0.7780+0.1628*S711+0.2957*Q711-0.1912*R711-0.1512*IF(D711="S",1,0)+0.1600*IF(E711="L",1,0)+0.0091*H711+0.0124*I711+0.0017*J711+T711+U711,-0.8294+0.1849*S711+0.1750*Q711-0.2969*R711+0.6924*IF(D711="S",1,0)+0.0457*IF(E711="L",1,0)+T711+U711)</f>
        <v/>
      </c>
      <c r="W711">
        <f>MAX(0,MIN(16,ROUND(V711,0)))</f>
        <v/>
      </c>
      <c r="X711">
        <f>IFNA(VLOOKUP(W711,Grade_Scale!$A:$B,2,FALSE),"F")</f>
        <v/>
      </c>
      <c r="Z711">
        <f>IF(Y711="","",W711-IFNA(VLOOKUP(Y711,Grade_Scale!$D:$E,2,FALSE),""))</f>
        <v/>
      </c>
    </row>
    <row r="712">
      <c r="P712">
        <f>IF(OR(B712="SP",B712="RP",B712="CP",B712="SP/RP"),"P","H")</f>
        <v/>
      </c>
      <c r="Q712">
        <f>IF(F712="",0,IFNA(VLOOKUP(F712,Trait_Polarity!$A:$C,2,FALSE),0))+IF(G712="",0,IFNA(VLOOKUP(G712,Trait_Polarity!$A:$C,2,FALSE),0))</f>
        <v/>
      </c>
      <c r="R712">
        <f>IF(F712="",0,IFNA(VLOOKUP(F712,Trait_Polarity!$A:$C,3,FALSE),0))+IF(G712="",0,IFNA(VLOOKUP(G712,Trait_Polarity!$A:$C,3,FALSE),0))</f>
        <v/>
      </c>
      <c r="S712">
        <f>IF(P712="P",(M712+N712+O712)/3,0.3*H712+0.3*I712+0.2*J712+0.1*K712+0.1*L712)</f>
        <v/>
      </c>
      <c r="T712">
        <f>IF(P712="P",IFNA(VLOOKUP(B712,Pitcher_RoleAdj!$A:$B,2,FALSE),0),IFNA(VLOOKUP(B712,Hitter_PrimaryAdj!$A:$B,2,FALSE),0))</f>
        <v/>
      </c>
      <c r="U712">
        <f>IFNA(VLOOKUP(IF(C712="","(none)",C712),SecondaryAdj!$A:$B,2,FALSE),0)</f>
        <v/>
      </c>
      <c r="V712">
        <f>IF(P712="P",0.7780+0.1628*S712+0.2957*Q712-0.1912*R712-0.1512*IF(D712="S",1,0)+0.1600*IF(E712="L",1,0)+0.0091*H712+0.0124*I712+0.0017*J712+T712+U712,-0.8294+0.1849*S712+0.1750*Q712-0.2969*R712+0.6924*IF(D712="S",1,0)+0.0457*IF(E712="L",1,0)+T712+U712)</f>
        <v/>
      </c>
      <c r="W712">
        <f>MAX(0,MIN(16,ROUND(V712,0)))</f>
        <v/>
      </c>
      <c r="X712">
        <f>IFNA(VLOOKUP(W712,Grade_Scale!$A:$B,2,FALSE),"F")</f>
        <v/>
      </c>
      <c r="Z712">
        <f>IF(Y712="","",W712-IFNA(VLOOKUP(Y712,Grade_Scale!$D:$E,2,FALSE),""))</f>
        <v/>
      </c>
    </row>
    <row r="713">
      <c r="P713">
        <f>IF(OR(B713="SP",B713="RP",B713="CP",B713="SP/RP"),"P","H")</f>
        <v/>
      </c>
      <c r="Q713">
        <f>IF(F713="",0,IFNA(VLOOKUP(F713,Trait_Polarity!$A:$C,2,FALSE),0))+IF(G713="",0,IFNA(VLOOKUP(G713,Trait_Polarity!$A:$C,2,FALSE),0))</f>
        <v/>
      </c>
      <c r="R713">
        <f>IF(F713="",0,IFNA(VLOOKUP(F713,Trait_Polarity!$A:$C,3,FALSE),0))+IF(G713="",0,IFNA(VLOOKUP(G713,Trait_Polarity!$A:$C,3,FALSE),0))</f>
        <v/>
      </c>
      <c r="S713">
        <f>IF(P713="P",(M713+N713+O713)/3,0.3*H713+0.3*I713+0.2*J713+0.1*K713+0.1*L713)</f>
        <v/>
      </c>
      <c r="T713">
        <f>IF(P713="P",IFNA(VLOOKUP(B713,Pitcher_RoleAdj!$A:$B,2,FALSE),0),IFNA(VLOOKUP(B713,Hitter_PrimaryAdj!$A:$B,2,FALSE),0))</f>
        <v/>
      </c>
      <c r="U713">
        <f>IFNA(VLOOKUP(IF(C713="","(none)",C713),SecondaryAdj!$A:$B,2,FALSE),0)</f>
        <v/>
      </c>
      <c r="V713">
        <f>IF(P713="P",0.7780+0.1628*S713+0.2957*Q713-0.1912*R713-0.1512*IF(D713="S",1,0)+0.1600*IF(E713="L",1,0)+0.0091*H713+0.0124*I713+0.0017*J713+T713+U713,-0.8294+0.1849*S713+0.1750*Q713-0.2969*R713+0.6924*IF(D713="S",1,0)+0.0457*IF(E713="L",1,0)+T713+U713)</f>
        <v/>
      </c>
      <c r="W713">
        <f>MAX(0,MIN(16,ROUND(V713,0)))</f>
        <v/>
      </c>
      <c r="X713">
        <f>IFNA(VLOOKUP(W713,Grade_Scale!$A:$B,2,FALSE),"F")</f>
        <v/>
      </c>
      <c r="Z713">
        <f>IF(Y713="","",W713-IFNA(VLOOKUP(Y713,Grade_Scale!$D:$E,2,FALSE),""))</f>
        <v/>
      </c>
    </row>
    <row r="714">
      <c r="P714">
        <f>IF(OR(B714="SP",B714="RP",B714="CP",B714="SP/RP"),"P","H")</f>
        <v/>
      </c>
      <c r="Q714">
        <f>IF(F714="",0,IFNA(VLOOKUP(F714,Trait_Polarity!$A:$C,2,FALSE),0))+IF(G714="",0,IFNA(VLOOKUP(G714,Trait_Polarity!$A:$C,2,FALSE),0))</f>
        <v/>
      </c>
      <c r="R714">
        <f>IF(F714="",0,IFNA(VLOOKUP(F714,Trait_Polarity!$A:$C,3,FALSE),0))+IF(G714="",0,IFNA(VLOOKUP(G714,Trait_Polarity!$A:$C,3,FALSE),0))</f>
        <v/>
      </c>
      <c r="S714">
        <f>IF(P714="P",(M714+N714+O714)/3,0.3*H714+0.3*I714+0.2*J714+0.1*K714+0.1*L714)</f>
        <v/>
      </c>
      <c r="T714">
        <f>IF(P714="P",IFNA(VLOOKUP(B714,Pitcher_RoleAdj!$A:$B,2,FALSE),0),IFNA(VLOOKUP(B714,Hitter_PrimaryAdj!$A:$B,2,FALSE),0))</f>
        <v/>
      </c>
      <c r="U714">
        <f>IFNA(VLOOKUP(IF(C714="","(none)",C714),SecondaryAdj!$A:$B,2,FALSE),0)</f>
        <v/>
      </c>
      <c r="V714">
        <f>IF(P714="P",0.7780+0.1628*S714+0.2957*Q714-0.1912*R714-0.1512*IF(D714="S",1,0)+0.1600*IF(E714="L",1,0)+0.0091*H714+0.0124*I714+0.0017*J714+T714+U714,-0.8294+0.1849*S714+0.1750*Q714-0.2969*R714+0.6924*IF(D714="S",1,0)+0.0457*IF(E714="L",1,0)+T714+U714)</f>
        <v/>
      </c>
      <c r="W714">
        <f>MAX(0,MIN(16,ROUND(V714,0)))</f>
        <v/>
      </c>
      <c r="X714">
        <f>IFNA(VLOOKUP(W714,Grade_Scale!$A:$B,2,FALSE),"F")</f>
        <v/>
      </c>
      <c r="Z714">
        <f>IF(Y714="","",W714-IFNA(VLOOKUP(Y714,Grade_Scale!$D:$E,2,FALSE),""))</f>
        <v/>
      </c>
    </row>
    <row r="715">
      <c r="P715">
        <f>IF(OR(B715="SP",B715="RP",B715="CP",B715="SP/RP"),"P","H")</f>
        <v/>
      </c>
      <c r="Q715">
        <f>IF(F715="",0,IFNA(VLOOKUP(F715,Trait_Polarity!$A:$C,2,FALSE),0))+IF(G715="",0,IFNA(VLOOKUP(G715,Trait_Polarity!$A:$C,2,FALSE),0))</f>
        <v/>
      </c>
      <c r="R715">
        <f>IF(F715="",0,IFNA(VLOOKUP(F715,Trait_Polarity!$A:$C,3,FALSE),0))+IF(G715="",0,IFNA(VLOOKUP(G715,Trait_Polarity!$A:$C,3,FALSE),0))</f>
        <v/>
      </c>
      <c r="S715">
        <f>IF(P715="P",(M715+N715+O715)/3,0.3*H715+0.3*I715+0.2*J715+0.1*K715+0.1*L715)</f>
        <v/>
      </c>
      <c r="T715">
        <f>IF(P715="P",IFNA(VLOOKUP(B715,Pitcher_RoleAdj!$A:$B,2,FALSE),0),IFNA(VLOOKUP(B715,Hitter_PrimaryAdj!$A:$B,2,FALSE),0))</f>
        <v/>
      </c>
      <c r="U715">
        <f>IFNA(VLOOKUP(IF(C715="","(none)",C715),SecondaryAdj!$A:$B,2,FALSE),0)</f>
        <v/>
      </c>
      <c r="V715">
        <f>IF(P715="P",0.7780+0.1628*S715+0.2957*Q715-0.1912*R715-0.1512*IF(D715="S",1,0)+0.1600*IF(E715="L",1,0)+0.0091*H715+0.0124*I715+0.0017*J715+T715+U715,-0.8294+0.1849*S715+0.1750*Q715-0.2969*R715+0.6924*IF(D715="S",1,0)+0.0457*IF(E715="L",1,0)+T715+U715)</f>
        <v/>
      </c>
      <c r="W715">
        <f>MAX(0,MIN(16,ROUND(V715,0)))</f>
        <v/>
      </c>
      <c r="X715">
        <f>IFNA(VLOOKUP(W715,Grade_Scale!$A:$B,2,FALSE),"F")</f>
        <v/>
      </c>
      <c r="Z715">
        <f>IF(Y715="","",W715-IFNA(VLOOKUP(Y715,Grade_Scale!$D:$E,2,FALSE),""))</f>
        <v/>
      </c>
    </row>
    <row r="716">
      <c r="P716">
        <f>IF(OR(B716="SP",B716="RP",B716="CP",B716="SP/RP"),"P","H")</f>
        <v/>
      </c>
      <c r="Q716">
        <f>IF(F716="",0,IFNA(VLOOKUP(F716,Trait_Polarity!$A:$C,2,FALSE),0))+IF(G716="",0,IFNA(VLOOKUP(G716,Trait_Polarity!$A:$C,2,FALSE),0))</f>
        <v/>
      </c>
      <c r="R716">
        <f>IF(F716="",0,IFNA(VLOOKUP(F716,Trait_Polarity!$A:$C,3,FALSE),0))+IF(G716="",0,IFNA(VLOOKUP(G716,Trait_Polarity!$A:$C,3,FALSE),0))</f>
        <v/>
      </c>
      <c r="S716">
        <f>IF(P716="P",(M716+N716+O716)/3,0.3*H716+0.3*I716+0.2*J716+0.1*K716+0.1*L716)</f>
        <v/>
      </c>
      <c r="T716">
        <f>IF(P716="P",IFNA(VLOOKUP(B716,Pitcher_RoleAdj!$A:$B,2,FALSE),0),IFNA(VLOOKUP(B716,Hitter_PrimaryAdj!$A:$B,2,FALSE),0))</f>
        <v/>
      </c>
      <c r="U716">
        <f>IFNA(VLOOKUP(IF(C716="","(none)",C716),SecondaryAdj!$A:$B,2,FALSE),0)</f>
        <v/>
      </c>
      <c r="V716">
        <f>IF(P716="P",0.7780+0.1628*S716+0.2957*Q716-0.1912*R716-0.1512*IF(D716="S",1,0)+0.1600*IF(E716="L",1,0)+0.0091*H716+0.0124*I716+0.0017*J716+T716+U716,-0.8294+0.1849*S716+0.1750*Q716-0.2969*R716+0.6924*IF(D716="S",1,0)+0.0457*IF(E716="L",1,0)+T716+U716)</f>
        <v/>
      </c>
      <c r="W716">
        <f>MAX(0,MIN(16,ROUND(V716,0)))</f>
        <v/>
      </c>
      <c r="X716">
        <f>IFNA(VLOOKUP(W716,Grade_Scale!$A:$B,2,FALSE),"F")</f>
        <v/>
      </c>
      <c r="Z716">
        <f>IF(Y716="","",W716-IFNA(VLOOKUP(Y716,Grade_Scale!$D:$E,2,FALSE),""))</f>
        <v/>
      </c>
    </row>
    <row r="717">
      <c r="P717">
        <f>IF(OR(B717="SP",B717="RP",B717="CP",B717="SP/RP"),"P","H")</f>
        <v/>
      </c>
      <c r="Q717">
        <f>IF(F717="",0,IFNA(VLOOKUP(F717,Trait_Polarity!$A:$C,2,FALSE),0))+IF(G717="",0,IFNA(VLOOKUP(G717,Trait_Polarity!$A:$C,2,FALSE),0))</f>
        <v/>
      </c>
      <c r="R717">
        <f>IF(F717="",0,IFNA(VLOOKUP(F717,Trait_Polarity!$A:$C,3,FALSE),0))+IF(G717="",0,IFNA(VLOOKUP(G717,Trait_Polarity!$A:$C,3,FALSE),0))</f>
        <v/>
      </c>
      <c r="S717">
        <f>IF(P717="P",(M717+N717+O717)/3,0.3*H717+0.3*I717+0.2*J717+0.1*K717+0.1*L717)</f>
        <v/>
      </c>
      <c r="T717">
        <f>IF(P717="P",IFNA(VLOOKUP(B717,Pitcher_RoleAdj!$A:$B,2,FALSE),0),IFNA(VLOOKUP(B717,Hitter_PrimaryAdj!$A:$B,2,FALSE),0))</f>
        <v/>
      </c>
      <c r="U717">
        <f>IFNA(VLOOKUP(IF(C717="","(none)",C717),SecondaryAdj!$A:$B,2,FALSE),0)</f>
        <v/>
      </c>
      <c r="V717">
        <f>IF(P717="P",0.7780+0.1628*S717+0.2957*Q717-0.1912*R717-0.1512*IF(D717="S",1,0)+0.1600*IF(E717="L",1,0)+0.0091*H717+0.0124*I717+0.0017*J717+T717+U717,-0.8294+0.1849*S717+0.1750*Q717-0.2969*R717+0.6924*IF(D717="S",1,0)+0.0457*IF(E717="L",1,0)+T717+U717)</f>
        <v/>
      </c>
      <c r="W717">
        <f>MAX(0,MIN(16,ROUND(V717,0)))</f>
        <v/>
      </c>
      <c r="X717">
        <f>IFNA(VLOOKUP(W717,Grade_Scale!$A:$B,2,FALSE),"F")</f>
        <v/>
      </c>
      <c r="Z717">
        <f>IF(Y717="","",W717-IFNA(VLOOKUP(Y717,Grade_Scale!$D:$E,2,FALSE),""))</f>
        <v/>
      </c>
    </row>
    <row r="718">
      <c r="P718">
        <f>IF(OR(B718="SP",B718="RP",B718="CP",B718="SP/RP"),"P","H")</f>
        <v/>
      </c>
      <c r="Q718">
        <f>IF(F718="",0,IFNA(VLOOKUP(F718,Trait_Polarity!$A:$C,2,FALSE),0))+IF(G718="",0,IFNA(VLOOKUP(G718,Trait_Polarity!$A:$C,2,FALSE),0))</f>
        <v/>
      </c>
      <c r="R718">
        <f>IF(F718="",0,IFNA(VLOOKUP(F718,Trait_Polarity!$A:$C,3,FALSE),0))+IF(G718="",0,IFNA(VLOOKUP(G718,Trait_Polarity!$A:$C,3,FALSE),0))</f>
        <v/>
      </c>
      <c r="S718">
        <f>IF(P718="P",(M718+N718+O718)/3,0.3*H718+0.3*I718+0.2*J718+0.1*K718+0.1*L718)</f>
        <v/>
      </c>
      <c r="T718">
        <f>IF(P718="P",IFNA(VLOOKUP(B718,Pitcher_RoleAdj!$A:$B,2,FALSE),0),IFNA(VLOOKUP(B718,Hitter_PrimaryAdj!$A:$B,2,FALSE),0))</f>
        <v/>
      </c>
      <c r="U718">
        <f>IFNA(VLOOKUP(IF(C718="","(none)",C718),SecondaryAdj!$A:$B,2,FALSE),0)</f>
        <v/>
      </c>
      <c r="V718">
        <f>IF(P718="P",0.7780+0.1628*S718+0.2957*Q718-0.1912*R718-0.1512*IF(D718="S",1,0)+0.1600*IF(E718="L",1,0)+0.0091*H718+0.0124*I718+0.0017*J718+T718+U718,-0.8294+0.1849*S718+0.1750*Q718-0.2969*R718+0.6924*IF(D718="S",1,0)+0.0457*IF(E718="L",1,0)+T718+U718)</f>
        <v/>
      </c>
      <c r="W718">
        <f>MAX(0,MIN(16,ROUND(V718,0)))</f>
        <v/>
      </c>
      <c r="X718">
        <f>IFNA(VLOOKUP(W718,Grade_Scale!$A:$B,2,FALSE),"F")</f>
        <v/>
      </c>
      <c r="Z718">
        <f>IF(Y718="","",W718-IFNA(VLOOKUP(Y718,Grade_Scale!$D:$E,2,FALSE),""))</f>
        <v/>
      </c>
    </row>
    <row r="719">
      <c r="P719">
        <f>IF(OR(B719="SP",B719="RP",B719="CP",B719="SP/RP"),"P","H")</f>
        <v/>
      </c>
      <c r="Q719">
        <f>IF(F719="",0,IFNA(VLOOKUP(F719,Trait_Polarity!$A:$C,2,FALSE),0))+IF(G719="",0,IFNA(VLOOKUP(G719,Trait_Polarity!$A:$C,2,FALSE),0))</f>
        <v/>
      </c>
      <c r="R719">
        <f>IF(F719="",0,IFNA(VLOOKUP(F719,Trait_Polarity!$A:$C,3,FALSE),0))+IF(G719="",0,IFNA(VLOOKUP(G719,Trait_Polarity!$A:$C,3,FALSE),0))</f>
        <v/>
      </c>
      <c r="S719">
        <f>IF(P719="P",(M719+N719+O719)/3,0.3*H719+0.3*I719+0.2*J719+0.1*K719+0.1*L719)</f>
        <v/>
      </c>
      <c r="T719">
        <f>IF(P719="P",IFNA(VLOOKUP(B719,Pitcher_RoleAdj!$A:$B,2,FALSE),0),IFNA(VLOOKUP(B719,Hitter_PrimaryAdj!$A:$B,2,FALSE),0))</f>
        <v/>
      </c>
      <c r="U719">
        <f>IFNA(VLOOKUP(IF(C719="","(none)",C719),SecondaryAdj!$A:$B,2,FALSE),0)</f>
        <v/>
      </c>
      <c r="V719">
        <f>IF(P719="P",0.7780+0.1628*S719+0.2957*Q719-0.1912*R719-0.1512*IF(D719="S",1,0)+0.1600*IF(E719="L",1,0)+0.0091*H719+0.0124*I719+0.0017*J719+T719+U719,-0.8294+0.1849*S719+0.1750*Q719-0.2969*R719+0.6924*IF(D719="S",1,0)+0.0457*IF(E719="L",1,0)+T719+U719)</f>
        <v/>
      </c>
      <c r="W719">
        <f>MAX(0,MIN(16,ROUND(V719,0)))</f>
        <v/>
      </c>
      <c r="X719">
        <f>IFNA(VLOOKUP(W719,Grade_Scale!$A:$B,2,FALSE),"F")</f>
        <v/>
      </c>
      <c r="Z719">
        <f>IF(Y719="","",W719-IFNA(VLOOKUP(Y719,Grade_Scale!$D:$E,2,FALSE),""))</f>
        <v/>
      </c>
    </row>
    <row r="720">
      <c r="P720">
        <f>IF(OR(B720="SP",B720="RP",B720="CP",B720="SP/RP"),"P","H")</f>
        <v/>
      </c>
      <c r="Q720">
        <f>IF(F720="",0,IFNA(VLOOKUP(F720,Trait_Polarity!$A:$C,2,FALSE),0))+IF(G720="",0,IFNA(VLOOKUP(G720,Trait_Polarity!$A:$C,2,FALSE),0))</f>
        <v/>
      </c>
      <c r="R720">
        <f>IF(F720="",0,IFNA(VLOOKUP(F720,Trait_Polarity!$A:$C,3,FALSE),0))+IF(G720="",0,IFNA(VLOOKUP(G720,Trait_Polarity!$A:$C,3,FALSE),0))</f>
        <v/>
      </c>
      <c r="S720">
        <f>IF(P720="P",(M720+N720+O720)/3,0.3*H720+0.3*I720+0.2*J720+0.1*K720+0.1*L720)</f>
        <v/>
      </c>
      <c r="T720">
        <f>IF(P720="P",IFNA(VLOOKUP(B720,Pitcher_RoleAdj!$A:$B,2,FALSE),0),IFNA(VLOOKUP(B720,Hitter_PrimaryAdj!$A:$B,2,FALSE),0))</f>
        <v/>
      </c>
      <c r="U720">
        <f>IFNA(VLOOKUP(IF(C720="","(none)",C720),SecondaryAdj!$A:$B,2,FALSE),0)</f>
        <v/>
      </c>
      <c r="V720">
        <f>IF(P720="P",0.7780+0.1628*S720+0.2957*Q720-0.1912*R720-0.1512*IF(D720="S",1,0)+0.1600*IF(E720="L",1,0)+0.0091*H720+0.0124*I720+0.0017*J720+T720+U720,-0.8294+0.1849*S720+0.1750*Q720-0.2969*R720+0.6924*IF(D720="S",1,0)+0.0457*IF(E720="L",1,0)+T720+U720)</f>
        <v/>
      </c>
      <c r="W720">
        <f>MAX(0,MIN(16,ROUND(V720,0)))</f>
        <v/>
      </c>
      <c r="X720">
        <f>IFNA(VLOOKUP(W720,Grade_Scale!$A:$B,2,FALSE),"F")</f>
        <v/>
      </c>
      <c r="Z720">
        <f>IF(Y720="","",W720-IFNA(VLOOKUP(Y720,Grade_Scale!$D:$E,2,FALSE),""))</f>
        <v/>
      </c>
    </row>
    <row r="721">
      <c r="P721">
        <f>IF(OR(B721="SP",B721="RP",B721="CP",B721="SP/RP"),"P","H")</f>
        <v/>
      </c>
      <c r="Q721">
        <f>IF(F721="",0,IFNA(VLOOKUP(F721,Trait_Polarity!$A:$C,2,FALSE),0))+IF(G721="",0,IFNA(VLOOKUP(G721,Trait_Polarity!$A:$C,2,FALSE),0))</f>
        <v/>
      </c>
      <c r="R721">
        <f>IF(F721="",0,IFNA(VLOOKUP(F721,Trait_Polarity!$A:$C,3,FALSE),0))+IF(G721="",0,IFNA(VLOOKUP(G721,Trait_Polarity!$A:$C,3,FALSE),0))</f>
        <v/>
      </c>
      <c r="S721">
        <f>IF(P721="P",(M721+N721+O721)/3,0.3*H721+0.3*I721+0.2*J721+0.1*K721+0.1*L721)</f>
        <v/>
      </c>
      <c r="T721">
        <f>IF(P721="P",IFNA(VLOOKUP(B721,Pitcher_RoleAdj!$A:$B,2,FALSE),0),IFNA(VLOOKUP(B721,Hitter_PrimaryAdj!$A:$B,2,FALSE),0))</f>
        <v/>
      </c>
      <c r="U721">
        <f>IFNA(VLOOKUP(IF(C721="","(none)",C721),SecondaryAdj!$A:$B,2,FALSE),0)</f>
        <v/>
      </c>
      <c r="V721">
        <f>IF(P721="P",0.7780+0.1628*S721+0.2957*Q721-0.1912*R721-0.1512*IF(D721="S",1,0)+0.1600*IF(E721="L",1,0)+0.0091*H721+0.0124*I721+0.0017*J721+T721+U721,-0.8294+0.1849*S721+0.1750*Q721-0.2969*R721+0.6924*IF(D721="S",1,0)+0.0457*IF(E721="L",1,0)+T721+U721)</f>
        <v/>
      </c>
      <c r="W721">
        <f>MAX(0,MIN(16,ROUND(V721,0)))</f>
        <v/>
      </c>
      <c r="X721">
        <f>IFNA(VLOOKUP(W721,Grade_Scale!$A:$B,2,FALSE),"F")</f>
        <v/>
      </c>
      <c r="Z721">
        <f>IF(Y721="","",W721-IFNA(VLOOKUP(Y721,Grade_Scale!$D:$E,2,FALSE),""))</f>
        <v/>
      </c>
    </row>
    <row r="722">
      <c r="P722">
        <f>IF(OR(B722="SP",B722="RP",B722="CP",B722="SP/RP"),"P","H")</f>
        <v/>
      </c>
      <c r="Q722">
        <f>IF(F722="",0,IFNA(VLOOKUP(F722,Trait_Polarity!$A:$C,2,FALSE),0))+IF(G722="",0,IFNA(VLOOKUP(G722,Trait_Polarity!$A:$C,2,FALSE),0))</f>
        <v/>
      </c>
      <c r="R722">
        <f>IF(F722="",0,IFNA(VLOOKUP(F722,Trait_Polarity!$A:$C,3,FALSE),0))+IF(G722="",0,IFNA(VLOOKUP(G722,Trait_Polarity!$A:$C,3,FALSE),0))</f>
        <v/>
      </c>
      <c r="S722">
        <f>IF(P722="P",(M722+N722+O722)/3,0.3*H722+0.3*I722+0.2*J722+0.1*K722+0.1*L722)</f>
        <v/>
      </c>
      <c r="T722">
        <f>IF(P722="P",IFNA(VLOOKUP(B722,Pitcher_RoleAdj!$A:$B,2,FALSE),0),IFNA(VLOOKUP(B722,Hitter_PrimaryAdj!$A:$B,2,FALSE),0))</f>
        <v/>
      </c>
      <c r="U722">
        <f>IFNA(VLOOKUP(IF(C722="","(none)",C722),SecondaryAdj!$A:$B,2,FALSE),0)</f>
        <v/>
      </c>
      <c r="V722">
        <f>IF(P722="P",0.7780+0.1628*S722+0.2957*Q722-0.1912*R722-0.1512*IF(D722="S",1,0)+0.1600*IF(E722="L",1,0)+0.0091*H722+0.0124*I722+0.0017*J722+T722+U722,-0.8294+0.1849*S722+0.1750*Q722-0.2969*R722+0.6924*IF(D722="S",1,0)+0.0457*IF(E722="L",1,0)+T722+U722)</f>
        <v/>
      </c>
      <c r="W722">
        <f>MAX(0,MIN(16,ROUND(V722,0)))</f>
        <v/>
      </c>
      <c r="X722">
        <f>IFNA(VLOOKUP(W722,Grade_Scale!$A:$B,2,FALSE),"F")</f>
        <v/>
      </c>
      <c r="Z722">
        <f>IF(Y722="","",W722-IFNA(VLOOKUP(Y722,Grade_Scale!$D:$E,2,FALSE),""))</f>
        <v/>
      </c>
    </row>
    <row r="723">
      <c r="P723">
        <f>IF(OR(B723="SP",B723="RP",B723="CP",B723="SP/RP"),"P","H")</f>
        <v/>
      </c>
      <c r="Q723">
        <f>IF(F723="",0,IFNA(VLOOKUP(F723,Trait_Polarity!$A:$C,2,FALSE),0))+IF(G723="",0,IFNA(VLOOKUP(G723,Trait_Polarity!$A:$C,2,FALSE),0))</f>
        <v/>
      </c>
      <c r="R723">
        <f>IF(F723="",0,IFNA(VLOOKUP(F723,Trait_Polarity!$A:$C,3,FALSE),0))+IF(G723="",0,IFNA(VLOOKUP(G723,Trait_Polarity!$A:$C,3,FALSE),0))</f>
        <v/>
      </c>
      <c r="S723">
        <f>IF(P723="P",(M723+N723+O723)/3,0.3*H723+0.3*I723+0.2*J723+0.1*K723+0.1*L723)</f>
        <v/>
      </c>
      <c r="T723">
        <f>IF(P723="P",IFNA(VLOOKUP(B723,Pitcher_RoleAdj!$A:$B,2,FALSE),0),IFNA(VLOOKUP(B723,Hitter_PrimaryAdj!$A:$B,2,FALSE),0))</f>
        <v/>
      </c>
      <c r="U723">
        <f>IFNA(VLOOKUP(IF(C723="","(none)",C723),SecondaryAdj!$A:$B,2,FALSE),0)</f>
        <v/>
      </c>
      <c r="V723">
        <f>IF(P723="P",0.7780+0.1628*S723+0.2957*Q723-0.1912*R723-0.1512*IF(D723="S",1,0)+0.1600*IF(E723="L",1,0)+0.0091*H723+0.0124*I723+0.0017*J723+T723+U723,-0.8294+0.1849*S723+0.1750*Q723-0.2969*R723+0.6924*IF(D723="S",1,0)+0.0457*IF(E723="L",1,0)+T723+U723)</f>
        <v/>
      </c>
      <c r="W723">
        <f>MAX(0,MIN(16,ROUND(V723,0)))</f>
        <v/>
      </c>
      <c r="X723">
        <f>IFNA(VLOOKUP(W723,Grade_Scale!$A:$B,2,FALSE),"F")</f>
        <v/>
      </c>
      <c r="Z723">
        <f>IF(Y723="","",W723-IFNA(VLOOKUP(Y723,Grade_Scale!$D:$E,2,FALSE),""))</f>
        <v/>
      </c>
    </row>
    <row r="724">
      <c r="P724">
        <f>IF(OR(B724="SP",B724="RP",B724="CP",B724="SP/RP"),"P","H")</f>
        <v/>
      </c>
      <c r="Q724">
        <f>IF(F724="",0,IFNA(VLOOKUP(F724,Trait_Polarity!$A:$C,2,FALSE),0))+IF(G724="",0,IFNA(VLOOKUP(G724,Trait_Polarity!$A:$C,2,FALSE),0))</f>
        <v/>
      </c>
      <c r="R724">
        <f>IF(F724="",0,IFNA(VLOOKUP(F724,Trait_Polarity!$A:$C,3,FALSE),0))+IF(G724="",0,IFNA(VLOOKUP(G724,Trait_Polarity!$A:$C,3,FALSE),0))</f>
        <v/>
      </c>
      <c r="S724">
        <f>IF(P724="P",(M724+N724+O724)/3,0.3*H724+0.3*I724+0.2*J724+0.1*K724+0.1*L724)</f>
        <v/>
      </c>
      <c r="T724">
        <f>IF(P724="P",IFNA(VLOOKUP(B724,Pitcher_RoleAdj!$A:$B,2,FALSE),0),IFNA(VLOOKUP(B724,Hitter_PrimaryAdj!$A:$B,2,FALSE),0))</f>
        <v/>
      </c>
      <c r="U724">
        <f>IFNA(VLOOKUP(IF(C724="","(none)",C724),SecondaryAdj!$A:$B,2,FALSE),0)</f>
        <v/>
      </c>
      <c r="V724">
        <f>IF(P724="P",0.7780+0.1628*S724+0.2957*Q724-0.1912*R724-0.1512*IF(D724="S",1,0)+0.1600*IF(E724="L",1,0)+0.0091*H724+0.0124*I724+0.0017*J724+T724+U724,-0.8294+0.1849*S724+0.1750*Q724-0.2969*R724+0.6924*IF(D724="S",1,0)+0.0457*IF(E724="L",1,0)+T724+U724)</f>
        <v/>
      </c>
      <c r="W724">
        <f>MAX(0,MIN(16,ROUND(V724,0)))</f>
        <v/>
      </c>
      <c r="X724">
        <f>IFNA(VLOOKUP(W724,Grade_Scale!$A:$B,2,FALSE),"F")</f>
        <v/>
      </c>
      <c r="Z724">
        <f>IF(Y724="","",W724-IFNA(VLOOKUP(Y724,Grade_Scale!$D:$E,2,FALSE),""))</f>
        <v/>
      </c>
    </row>
    <row r="725">
      <c r="P725">
        <f>IF(OR(B725="SP",B725="RP",B725="CP",B725="SP/RP"),"P","H")</f>
        <v/>
      </c>
      <c r="Q725">
        <f>IF(F725="",0,IFNA(VLOOKUP(F725,Trait_Polarity!$A:$C,2,FALSE),0))+IF(G725="",0,IFNA(VLOOKUP(G725,Trait_Polarity!$A:$C,2,FALSE),0))</f>
        <v/>
      </c>
      <c r="R725">
        <f>IF(F725="",0,IFNA(VLOOKUP(F725,Trait_Polarity!$A:$C,3,FALSE),0))+IF(G725="",0,IFNA(VLOOKUP(G725,Trait_Polarity!$A:$C,3,FALSE),0))</f>
        <v/>
      </c>
      <c r="S725">
        <f>IF(P725="P",(M725+N725+O725)/3,0.3*H725+0.3*I725+0.2*J725+0.1*K725+0.1*L725)</f>
        <v/>
      </c>
      <c r="T725">
        <f>IF(P725="P",IFNA(VLOOKUP(B725,Pitcher_RoleAdj!$A:$B,2,FALSE),0),IFNA(VLOOKUP(B725,Hitter_PrimaryAdj!$A:$B,2,FALSE),0))</f>
        <v/>
      </c>
      <c r="U725">
        <f>IFNA(VLOOKUP(IF(C725="","(none)",C725),SecondaryAdj!$A:$B,2,FALSE),0)</f>
        <v/>
      </c>
      <c r="V725">
        <f>IF(P725="P",0.7780+0.1628*S725+0.2957*Q725-0.1912*R725-0.1512*IF(D725="S",1,0)+0.1600*IF(E725="L",1,0)+0.0091*H725+0.0124*I725+0.0017*J725+T725+U725,-0.8294+0.1849*S725+0.1750*Q725-0.2969*R725+0.6924*IF(D725="S",1,0)+0.0457*IF(E725="L",1,0)+T725+U725)</f>
        <v/>
      </c>
      <c r="W725">
        <f>MAX(0,MIN(16,ROUND(V725,0)))</f>
        <v/>
      </c>
      <c r="X725">
        <f>IFNA(VLOOKUP(W725,Grade_Scale!$A:$B,2,FALSE),"F")</f>
        <v/>
      </c>
      <c r="Z725">
        <f>IF(Y725="","",W725-IFNA(VLOOKUP(Y725,Grade_Scale!$D:$E,2,FALSE),""))</f>
        <v/>
      </c>
    </row>
    <row r="726">
      <c r="P726">
        <f>IF(OR(B726="SP",B726="RP",B726="CP",B726="SP/RP"),"P","H")</f>
        <v/>
      </c>
      <c r="Q726">
        <f>IF(F726="",0,IFNA(VLOOKUP(F726,Trait_Polarity!$A:$C,2,FALSE),0))+IF(G726="",0,IFNA(VLOOKUP(G726,Trait_Polarity!$A:$C,2,FALSE),0))</f>
        <v/>
      </c>
      <c r="R726">
        <f>IF(F726="",0,IFNA(VLOOKUP(F726,Trait_Polarity!$A:$C,3,FALSE),0))+IF(G726="",0,IFNA(VLOOKUP(G726,Trait_Polarity!$A:$C,3,FALSE),0))</f>
        <v/>
      </c>
      <c r="S726">
        <f>IF(P726="P",(M726+N726+O726)/3,0.3*H726+0.3*I726+0.2*J726+0.1*K726+0.1*L726)</f>
        <v/>
      </c>
      <c r="T726">
        <f>IF(P726="P",IFNA(VLOOKUP(B726,Pitcher_RoleAdj!$A:$B,2,FALSE),0),IFNA(VLOOKUP(B726,Hitter_PrimaryAdj!$A:$B,2,FALSE),0))</f>
        <v/>
      </c>
      <c r="U726">
        <f>IFNA(VLOOKUP(IF(C726="","(none)",C726),SecondaryAdj!$A:$B,2,FALSE),0)</f>
        <v/>
      </c>
      <c r="V726">
        <f>IF(P726="P",0.7780+0.1628*S726+0.2957*Q726-0.1912*R726-0.1512*IF(D726="S",1,0)+0.1600*IF(E726="L",1,0)+0.0091*H726+0.0124*I726+0.0017*J726+T726+U726,-0.8294+0.1849*S726+0.1750*Q726-0.2969*R726+0.6924*IF(D726="S",1,0)+0.0457*IF(E726="L",1,0)+T726+U726)</f>
        <v/>
      </c>
      <c r="W726">
        <f>MAX(0,MIN(16,ROUND(V726,0)))</f>
        <v/>
      </c>
      <c r="X726">
        <f>IFNA(VLOOKUP(W726,Grade_Scale!$A:$B,2,FALSE),"F")</f>
        <v/>
      </c>
      <c r="Z726">
        <f>IF(Y726="","",W726-IFNA(VLOOKUP(Y726,Grade_Scale!$D:$E,2,FALSE),""))</f>
        <v/>
      </c>
    </row>
    <row r="727">
      <c r="P727">
        <f>IF(OR(B727="SP",B727="RP",B727="CP",B727="SP/RP"),"P","H")</f>
        <v/>
      </c>
      <c r="Q727">
        <f>IF(F727="",0,IFNA(VLOOKUP(F727,Trait_Polarity!$A:$C,2,FALSE),0))+IF(G727="",0,IFNA(VLOOKUP(G727,Trait_Polarity!$A:$C,2,FALSE),0))</f>
        <v/>
      </c>
      <c r="R727">
        <f>IF(F727="",0,IFNA(VLOOKUP(F727,Trait_Polarity!$A:$C,3,FALSE),0))+IF(G727="",0,IFNA(VLOOKUP(G727,Trait_Polarity!$A:$C,3,FALSE),0))</f>
        <v/>
      </c>
      <c r="S727">
        <f>IF(P727="P",(M727+N727+O727)/3,0.3*H727+0.3*I727+0.2*J727+0.1*K727+0.1*L727)</f>
        <v/>
      </c>
      <c r="T727">
        <f>IF(P727="P",IFNA(VLOOKUP(B727,Pitcher_RoleAdj!$A:$B,2,FALSE),0),IFNA(VLOOKUP(B727,Hitter_PrimaryAdj!$A:$B,2,FALSE),0))</f>
        <v/>
      </c>
      <c r="U727">
        <f>IFNA(VLOOKUP(IF(C727="","(none)",C727),SecondaryAdj!$A:$B,2,FALSE),0)</f>
        <v/>
      </c>
      <c r="V727">
        <f>IF(P727="P",0.7780+0.1628*S727+0.2957*Q727-0.1912*R727-0.1512*IF(D727="S",1,0)+0.1600*IF(E727="L",1,0)+0.0091*H727+0.0124*I727+0.0017*J727+T727+U727,-0.8294+0.1849*S727+0.1750*Q727-0.2969*R727+0.6924*IF(D727="S",1,0)+0.0457*IF(E727="L",1,0)+T727+U727)</f>
        <v/>
      </c>
      <c r="W727">
        <f>MAX(0,MIN(16,ROUND(V727,0)))</f>
        <v/>
      </c>
      <c r="X727">
        <f>IFNA(VLOOKUP(W727,Grade_Scale!$A:$B,2,FALSE),"F")</f>
        <v/>
      </c>
      <c r="Z727">
        <f>IF(Y727="","",W727-IFNA(VLOOKUP(Y727,Grade_Scale!$D:$E,2,FALSE),""))</f>
        <v/>
      </c>
    </row>
    <row r="728">
      <c r="P728">
        <f>IF(OR(B728="SP",B728="RP",B728="CP",B728="SP/RP"),"P","H")</f>
        <v/>
      </c>
      <c r="Q728">
        <f>IF(F728="",0,IFNA(VLOOKUP(F728,Trait_Polarity!$A:$C,2,FALSE),0))+IF(G728="",0,IFNA(VLOOKUP(G728,Trait_Polarity!$A:$C,2,FALSE),0))</f>
        <v/>
      </c>
      <c r="R728">
        <f>IF(F728="",0,IFNA(VLOOKUP(F728,Trait_Polarity!$A:$C,3,FALSE),0))+IF(G728="",0,IFNA(VLOOKUP(G728,Trait_Polarity!$A:$C,3,FALSE),0))</f>
        <v/>
      </c>
      <c r="S728">
        <f>IF(P728="P",(M728+N728+O728)/3,0.3*H728+0.3*I728+0.2*J728+0.1*K728+0.1*L728)</f>
        <v/>
      </c>
      <c r="T728">
        <f>IF(P728="P",IFNA(VLOOKUP(B728,Pitcher_RoleAdj!$A:$B,2,FALSE),0),IFNA(VLOOKUP(B728,Hitter_PrimaryAdj!$A:$B,2,FALSE),0))</f>
        <v/>
      </c>
      <c r="U728">
        <f>IFNA(VLOOKUP(IF(C728="","(none)",C728),SecondaryAdj!$A:$B,2,FALSE),0)</f>
        <v/>
      </c>
      <c r="V728">
        <f>IF(P728="P",0.7780+0.1628*S728+0.2957*Q728-0.1912*R728-0.1512*IF(D728="S",1,0)+0.1600*IF(E728="L",1,0)+0.0091*H728+0.0124*I728+0.0017*J728+T728+U728,-0.8294+0.1849*S728+0.1750*Q728-0.2969*R728+0.6924*IF(D728="S",1,0)+0.0457*IF(E728="L",1,0)+T728+U728)</f>
        <v/>
      </c>
      <c r="W728">
        <f>MAX(0,MIN(16,ROUND(V728,0)))</f>
        <v/>
      </c>
      <c r="X728">
        <f>IFNA(VLOOKUP(W728,Grade_Scale!$A:$B,2,FALSE),"F")</f>
        <v/>
      </c>
      <c r="Z728">
        <f>IF(Y728="","",W728-IFNA(VLOOKUP(Y728,Grade_Scale!$D:$E,2,FALSE),""))</f>
        <v/>
      </c>
    </row>
    <row r="729">
      <c r="P729">
        <f>IF(OR(B729="SP",B729="RP",B729="CP",B729="SP/RP"),"P","H")</f>
        <v/>
      </c>
      <c r="Q729">
        <f>IF(F729="",0,IFNA(VLOOKUP(F729,Trait_Polarity!$A:$C,2,FALSE),0))+IF(G729="",0,IFNA(VLOOKUP(G729,Trait_Polarity!$A:$C,2,FALSE),0))</f>
        <v/>
      </c>
      <c r="R729">
        <f>IF(F729="",0,IFNA(VLOOKUP(F729,Trait_Polarity!$A:$C,3,FALSE),0))+IF(G729="",0,IFNA(VLOOKUP(G729,Trait_Polarity!$A:$C,3,FALSE),0))</f>
        <v/>
      </c>
      <c r="S729">
        <f>IF(P729="P",(M729+N729+O729)/3,0.3*H729+0.3*I729+0.2*J729+0.1*K729+0.1*L729)</f>
        <v/>
      </c>
      <c r="T729">
        <f>IF(P729="P",IFNA(VLOOKUP(B729,Pitcher_RoleAdj!$A:$B,2,FALSE),0),IFNA(VLOOKUP(B729,Hitter_PrimaryAdj!$A:$B,2,FALSE),0))</f>
        <v/>
      </c>
      <c r="U729">
        <f>IFNA(VLOOKUP(IF(C729="","(none)",C729),SecondaryAdj!$A:$B,2,FALSE),0)</f>
        <v/>
      </c>
      <c r="V729">
        <f>IF(P729="P",0.7780+0.1628*S729+0.2957*Q729-0.1912*R729-0.1512*IF(D729="S",1,0)+0.1600*IF(E729="L",1,0)+0.0091*H729+0.0124*I729+0.0017*J729+T729+U729,-0.8294+0.1849*S729+0.1750*Q729-0.2969*R729+0.6924*IF(D729="S",1,0)+0.0457*IF(E729="L",1,0)+T729+U729)</f>
        <v/>
      </c>
      <c r="W729">
        <f>MAX(0,MIN(16,ROUND(V729,0)))</f>
        <v/>
      </c>
      <c r="X729">
        <f>IFNA(VLOOKUP(W729,Grade_Scale!$A:$B,2,FALSE),"F")</f>
        <v/>
      </c>
      <c r="Z729">
        <f>IF(Y729="","",W729-IFNA(VLOOKUP(Y729,Grade_Scale!$D:$E,2,FALSE),""))</f>
        <v/>
      </c>
    </row>
    <row r="730">
      <c r="P730">
        <f>IF(OR(B730="SP",B730="RP",B730="CP",B730="SP/RP"),"P","H")</f>
        <v/>
      </c>
      <c r="Q730">
        <f>IF(F730="",0,IFNA(VLOOKUP(F730,Trait_Polarity!$A:$C,2,FALSE),0))+IF(G730="",0,IFNA(VLOOKUP(G730,Trait_Polarity!$A:$C,2,FALSE),0))</f>
        <v/>
      </c>
      <c r="R730">
        <f>IF(F730="",0,IFNA(VLOOKUP(F730,Trait_Polarity!$A:$C,3,FALSE),0))+IF(G730="",0,IFNA(VLOOKUP(G730,Trait_Polarity!$A:$C,3,FALSE),0))</f>
        <v/>
      </c>
      <c r="S730">
        <f>IF(P730="P",(M730+N730+O730)/3,0.3*H730+0.3*I730+0.2*J730+0.1*K730+0.1*L730)</f>
        <v/>
      </c>
      <c r="T730">
        <f>IF(P730="P",IFNA(VLOOKUP(B730,Pitcher_RoleAdj!$A:$B,2,FALSE),0),IFNA(VLOOKUP(B730,Hitter_PrimaryAdj!$A:$B,2,FALSE),0))</f>
        <v/>
      </c>
      <c r="U730">
        <f>IFNA(VLOOKUP(IF(C730="","(none)",C730),SecondaryAdj!$A:$B,2,FALSE),0)</f>
        <v/>
      </c>
      <c r="V730">
        <f>IF(P730="P",0.7780+0.1628*S730+0.2957*Q730-0.1912*R730-0.1512*IF(D730="S",1,0)+0.1600*IF(E730="L",1,0)+0.0091*H730+0.0124*I730+0.0017*J730+T730+U730,-0.8294+0.1849*S730+0.1750*Q730-0.2969*R730+0.6924*IF(D730="S",1,0)+0.0457*IF(E730="L",1,0)+T730+U730)</f>
        <v/>
      </c>
      <c r="W730">
        <f>MAX(0,MIN(16,ROUND(V730,0)))</f>
        <v/>
      </c>
      <c r="X730">
        <f>IFNA(VLOOKUP(W730,Grade_Scale!$A:$B,2,FALSE),"F")</f>
        <v/>
      </c>
      <c r="Z730">
        <f>IF(Y730="","",W730-IFNA(VLOOKUP(Y730,Grade_Scale!$D:$E,2,FALSE),""))</f>
        <v/>
      </c>
    </row>
    <row r="731">
      <c r="P731">
        <f>IF(OR(B731="SP",B731="RP",B731="CP",B731="SP/RP"),"P","H")</f>
        <v/>
      </c>
      <c r="Q731">
        <f>IF(F731="",0,IFNA(VLOOKUP(F731,Trait_Polarity!$A:$C,2,FALSE),0))+IF(G731="",0,IFNA(VLOOKUP(G731,Trait_Polarity!$A:$C,2,FALSE),0))</f>
        <v/>
      </c>
      <c r="R731">
        <f>IF(F731="",0,IFNA(VLOOKUP(F731,Trait_Polarity!$A:$C,3,FALSE),0))+IF(G731="",0,IFNA(VLOOKUP(G731,Trait_Polarity!$A:$C,3,FALSE),0))</f>
        <v/>
      </c>
      <c r="S731">
        <f>IF(P731="P",(M731+N731+O731)/3,0.3*H731+0.3*I731+0.2*J731+0.1*K731+0.1*L731)</f>
        <v/>
      </c>
      <c r="T731">
        <f>IF(P731="P",IFNA(VLOOKUP(B731,Pitcher_RoleAdj!$A:$B,2,FALSE),0),IFNA(VLOOKUP(B731,Hitter_PrimaryAdj!$A:$B,2,FALSE),0))</f>
        <v/>
      </c>
      <c r="U731">
        <f>IFNA(VLOOKUP(IF(C731="","(none)",C731),SecondaryAdj!$A:$B,2,FALSE),0)</f>
        <v/>
      </c>
      <c r="V731">
        <f>IF(P731="P",0.7780+0.1628*S731+0.2957*Q731-0.1912*R731-0.1512*IF(D731="S",1,0)+0.1600*IF(E731="L",1,0)+0.0091*H731+0.0124*I731+0.0017*J731+T731+U731,-0.8294+0.1849*S731+0.1750*Q731-0.2969*R731+0.6924*IF(D731="S",1,0)+0.0457*IF(E731="L",1,0)+T731+U731)</f>
        <v/>
      </c>
      <c r="W731">
        <f>MAX(0,MIN(16,ROUND(V731,0)))</f>
        <v/>
      </c>
      <c r="X731">
        <f>IFNA(VLOOKUP(W731,Grade_Scale!$A:$B,2,FALSE),"F")</f>
        <v/>
      </c>
      <c r="Z731">
        <f>IF(Y731="","",W731-IFNA(VLOOKUP(Y731,Grade_Scale!$D:$E,2,FALSE),""))</f>
        <v/>
      </c>
    </row>
    <row r="732">
      <c r="P732">
        <f>IF(OR(B732="SP",B732="RP",B732="CP",B732="SP/RP"),"P","H")</f>
        <v/>
      </c>
      <c r="Q732">
        <f>IF(F732="",0,IFNA(VLOOKUP(F732,Trait_Polarity!$A:$C,2,FALSE),0))+IF(G732="",0,IFNA(VLOOKUP(G732,Trait_Polarity!$A:$C,2,FALSE),0))</f>
        <v/>
      </c>
      <c r="R732">
        <f>IF(F732="",0,IFNA(VLOOKUP(F732,Trait_Polarity!$A:$C,3,FALSE),0))+IF(G732="",0,IFNA(VLOOKUP(G732,Trait_Polarity!$A:$C,3,FALSE),0))</f>
        <v/>
      </c>
      <c r="S732">
        <f>IF(P732="P",(M732+N732+O732)/3,0.3*H732+0.3*I732+0.2*J732+0.1*K732+0.1*L732)</f>
        <v/>
      </c>
      <c r="T732">
        <f>IF(P732="P",IFNA(VLOOKUP(B732,Pitcher_RoleAdj!$A:$B,2,FALSE),0),IFNA(VLOOKUP(B732,Hitter_PrimaryAdj!$A:$B,2,FALSE),0))</f>
        <v/>
      </c>
      <c r="U732">
        <f>IFNA(VLOOKUP(IF(C732="","(none)",C732),SecondaryAdj!$A:$B,2,FALSE),0)</f>
        <v/>
      </c>
      <c r="V732">
        <f>IF(P732="P",0.7780+0.1628*S732+0.2957*Q732-0.1912*R732-0.1512*IF(D732="S",1,0)+0.1600*IF(E732="L",1,0)+0.0091*H732+0.0124*I732+0.0017*J732+T732+U732,-0.8294+0.1849*S732+0.1750*Q732-0.2969*R732+0.6924*IF(D732="S",1,0)+0.0457*IF(E732="L",1,0)+T732+U732)</f>
        <v/>
      </c>
      <c r="W732">
        <f>MAX(0,MIN(16,ROUND(V732,0)))</f>
        <v/>
      </c>
      <c r="X732">
        <f>IFNA(VLOOKUP(W732,Grade_Scale!$A:$B,2,FALSE),"F")</f>
        <v/>
      </c>
      <c r="Z732">
        <f>IF(Y732="","",W732-IFNA(VLOOKUP(Y732,Grade_Scale!$D:$E,2,FALSE),""))</f>
        <v/>
      </c>
    </row>
    <row r="733">
      <c r="P733">
        <f>IF(OR(B733="SP",B733="RP",B733="CP",B733="SP/RP"),"P","H")</f>
        <v/>
      </c>
      <c r="Q733">
        <f>IF(F733="",0,IFNA(VLOOKUP(F733,Trait_Polarity!$A:$C,2,FALSE),0))+IF(G733="",0,IFNA(VLOOKUP(G733,Trait_Polarity!$A:$C,2,FALSE),0))</f>
        <v/>
      </c>
      <c r="R733">
        <f>IF(F733="",0,IFNA(VLOOKUP(F733,Trait_Polarity!$A:$C,3,FALSE),0))+IF(G733="",0,IFNA(VLOOKUP(G733,Trait_Polarity!$A:$C,3,FALSE),0))</f>
        <v/>
      </c>
      <c r="S733">
        <f>IF(P733="P",(M733+N733+O733)/3,0.3*H733+0.3*I733+0.2*J733+0.1*K733+0.1*L733)</f>
        <v/>
      </c>
      <c r="T733">
        <f>IF(P733="P",IFNA(VLOOKUP(B733,Pitcher_RoleAdj!$A:$B,2,FALSE),0),IFNA(VLOOKUP(B733,Hitter_PrimaryAdj!$A:$B,2,FALSE),0))</f>
        <v/>
      </c>
      <c r="U733">
        <f>IFNA(VLOOKUP(IF(C733="","(none)",C733),SecondaryAdj!$A:$B,2,FALSE),0)</f>
        <v/>
      </c>
      <c r="V733">
        <f>IF(P733="P",0.7780+0.1628*S733+0.2957*Q733-0.1912*R733-0.1512*IF(D733="S",1,0)+0.1600*IF(E733="L",1,0)+0.0091*H733+0.0124*I733+0.0017*J733+T733+U733,-0.8294+0.1849*S733+0.1750*Q733-0.2969*R733+0.6924*IF(D733="S",1,0)+0.0457*IF(E733="L",1,0)+T733+U733)</f>
        <v/>
      </c>
      <c r="W733">
        <f>MAX(0,MIN(16,ROUND(V733,0)))</f>
        <v/>
      </c>
      <c r="X733">
        <f>IFNA(VLOOKUP(W733,Grade_Scale!$A:$B,2,FALSE),"F")</f>
        <v/>
      </c>
      <c r="Z733">
        <f>IF(Y733="","",W733-IFNA(VLOOKUP(Y733,Grade_Scale!$D:$E,2,FALSE),""))</f>
        <v/>
      </c>
    </row>
    <row r="734">
      <c r="P734">
        <f>IF(OR(B734="SP",B734="RP",B734="CP",B734="SP/RP"),"P","H")</f>
        <v/>
      </c>
      <c r="Q734">
        <f>IF(F734="",0,IFNA(VLOOKUP(F734,Trait_Polarity!$A:$C,2,FALSE),0))+IF(G734="",0,IFNA(VLOOKUP(G734,Trait_Polarity!$A:$C,2,FALSE),0))</f>
        <v/>
      </c>
      <c r="R734">
        <f>IF(F734="",0,IFNA(VLOOKUP(F734,Trait_Polarity!$A:$C,3,FALSE),0))+IF(G734="",0,IFNA(VLOOKUP(G734,Trait_Polarity!$A:$C,3,FALSE),0))</f>
        <v/>
      </c>
      <c r="S734">
        <f>IF(P734="P",(M734+N734+O734)/3,0.3*H734+0.3*I734+0.2*J734+0.1*K734+0.1*L734)</f>
        <v/>
      </c>
      <c r="T734">
        <f>IF(P734="P",IFNA(VLOOKUP(B734,Pitcher_RoleAdj!$A:$B,2,FALSE),0),IFNA(VLOOKUP(B734,Hitter_PrimaryAdj!$A:$B,2,FALSE),0))</f>
        <v/>
      </c>
      <c r="U734">
        <f>IFNA(VLOOKUP(IF(C734="","(none)",C734),SecondaryAdj!$A:$B,2,FALSE),0)</f>
        <v/>
      </c>
      <c r="V734">
        <f>IF(P734="P",0.7780+0.1628*S734+0.2957*Q734-0.1912*R734-0.1512*IF(D734="S",1,0)+0.1600*IF(E734="L",1,0)+0.0091*H734+0.0124*I734+0.0017*J734+T734+U734,-0.8294+0.1849*S734+0.1750*Q734-0.2969*R734+0.6924*IF(D734="S",1,0)+0.0457*IF(E734="L",1,0)+T734+U734)</f>
        <v/>
      </c>
      <c r="W734">
        <f>MAX(0,MIN(16,ROUND(V734,0)))</f>
        <v/>
      </c>
      <c r="X734">
        <f>IFNA(VLOOKUP(W734,Grade_Scale!$A:$B,2,FALSE),"F")</f>
        <v/>
      </c>
      <c r="Z734">
        <f>IF(Y734="","",W734-IFNA(VLOOKUP(Y734,Grade_Scale!$D:$E,2,FALSE),""))</f>
        <v/>
      </c>
    </row>
    <row r="735">
      <c r="P735">
        <f>IF(OR(B735="SP",B735="RP",B735="CP",B735="SP/RP"),"P","H")</f>
        <v/>
      </c>
      <c r="Q735">
        <f>IF(F735="",0,IFNA(VLOOKUP(F735,Trait_Polarity!$A:$C,2,FALSE),0))+IF(G735="",0,IFNA(VLOOKUP(G735,Trait_Polarity!$A:$C,2,FALSE),0))</f>
        <v/>
      </c>
      <c r="R735">
        <f>IF(F735="",0,IFNA(VLOOKUP(F735,Trait_Polarity!$A:$C,3,FALSE),0))+IF(G735="",0,IFNA(VLOOKUP(G735,Trait_Polarity!$A:$C,3,FALSE),0))</f>
        <v/>
      </c>
      <c r="S735">
        <f>IF(P735="P",(M735+N735+O735)/3,0.3*H735+0.3*I735+0.2*J735+0.1*K735+0.1*L735)</f>
        <v/>
      </c>
      <c r="T735">
        <f>IF(P735="P",IFNA(VLOOKUP(B735,Pitcher_RoleAdj!$A:$B,2,FALSE),0),IFNA(VLOOKUP(B735,Hitter_PrimaryAdj!$A:$B,2,FALSE),0))</f>
        <v/>
      </c>
      <c r="U735">
        <f>IFNA(VLOOKUP(IF(C735="","(none)",C735),SecondaryAdj!$A:$B,2,FALSE),0)</f>
        <v/>
      </c>
      <c r="V735">
        <f>IF(P735="P",0.7780+0.1628*S735+0.2957*Q735-0.1912*R735-0.1512*IF(D735="S",1,0)+0.1600*IF(E735="L",1,0)+0.0091*H735+0.0124*I735+0.0017*J735+T735+U735,-0.8294+0.1849*S735+0.1750*Q735-0.2969*R735+0.6924*IF(D735="S",1,0)+0.0457*IF(E735="L",1,0)+T735+U735)</f>
        <v/>
      </c>
      <c r="W735">
        <f>MAX(0,MIN(16,ROUND(V735,0)))</f>
        <v/>
      </c>
      <c r="X735">
        <f>IFNA(VLOOKUP(W735,Grade_Scale!$A:$B,2,FALSE),"F")</f>
        <v/>
      </c>
      <c r="Z735">
        <f>IF(Y735="","",W735-IFNA(VLOOKUP(Y735,Grade_Scale!$D:$E,2,FALSE),""))</f>
        <v/>
      </c>
    </row>
    <row r="736">
      <c r="P736">
        <f>IF(OR(B736="SP",B736="RP",B736="CP",B736="SP/RP"),"P","H")</f>
        <v/>
      </c>
      <c r="Q736">
        <f>IF(F736="",0,IFNA(VLOOKUP(F736,Trait_Polarity!$A:$C,2,FALSE),0))+IF(G736="",0,IFNA(VLOOKUP(G736,Trait_Polarity!$A:$C,2,FALSE),0))</f>
        <v/>
      </c>
      <c r="R736">
        <f>IF(F736="",0,IFNA(VLOOKUP(F736,Trait_Polarity!$A:$C,3,FALSE),0))+IF(G736="",0,IFNA(VLOOKUP(G736,Trait_Polarity!$A:$C,3,FALSE),0))</f>
        <v/>
      </c>
      <c r="S736">
        <f>IF(P736="P",(M736+N736+O736)/3,0.3*H736+0.3*I736+0.2*J736+0.1*K736+0.1*L736)</f>
        <v/>
      </c>
      <c r="T736">
        <f>IF(P736="P",IFNA(VLOOKUP(B736,Pitcher_RoleAdj!$A:$B,2,FALSE),0),IFNA(VLOOKUP(B736,Hitter_PrimaryAdj!$A:$B,2,FALSE),0))</f>
        <v/>
      </c>
      <c r="U736">
        <f>IFNA(VLOOKUP(IF(C736="","(none)",C736),SecondaryAdj!$A:$B,2,FALSE),0)</f>
        <v/>
      </c>
      <c r="V736">
        <f>IF(P736="P",0.7780+0.1628*S736+0.2957*Q736-0.1912*R736-0.1512*IF(D736="S",1,0)+0.1600*IF(E736="L",1,0)+0.0091*H736+0.0124*I736+0.0017*J736+T736+U736,-0.8294+0.1849*S736+0.1750*Q736-0.2969*R736+0.6924*IF(D736="S",1,0)+0.0457*IF(E736="L",1,0)+T736+U736)</f>
        <v/>
      </c>
      <c r="W736">
        <f>MAX(0,MIN(16,ROUND(V736,0)))</f>
        <v/>
      </c>
      <c r="X736">
        <f>IFNA(VLOOKUP(W736,Grade_Scale!$A:$B,2,FALSE),"F")</f>
        <v/>
      </c>
      <c r="Z736">
        <f>IF(Y736="","",W736-IFNA(VLOOKUP(Y736,Grade_Scale!$D:$E,2,FALSE),""))</f>
        <v/>
      </c>
    </row>
    <row r="737">
      <c r="P737">
        <f>IF(OR(B737="SP",B737="RP",B737="CP",B737="SP/RP"),"P","H")</f>
        <v/>
      </c>
      <c r="Q737">
        <f>IF(F737="",0,IFNA(VLOOKUP(F737,Trait_Polarity!$A:$C,2,FALSE),0))+IF(G737="",0,IFNA(VLOOKUP(G737,Trait_Polarity!$A:$C,2,FALSE),0))</f>
        <v/>
      </c>
      <c r="R737">
        <f>IF(F737="",0,IFNA(VLOOKUP(F737,Trait_Polarity!$A:$C,3,FALSE),0))+IF(G737="",0,IFNA(VLOOKUP(G737,Trait_Polarity!$A:$C,3,FALSE),0))</f>
        <v/>
      </c>
      <c r="S737">
        <f>IF(P737="P",(M737+N737+O737)/3,0.3*H737+0.3*I737+0.2*J737+0.1*K737+0.1*L737)</f>
        <v/>
      </c>
      <c r="T737">
        <f>IF(P737="P",IFNA(VLOOKUP(B737,Pitcher_RoleAdj!$A:$B,2,FALSE),0),IFNA(VLOOKUP(B737,Hitter_PrimaryAdj!$A:$B,2,FALSE),0))</f>
        <v/>
      </c>
      <c r="U737">
        <f>IFNA(VLOOKUP(IF(C737="","(none)",C737),SecondaryAdj!$A:$B,2,FALSE),0)</f>
        <v/>
      </c>
      <c r="V737">
        <f>IF(P737="P",0.7780+0.1628*S737+0.2957*Q737-0.1912*R737-0.1512*IF(D737="S",1,0)+0.1600*IF(E737="L",1,0)+0.0091*H737+0.0124*I737+0.0017*J737+T737+U737,-0.8294+0.1849*S737+0.1750*Q737-0.2969*R737+0.6924*IF(D737="S",1,0)+0.0457*IF(E737="L",1,0)+T737+U737)</f>
        <v/>
      </c>
      <c r="W737">
        <f>MAX(0,MIN(16,ROUND(V737,0)))</f>
        <v/>
      </c>
      <c r="X737">
        <f>IFNA(VLOOKUP(W737,Grade_Scale!$A:$B,2,FALSE),"F")</f>
        <v/>
      </c>
      <c r="Z737">
        <f>IF(Y737="","",W737-IFNA(VLOOKUP(Y737,Grade_Scale!$D:$E,2,FALSE),""))</f>
        <v/>
      </c>
    </row>
    <row r="738">
      <c r="P738">
        <f>IF(OR(B738="SP",B738="RP",B738="CP",B738="SP/RP"),"P","H")</f>
        <v/>
      </c>
      <c r="Q738">
        <f>IF(F738="",0,IFNA(VLOOKUP(F738,Trait_Polarity!$A:$C,2,FALSE),0))+IF(G738="",0,IFNA(VLOOKUP(G738,Trait_Polarity!$A:$C,2,FALSE),0))</f>
        <v/>
      </c>
      <c r="R738">
        <f>IF(F738="",0,IFNA(VLOOKUP(F738,Trait_Polarity!$A:$C,3,FALSE),0))+IF(G738="",0,IFNA(VLOOKUP(G738,Trait_Polarity!$A:$C,3,FALSE),0))</f>
        <v/>
      </c>
      <c r="S738">
        <f>IF(P738="P",(M738+N738+O738)/3,0.3*H738+0.3*I738+0.2*J738+0.1*K738+0.1*L738)</f>
        <v/>
      </c>
      <c r="T738">
        <f>IF(P738="P",IFNA(VLOOKUP(B738,Pitcher_RoleAdj!$A:$B,2,FALSE),0),IFNA(VLOOKUP(B738,Hitter_PrimaryAdj!$A:$B,2,FALSE),0))</f>
        <v/>
      </c>
      <c r="U738">
        <f>IFNA(VLOOKUP(IF(C738="","(none)",C738),SecondaryAdj!$A:$B,2,FALSE),0)</f>
        <v/>
      </c>
      <c r="V738">
        <f>IF(P738="P",0.7780+0.1628*S738+0.2957*Q738-0.1912*R738-0.1512*IF(D738="S",1,0)+0.1600*IF(E738="L",1,0)+0.0091*H738+0.0124*I738+0.0017*J738+T738+U738,-0.8294+0.1849*S738+0.1750*Q738-0.2969*R738+0.6924*IF(D738="S",1,0)+0.0457*IF(E738="L",1,0)+T738+U738)</f>
        <v/>
      </c>
      <c r="W738">
        <f>MAX(0,MIN(16,ROUND(V738,0)))</f>
        <v/>
      </c>
      <c r="X738">
        <f>IFNA(VLOOKUP(W738,Grade_Scale!$A:$B,2,FALSE),"F")</f>
        <v/>
      </c>
      <c r="Z738">
        <f>IF(Y738="","",W738-IFNA(VLOOKUP(Y738,Grade_Scale!$D:$E,2,FALSE),""))</f>
        <v/>
      </c>
    </row>
    <row r="739">
      <c r="P739">
        <f>IF(OR(B739="SP",B739="RP",B739="CP",B739="SP/RP"),"P","H")</f>
        <v/>
      </c>
      <c r="Q739">
        <f>IF(F739="",0,IFNA(VLOOKUP(F739,Trait_Polarity!$A:$C,2,FALSE),0))+IF(G739="",0,IFNA(VLOOKUP(G739,Trait_Polarity!$A:$C,2,FALSE),0))</f>
        <v/>
      </c>
      <c r="R739">
        <f>IF(F739="",0,IFNA(VLOOKUP(F739,Trait_Polarity!$A:$C,3,FALSE),0))+IF(G739="",0,IFNA(VLOOKUP(G739,Trait_Polarity!$A:$C,3,FALSE),0))</f>
        <v/>
      </c>
      <c r="S739">
        <f>IF(P739="P",(M739+N739+O739)/3,0.3*H739+0.3*I739+0.2*J739+0.1*K739+0.1*L739)</f>
        <v/>
      </c>
      <c r="T739">
        <f>IF(P739="P",IFNA(VLOOKUP(B739,Pitcher_RoleAdj!$A:$B,2,FALSE),0),IFNA(VLOOKUP(B739,Hitter_PrimaryAdj!$A:$B,2,FALSE),0))</f>
        <v/>
      </c>
      <c r="U739">
        <f>IFNA(VLOOKUP(IF(C739="","(none)",C739),SecondaryAdj!$A:$B,2,FALSE),0)</f>
        <v/>
      </c>
      <c r="V739">
        <f>IF(P739="P",0.7780+0.1628*S739+0.2957*Q739-0.1912*R739-0.1512*IF(D739="S",1,0)+0.1600*IF(E739="L",1,0)+0.0091*H739+0.0124*I739+0.0017*J739+T739+U739,-0.8294+0.1849*S739+0.1750*Q739-0.2969*R739+0.6924*IF(D739="S",1,0)+0.0457*IF(E739="L",1,0)+T739+U739)</f>
        <v/>
      </c>
      <c r="W739">
        <f>MAX(0,MIN(16,ROUND(V739,0)))</f>
        <v/>
      </c>
      <c r="X739">
        <f>IFNA(VLOOKUP(W739,Grade_Scale!$A:$B,2,FALSE),"F")</f>
        <v/>
      </c>
      <c r="Z739">
        <f>IF(Y739="","",W739-IFNA(VLOOKUP(Y739,Grade_Scale!$D:$E,2,FALSE),""))</f>
        <v/>
      </c>
    </row>
    <row r="740">
      <c r="P740">
        <f>IF(OR(B740="SP",B740="RP",B740="CP",B740="SP/RP"),"P","H")</f>
        <v/>
      </c>
      <c r="Q740">
        <f>IF(F740="",0,IFNA(VLOOKUP(F740,Trait_Polarity!$A:$C,2,FALSE),0))+IF(G740="",0,IFNA(VLOOKUP(G740,Trait_Polarity!$A:$C,2,FALSE),0))</f>
        <v/>
      </c>
      <c r="R740">
        <f>IF(F740="",0,IFNA(VLOOKUP(F740,Trait_Polarity!$A:$C,3,FALSE),0))+IF(G740="",0,IFNA(VLOOKUP(G740,Trait_Polarity!$A:$C,3,FALSE),0))</f>
        <v/>
      </c>
      <c r="S740">
        <f>IF(P740="P",(M740+N740+O740)/3,0.3*H740+0.3*I740+0.2*J740+0.1*K740+0.1*L740)</f>
        <v/>
      </c>
      <c r="T740">
        <f>IF(P740="P",IFNA(VLOOKUP(B740,Pitcher_RoleAdj!$A:$B,2,FALSE),0),IFNA(VLOOKUP(B740,Hitter_PrimaryAdj!$A:$B,2,FALSE),0))</f>
        <v/>
      </c>
      <c r="U740">
        <f>IFNA(VLOOKUP(IF(C740="","(none)",C740),SecondaryAdj!$A:$B,2,FALSE),0)</f>
        <v/>
      </c>
      <c r="V740">
        <f>IF(P740="P",0.7780+0.1628*S740+0.2957*Q740-0.1912*R740-0.1512*IF(D740="S",1,0)+0.1600*IF(E740="L",1,0)+0.0091*H740+0.0124*I740+0.0017*J740+T740+U740,-0.8294+0.1849*S740+0.1750*Q740-0.2969*R740+0.6924*IF(D740="S",1,0)+0.0457*IF(E740="L",1,0)+T740+U740)</f>
        <v/>
      </c>
      <c r="W740">
        <f>MAX(0,MIN(16,ROUND(V740,0)))</f>
        <v/>
      </c>
      <c r="X740">
        <f>IFNA(VLOOKUP(W740,Grade_Scale!$A:$B,2,FALSE),"F")</f>
        <v/>
      </c>
      <c r="Z740">
        <f>IF(Y740="","",W740-IFNA(VLOOKUP(Y740,Grade_Scale!$D:$E,2,FALSE),""))</f>
        <v/>
      </c>
    </row>
    <row r="741">
      <c r="P741">
        <f>IF(OR(B741="SP",B741="RP",B741="CP",B741="SP/RP"),"P","H")</f>
        <v/>
      </c>
      <c r="Q741">
        <f>IF(F741="",0,IFNA(VLOOKUP(F741,Trait_Polarity!$A:$C,2,FALSE),0))+IF(G741="",0,IFNA(VLOOKUP(G741,Trait_Polarity!$A:$C,2,FALSE),0))</f>
        <v/>
      </c>
      <c r="R741">
        <f>IF(F741="",0,IFNA(VLOOKUP(F741,Trait_Polarity!$A:$C,3,FALSE),0))+IF(G741="",0,IFNA(VLOOKUP(G741,Trait_Polarity!$A:$C,3,FALSE),0))</f>
        <v/>
      </c>
      <c r="S741">
        <f>IF(P741="P",(M741+N741+O741)/3,0.3*H741+0.3*I741+0.2*J741+0.1*K741+0.1*L741)</f>
        <v/>
      </c>
      <c r="T741">
        <f>IF(P741="P",IFNA(VLOOKUP(B741,Pitcher_RoleAdj!$A:$B,2,FALSE),0),IFNA(VLOOKUP(B741,Hitter_PrimaryAdj!$A:$B,2,FALSE),0))</f>
        <v/>
      </c>
      <c r="U741">
        <f>IFNA(VLOOKUP(IF(C741="","(none)",C741),SecondaryAdj!$A:$B,2,FALSE),0)</f>
        <v/>
      </c>
      <c r="V741">
        <f>IF(P741="P",0.7780+0.1628*S741+0.2957*Q741-0.1912*R741-0.1512*IF(D741="S",1,0)+0.1600*IF(E741="L",1,0)+0.0091*H741+0.0124*I741+0.0017*J741+T741+U741,-0.8294+0.1849*S741+0.1750*Q741-0.2969*R741+0.6924*IF(D741="S",1,0)+0.0457*IF(E741="L",1,0)+T741+U741)</f>
        <v/>
      </c>
      <c r="W741">
        <f>MAX(0,MIN(16,ROUND(V741,0)))</f>
        <v/>
      </c>
      <c r="X741">
        <f>IFNA(VLOOKUP(W741,Grade_Scale!$A:$B,2,FALSE),"F")</f>
        <v/>
      </c>
      <c r="Z741">
        <f>IF(Y741="","",W741-IFNA(VLOOKUP(Y741,Grade_Scale!$D:$E,2,FALSE),""))</f>
        <v/>
      </c>
    </row>
    <row r="742">
      <c r="P742">
        <f>IF(OR(B742="SP",B742="RP",B742="CP",B742="SP/RP"),"P","H")</f>
        <v/>
      </c>
      <c r="Q742">
        <f>IF(F742="",0,IFNA(VLOOKUP(F742,Trait_Polarity!$A:$C,2,FALSE),0))+IF(G742="",0,IFNA(VLOOKUP(G742,Trait_Polarity!$A:$C,2,FALSE),0))</f>
        <v/>
      </c>
      <c r="R742">
        <f>IF(F742="",0,IFNA(VLOOKUP(F742,Trait_Polarity!$A:$C,3,FALSE),0))+IF(G742="",0,IFNA(VLOOKUP(G742,Trait_Polarity!$A:$C,3,FALSE),0))</f>
        <v/>
      </c>
      <c r="S742">
        <f>IF(P742="P",(M742+N742+O742)/3,0.3*H742+0.3*I742+0.2*J742+0.1*K742+0.1*L742)</f>
        <v/>
      </c>
      <c r="T742">
        <f>IF(P742="P",IFNA(VLOOKUP(B742,Pitcher_RoleAdj!$A:$B,2,FALSE),0),IFNA(VLOOKUP(B742,Hitter_PrimaryAdj!$A:$B,2,FALSE),0))</f>
        <v/>
      </c>
      <c r="U742">
        <f>IFNA(VLOOKUP(IF(C742="","(none)",C742),SecondaryAdj!$A:$B,2,FALSE),0)</f>
        <v/>
      </c>
      <c r="V742">
        <f>IF(P742="P",0.7780+0.1628*S742+0.2957*Q742-0.1912*R742-0.1512*IF(D742="S",1,0)+0.1600*IF(E742="L",1,0)+0.0091*H742+0.0124*I742+0.0017*J742+T742+U742,-0.8294+0.1849*S742+0.1750*Q742-0.2969*R742+0.6924*IF(D742="S",1,0)+0.0457*IF(E742="L",1,0)+T742+U742)</f>
        <v/>
      </c>
      <c r="W742">
        <f>MAX(0,MIN(16,ROUND(V742,0)))</f>
        <v/>
      </c>
      <c r="X742">
        <f>IFNA(VLOOKUP(W742,Grade_Scale!$A:$B,2,FALSE),"F")</f>
        <v/>
      </c>
      <c r="Z742">
        <f>IF(Y742="","",W742-IFNA(VLOOKUP(Y742,Grade_Scale!$D:$E,2,FALSE),""))</f>
        <v/>
      </c>
    </row>
    <row r="743">
      <c r="P743">
        <f>IF(OR(B743="SP",B743="RP",B743="CP",B743="SP/RP"),"P","H")</f>
        <v/>
      </c>
      <c r="Q743">
        <f>IF(F743="",0,IFNA(VLOOKUP(F743,Trait_Polarity!$A:$C,2,FALSE),0))+IF(G743="",0,IFNA(VLOOKUP(G743,Trait_Polarity!$A:$C,2,FALSE),0))</f>
        <v/>
      </c>
      <c r="R743">
        <f>IF(F743="",0,IFNA(VLOOKUP(F743,Trait_Polarity!$A:$C,3,FALSE),0))+IF(G743="",0,IFNA(VLOOKUP(G743,Trait_Polarity!$A:$C,3,FALSE),0))</f>
        <v/>
      </c>
      <c r="S743">
        <f>IF(P743="P",(M743+N743+O743)/3,0.3*H743+0.3*I743+0.2*J743+0.1*K743+0.1*L743)</f>
        <v/>
      </c>
      <c r="T743">
        <f>IF(P743="P",IFNA(VLOOKUP(B743,Pitcher_RoleAdj!$A:$B,2,FALSE),0),IFNA(VLOOKUP(B743,Hitter_PrimaryAdj!$A:$B,2,FALSE),0))</f>
        <v/>
      </c>
      <c r="U743">
        <f>IFNA(VLOOKUP(IF(C743="","(none)",C743),SecondaryAdj!$A:$B,2,FALSE),0)</f>
        <v/>
      </c>
      <c r="V743">
        <f>IF(P743="P",0.7780+0.1628*S743+0.2957*Q743-0.1912*R743-0.1512*IF(D743="S",1,0)+0.1600*IF(E743="L",1,0)+0.0091*H743+0.0124*I743+0.0017*J743+T743+U743,-0.8294+0.1849*S743+0.1750*Q743-0.2969*R743+0.6924*IF(D743="S",1,0)+0.0457*IF(E743="L",1,0)+T743+U743)</f>
        <v/>
      </c>
      <c r="W743">
        <f>MAX(0,MIN(16,ROUND(V743,0)))</f>
        <v/>
      </c>
      <c r="X743">
        <f>IFNA(VLOOKUP(W743,Grade_Scale!$A:$B,2,FALSE),"F")</f>
        <v/>
      </c>
      <c r="Z743">
        <f>IF(Y743="","",W743-IFNA(VLOOKUP(Y743,Grade_Scale!$D:$E,2,FALSE),""))</f>
        <v/>
      </c>
    </row>
    <row r="744">
      <c r="P744">
        <f>IF(OR(B744="SP",B744="RP",B744="CP",B744="SP/RP"),"P","H")</f>
        <v/>
      </c>
      <c r="Q744">
        <f>IF(F744="",0,IFNA(VLOOKUP(F744,Trait_Polarity!$A:$C,2,FALSE),0))+IF(G744="",0,IFNA(VLOOKUP(G744,Trait_Polarity!$A:$C,2,FALSE),0))</f>
        <v/>
      </c>
      <c r="R744">
        <f>IF(F744="",0,IFNA(VLOOKUP(F744,Trait_Polarity!$A:$C,3,FALSE),0))+IF(G744="",0,IFNA(VLOOKUP(G744,Trait_Polarity!$A:$C,3,FALSE),0))</f>
        <v/>
      </c>
      <c r="S744">
        <f>IF(P744="P",(M744+N744+O744)/3,0.3*H744+0.3*I744+0.2*J744+0.1*K744+0.1*L744)</f>
        <v/>
      </c>
      <c r="T744">
        <f>IF(P744="P",IFNA(VLOOKUP(B744,Pitcher_RoleAdj!$A:$B,2,FALSE),0),IFNA(VLOOKUP(B744,Hitter_PrimaryAdj!$A:$B,2,FALSE),0))</f>
        <v/>
      </c>
      <c r="U744">
        <f>IFNA(VLOOKUP(IF(C744="","(none)",C744),SecondaryAdj!$A:$B,2,FALSE),0)</f>
        <v/>
      </c>
      <c r="V744">
        <f>IF(P744="P",0.7780+0.1628*S744+0.2957*Q744-0.1912*R744-0.1512*IF(D744="S",1,0)+0.1600*IF(E744="L",1,0)+0.0091*H744+0.0124*I744+0.0017*J744+T744+U744,-0.8294+0.1849*S744+0.1750*Q744-0.2969*R744+0.6924*IF(D744="S",1,0)+0.0457*IF(E744="L",1,0)+T744+U744)</f>
        <v/>
      </c>
      <c r="W744">
        <f>MAX(0,MIN(16,ROUND(V744,0)))</f>
        <v/>
      </c>
      <c r="X744">
        <f>IFNA(VLOOKUP(W744,Grade_Scale!$A:$B,2,FALSE),"F")</f>
        <v/>
      </c>
      <c r="Z744">
        <f>IF(Y744="","",W744-IFNA(VLOOKUP(Y744,Grade_Scale!$D:$E,2,FALSE),""))</f>
        <v/>
      </c>
    </row>
    <row r="745">
      <c r="P745">
        <f>IF(OR(B745="SP",B745="RP",B745="CP",B745="SP/RP"),"P","H")</f>
        <v/>
      </c>
      <c r="Q745">
        <f>IF(F745="",0,IFNA(VLOOKUP(F745,Trait_Polarity!$A:$C,2,FALSE),0))+IF(G745="",0,IFNA(VLOOKUP(G745,Trait_Polarity!$A:$C,2,FALSE),0))</f>
        <v/>
      </c>
      <c r="R745">
        <f>IF(F745="",0,IFNA(VLOOKUP(F745,Trait_Polarity!$A:$C,3,FALSE),0))+IF(G745="",0,IFNA(VLOOKUP(G745,Trait_Polarity!$A:$C,3,FALSE),0))</f>
        <v/>
      </c>
      <c r="S745">
        <f>IF(P745="P",(M745+N745+O745)/3,0.3*H745+0.3*I745+0.2*J745+0.1*K745+0.1*L745)</f>
        <v/>
      </c>
      <c r="T745">
        <f>IF(P745="P",IFNA(VLOOKUP(B745,Pitcher_RoleAdj!$A:$B,2,FALSE),0),IFNA(VLOOKUP(B745,Hitter_PrimaryAdj!$A:$B,2,FALSE),0))</f>
        <v/>
      </c>
      <c r="U745">
        <f>IFNA(VLOOKUP(IF(C745="","(none)",C745),SecondaryAdj!$A:$B,2,FALSE),0)</f>
        <v/>
      </c>
      <c r="V745">
        <f>IF(P745="P",0.7780+0.1628*S745+0.2957*Q745-0.1912*R745-0.1512*IF(D745="S",1,0)+0.1600*IF(E745="L",1,0)+0.0091*H745+0.0124*I745+0.0017*J745+T745+U745,-0.8294+0.1849*S745+0.1750*Q745-0.2969*R745+0.6924*IF(D745="S",1,0)+0.0457*IF(E745="L",1,0)+T745+U745)</f>
        <v/>
      </c>
      <c r="W745">
        <f>MAX(0,MIN(16,ROUND(V745,0)))</f>
        <v/>
      </c>
      <c r="X745">
        <f>IFNA(VLOOKUP(W745,Grade_Scale!$A:$B,2,FALSE),"F")</f>
        <v/>
      </c>
      <c r="Z745">
        <f>IF(Y745="","",W745-IFNA(VLOOKUP(Y745,Grade_Scale!$D:$E,2,FALSE),""))</f>
        <v/>
      </c>
    </row>
    <row r="746">
      <c r="P746">
        <f>IF(OR(B746="SP",B746="RP",B746="CP",B746="SP/RP"),"P","H")</f>
        <v/>
      </c>
      <c r="Q746">
        <f>IF(F746="",0,IFNA(VLOOKUP(F746,Trait_Polarity!$A:$C,2,FALSE),0))+IF(G746="",0,IFNA(VLOOKUP(G746,Trait_Polarity!$A:$C,2,FALSE),0))</f>
        <v/>
      </c>
      <c r="R746">
        <f>IF(F746="",0,IFNA(VLOOKUP(F746,Trait_Polarity!$A:$C,3,FALSE),0))+IF(G746="",0,IFNA(VLOOKUP(G746,Trait_Polarity!$A:$C,3,FALSE),0))</f>
        <v/>
      </c>
      <c r="S746">
        <f>IF(P746="P",(M746+N746+O746)/3,0.3*H746+0.3*I746+0.2*J746+0.1*K746+0.1*L746)</f>
        <v/>
      </c>
      <c r="T746">
        <f>IF(P746="P",IFNA(VLOOKUP(B746,Pitcher_RoleAdj!$A:$B,2,FALSE),0),IFNA(VLOOKUP(B746,Hitter_PrimaryAdj!$A:$B,2,FALSE),0))</f>
        <v/>
      </c>
      <c r="U746">
        <f>IFNA(VLOOKUP(IF(C746="","(none)",C746),SecondaryAdj!$A:$B,2,FALSE),0)</f>
        <v/>
      </c>
      <c r="V746">
        <f>IF(P746="P",0.7780+0.1628*S746+0.2957*Q746-0.1912*R746-0.1512*IF(D746="S",1,0)+0.1600*IF(E746="L",1,0)+0.0091*H746+0.0124*I746+0.0017*J746+T746+U746,-0.8294+0.1849*S746+0.1750*Q746-0.2969*R746+0.6924*IF(D746="S",1,0)+0.0457*IF(E746="L",1,0)+T746+U746)</f>
        <v/>
      </c>
      <c r="W746">
        <f>MAX(0,MIN(16,ROUND(V746,0)))</f>
        <v/>
      </c>
      <c r="X746">
        <f>IFNA(VLOOKUP(W746,Grade_Scale!$A:$B,2,FALSE),"F")</f>
        <v/>
      </c>
      <c r="Z746">
        <f>IF(Y746="","",W746-IFNA(VLOOKUP(Y746,Grade_Scale!$D:$E,2,FALSE),""))</f>
        <v/>
      </c>
    </row>
    <row r="747">
      <c r="P747">
        <f>IF(OR(B747="SP",B747="RP",B747="CP",B747="SP/RP"),"P","H")</f>
        <v/>
      </c>
      <c r="Q747">
        <f>IF(F747="",0,IFNA(VLOOKUP(F747,Trait_Polarity!$A:$C,2,FALSE),0))+IF(G747="",0,IFNA(VLOOKUP(G747,Trait_Polarity!$A:$C,2,FALSE),0))</f>
        <v/>
      </c>
      <c r="R747">
        <f>IF(F747="",0,IFNA(VLOOKUP(F747,Trait_Polarity!$A:$C,3,FALSE),0))+IF(G747="",0,IFNA(VLOOKUP(G747,Trait_Polarity!$A:$C,3,FALSE),0))</f>
        <v/>
      </c>
      <c r="S747">
        <f>IF(P747="P",(M747+N747+O747)/3,0.3*H747+0.3*I747+0.2*J747+0.1*K747+0.1*L747)</f>
        <v/>
      </c>
      <c r="T747">
        <f>IF(P747="P",IFNA(VLOOKUP(B747,Pitcher_RoleAdj!$A:$B,2,FALSE),0),IFNA(VLOOKUP(B747,Hitter_PrimaryAdj!$A:$B,2,FALSE),0))</f>
        <v/>
      </c>
      <c r="U747">
        <f>IFNA(VLOOKUP(IF(C747="","(none)",C747),SecondaryAdj!$A:$B,2,FALSE),0)</f>
        <v/>
      </c>
      <c r="V747">
        <f>IF(P747="P",0.7780+0.1628*S747+0.2957*Q747-0.1912*R747-0.1512*IF(D747="S",1,0)+0.1600*IF(E747="L",1,0)+0.0091*H747+0.0124*I747+0.0017*J747+T747+U747,-0.8294+0.1849*S747+0.1750*Q747-0.2969*R747+0.6924*IF(D747="S",1,0)+0.0457*IF(E747="L",1,0)+T747+U747)</f>
        <v/>
      </c>
      <c r="W747">
        <f>MAX(0,MIN(16,ROUND(V747,0)))</f>
        <v/>
      </c>
      <c r="X747">
        <f>IFNA(VLOOKUP(W747,Grade_Scale!$A:$B,2,FALSE),"F")</f>
        <v/>
      </c>
      <c r="Z747">
        <f>IF(Y747="","",W747-IFNA(VLOOKUP(Y747,Grade_Scale!$D:$E,2,FALSE),""))</f>
        <v/>
      </c>
    </row>
    <row r="748">
      <c r="P748">
        <f>IF(OR(B748="SP",B748="RP",B748="CP",B748="SP/RP"),"P","H")</f>
        <v/>
      </c>
      <c r="Q748">
        <f>IF(F748="",0,IFNA(VLOOKUP(F748,Trait_Polarity!$A:$C,2,FALSE),0))+IF(G748="",0,IFNA(VLOOKUP(G748,Trait_Polarity!$A:$C,2,FALSE),0))</f>
        <v/>
      </c>
      <c r="R748">
        <f>IF(F748="",0,IFNA(VLOOKUP(F748,Trait_Polarity!$A:$C,3,FALSE),0))+IF(G748="",0,IFNA(VLOOKUP(G748,Trait_Polarity!$A:$C,3,FALSE),0))</f>
        <v/>
      </c>
      <c r="S748">
        <f>IF(P748="P",(M748+N748+O748)/3,0.3*H748+0.3*I748+0.2*J748+0.1*K748+0.1*L748)</f>
        <v/>
      </c>
      <c r="T748">
        <f>IF(P748="P",IFNA(VLOOKUP(B748,Pitcher_RoleAdj!$A:$B,2,FALSE),0),IFNA(VLOOKUP(B748,Hitter_PrimaryAdj!$A:$B,2,FALSE),0))</f>
        <v/>
      </c>
      <c r="U748">
        <f>IFNA(VLOOKUP(IF(C748="","(none)",C748),SecondaryAdj!$A:$B,2,FALSE),0)</f>
        <v/>
      </c>
      <c r="V748">
        <f>IF(P748="P",0.7780+0.1628*S748+0.2957*Q748-0.1912*R748-0.1512*IF(D748="S",1,0)+0.1600*IF(E748="L",1,0)+0.0091*H748+0.0124*I748+0.0017*J748+T748+U748,-0.8294+0.1849*S748+0.1750*Q748-0.2969*R748+0.6924*IF(D748="S",1,0)+0.0457*IF(E748="L",1,0)+T748+U748)</f>
        <v/>
      </c>
      <c r="W748">
        <f>MAX(0,MIN(16,ROUND(V748,0)))</f>
        <v/>
      </c>
      <c r="X748">
        <f>IFNA(VLOOKUP(W748,Grade_Scale!$A:$B,2,FALSE),"F")</f>
        <v/>
      </c>
      <c r="Z748">
        <f>IF(Y748="","",W748-IFNA(VLOOKUP(Y748,Grade_Scale!$D:$E,2,FALSE),""))</f>
        <v/>
      </c>
    </row>
    <row r="749">
      <c r="P749">
        <f>IF(OR(B749="SP",B749="RP",B749="CP",B749="SP/RP"),"P","H")</f>
        <v/>
      </c>
      <c r="Q749">
        <f>IF(F749="",0,IFNA(VLOOKUP(F749,Trait_Polarity!$A:$C,2,FALSE),0))+IF(G749="",0,IFNA(VLOOKUP(G749,Trait_Polarity!$A:$C,2,FALSE),0))</f>
        <v/>
      </c>
      <c r="R749">
        <f>IF(F749="",0,IFNA(VLOOKUP(F749,Trait_Polarity!$A:$C,3,FALSE),0))+IF(G749="",0,IFNA(VLOOKUP(G749,Trait_Polarity!$A:$C,3,FALSE),0))</f>
        <v/>
      </c>
      <c r="S749">
        <f>IF(P749="P",(M749+N749+O749)/3,0.3*H749+0.3*I749+0.2*J749+0.1*K749+0.1*L749)</f>
        <v/>
      </c>
      <c r="T749">
        <f>IF(P749="P",IFNA(VLOOKUP(B749,Pitcher_RoleAdj!$A:$B,2,FALSE),0),IFNA(VLOOKUP(B749,Hitter_PrimaryAdj!$A:$B,2,FALSE),0))</f>
        <v/>
      </c>
      <c r="U749">
        <f>IFNA(VLOOKUP(IF(C749="","(none)",C749),SecondaryAdj!$A:$B,2,FALSE),0)</f>
        <v/>
      </c>
      <c r="V749">
        <f>IF(P749="P",0.7780+0.1628*S749+0.2957*Q749-0.1912*R749-0.1512*IF(D749="S",1,0)+0.1600*IF(E749="L",1,0)+0.0091*H749+0.0124*I749+0.0017*J749+T749+U749,-0.8294+0.1849*S749+0.1750*Q749-0.2969*R749+0.6924*IF(D749="S",1,0)+0.0457*IF(E749="L",1,0)+T749+U749)</f>
        <v/>
      </c>
      <c r="W749">
        <f>MAX(0,MIN(16,ROUND(V749,0)))</f>
        <v/>
      </c>
      <c r="X749">
        <f>IFNA(VLOOKUP(W749,Grade_Scale!$A:$B,2,FALSE),"F")</f>
        <v/>
      </c>
      <c r="Z749">
        <f>IF(Y749="","",W749-IFNA(VLOOKUP(Y749,Grade_Scale!$D:$E,2,FALSE),""))</f>
        <v/>
      </c>
    </row>
    <row r="750">
      <c r="P750">
        <f>IF(OR(B750="SP",B750="RP",B750="CP",B750="SP/RP"),"P","H")</f>
        <v/>
      </c>
      <c r="Q750">
        <f>IF(F750="",0,IFNA(VLOOKUP(F750,Trait_Polarity!$A:$C,2,FALSE),0))+IF(G750="",0,IFNA(VLOOKUP(G750,Trait_Polarity!$A:$C,2,FALSE),0))</f>
        <v/>
      </c>
      <c r="R750">
        <f>IF(F750="",0,IFNA(VLOOKUP(F750,Trait_Polarity!$A:$C,3,FALSE),0))+IF(G750="",0,IFNA(VLOOKUP(G750,Trait_Polarity!$A:$C,3,FALSE),0))</f>
        <v/>
      </c>
      <c r="S750">
        <f>IF(P750="P",(M750+N750+O750)/3,0.3*H750+0.3*I750+0.2*J750+0.1*K750+0.1*L750)</f>
        <v/>
      </c>
      <c r="T750">
        <f>IF(P750="P",IFNA(VLOOKUP(B750,Pitcher_RoleAdj!$A:$B,2,FALSE),0),IFNA(VLOOKUP(B750,Hitter_PrimaryAdj!$A:$B,2,FALSE),0))</f>
        <v/>
      </c>
      <c r="U750">
        <f>IFNA(VLOOKUP(IF(C750="","(none)",C750),SecondaryAdj!$A:$B,2,FALSE),0)</f>
        <v/>
      </c>
      <c r="V750">
        <f>IF(P750="P",0.7780+0.1628*S750+0.2957*Q750-0.1912*R750-0.1512*IF(D750="S",1,0)+0.1600*IF(E750="L",1,0)+0.0091*H750+0.0124*I750+0.0017*J750+T750+U750,-0.8294+0.1849*S750+0.1750*Q750-0.2969*R750+0.6924*IF(D750="S",1,0)+0.0457*IF(E750="L",1,0)+T750+U750)</f>
        <v/>
      </c>
      <c r="W750">
        <f>MAX(0,MIN(16,ROUND(V750,0)))</f>
        <v/>
      </c>
      <c r="X750">
        <f>IFNA(VLOOKUP(W750,Grade_Scale!$A:$B,2,FALSE),"F")</f>
        <v/>
      </c>
      <c r="Z750">
        <f>IF(Y750="","",W750-IFNA(VLOOKUP(Y750,Grade_Scale!$D:$E,2,FALSE),""))</f>
        <v/>
      </c>
    </row>
    <row r="751">
      <c r="P751">
        <f>IF(OR(B751="SP",B751="RP",B751="CP",B751="SP/RP"),"P","H")</f>
        <v/>
      </c>
      <c r="Q751">
        <f>IF(F751="",0,IFNA(VLOOKUP(F751,Trait_Polarity!$A:$C,2,FALSE),0))+IF(G751="",0,IFNA(VLOOKUP(G751,Trait_Polarity!$A:$C,2,FALSE),0))</f>
        <v/>
      </c>
      <c r="R751">
        <f>IF(F751="",0,IFNA(VLOOKUP(F751,Trait_Polarity!$A:$C,3,FALSE),0))+IF(G751="",0,IFNA(VLOOKUP(G751,Trait_Polarity!$A:$C,3,FALSE),0))</f>
        <v/>
      </c>
      <c r="S751">
        <f>IF(P751="P",(M751+N751+O751)/3,0.3*H751+0.3*I751+0.2*J751+0.1*K751+0.1*L751)</f>
        <v/>
      </c>
      <c r="T751">
        <f>IF(P751="P",IFNA(VLOOKUP(B751,Pitcher_RoleAdj!$A:$B,2,FALSE),0),IFNA(VLOOKUP(B751,Hitter_PrimaryAdj!$A:$B,2,FALSE),0))</f>
        <v/>
      </c>
      <c r="U751">
        <f>IFNA(VLOOKUP(IF(C751="","(none)",C751),SecondaryAdj!$A:$B,2,FALSE),0)</f>
        <v/>
      </c>
      <c r="V751">
        <f>IF(P751="P",0.7780+0.1628*S751+0.2957*Q751-0.1912*R751-0.1512*IF(D751="S",1,0)+0.1600*IF(E751="L",1,0)+0.0091*H751+0.0124*I751+0.0017*J751+T751+U751,-0.8294+0.1849*S751+0.1750*Q751-0.2969*R751+0.6924*IF(D751="S",1,0)+0.0457*IF(E751="L",1,0)+T751+U751)</f>
        <v/>
      </c>
      <c r="W751">
        <f>MAX(0,MIN(16,ROUND(V751,0)))</f>
        <v/>
      </c>
      <c r="X751">
        <f>IFNA(VLOOKUP(W751,Grade_Scale!$A:$B,2,FALSE),"F")</f>
        <v/>
      </c>
      <c r="Z751">
        <f>IF(Y751="","",W751-IFNA(VLOOKUP(Y751,Grade_Scale!$D:$E,2,FALSE),""))</f>
        <v/>
      </c>
    </row>
    <row r="752">
      <c r="P752">
        <f>IF(OR(B752="SP",B752="RP",B752="CP",B752="SP/RP"),"P","H")</f>
        <v/>
      </c>
      <c r="Q752">
        <f>IF(F752="",0,IFNA(VLOOKUP(F752,Trait_Polarity!$A:$C,2,FALSE),0))+IF(G752="",0,IFNA(VLOOKUP(G752,Trait_Polarity!$A:$C,2,FALSE),0))</f>
        <v/>
      </c>
      <c r="R752">
        <f>IF(F752="",0,IFNA(VLOOKUP(F752,Trait_Polarity!$A:$C,3,FALSE),0))+IF(G752="",0,IFNA(VLOOKUP(G752,Trait_Polarity!$A:$C,3,FALSE),0))</f>
        <v/>
      </c>
      <c r="S752">
        <f>IF(P752="P",(M752+N752+O752)/3,0.3*H752+0.3*I752+0.2*J752+0.1*K752+0.1*L752)</f>
        <v/>
      </c>
      <c r="T752">
        <f>IF(P752="P",IFNA(VLOOKUP(B752,Pitcher_RoleAdj!$A:$B,2,FALSE),0),IFNA(VLOOKUP(B752,Hitter_PrimaryAdj!$A:$B,2,FALSE),0))</f>
        <v/>
      </c>
      <c r="U752">
        <f>IFNA(VLOOKUP(IF(C752="","(none)",C752),SecondaryAdj!$A:$B,2,FALSE),0)</f>
        <v/>
      </c>
      <c r="V752">
        <f>IF(P752="P",0.7780+0.1628*S752+0.2957*Q752-0.1912*R752-0.1512*IF(D752="S",1,0)+0.1600*IF(E752="L",1,0)+0.0091*H752+0.0124*I752+0.0017*J752+T752+U752,-0.8294+0.1849*S752+0.1750*Q752-0.2969*R752+0.6924*IF(D752="S",1,0)+0.0457*IF(E752="L",1,0)+T752+U752)</f>
        <v/>
      </c>
      <c r="W752">
        <f>MAX(0,MIN(16,ROUND(V752,0)))</f>
        <v/>
      </c>
      <c r="X752">
        <f>IFNA(VLOOKUP(W752,Grade_Scale!$A:$B,2,FALSE),"F")</f>
        <v/>
      </c>
      <c r="Z752">
        <f>IF(Y752="","",W752-IFNA(VLOOKUP(Y752,Grade_Scale!$D:$E,2,FALSE),""))</f>
        <v/>
      </c>
    </row>
    <row r="753">
      <c r="P753">
        <f>IF(OR(B753="SP",B753="RP",B753="CP",B753="SP/RP"),"P","H")</f>
        <v/>
      </c>
      <c r="Q753">
        <f>IF(F753="",0,IFNA(VLOOKUP(F753,Trait_Polarity!$A:$C,2,FALSE),0))+IF(G753="",0,IFNA(VLOOKUP(G753,Trait_Polarity!$A:$C,2,FALSE),0))</f>
        <v/>
      </c>
      <c r="R753">
        <f>IF(F753="",0,IFNA(VLOOKUP(F753,Trait_Polarity!$A:$C,3,FALSE),0))+IF(G753="",0,IFNA(VLOOKUP(G753,Trait_Polarity!$A:$C,3,FALSE),0))</f>
        <v/>
      </c>
      <c r="S753">
        <f>IF(P753="P",(M753+N753+O753)/3,0.3*H753+0.3*I753+0.2*J753+0.1*K753+0.1*L753)</f>
        <v/>
      </c>
      <c r="T753">
        <f>IF(P753="P",IFNA(VLOOKUP(B753,Pitcher_RoleAdj!$A:$B,2,FALSE),0),IFNA(VLOOKUP(B753,Hitter_PrimaryAdj!$A:$B,2,FALSE),0))</f>
        <v/>
      </c>
      <c r="U753">
        <f>IFNA(VLOOKUP(IF(C753="","(none)",C753),SecondaryAdj!$A:$B,2,FALSE),0)</f>
        <v/>
      </c>
      <c r="V753">
        <f>IF(P753="P",0.7780+0.1628*S753+0.2957*Q753-0.1912*R753-0.1512*IF(D753="S",1,0)+0.1600*IF(E753="L",1,0)+0.0091*H753+0.0124*I753+0.0017*J753+T753+U753,-0.8294+0.1849*S753+0.1750*Q753-0.2969*R753+0.6924*IF(D753="S",1,0)+0.0457*IF(E753="L",1,0)+T753+U753)</f>
        <v/>
      </c>
      <c r="W753">
        <f>MAX(0,MIN(16,ROUND(V753,0)))</f>
        <v/>
      </c>
      <c r="X753">
        <f>IFNA(VLOOKUP(W753,Grade_Scale!$A:$B,2,FALSE),"F")</f>
        <v/>
      </c>
      <c r="Z753">
        <f>IF(Y753="","",W753-IFNA(VLOOKUP(Y753,Grade_Scale!$D:$E,2,FALSE),""))</f>
        <v/>
      </c>
    </row>
    <row r="754">
      <c r="P754">
        <f>IF(OR(B754="SP",B754="RP",B754="CP",B754="SP/RP"),"P","H")</f>
        <v/>
      </c>
      <c r="Q754">
        <f>IF(F754="",0,IFNA(VLOOKUP(F754,Trait_Polarity!$A:$C,2,FALSE),0))+IF(G754="",0,IFNA(VLOOKUP(G754,Trait_Polarity!$A:$C,2,FALSE),0))</f>
        <v/>
      </c>
      <c r="R754">
        <f>IF(F754="",0,IFNA(VLOOKUP(F754,Trait_Polarity!$A:$C,3,FALSE),0))+IF(G754="",0,IFNA(VLOOKUP(G754,Trait_Polarity!$A:$C,3,FALSE),0))</f>
        <v/>
      </c>
      <c r="S754">
        <f>IF(P754="P",(M754+N754+O754)/3,0.3*H754+0.3*I754+0.2*J754+0.1*K754+0.1*L754)</f>
        <v/>
      </c>
      <c r="T754">
        <f>IF(P754="P",IFNA(VLOOKUP(B754,Pitcher_RoleAdj!$A:$B,2,FALSE),0),IFNA(VLOOKUP(B754,Hitter_PrimaryAdj!$A:$B,2,FALSE),0))</f>
        <v/>
      </c>
      <c r="U754">
        <f>IFNA(VLOOKUP(IF(C754="","(none)",C754),SecondaryAdj!$A:$B,2,FALSE),0)</f>
        <v/>
      </c>
      <c r="V754">
        <f>IF(P754="P",0.7780+0.1628*S754+0.2957*Q754-0.1912*R754-0.1512*IF(D754="S",1,0)+0.1600*IF(E754="L",1,0)+0.0091*H754+0.0124*I754+0.0017*J754+T754+U754,-0.8294+0.1849*S754+0.1750*Q754-0.2969*R754+0.6924*IF(D754="S",1,0)+0.0457*IF(E754="L",1,0)+T754+U754)</f>
        <v/>
      </c>
      <c r="W754">
        <f>MAX(0,MIN(16,ROUND(V754,0)))</f>
        <v/>
      </c>
      <c r="X754">
        <f>IFNA(VLOOKUP(W754,Grade_Scale!$A:$B,2,FALSE),"F")</f>
        <v/>
      </c>
      <c r="Z754">
        <f>IF(Y754="","",W754-IFNA(VLOOKUP(Y754,Grade_Scale!$D:$E,2,FALSE),""))</f>
        <v/>
      </c>
    </row>
    <row r="755">
      <c r="P755">
        <f>IF(OR(B755="SP",B755="RP",B755="CP",B755="SP/RP"),"P","H")</f>
        <v/>
      </c>
      <c r="Q755">
        <f>IF(F755="",0,IFNA(VLOOKUP(F755,Trait_Polarity!$A:$C,2,FALSE),0))+IF(G755="",0,IFNA(VLOOKUP(G755,Trait_Polarity!$A:$C,2,FALSE),0))</f>
        <v/>
      </c>
      <c r="R755">
        <f>IF(F755="",0,IFNA(VLOOKUP(F755,Trait_Polarity!$A:$C,3,FALSE),0))+IF(G755="",0,IFNA(VLOOKUP(G755,Trait_Polarity!$A:$C,3,FALSE),0))</f>
        <v/>
      </c>
      <c r="S755">
        <f>IF(P755="P",(M755+N755+O755)/3,0.3*H755+0.3*I755+0.2*J755+0.1*K755+0.1*L755)</f>
        <v/>
      </c>
      <c r="T755">
        <f>IF(P755="P",IFNA(VLOOKUP(B755,Pitcher_RoleAdj!$A:$B,2,FALSE),0),IFNA(VLOOKUP(B755,Hitter_PrimaryAdj!$A:$B,2,FALSE),0))</f>
        <v/>
      </c>
      <c r="U755">
        <f>IFNA(VLOOKUP(IF(C755="","(none)",C755),SecondaryAdj!$A:$B,2,FALSE),0)</f>
        <v/>
      </c>
      <c r="V755">
        <f>IF(P755="P",0.7780+0.1628*S755+0.2957*Q755-0.1912*R755-0.1512*IF(D755="S",1,0)+0.1600*IF(E755="L",1,0)+0.0091*H755+0.0124*I755+0.0017*J755+T755+U755,-0.8294+0.1849*S755+0.1750*Q755-0.2969*R755+0.6924*IF(D755="S",1,0)+0.0457*IF(E755="L",1,0)+T755+U755)</f>
        <v/>
      </c>
      <c r="W755">
        <f>MAX(0,MIN(16,ROUND(V755,0)))</f>
        <v/>
      </c>
      <c r="X755">
        <f>IFNA(VLOOKUP(W755,Grade_Scale!$A:$B,2,FALSE),"F")</f>
        <v/>
      </c>
      <c r="Z755">
        <f>IF(Y755="","",W755-IFNA(VLOOKUP(Y755,Grade_Scale!$D:$E,2,FALSE),""))</f>
        <v/>
      </c>
    </row>
    <row r="756">
      <c r="P756">
        <f>IF(OR(B756="SP",B756="RP",B756="CP",B756="SP/RP"),"P","H")</f>
        <v/>
      </c>
      <c r="Q756">
        <f>IF(F756="",0,IFNA(VLOOKUP(F756,Trait_Polarity!$A:$C,2,FALSE),0))+IF(G756="",0,IFNA(VLOOKUP(G756,Trait_Polarity!$A:$C,2,FALSE),0))</f>
        <v/>
      </c>
      <c r="R756">
        <f>IF(F756="",0,IFNA(VLOOKUP(F756,Trait_Polarity!$A:$C,3,FALSE),0))+IF(G756="",0,IFNA(VLOOKUP(G756,Trait_Polarity!$A:$C,3,FALSE),0))</f>
        <v/>
      </c>
      <c r="S756">
        <f>IF(P756="P",(M756+N756+O756)/3,0.3*H756+0.3*I756+0.2*J756+0.1*K756+0.1*L756)</f>
        <v/>
      </c>
      <c r="T756">
        <f>IF(P756="P",IFNA(VLOOKUP(B756,Pitcher_RoleAdj!$A:$B,2,FALSE),0),IFNA(VLOOKUP(B756,Hitter_PrimaryAdj!$A:$B,2,FALSE),0))</f>
        <v/>
      </c>
      <c r="U756">
        <f>IFNA(VLOOKUP(IF(C756="","(none)",C756),SecondaryAdj!$A:$B,2,FALSE),0)</f>
        <v/>
      </c>
      <c r="V756">
        <f>IF(P756="P",0.7780+0.1628*S756+0.2957*Q756-0.1912*R756-0.1512*IF(D756="S",1,0)+0.1600*IF(E756="L",1,0)+0.0091*H756+0.0124*I756+0.0017*J756+T756+U756,-0.8294+0.1849*S756+0.1750*Q756-0.2969*R756+0.6924*IF(D756="S",1,0)+0.0457*IF(E756="L",1,0)+T756+U756)</f>
        <v/>
      </c>
      <c r="W756">
        <f>MAX(0,MIN(16,ROUND(V756,0)))</f>
        <v/>
      </c>
      <c r="X756">
        <f>IFNA(VLOOKUP(W756,Grade_Scale!$A:$B,2,FALSE),"F")</f>
        <v/>
      </c>
      <c r="Z756">
        <f>IF(Y756="","",W756-IFNA(VLOOKUP(Y756,Grade_Scale!$D:$E,2,FALSE),""))</f>
        <v/>
      </c>
    </row>
    <row r="757">
      <c r="P757">
        <f>IF(OR(B757="SP",B757="RP",B757="CP",B757="SP/RP"),"P","H")</f>
        <v/>
      </c>
      <c r="Q757">
        <f>IF(F757="",0,IFNA(VLOOKUP(F757,Trait_Polarity!$A:$C,2,FALSE),0))+IF(G757="",0,IFNA(VLOOKUP(G757,Trait_Polarity!$A:$C,2,FALSE),0))</f>
        <v/>
      </c>
      <c r="R757">
        <f>IF(F757="",0,IFNA(VLOOKUP(F757,Trait_Polarity!$A:$C,3,FALSE),0))+IF(G757="",0,IFNA(VLOOKUP(G757,Trait_Polarity!$A:$C,3,FALSE),0))</f>
        <v/>
      </c>
      <c r="S757">
        <f>IF(P757="P",(M757+N757+O757)/3,0.3*H757+0.3*I757+0.2*J757+0.1*K757+0.1*L757)</f>
        <v/>
      </c>
      <c r="T757">
        <f>IF(P757="P",IFNA(VLOOKUP(B757,Pitcher_RoleAdj!$A:$B,2,FALSE),0),IFNA(VLOOKUP(B757,Hitter_PrimaryAdj!$A:$B,2,FALSE),0))</f>
        <v/>
      </c>
      <c r="U757">
        <f>IFNA(VLOOKUP(IF(C757="","(none)",C757),SecondaryAdj!$A:$B,2,FALSE),0)</f>
        <v/>
      </c>
      <c r="V757">
        <f>IF(P757="P",0.7780+0.1628*S757+0.2957*Q757-0.1912*R757-0.1512*IF(D757="S",1,0)+0.1600*IF(E757="L",1,0)+0.0091*H757+0.0124*I757+0.0017*J757+T757+U757,-0.8294+0.1849*S757+0.1750*Q757-0.2969*R757+0.6924*IF(D757="S",1,0)+0.0457*IF(E757="L",1,0)+T757+U757)</f>
        <v/>
      </c>
      <c r="W757">
        <f>MAX(0,MIN(16,ROUND(V757,0)))</f>
        <v/>
      </c>
      <c r="X757">
        <f>IFNA(VLOOKUP(W757,Grade_Scale!$A:$B,2,FALSE),"F")</f>
        <v/>
      </c>
      <c r="Z757">
        <f>IF(Y757="","",W757-IFNA(VLOOKUP(Y757,Grade_Scale!$D:$E,2,FALSE),""))</f>
        <v/>
      </c>
    </row>
    <row r="758">
      <c r="P758">
        <f>IF(OR(B758="SP",B758="RP",B758="CP",B758="SP/RP"),"P","H")</f>
        <v/>
      </c>
      <c r="Q758">
        <f>IF(F758="",0,IFNA(VLOOKUP(F758,Trait_Polarity!$A:$C,2,FALSE),0))+IF(G758="",0,IFNA(VLOOKUP(G758,Trait_Polarity!$A:$C,2,FALSE),0))</f>
        <v/>
      </c>
      <c r="R758">
        <f>IF(F758="",0,IFNA(VLOOKUP(F758,Trait_Polarity!$A:$C,3,FALSE),0))+IF(G758="",0,IFNA(VLOOKUP(G758,Trait_Polarity!$A:$C,3,FALSE),0))</f>
        <v/>
      </c>
      <c r="S758">
        <f>IF(P758="P",(M758+N758+O758)/3,0.3*H758+0.3*I758+0.2*J758+0.1*K758+0.1*L758)</f>
        <v/>
      </c>
      <c r="T758">
        <f>IF(P758="P",IFNA(VLOOKUP(B758,Pitcher_RoleAdj!$A:$B,2,FALSE),0),IFNA(VLOOKUP(B758,Hitter_PrimaryAdj!$A:$B,2,FALSE),0))</f>
        <v/>
      </c>
      <c r="U758">
        <f>IFNA(VLOOKUP(IF(C758="","(none)",C758),SecondaryAdj!$A:$B,2,FALSE),0)</f>
        <v/>
      </c>
      <c r="V758">
        <f>IF(P758="P",0.7780+0.1628*S758+0.2957*Q758-0.1912*R758-0.1512*IF(D758="S",1,0)+0.1600*IF(E758="L",1,0)+0.0091*H758+0.0124*I758+0.0017*J758+T758+U758,-0.8294+0.1849*S758+0.1750*Q758-0.2969*R758+0.6924*IF(D758="S",1,0)+0.0457*IF(E758="L",1,0)+T758+U758)</f>
        <v/>
      </c>
      <c r="W758">
        <f>MAX(0,MIN(16,ROUND(V758,0)))</f>
        <v/>
      </c>
      <c r="X758">
        <f>IFNA(VLOOKUP(W758,Grade_Scale!$A:$B,2,FALSE),"F")</f>
        <v/>
      </c>
      <c r="Z758">
        <f>IF(Y758="","",W758-IFNA(VLOOKUP(Y758,Grade_Scale!$D:$E,2,FALSE),""))</f>
        <v/>
      </c>
    </row>
    <row r="759">
      <c r="P759">
        <f>IF(OR(B759="SP",B759="RP",B759="CP",B759="SP/RP"),"P","H")</f>
        <v/>
      </c>
      <c r="Q759">
        <f>IF(F759="",0,IFNA(VLOOKUP(F759,Trait_Polarity!$A:$C,2,FALSE),0))+IF(G759="",0,IFNA(VLOOKUP(G759,Trait_Polarity!$A:$C,2,FALSE),0))</f>
        <v/>
      </c>
      <c r="R759">
        <f>IF(F759="",0,IFNA(VLOOKUP(F759,Trait_Polarity!$A:$C,3,FALSE),0))+IF(G759="",0,IFNA(VLOOKUP(G759,Trait_Polarity!$A:$C,3,FALSE),0))</f>
        <v/>
      </c>
      <c r="S759">
        <f>IF(P759="P",(M759+N759+O759)/3,0.3*H759+0.3*I759+0.2*J759+0.1*K759+0.1*L759)</f>
        <v/>
      </c>
      <c r="T759">
        <f>IF(P759="P",IFNA(VLOOKUP(B759,Pitcher_RoleAdj!$A:$B,2,FALSE),0),IFNA(VLOOKUP(B759,Hitter_PrimaryAdj!$A:$B,2,FALSE),0))</f>
        <v/>
      </c>
      <c r="U759">
        <f>IFNA(VLOOKUP(IF(C759="","(none)",C759),SecondaryAdj!$A:$B,2,FALSE),0)</f>
        <v/>
      </c>
      <c r="V759">
        <f>IF(P759="P",0.7780+0.1628*S759+0.2957*Q759-0.1912*R759-0.1512*IF(D759="S",1,0)+0.1600*IF(E759="L",1,0)+0.0091*H759+0.0124*I759+0.0017*J759+T759+U759,-0.8294+0.1849*S759+0.1750*Q759-0.2969*R759+0.6924*IF(D759="S",1,0)+0.0457*IF(E759="L",1,0)+T759+U759)</f>
        <v/>
      </c>
      <c r="W759">
        <f>MAX(0,MIN(16,ROUND(V759,0)))</f>
        <v/>
      </c>
      <c r="X759">
        <f>IFNA(VLOOKUP(W759,Grade_Scale!$A:$B,2,FALSE),"F")</f>
        <v/>
      </c>
      <c r="Z759">
        <f>IF(Y759="","",W759-IFNA(VLOOKUP(Y759,Grade_Scale!$D:$E,2,FALSE),""))</f>
        <v/>
      </c>
    </row>
    <row r="760">
      <c r="P760">
        <f>IF(OR(B760="SP",B760="RP",B760="CP",B760="SP/RP"),"P","H")</f>
        <v/>
      </c>
      <c r="Q760">
        <f>IF(F760="",0,IFNA(VLOOKUP(F760,Trait_Polarity!$A:$C,2,FALSE),0))+IF(G760="",0,IFNA(VLOOKUP(G760,Trait_Polarity!$A:$C,2,FALSE),0))</f>
        <v/>
      </c>
      <c r="R760">
        <f>IF(F760="",0,IFNA(VLOOKUP(F760,Trait_Polarity!$A:$C,3,FALSE),0))+IF(G760="",0,IFNA(VLOOKUP(G760,Trait_Polarity!$A:$C,3,FALSE),0))</f>
        <v/>
      </c>
      <c r="S760">
        <f>IF(P760="P",(M760+N760+O760)/3,0.3*H760+0.3*I760+0.2*J760+0.1*K760+0.1*L760)</f>
        <v/>
      </c>
      <c r="T760">
        <f>IF(P760="P",IFNA(VLOOKUP(B760,Pitcher_RoleAdj!$A:$B,2,FALSE),0),IFNA(VLOOKUP(B760,Hitter_PrimaryAdj!$A:$B,2,FALSE),0))</f>
        <v/>
      </c>
      <c r="U760">
        <f>IFNA(VLOOKUP(IF(C760="","(none)",C760),SecondaryAdj!$A:$B,2,FALSE),0)</f>
        <v/>
      </c>
      <c r="V760">
        <f>IF(P760="P",0.7780+0.1628*S760+0.2957*Q760-0.1912*R760-0.1512*IF(D760="S",1,0)+0.1600*IF(E760="L",1,0)+0.0091*H760+0.0124*I760+0.0017*J760+T760+U760,-0.8294+0.1849*S760+0.1750*Q760-0.2969*R760+0.6924*IF(D760="S",1,0)+0.0457*IF(E760="L",1,0)+T760+U760)</f>
        <v/>
      </c>
      <c r="W760">
        <f>MAX(0,MIN(16,ROUND(V760,0)))</f>
        <v/>
      </c>
      <c r="X760">
        <f>IFNA(VLOOKUP(W760,Grade_Scale!$A:$B,2,FALSE),"F")</f>
        <v/>
      </c>
      <c r="Z760">
        <f>IF(Y760="","",W760-IFNA(VLOOKUP(Y760,Grade_Scale!$D:$E,2,FALSE),""))</f>
        <v/>
      </c>
    </row>
    <row r="761">
      <c r="P761">
        <f>IF(OR(B761="SP",B761="RP",B761="CP",B761="SP/RP"),"P","H")</f>
        <v/>
      </c>
      <c r="Q761">
        <f>IF(F761="",0,IFNA(VLOOKUP(F761,Trait_Polarity!$A:$C,2,FALSE),0))+IF(G761="",0,IFNA(VLOOKUP(G761,Trait_Polarity!$A:$C,2,FALSE),0))</f>
        <v/>
      </c>
      <c r="R761">
        <f>IF(F761="",0,IFNA(VLOOKUP(F761,Trait_Polarity!$A:$C,3,FALSE),0))+IF(G761="",0,IFNA(VLOOKUP(G761,Trait_Polarity!$A:$C,3,FALSE),0))</f>
        <v/>
      </c>
      <c r="S761">
        <f>IF(P761="P",(M761+N761+O761)/3,0.3*H761+0.3*I761+0.2*J761+0.1*K761+0.1*L761)</f>
        <v/>
      </c>
      <c r="T761">
        <f>IF(P761="P",IFNA(VLOOKUP(B761,Pitcher_RoleAdj!$A:$B,2,FALSE),0),IFNA(VLOOKUP(B761,Hitter_PrimaryAdj!$A:$B,2,FALSE),0))</f>
        <v/>
      </c>
      <c r="U761">
        <f>IFNA(VLOOKUP(IF(C761="","(none)",C761),SecondaryAdj!$A:$B,2,FALSE),0)</f>
        <v/>
      </c>
      <c r="V761">
        <f>IF(P761="P",0.7780+0.1628*S761+0.2957*Q761-0.1912*R761-0.1512*IF(D761="S",1,0)+0.1600*IF(E761="L",1,0)+0.0091*H761+0.0124*I761+0.0017*J761+T761+U761,-0.8294+0.1849*S761+0.1750*Q761-0.2969*R761+0.6924*IF(D761="S",1,0)+0.0457*IF(E761="L",1,0)+T761+U761)</f>
        <v/>
      </c>
      <c r="W761">
        <f>MAX(0,MIN(16,ROUND(V761,0)))</f>
        <v/>
      </c>
      <c r="X761">
        <f>IFNA(VLOOKUP(W761,Grade_Scale!$A:$B,2,FALSE),"F")</f>
        <v/>
      </c>
      <c r="Z761">
        <f>IF(Y761="","",W761-IFNA(VLOOKUP(Y761,Grade_Scale!$D:$E,2,FALSE),""))</f>
        <v/>
      </c>
    </row>
    <row r="762">
      <c r="P762">
        <f>IF(OR(B762="SP",B762="RP",B762="CP",B762="SP/RP"),"P","H")</f>
        <v/>
      </c>
      <c r="Q762">
        <f>IF(F762="",0,IFNA(VLOOKUP(F762,Trait_Polarity!$A:$C,2,FALSE),0))+IF(G762="",0,IFNA(VLOOKUP(G762,Trait_Polarity!$A:$C,2,FALSE),0))</f>
        <v/>
      </c>
      <c r="R762">
        <f>IF(F762="",0,IFNA(VLOOKUP(F762,Trait_Polarity!$A:$C,3,FALSE),0))+IF(G762="",0,IFNA(VLOOKUP(G762,Trait_Polarity!$A:$C,3,FALSE),0))</f>
        <v/>
      </c>
      <c r="S762">
        <f>IF(P762="P",(M762+N762+O762)/3,0.3*H762+0.3*I762+0.2*J762+0.1*K762+0.1*L762)</f>
        <v/>
      </c>
      <c r="T762">
        <f>IF(P762="P",IFNA(VLOOKUP(B762,Pitcher_RoleAdj!$A:$B,2,FALSE),0),IFNA(VLOOKUP(B762,Hitter_PrimaryAdj!$A:$B,2,FALSE),0))</f>
        <v/>
      </c>
      <c r="U762">
        <f>IFNA(VLOOKUP(IF(C762="","(none)",C762),SecondaryAdj!$A:$B,2,FALSE),0)</f>
        <v/>
      </c>
      <c r="V762">
        <f>IF(P762="P",0.7780+0.1628*S762+0.2957*Q762-0.1912*R762-0.1512*IF(D762="S",1,0)+0.1600*IF(E762="L",1,0)+0.0091*H762+0.0124*I762+0.0017*J762+T762+U762,-0.8294+0.1849*S762+0.1750*Q762-0.2969*R762+0.6924*IF(D762="S",1,0)+0.0457*IF(E762="L",1,0)+T762+U762)</f>
        <v/>
      </c>
      <c r="W762">
        <f>MAX(0,MIN(16,ROUND(V762,0)))</f>
        <v/>
      </c>
      <c r="X762">
        <f>IFNA(VLOOKUP(W762,Grade_Scale!$A:$B,2,FALSE),"F")</f>
        <v/>
      </c>
      <c r="Z762">
        <f>IF(Y762="","",W762-IFNA(VLOOKUP(Y762,Grade_Scale!$D:$E,2,FALSE),""))</f>
        <v/>
      </c>
    </row>
    <row r="763">
      <c r="P763">
        <f>IF(OR(B763="SP",B763="RP",B763="CP",B763="SP/RP"),"P","H")</f>
        <v/>
      </c>
      <c r="Q763">
        <f>IF(F763="",0,IFNA(VLOOKUP(F763,Trait_Polarity!$A:$C,2,FALSE),0))+IF(G763="",0,IFNA(VLOOKUP(G763,Trait_Polarity!$A:$C,2,FALSE),0))</f>
        <v/>
      </c>
      <c r="R763">
        <f>IF(F763="",0,IFNA(VLOOKUP(F763,Trait_Polarity!$A:$C,3,FALSE),0))+IF(G763="",0,IFNA(VLOOKUP(G763,Trait_Polarity!$A:$C,3,FALSE),0))</f>
        <v/>
      </c>
      <c r="S763">
        <f>IF(P763="P",(M763+N763+O763)/3,0.3*H763+0.3*I763+0.2*J763+0.1*K763+0.1*L763)</f>
        <v/>
      </c>
      <c r="T763">
        <f>IF(P763="P",IFNA(VLOOKUP(B763,Pitcher_RoleAdj!$A:$B,2,FALSE),0),IFNA(VLOOKUP(B763,Hitter_PrimaryAdj!$A:$B,2,FALSE),0))</f>
        <v/>
      </c>
      <c r="U763">
        <f>IFNA(VLOOKUP(IF(C763="","(none)",C763),SecondaryAdj!$A:$B,2,FALSE),0)</f>
        <v/>
      </c>
      <c r="V763">
        <f>IF(P763="P",0.7780+0.1628*S763+0.2957*Q763-0.1912*R763-0.1512*IF(D763="S",1,0)+0.1600*IF(E763="L",1,0)+0.0091*H763+0.0124*I763+0.0017*J763+T763+U763,-0.8294+0.1849*S763+0.1750*Q763-0.2969*R763+0.6924*IF(D763="S",1,0)+0.0457*IF(E763="L",1,0)+T763+U763)</f>
        <v/>
      </c>
      <c r="W763">
        <f>MAX(0,MIN(16,ROUND(V763,0)))</f>
        <v/>
      </c>
      <c r="X763">
        <f>IFNA(VLOOKUP(W763,Grade_Scale!$A:$B,2,FALSE),"F")</f>
        <v/>
      </c>
      <c r="Z763">
        <f>IF(Y763="","",W763-IFNA(VLOOKUP(Y763,Grade_Scale!$D:$E,2,FALSE),""))</f>
        <v/>
      </c>
    </row>
    <row r="764">
      <c r="P764">
        <f>IF(OR(B764="SP",B764="RP",B764="CP",B764="SP/RP"),"P","H")</f>
        <v/>
      </c>
      <c r="Q764">
        <f>IF(F764="",0,IFNA(VLOOKUP(F764,Trait_Polarity!$A:$C,2,FALSE),0))+IF(G764="",0,IFNA(VLOOKUP(G764,Trait_Polarity!$A:$C,2,FALSE),0))</f>
        <v/>
      </c>
      <c r="R764">
        <f>IF(F764="",0,IFNA(VLOOKUP(F764,Trait_Polarity!$A:$C,3,FALSE),0))+IF(G764="",0,IFNA(VLOOKUP(G764,Trait_Polarity!$A:$C,3,FALSE),0))</f>
        <v/>
      </c>
      <c r="S764">
        <f>IF(P764="P",(M764+N764+O764)/3,0.3*H764+0.3*I764+0.2*J764+0.1*K764+0.1*L764)</f>
        <v/>
      </c>
      <c r="T764">
        <f>IF(P764="P",IFNA(VLOOKUP(B764,Pitcher_RoleAdj!$A:$B,2,FALSE),0),IFNA(VLOOKUP(B764,Hitter_PrimaryAdj!$A:$B,2,FALSE),0))</f>
        <v/>
      </c>
      <c r="U764">
        <f>IFNA(VLOOKUP(IF(C764="","(none)",C764),SecondaryAdj!$A:$B,2,FALSE),0)</f>
        <v/>
      </c>
      <c r="V764">
        <f>IF(P764="P",0.7780+0.1628*S764+0.2957*Q764-0.1912*R764-0.1512*IF(D764="S",1,0)+0.1600*IF(E764="L",1,0)+0.0091*H764+0.0124*I764+0.0017*J764+T764+U764,-0.8294+0.1849*S764+0.1750*Q764-0.2969*R764+0.6924*IF(D764="S",1,0)+0.0457*IF(E764="L",1,0)+T764+U764)</f>
        <v/>
      </c>
      <c r="W764">
        <f>MAX(0,MIN(16,ROUND(V764,0)))</f>
        <v/>
      </c>
      <c r="X764">
        <f>IFNA(VLOOKUP(W764,Grade_Scale!$A:$B,2,FALSE),"F")</f>
        <v/>
      </c>
      <c r="Z764">
        <f>IF(Y764="","",W764-IFNA(VLOOKUP(Y764,Grade_Scale!$D:$E,2,FALSE),""))</f>
        <v/>
      </c>
    </row>
    <row r="765">
      <c r="P765">
        <f>IF(OR(B765="SP",B765="RP",B765="CP",B765="SP/RP"),"P","H")</f>
        <v/>
      </c>
      <c r="Q765">
        <f>IF(F765="",0,IFNA(VLOOKUP(F765,Trait_Polarity!$A:$C,2,FALSE),0))+IF(G765="",0,IFNA(VLOOKUP(G765,Trait_Polarity!$A:$C,2,FALSE),0))</f>
        <v/>
      </c>
      <c r="R765">
        <f>IF(F765="",0,IFNA(VLOOKUP(F765,Trait_Polarity!$A:$C,3,FALSE),0))+IF(G765="",0,IFNA(VLOOKUP(G765,Trait_Polarity!$A:$C,3,FALSE),0))</f>
        <v/>
      </c>
      <c r="S765">
        <f>IF(P765="P",(M765+N765+O765)/3,0.3*H765+0.3*I765+0.2*J765+0.1*K765+0.1*L765)</f>
        <v/>
      </c>
      <c r="T765">
        <f>IF(P765="P",IFNA(VLOOKUP(B765,Pitcher_RoleAdj!$A:$B,2,FALSE),0),IFNA(VLOOKUP(B765,Hitter_PrimaryAdj!$A:$B,2,FALSE),0))</f>
        <v/>
      </c>
      <c r="U765">
        <f>IFNA(VLOOKUP(IF(C765="","(none)",C765),SecondaryAdj!$A:$B,2,FALSE),0)</f>
        <v/>
      </c>
      <c r="V765">
        <f>IF(P765="P",0.7780+0.1628*S765+0.2957*Q765-0.1912*R765-0.1512*IF(D765="S",1,0)+0.1600*IF(E765="L",1,0)+0.0091*H765+0.0124*I765+0.0017*J765+T765+U765,-0.8294+0.1849*S765+0.1750*Q765-0.2969*R765+0.6924*IF(D765="S",1,0)+0.0457*IF(E765="L",1,0)+T765+U765)</f>
        <v/>
      </c>
      <c r="W765">
        <f>MAX(0,MIN(16,ROUND(V765,0)))</f>
        <v/>
      </c>
      <c r="X765">
        <f>IFNA(VLOOKUP(W765,Grade_Scale!$A:$B,2,FALSE),"F")</f>
        <v/>
      </c>
      <c r="Z765">
        <f>IF(Y765="","",W765-IFNA(VLOOKUP(Y765,Grade_Scale!$D:$E,2,FALSE),""))</f>
        <v/>
      </c>
    </row>
    <row r="766">
      <c r="P766">
        <f>IF(OR(B766="SP",B766="RP",B766="CP",B766="SP/RP"),"P","H")</f>
        <v/>
      </c>
      <c r="Q766">
        <f>IF(F766="",0,IFNA(VLOOKUP(F766,Trait_Polarity!$A:$C,2,FALSE),0))+IF(G766="",0,IFNA(VLOOKUP(G766,Trait_Polarity!$A:$C,2,FALSE),0))</f>
        <v/>
      </c>
      <c r="R766">
        <f>IF(F766="",0,IFNA(VLOOKUP(F766,Trait_Polarity!$A:$C,3,FALSE),0))+IF(G766="",0,IFNA(VLOOKUP(G766,Trait_Polarity!$A:$C,3,FALSE),0))</f>
        <v/>
      </c>
      <c r="S766">
        <f>IF(P766="P",(M766+N766+O766)/3,0.3*H766+0.3*I766+0.2*J766+0.1*K766+0.1*L766)</f>
        <v/>
      </c>
      <c r="T766">
        <f>IF(P766="P",IFNA(VLOOKUP(B766,Pitcher_RoleAdj!$A:$B,2,FALSE),0),IFNA(VLOOKUP(B766,Hitter_PrimaryAdj!$A:$B,2,FALSE),0))</f>
        <v/>
      </c>
      <c r="U766">
        <f>IFNA(VLOOKUP(IF(C766="","(none)",C766),SecondaryAdj!$A:$B,2,FALSE),0)</f>
        <v/>
      </c>
      <c r="V766">
        <f>IF(P766="P",0.7780+0.1628*S766+0.2957*Q766-0.1912*R766-0.1512*IF(D766="S",1,0)+0.1600*IF(E766="L",1,0)+0.0091*H766+0.0124*I766+0.0017*J766+T766+U766,-0.8294+0.1849*S766+0.1750*Q766-0.2969*R766+0.6924*IF(D766="S",1,0)+0.0457*IF(E766="L",1,0)+T766+U766)</f>
        <v/>
      </c>
      <c r="W766">
        <f>MAX(0,MIN(16,ROUND(V766,0)))</f>
        <v/>
      </c>
      <c r="X766">
        <f>IFNA(VLOOKUP(W766,Grade_Scale!$A:$B,2,FALSE),"F")</f>
        <v/>
      </c>
      <c r="Z766">
        <f>IF(Y766="","",W766-IFNA(VLOOKUP(Y766,Grade_Scale!$D:$E,2,FALSE),""))</f>
        <v/>
      </c>
    </row>
    <row r="767">
      <c r="P767">
        <f>IF(OR(B767="SP",B767="RP",B767="CP",B767="SP/RP"),"P","H")</f>
        <v/>
      </c>
      <c r="Q767">
        <f>IF(F767="",0,IFNA(VLOOKUP(F767,Trait_Polarity!$A:$C,2,FALSE),0))+IF(G767="",0,IFNA(VLOOKUP(G767,Trait_Polarity!$A:$C,2,FALSE),0))</f>
        <v/>
      </c>
      <c r="R767">
        <f>IF(F767="",0,IFNA(VLOOKUP(F767,Trait_Polarity!$A:$C,3,FALSE),0))+IF(G767="",0,IFNA(VLOOKUP(G767,Trait_Polarity!$A:$C,3,FALSE),0))</f>
        <v/>
      </c>
      <c r="S767">
        <f>IF(P767="P",(M767+N767+O767)/3,0.3*H767+0.3*I767+0.2*J767+0.1*K767+0.1*L767)</f>
        <v/>
      </c>
      <c r="T767">
        <f>IF(P767="P",IFNA(VLOOKUP(B767,Pitcher_RoleAdj!$A:$B,2,FALSE),0),IFNA(VLOOKUP(B767,Hitter_PrimaryAdj!$A:$B,2,FALSE),0))</f>
        <v/>
      </c>
      <c r="U767">
        <f>IFNA(VLOOKUP(IF(C767="","(none)",C767),SecondaryAdj!$A:$B,2,FALSE),0)</f>
        <v/>
      </c>
      <c r="V767">
        <f>IF(P767="P",0.7780+0.1628*S767+0.2957*Q767-0.1912*R767-0.1512*IF(D767="S",1,0)+0.1600*IF(E767="L",1,0)+0.0091*H767+0.0124*I767+0.0017*J767+T767+U767,-0.8294+0.1849*S767+0.1750*Q767-0.2969*R767+0.6924*IF(D767="S",1,0)+0.0457*IF(E767="L",1,0)+T767+U767)</f>
        <v/>
      </c>
      <c r="W767">
        <f>MAX(0,MIN(16,ROUND(V767,0)))</f>
        <v/>
      </c>
      <c r="X767">
        <f>IFNA(VLOOKUP(W767,Grade_Scale!$A:$B,2,FALSE),"F")</f>
        <v/>
      </c>
      <c r="Z767">
        <f>IF(Y767="","",W767-IFNA(VLOOKUP(Y767,Grade_Scale!$D:$E,2,FALSE),""))</f>
        <v/>
      </c>
    </row>
    <row r="768">
      <c r="P768">
        <f>IF(OR(B768="SP",B768="RP",B768="CP",B768="SP/RP"),"P","H")</f>
        <v/>
      </c>
      <c r="Q768">
        <f>IF(F768="",0,IFNA(VLOOKUP(F768,Trait_Polarity!$A:$C,2,FALSE),0))+IF(G768="",0,IFNA(VLOOKUP(G768,Trait_Polarity!$A:$C,2,FALSE),0))</f>
        <v/>
      </c>
      <c r="R768">
        <f>IF(F768="",0,IFNA(VLOOKUP(F768,Trait_Polarity!$A:$C,3,FALSE),0))+IF(G768="",0,IFNA(VLOOKUP(G768,Trait_Polarity!$A:$C,3,FALSE),0))</f>
        <v/>
      </c>
      <c r="S768">
        <f>IF(P768="P",(M768+N768+O768)/3,0.3*H768+0.3*I768+0.2*J768+0.1*K768+0.1*L768)</f>
        <v/>
      </c>
      <c r="T768">
        <f>IF(P768="P",IFNA(VLOOKUP(B768,Pitcher_RoleAdj!$A:$B,2,FALSE),0),IFNA(VLOOKUP(B768,Hitter_PrimaryAdj!$A:$B,2,FALSE),0))</f>
        <v/>
      </c>
      <c r="U768">
        <f>IFNA(VLOOKUP(IF(C768="","(none)",C768),SecondaryAdj!$A:$B,2,FALSE),0)</f>
        <v/>
      </c>
      <c r="V768">
        <f>IF(P768="P",0.7780+0.1628*S768+0.2957*Q768-0.1912*R768-0.1512*IF(D768="S",1,0)+0.1600*IF(E768="L",1,0)+0.0091*H768+0.0124*I768+0.0017*J768+T768+U768,-0.8294+0.1849*S768+0.1750*Q768-0.2969*R768+0.6924*IF(D768="S",1,0)+0.0457*IF(E768="L",1,0)+T768+U768)</f>
        <v/>
      </c>
      <c r="W768">
        <f>MAX(0,MIN(16,ROUND(V768,0)))</f>
        <v/>
      </c>
      <c r="X768">
        <f>IFNA(VLOOKUP(W768,Grade_Scale!$A:$B,2,FALSE),"F")</f>
        <v/>
      </c>
      <c r="Z768">
        <f>IF(Y768="","",W768-IFNA(VLOOKUP(Y768,Grade_Scale!$D:$E,2,FALSE),""))</f>
        <v/>
      </c>
    </row>
    <row r="769">
      <c r="P769">
        <f>IF(OR(B769="SP",B769="RP",B769="CP",B769="SP/RP"),"P","H")</f>
        <v/>
      </c>
      <c r="Q769">
        <f>IF(F769="",0,IFNA(VLOOKUP(F769,Trait_Polarity!$A:$C,2,FALSE),0))+IF(G769="",0,IFNA(VLOOKUP(G769,Trait_Polarity!$A:$C,2,FALSE),0))</f>
        <v/>
      </c>
      <c r="R769">
        <f>IF(F769="",0,IFNA(VLOOKUP(F769,Trait_Polarity!$A:$C,3,FALSE),0))+IF(G769="",0,IFNA(VLOOKUP(G769,Trait_Polarity!$A:$C,3,FALSE),0))</f>
        <v/>
      </c>
      <c r="S769">
        <f>IF(P769="P",(M769+N769+O769)/3,0.3*H769+0.3*I769+0.2*J769+0.1*K769+0.1*L769)</f>
        <v/>
      </c>
      <c r="T769">
        <f>IF(P769="P",IFNA(VLOOKUP(B769,Pitcher_RoleAdj!$A:$B,2,FALSE),0),IFNA(VLOOKUP(B769,Hitter_PrimaryAdj!$A:$B,2,FALSE),0))</f>
        <v/>
      </c>
      <c r="U769">
        <f>IFNA(VLOOKUP(IF(C769="","(none)",C769),SecondaryAdj!$A:$B,2,FALSE),0)</f>
        <v/>
      </c>
      <c r="V769">
        <f>IF(P769="P",0.7780+0.1628*S769+0.2957*Q769-0.1912*R769-0.1512*IF(D769="S",1,0)+0.1600*IF(E769="L",1,0)+0.0091*H769+0.0124*I769+0.0017*J769+T769+U769,-0.8294+0.1849*S769+0.1750*Q769-0.2969*R769+0.6924*IF(D769="S",1,0)+0.0457*IF(E769="L",1,0)+T769+U769)</f>
        <v/>
      </c>
      <c r="W769">
        <f>MAX(0,MIN(16,ROUND(V769,0)))</f>
        <v/>
      </c>
      <c r="X769">
        <f>IFNA(VLOOKUP(W769,Grade_Scale!$A:$B,2,FALSE),"F")</f>
        <v/>
      </c>
      <c r="Z769">
        <f>IF(Y769="","",W769-IFNA(VLOOKUP(Y769,Grade_Scale!$D:$E,2,FALSE),""))</f>
        <v/>
      </c>
    </row>
    <row r="770">
      <c r="P770">
        <f>IF(OR(B770="SP",B770="RP",B770="CP",B770="SP/RP"),"P","H")</f>
        <v/>
      </c>
      <c r="Q770">
        <f>IF(F770="",0,IFNA(VLOOKUP(F770,Trait_Polarity!$A:$C,2,FALSE),0))+IF(G770="",0,IFNA(VLOOKUP(G770,Trait_Polarity!$A:$C,2,FALSE),0))</f>
        <v/>
      </c>
      <c r="R770">
        <f>IF(F770="",0,IFNA(VLOOKUP(F770,Trait_Polarity!$A:$C,3,FALSE),0))+IF(G770="",0,IFNA(VLOOKUP(G770,Trait_Polarity!$A:$C,3,FALSE),0))</f>
        <v/>
      </c>
      <c r="S770">
        <f>IF(P770="P",(M770+N770+O770)/3,0.3*H770+0.3*I770+0.2*J770+0.1*K770+0.1*L770)</f>
        <v/>
      </c>
      <c r="T770">
        <f>IF(P770="P",IFNA(VLOOKUP(B770,Pitcher_RoleAdj!$A:$B,2,FALSE),0),IFNA(VLOOKUP(B770,Hitter_PrimaryAdj!$A:$B,2,FALSE),0))</f>
        <v/>
      </c>
      <c r="U770">
        <f>IFNA(VLOOKUP(IF(C770="","(none)",C770),SecondaryAdj!$A:$B,2,FALSE),0)</f>
        <v/>
      </c>
      <c r="V770">
        <f>IF(P770="P",0.7780+0.1628*S770+0.2957*Q770-0.1912*R770-0.1512*IF(D770="S",1,0)+0.1600*IF(E770="L",1,0)+0.0091*H770+0.0124*I770+0.0017*J770+T770+U770,-0.8294+0.1849*S770+0.1750*Q770-0.2969*R770+0.6924*IF(D770="S",1,0)+0.0457*IF(E770="L",1,0)+T770+U770)</f>
        <v/>
      </c>
      <c r="W770">
        <f>MAX(0,MIN(16,ROUND(V770,0)))</f>
        <v/>
      </c>
      <c r="X770">
        <f>IFNA(VLOOKUP(W770,Grade_Scale!$A:$B,2,FALSE),"F")</f>
        <v/>
      </c>
      <c r="Z770">
        <f>IF(Y770="","",W770-IFNA(VLOOKUP(Y770,Grade_Scale!$D:$E,2,FALSE),""))</f>
        <v/>
      </c>
    </row>
    <row r="771">
      <c r="P771">
        <f>IF(OR(B771="SP",B771="RP",B771="CP",B771="SP/RP"),"P","H")</f>
        <v/>
      </c>
      <c r="Q771">
        <f>IF(F771="",0,IFNA(VLOOKUP(F771,Trait_Polarity!$A:$C,2,FALSE),0))+IF(G771="",0,IFNA(VLOOKUP(G771,Trait_Polarity!$A:$C,2,FALSE),0))</f>
        <v/>
      </c>
      <c r="R771">
        <f>IF(F771="",0,IFNA(VLOOKUP(F771,Trait_Polarity!$A:$C,3,FALSE),0))+IF(G771="",0,IFNA(VLOOKUP(G771,Trait_Polarity!$A:$C,3,FALSE),0))</f>
        <v/>
      </c>
      <c r="S771">
        <f>IF(P771="P",(M771+N771+O771)/3,0.3*H771+0.3*I771+0.2*J771+0.1*K771+0.1*L771)</f>
        <v/>
      </c>
      <c r="T771">
        <f>IF(P771="P",IFNA(VLOOKUP(B771,Pitcher_RoleAdj!$A:$B,2,FALSE),0),IFNA(VLOOKUP(B771,Hitter_PrimaryAdj!$A:$B,2,FALSE),0))</f>
        <v/>
      </c>
      <c r="U771">
        <f>IFNA(VLOOKUP(IF(C771="","(none)",C771),SecondaryAdj!$A:$B,2,FALSE),0)</f>
        <v/>
      </c>
      <c r="V771">
        <f>IF(P771="P",0.7780+0.1628*S771+0.2957*Q771-0.1912*R771-0.1512*IF(D771="S",1,0)+0.1600*IF(E771="L",1,0)+0.0091*H771+0.0124*I771+0.0017*J771+T771+U771,-0.8294+0.1849*S771+0.1750*Q771-0.2969*R771+0.6924*IF(D771="S",1,0)+0.0457*IF(E771="L",1,0)+T771+U771)</f>
        <v/>
      </c>
      <c r="W771">
        <f>MAX(0,MIN(16,ROUND(V771,0)))</f>
        <v/>
      </c>
      <c r="X771">
        <f>IFNA(VLOOKUP(W771,Grade_Scale!$A:$B,2,FALSE),"F")</f>
        <v/>
      </c>
      <c r="Z771">
        <f>IF(Y771="","",W771-IFNA(VLOOKUP(Y771,Grade_Scale!$D:$E,2,FALSE),""))</f>
        <v/>
      </c>
    </row>
    <row r="772">
      <c r="P772">
        <f>IF(OR(B772="SP",B772="RP",B772="CP",B772="SP/RP"),"P","H")</f>
        <v/>
      </c>
      <c r="Q772">
        <f>IF(F772="",0,IFNA(VLOOKUP(F772,Trait_Polarity!$A:$C,2,FALSE),0))+IF(G772="",0,IFNA(VLOOKUP(G772,Trait_Polarity!$A:$C,2,FALSE),0))</f>
        <v/>
      </c>
      <c r="R772">
        <f>IF(F772="",0,IFNA(VLOOKUP(F772,Trait_Polarity!$A:$C,3,FALSE),0))+IF(G772="",0,IFNA(VLOOKUP(G772,Trait_Polarity!$A:$C,3,FALSE),0))</f>
        <v/>
      </c>
      <c r="S772">
        <f>IF(P772="P",(M772+N772+O772)/3,0.3*H772+0.3*I772+0.2*J772+0.1*K772+0.1*L772)</f>
        <v/>
      </c>
      <c r="T772">
        <f>IF(P772="P",IFNA(VLOOKUP(B772,Pitcher_RoleAdj!$A:$B,2,FALSE),0),IFNA(VLOOKUP(B772,Hitter_PrimaryAdj!$A:$B,2,FALSE),0))</f>
        <v/>
      </c>
      <c r="U772">
        <f>IFNA(VLOOKUP(IF(C772="","(none)",C772),SecondaryAdj!$A:$B,2,FALSE),0)</f>
        <v/>
      </c>
      <c r="V772">
        <f>IF(P772="P",0.7780+0.1628*S772+0.2957*Q772-0.1912*R772-0.1512*IF(D772="S",1,0)+0.1600*IF(E772="L",1,0)+0.0091*H772+0.0124*I772+0.0017*J772+T772+U772,-0.8294+0.1849*S772+0.1750*Q772-0.2969*R772+0.6924*IF(D772="S",1,0)+0.0457*IF(E772="L",1,0)+T772+U772)</f>
        <v/>
      </c>
      <c r="W772">
        <f>MAX(0,MIN(16,ROUND(V772,0)))</f>
        <v/>
      </c>
      <c r="X772">
        <f>IFNA(VLOOKUP(W772,Grade_Scale!$A:$B,2,FALSE),"F")</f>
        <v/>
      </c>
      <c r="Z772">
        <f>IF(Y772="","",W772-IFNA(VLOOKUP(Y772,Grade_Scale!$D:$E,2,FALSE),""))</f>
        <v/>
      </c>
    </row>
    <row r="773">
      <c r="P773">
        <f>IF(OR(B773="SP",B773="RP",B773="CP",B773="SP/RP"),"P","H")</f>
        <v/>
      </c>
      <c r="Q773">
        <f>IF(F773="",0,IFNA(VLOOKUP(F773,Trait_Polarity!$A:$C,2,FALSE),0))+IF(G773="",0,IFNA(VLOOKUP(G773,Trait_Polarity!$A:$C,2,FALSE),0))</f>
        <v/>
      </c>
      <c r="R773">
        <f>IF(F773="",0,IFNA(VLOOKUP(F773,Trait_Polarity!$A:$C,3,FALSE),0))+IF(G773="",0,IFNA(VLOOKUP(G773,Trait_Polarity!$A:$C,3,FALSE),0))</f>
        <v/>
      </c>
      <c r="S773">
        <f>IF(P773="P",(M773+N773+O773)/3,0.3*H773+0.3*I773+0.2*J773+0.1*K773+0.1*L773)</f>
        <v/>
      </c>
      <c r="T773">
        <f>IF(P773="P",IFNA(VLOOKUP(B773,Pitcher_RoleAdj!$A:$B,2,FALSE),0),IFNA(VLOOKUP(B773,Hitter_PrimaryAdj!$A:$B,2,FALSE),0))</f>
        <v/>
      </c>
      <c r="U773">
        <f>IFNA(VLOOKUP(IF(C773="","(none)",C773),SecondaryAdj!$A:$B,2,FALSE),0)</f>
        <v/>
      </c>
      <c r="V773">
        <f>IF(P773="P",0.7780+0.1628*S773+0.2957*Q773-0.1912*R773-0.1512*IF(D773="S",1,0)+0.1600*IF(E773="L",1,0)+0.0091*H773+0.0124*I773+0.0017*J773+T773+U773,-0.8294+0.1849*S773+0.1750*Q773-0.2969*R773+0.6924*IF(D773="S",1,0)+0.0457*IF(E773="L",1,0)+T773+U773)</f>
        <v/>
      </c>
      <c r="W773">
        <f>MAX(0,MIN(16,ROUND(V773,0)))</f>
        <v/>
      </c>
      <c r="X773">
        <f>IFNA(VLOOKUP(W773,Grade_Scale!$A:$B,2,FALSE),"F")</f>
        <v/>
      </c>
      <c r="Z773">
        <f>IF(Y773="","",W773-IFNA(VLOOKUP(Y773,Grade_Scale!$D:$E,2,FALSE),""))</f>
        <v/>
      </c>
    </row>
    <row r="774">
      <c r="P774">
        <f>IF(OR(B774="SP",B774="RP",B774="CP",B774="SP/RP"),"P","H")</f>
        <v/>
      </c>
      <c r="Q774">
        <f>IF(F774="",0,IFNA(VLOOKUP(F774,Trait_Polarity!$A:$C,2,FALSE),0))+IF(G774="",0,IFNA(VLOOKUP(G774,Trait_Polarity!$A:$C,2,FALSE),0))</f>
        <v/>
      </c>
      <c r="R774">
        <f>IF(F774="",0,IFNA(VLOOKUP(F774,Trait_Polarity!$A:$C,3,FALSE),0))+IF(G774="",0,IFNA(VLOOKUP(G774,Trait_Polarity!$A:$C,3,FALSE),0))</f>
        <v/>
      </c>
      <c r="S774">
        <f>IF(P774="P",(M774+N774+O774)/3,0.3*H774+0.3*I774+0.2*J774+0.1*K774+0.1*L774)</f>
        <v/>
      </c>
      <c r="T774">
        <f>IF(P774="P",IFNA(VLOOKUP(B774,Pitcher_RoleAdj!$A:$B,2,FALSE),0),IFNA(VLOOKUP(B774,Hitter_PrimaryAdj!$A:$B,2,FALSE),0))</f>
        <v/>
      </c>
      <c r="U774">
        <f>IFNA(VLOOKUP(IF(C774="","(none)",C774),SecondaryAdj!$A:$B,2,FALSE),0)</f>
        <v/>
      </c>
      <c r="V774">
        <f>IF(P774="P",0.7780+0.1628*S774+0.2957*Q774-0.1912*R774-0.1512*IF(D774="S",1,0)+0.1600*IF(E774="L",1,0)+0.0091*H774+0.0124*I774+0.0017*J774+T774+U774,-0.8294+0.1849*S774+0.1750*Q774-0.2969*R774+0.6924*IF(D774="S",1,0)+0.0457*IF(E774="L",1,0)+T774+U774)</f>
        <v/>
      </c>
      <c r="W774">
        <f>MAX(0,MIN(16,ROUND(V774,0)))</f>
        <v/>
      </c>
      <c r="X774">
        <f>IFNA(VLOOKUP(W774,Grade_Scale!$A:$B,2,FALSE),"F")</f>
        <v/>
      </c>
      <c r="Z774">
        <f>IF(Y774="","",W774-IFNA(VLOOKUP(Y774,Grade_Scale!$D:$E,2,FALSE),""))</f>
        <v/>
      </c>
    </row>
    <row r="775">
      <c r="P775">
        <f>IF(OR(B775="SP",B775="RP",B775="CP",B775="SP/RP"),"P","H")</f>
        <v/>
      </c>
      <c r="Q775">
        <f>IF(F775="",0,IFNA(VLOOKUP(F775,Trait_Polarity!$A:$C,2,FALSE),0))+IF(G775="",0,IFNA(VLOOKUP(G775,Trait_Polarity!$A:$C,2,FALSE),0))</f>
        <v/>
      </c>
      <c r="R775">
        <f>IF(F775="",0,IFNA(VLOOKUP(F775,Trait_Polarity!$A:$C,3,FALSE),0))+IF(G775="",0,IFNA(VLOOKUP(G775,Trait_Polarity!$A:$C,3,FALSE),0))</f>
        <v/>
      </c>
      <c r="S775">
        <f>IF(P775="P",(M775+N775+O775)/3,0.3*H775+0.3*I775+0.2*J775+0.1*K775+0.1*L775)</f>
        <v/>
      </c>
      <c r="T775">
        <f>IF(P775="P",IFNA(VLOOKUP(B775,Pitcher_RoleAdj!$A:$B,2,FALSE),0),IFNA(VLOOKUP(B775,Hitter_PrimaryAdj!$A:$B,2,FALSE),0))</f>
        <v/>
      </c>
      <c r="U775">
        <f>IFNA(VLOOKUP(IF(C775="","(none)",C775),SecondaryAdj!$A:$B,2,FALSE),0)</f>
        <v/>
      </c>
      <c r="V775">
        <f>IF(P775="P",0.7780+0.1628*S775+0.2957*Q775-0.1912*R775-0.1512*IF(D775="S",1,0)+0.1600*IF(E775="L",1,0)+0.0091*H775+0.0124*I775+0.0017*J775+T775+U775,-0.8294+0.1849*S775+0.1750*Q775-0.2969*R775+0.6924*IF(D775="S",1,0)+0.0457*IF(E775="L",1,0)+T775+U775)</f>
        <v/>
      </c>
      <c r="W775">
        <f>MAX(0,MIN(16,ROUND(V775,0)))</f>
        <v/>
      </c>
      <c r="X775">
        <f>IFNA(VLOOKUP(W775,Grade_Scale!$A:$B,2,FALSE),"F")</f>
        <v/>
      </c>
      <c r="Z775">
        <f>IF(Y775="","",W775-IFNA(VLOOKUP(Y775,Grade_Scale!$D:$E,2,FALSE),""))</f>
        <v/>
      </c>
    </row>
    <row r="776">
      <c r="P776">
        <f>IF(OR(B776="SP",B776="RP",B776="CP",B776="SP/RP"),"P","H")</f>
        <v/>
      </c>
      <c r="Q776">
        <f>IF(F776="",0,IFNA(VLOOKUP(F776,Trait_Polarity!$A:$C,2,FALSE),0))+IF(G776="",0,IFNA(VLOOKUP(G776,Trait_Polarity!$A:$C,2,FALSE),0))</f>
        <v/>
      </c>
      <c r="R776">
        <f>IF(F776="",0,IFNA(VLOOKUP(F776,Trait_Polarity!$A:$C,3,FALSE),0))+IF(G776="",0,IFNA(VLOOKUP(G776,Trait_Polarity!$A:$C,3,FALSE),0))</f>
        <v/>
      </c>
      <c r="S776">
        <f>IF(P776="P",(M776+N776+O776)/3,0.3*H776+0.3*I776+0.2*J776+0.1*K776+0.1*L776)</f>
        <v/>
      </c>
      <c r="T776">
        <f>IF(P776="P",IFNA(VLOOKUP(B776,Pitcher_RoleAdj!$A:$B,2,FALSE),0),IFNA(VLOOKUP(B776,Hitter_PrimaryAdj!$A:$B,2,FALSE),0))</f>
        <v/>
      </c>
      <c r="U776">
        <f>IFNA(VLOOKUP(IF(C776="","(none)",C776),SecondaryAdj!$A:$B,2,FALSE),0)</f>
        <v/>
      </c>
      <c r="V776">
        <f>IF(P776="P",0.7780+0.1628*S776+0.2957*Q776-0.1912*R776-0.1512*IF(D776="S",1,0)+0.1600*IF(E776="L",1,0)+0.0091*H776+0.0124*I776+0.0017*J776+T776+U776,-0.8294+0.1849*S776+0.1750*Q776-0.2969*R776+0.6924*IF(D776="S",1,0)+0.0457*IF(E776="L",1,0)+T776+U776)</f>
        <v/>
      </c>
      <c r="W776">
        <f>MAX(0,MIN(16,ROUND(V776,0)))</f>
        <v/>
      </c>
      <c r="X776">
        <f>IFNA(VLOOKUP(W776,Grade_Scale!$A:$B,2,FALSE),"F")</f>
        <v/>
      </c>
      <c r="Z776">
        <f>IF(Y776="","",W776-IFNA(VLOOKUP(Y776,Grade_Scale!$D:$E,2,FALSE),""))</f>
        <v/>
      </c>
    </row>
    <row r="777">
      <c r="P777">
        <f>IF(OR(B777="SP",B777="RP",B777="CP",B777="SP/RP"),"P","H")</f>
        <v/>
      </c>
      <c r="Q777">
        <f>IF(F777="",0,IFNA(VLOOKUP(F777,Trait_Polarity!$A:$C,2,FALSE),0))+IF(G777="",0,IFNA(VLOOKUP(G777,Trait_Polarity!$A:$C,2,FALSE),0))</f>
        <v/>
      </c>
      <c r="R777">
        <f>IF(F777="",0,IFNA(VLOOKUP(F777,Trait_Polarity!$A:$C,3,FALSE),0))+IF(G777="",0,IFNA(VLOOKUP(G777,Trait_Polarity!$A:$C,3,FALSE),0))</f>
        <v/>
      </c>
      <c r="S777">
        <f>IF(P777="P",(M777+N777+O777)/3,0.3*H777+0.3*I777+0.2*J777+0.1*K777+0.1*L777)</f>
        <v/>
      </c>
      <c r="T777">
        <f>IF(P777="P",IFNA(VLOOKUP(B777,Pitcher_RoleAdj!$A:$B,2,FALSE),0),IFNA(VLOOKUP(B777,Hitter_PrimaryAdj!$A:$B,2,FALSE),0))</f>
        <v/>
      </c>
      <c r="U777">
        <f>IFNA(VLOOKUP(IF(C777="","(none)",C777),SecondaryAdj!$A:$B,2,FALSE),0)</f>
        <v/>
      </c>
      <c r="V777">
        <f>IF(P777="P",0.7780+0.1628*S777+0.2957*Q777-0.1912*R777-0.1512*IF(D777="S",1,0)+0.1600*IF(E777="L",1,0)+0.0091*H777+0.0124*I777+0.0017*J777+T777+U777,-0.8294+0.1849*S777+0.1750*Q777-0.2969*R777+0.6924*IF(D777="S",1,0)+0.0457*IF(E777="L",1,0)+T777+U777)</f>
        <v/>
      </c>
      <c r="W777">
        <f>MAX(0,MIN(16,ROUND(V777,0)))</f>
        <v/>
      </c>
      <c r="X777">
        <f>IFNA(VLOOKUP(W777,Grade_Scale!$A:$B,2,FALSE),"F")</f>
        <v/>
      </c>
      <c r="Z777">
        <f>IF(Y777="","",W777-IFNA(VLOOKUP(Y777,Grade_Scale!$D:$E,2,FALSE),""))</f>
        <v/>
      </c>
    </row>
    <row r="778">
      <c r="P778">
        <f>IF(OR(B778="SP",B778="RP",B778="CP",B778="SP/RP"),"P","H")</f>
        <v/>
      </c>
      <c r="Q778">
        <f>IF(F778="",0,IFNA(VLOOKUP(F778,Trait_Polarity!$A:$C,2,FALSE),0))+IF(G778="",0,IFNA(VLOOKUP(G778,Trait_Polarity!$A:$C,2,FALSE),0))</f>
        <v/>
      </c>
      <c r="R778">
        <f>IF(F778="",0,IFNA(VLOOKUP(F778,Trait_Polarity!$A:$C,3,FALSE),0))+IF(G778="",0,IFNA(VLOOKUP(G778,Trait_Polarity!$A:$C,3,FALSE),0))</f>
        <v/>
      </c>
      <c r="S778">
        <f>IF(P778="P",(M778+N778+O778)/3,0.3*H778+0.3*I778+0.2*J778+0.1*K778+0.1*L778)</f>
        <v/>
      </c>
      <c r="T778">
        <f>IF(P778="P",IFNA(VLOOKUP(B778,Pitcher_RoleAdj!$A:$B,2,FALSE),0),IFNA(VLOOKUP(B778,Hitter_PrimaryAdj!$A:$B,2,FALSE),0))</f>
        <v/>
      </c>
      <c r="U778">
        <f>IFNA(VLOOKUP(IF(C778="","(none)",C778),SecondaryAdj!$A:$B,2,FALSE),0)</f>
        <v/>
      </c>
      <c r="V778">
        <f>IF(P778="P",0.7780+0.1628*S778+0.2957*Q778-0.1912*R778-0.1512*IF(D778="S",1,0)+0.1600*IF(E778="L",1,0)+0.0091*H778+0.0124*I778+0.0017*J778+T778+U778,-0.8294+0.1849*S778+0.1750*Q778-0.2969*R778+0.6924*IF(D778="S",1,0)+0.0457*IF(E778="L",1,0)+T778+U778)</f>
        <v/>
      </c>
      <c r="W778">
        <f>MAX(0,MIN(16,ROUND(V778,0)))</f>
        <v/>
      </c>
      <c r="X778">
        <f>IFNA(VLOOKUP(W778,Grade_Scale!$A:$B,2,FALSE),"F")</f>
        <v/>
      </c>
      <c r="Z778">
        <f>IF(Y778="","",W778-IFNA(VLOOKUP(Y778,Grade_Scale!$D:$E,2,FALSE),""))</f>
        <v/>
      </c>
    </row>
    <row r="779">
      <c r="P779">
        <f>IF(OR(B779="SP",B779="RP",B779="CP",B779="SP/RP"),"P","H")</f>
        <v/>
      </c>
      <c r="Q779">
        <f>IF(F779="",0,IFNA(VLOOKUP(F779,Trait_Polarity!$A:$C,2,FALSE),0))+IF(G779="",0,IFNA(VLOOKUP(G779,Trait_Polarity!$A:$C,2,FALSE),0))</f>
        <v/>
      </c>
      <c r="R779">
        <f>IF(F779="",0,IFNA(VLOOKUP(F779,Trait_Polarity!$A:$C,3,FALSE),0))+IF(G779="",0,IFNA(VLOOKUP(G779,Trait_Polarity!$A:$C,3,FALSE),0))</f>
        <v/>
      </c>
      <c r="S779">
        <f>IF(P779="P",(M779+N779+O779)/3,0.3*H779+0.3*I779+0.2*J779+0.1*K779+0.1*L779)</f>
        <v/>
      </c>
      <c r="T779">
        <f>IF(P779="P",IFNA(VLOOKUP(B779,Pitcher_RoleAdj!$A:$B,2,FALSE),0),IFNA(VLOOKUP(B779,Hitter_PrimaryAdj!$A:$B,2,FALSE),0))</f>
        <v/>
      </c>
      <c r="U779">
        <f>IFNA(VLOOKUP(IF(C779="","(none)",C779),SecondaryAdj!$A:$B,2,FALSE),0)</f>
        <v/>
      </c>
      <c r="V779">
        <f>IF(P779="P",0.7780+0.1628*S779+0.2957*Q779-0.1912*R779-0.1512*IF(D779="S",1,0)+0.1600*IF(E779="L",1,0)+0.0091*H779+0.0124*I779+0.0017*J779+T779+U779,-0.8294+0.1849*S779+0.1750*Q779-0.2969*R779+0.6924*IF(D779="S",1,0)+0.0457*IF(E779="L",1,0)+T779+U779)</f>
        <v/>
      </c>
      <c r="W779">
        <f>MAX(0,MIN(16,ROUND(V779,0)))</f>
        <v/>
      </c>
      <c r="X779">
        <f>IFNA(VLOOKUP(W779,Grade_Scale!$A:$B,2,FALSE),"F")</f>
        <v/>
      </c>
      <c r="Z779">
        <f>IF(Y779="","",W779-IFNA(VLOOKUP(Y779,Grade_Scale!$D:$E,2,FALSE),""))</f>
        <v/>
      </c>
    </row>
    <row r="780">
      <c r="P780">
        <f>IF(OR(B780="SP",B780="RP",B780="CP",B780="SP/RP"),"P","H")</f>
        <v/>
      </c>
      <c r="Q780">
        <f>IF(F780="",0,IFNA(VLOOKUP(F780,Trait_Polarity!$A:$C,2,FALSE),0))+IF(G780="",0,IFNA(VLOOKUP(G780,Trait_Polarity!$A:$C,2,FALSE),0))</f>
        <v/>
      </c>
      <c r="R780">
        <f>IF(F780="",0,IFNA(VLOOKUP(F780,Trait_Polarity!$A:$C,3,FALSE),0))+IF(G780="",0,IFNA(VLOOKUP(G780,Trait_Polarity!$A:$C,3,FALSE),0))</f>
        <v/>
      </c>
      <c r="S780">
        <f>IF(P780="P",(M780+N780+O780)/3,0.3*H780+0.3*I780+0.2*J780+0.1*K780+0.1*L780)</f>
        <v/>
      </c>
      <c r="T780">
        <f>IF(P780="P",IFNA(VLOOKUP(B780,Pitcher_RoleAdj!$A:$B,2,FALSE),0),IFNA(VLOOKUP(B780,Hitter_PrimaryAdj!$A:$B,2,FALSE),0))</f>
        <v/>
      </c>
      <c r="U780">
        <f>IFNA(VLOOKUP(IF(C780="","(none)",C780),SecondaryAdj!$A:$B,2,FALSE),0)</f>
        <v/>
      </c>
      <c r="V780">
        <f>IF(P780="P",0.7780+0.1628*S780+0.2957*Q780-0.1912*R780-0.1512*IF(D780="S",1,0)+0.1600*IF(E780="L",1,0)+0.0091*H780+0.0124*I780+0.0017*J780+T780+U780,-0.8294+0.1849*S780+0.1750*Q780-0.2969*R780+0.6924*IF(D780="S",1,0)+0.0457*IF(E780="L",1,0)+T780+U780)</f>
        <v/>
      </c>
      <c r="W780">
        <f>MAX(0,MIN(16,ROUND(V780,0)))</f>
        <v/>
      </c>
      <c r="X780">
        <f>IFNA(VLOOKUP(W780,Grade_Scale!$A:$B,2,FALSE),"F")</f>
        <v/>
      </c>
      <c r="Z780">
        <f>IF(Y780="","",W780-IFNA(VLOOKUP(Y780,Grade_Scale!$D:$E,2,FALSE),""))</f>
        <v/>
      </c>
    </row>
    <row r="781">
      <c r="P781">
        <f>IF(OR(B781="SP",B781="RP",B781="CP",B781="SP/RP"),"P","H")</f>
        <v/>
      </c>
      <c r="Q781">
        <f>IF(F781="",0,IFNA(VLOOKUP(F781,Trait_Polarity!$A:$C,2,FALSE),0))+IF(G781="",0,IFNA(VLOOKUP(G781,Trait_Polarity!$A:$C,2,FALSE),0))</f>
        <v/>
      </c>
      <c r="R781">
        <f>IF(F781="",0,IFNA(VLOOKUP(F781,Trait_Polarity!$A:$C,3,FALSE),0))+IF(G781="",0,IFNA(VLOOKUP(G781,Trait_Polarity!$A:$C,3,FALSE),0))</f>
        <v/>
      </c>
      <c r="S781">
        <f>IF(P781="P",(M781+N781+O781)/3,0.3*H781+0.3*I781+0.2*J781+0.1*K781+0.1*L781)</f>
        <v/>
      </c>
      <c r="T781">
        <f>IF(P781="P",IFNA(VLOOKUP(B781,Pitcher_RoleAdj!$A:$B,2,FALSE),0),IFNA(VLOOKUP(B781,Hitter_PrimaryAdj!$A:$B,2,FALSE),0))</f>
        <v/>
      </c>
      <c r="U781">
        <f>IFNA(VLOOKUP(IF(C781="","(none)",C781),SecondaryAdj!$A:$B,2,FALSE),0)</f>
        <v/>
      </c>
      <c r="V781">
        <f>IF(P781="P",0.7780+0.1628*S781+0.2957*Q781-0.1912*R781-0.1512*IF(D781="S",1,0)+0.1600*IF(E781="L",1,0)+0.0091*H781+0.0124*I781+0.0017*J781+T781+U781,-0.8294+0.1849*S781+0.1750*Q781-0.2969*R781+0.6924*IF(D781="S",1,0)+0.0457*IF(E781="L",1,0)+T781+U781)</f>
        <v/>
      </c>
      <c r="W781">
        <f>MAX(0,MIN(16,ROUND(V781,0)))</f>
        <v/>
      </c>
      <c r="X781">
        <f>IFNA(VLOOKUP(W781,Grade_Scale!$A:$B,2,FALSE),"F")</f>
        <v/>
      </c>
      <c r="Z781">
        <f>IF(Y781="","",W781-IFNA(VLOOKUP(Y781,Grade_Scale!$D:$E,2,FALSE),""))</f>
        <v/>
      </c>
    </row>
    <row r="782">
      <c r="P782">
        <f>IF(OR(B782="SP",B782="RP",B782="CP",B782="SP/RP"),"P","H")</f>
        <v/>
      </c>
      <c r="Q782">
        <f>IF(F782="",0,IFNA(VLOOKUP(F782,Trait_Polarity!$A:$C,2,FALSE),0))+IF(G782="",0,IFNA(VLOOKUP(G782,Trait_Polarity!$A:$C,2,FALSE),0))</f>
        <v/>
      </c>
      <c r="R782">
        <f>IF(F782="",0,IFNA(VLOOKUP(F782,Trait_Polarity!$A:$C,3,FALSE),0))+IF(G782="",0,IFNA(VLOOKUP(G782,Trait_Polarity!$A:$C,3,FALSE),0))</f>
        <v/>
      </c>
      <c r="S782">
        <f>IF(P782="P",(M782+N782+O782)/3,0.3*H782+0.3*I782+0.2*J782+0.1*K782+0.1*L782)</f>
        <v/>
      </c>
      <c r="T782">
        <f>IF(P782="P",IFNA(VLOOKUP(B782,Pitcher_RoleAdj!$A:$B,2,FALSE),0),IFNA(VLOOKUP(B782,Hitter_PrimaryAdj!$A:$B,2,FALSE),0))</f>
        <v/>
      </c>
      <c r="U782">
        <f>IFNA(VLOOKUP(IF(C782="","(none)",C782),SecondaryAdj!$A:$B,2,FALSE),0)</f>
        <v/>
      </c>
      <c r="V782">
        <f>IF(P782="P",0.7780+0.1628*S782+0.2957*Q782-0.1912*R782-0.1512*IF(D782="S",1,0)+0.1600*IF(E782="L",1,0)+0.0091*H782+0.0124*I782+0.0017*J782+T782+U782,-0.8294+0.1849*S782+0.1750*Q782-0.2969*R782+0.6924*IF(D782="S",1,0)+0.0457*IF(E782="L",1,0)+T782+U782)</f>
        <v/>
      </c>
      <c r="W782">
        <f>MAX(0,MIN(16,ROUND(V782,0)))</f>
        <v/>
      </c>
      <c r="X782">
        <f>IFNA(VLOOKUP(W782,Grade_Scale!$A:$B,2,FALSE),"F")</f>
        <v/>
      </c>
      <c r="Z782">
        <f>IF(Y782="","",W782-IFNA(VLOOKUP(Y782,Grade_Scale!$D:$E,2,FALSE),""))</f>
        <v/>
      </c>
    </row>
    <row r="783">
      <c r="P783">
        <f>IF(OR(B783="SP",B783="RP",B783="CP",B783="SP/RP"),"P","H")</f>
        <v/>
      </c>
      <c r="Q783">
        <f>IF(F783="",0,IFNA(VLOOKUP(F783,Trait_Polarity!$A:$C,2,FALSE),0))+IF(G783="",0,IFNA(VLOOKUP(G783,Trait_Polarity!$A:$C,2,FALSE),0))</f>
        <v/>
      </c>
      <c r="R783">
        <f>IF(F783="",0,IFNA(VLOOKUP(F783,Trait_Polarity!$A:$C,3,FALSE),0))+IF(G783="",0,IFNA(VLOOKUP(G783,Trait_Polarity!$A:$C,3,FALSE),0))</f>
        <v/>
      </c>
      <c r="S783">
        <f>IF(P783="P",(M783+N783+O783)/3,0.3*H783+0.3*I783+0.2*J783+0.1*K783+0.1*L783)</f>
        <v/>
      </c>
      <c r="T783">
        <f>IF(P783="P",IFNA(VLOOKUP(B783,Pitcher_RoleAdj!$A:$B,2,FALSE),0),IFNA(VLOOKUP(B783,Hitter_PrimaryAdj!$A:$B,2,FALSE),0))</f>
        <v/>
      </c>
      <c r="U783">
        <f>IFNA(VLOOKUP(IF(C783="","(none)",C783),SecondaryAdj!$A:$B,2,FALSE),0)</f>
        <v/>
      </c>
      <c r="V783">
        <f>IF(P783="P",0.7780+0.1628*S783+0.2957*Q783-0.1912*R783-0.1512*IF(D783="S",1,0)+0.1600*IF(E783="L",1,0)+0.0091*H783+0.0124*I783+0.0017*J783+T783+U783,-0.8294+0.1849*S783+0.1750*Q783-0.2969*R783+0.6924*IF(D783="S",1,0)+0.0457*IF(E783="L",1,0)+T783+U783)</f>
        <v/>
      </c>
      <c r="W783">
        <f>MAX(0,MIN(16,ROUND(V783,0)))</f>
        <v/>
      </c>
      <c r="X783">
        <f>IFNA(VLOOKUP(W783,Grade_Scale!$A:$B,2,FALSE),"F")</f>
        <v/>
      </c>
      <c r="Z783">
        <f>IF(Y783="","",W783-IFNA(VLOOKUP(Y783,Grade_Scale!$D:$E,2,FALSE),""))</f>
        <v/>
      </c>
    </row>
    <row r="784">
      <c r="P784">
        <f>IF(OR(B784="SP",B784="RP",B784="CP",B784="SP/RP"),"P","H")</f>
        <v/>
      </c>
      <c r="Q784">
        <f>IF(F784="",0,IFNA(VLOOKUP(F784,Trait_Polarity!$A:$C,2,FALSE),0))+IF(G784="",0,IFNA(VLOOKUP(G784,Trait_Polarity!$A:$C,2,FALSE),0))</f>
        <v/>
      </c>
      <c r="R784">
        <f>IF(F784="",0,IFNA(VLOOKUP(F784,Trait_Polarity!$A:$C,3,FALSE),0))+IF(G784="",0,IFNA(VLOOKUP(G784,Trait_Polarity!$A:$C,3,FALSE),0))</f>
        <v/>
      </c>
      <c r="S784">
        <f>IF(P784="P",(M784+N784+O784)/3,0.3*H784+0.3*I784+0.2*J784+0.1*K784+0.1*L784)</f>
        <v/>
      </c>
      <c r="T784">
        <f>IF(P784="P",IFNA(VLOOKUP(B784,Pitcher_RoleAdj!$A:$B,2,FALSE),0),IFNA(VLOOKUP(B784,Hitter_PrimaryAdj!$A:$B,2,FALSE),0))</f>
        <v/>
      </c>
      <c r="U784">
        <f>IFNA(VLOOKUP(IF(C784="","(none)",C784),SecondaryAdj!$A:$B,2,FALSE),0)</f>
        <v/>
      </c>
      <c r="V784">
        <f>IF(P784="P",0.7780+0.1628*S784+0.2957*Q784-0.1912*R784-0.1512*IF(D784="S",1,0)+0.1600*IF(E784="L",1,0)+0.0091*H784+0.0124*I784+0.0017*J784+T784+U784,-0.8294+0.1849*S784+0.1750*Q784-0.2969*R784+0.6924*IF(D784="S",1,0)+0.0457*IF(E784="L",1,0)+T784+U784)</f>
        <v/>
      </c>
      <c r="W784">
        <f>MAX(0,MIN(16,ROUND(V784,0)))</f>
        <v/>
      </c>
      <c r="X784">
        <f>IFNA(VLOOKUP(W784,Grade_Scale!$A:$B,2,FALSE),"F")</f>
        <v/>
      </c>
      <c r="Z784">
        <f>IF(Y784="","",W784-IFNA(VLOOKUP(Y784,Grade_Scale!$D:$E,2,FALSE),""))</f>
        <v/>
      </c>
    </row>
    <row r="785">
      <c r="P785">
        <f>IF(OR(B785="SP",B785="RP",B785="CP",B785="SP/RP"),"P","H")</f>
        <v/>
      </c>
      <c r="Q785">
        <f>IF(F785="",0,IFNA(VLOOKUP(F785,Trait_Polarity!$A:$C,2,FALSE),0))+IF(G785="",0,IFNA(VLOOKUP(G785,Trait_Polarity!$A:$C,2,FALSE),0))</f>
        <v/>
      </c>
      <c r="R785">
        <f>IF(F785="",0,IFNA(VLOOKUP(F785,Trait_Polarity!$A:$C,3,FALSE),0))+IF(G785="",0,IFNA(VLOOKUP(G785,Trait_Polarity!$A:$C,3,FALSE),0))</f>
        <v/>
      </c>
      <c r="S785">
        <f>IF(P785="P",(M785+N785+O785)/3,0.3*H785+0.3*I785+0.2*J785+0.1*K785+0.1*L785)</f>
        <v/>
      </c>
      <c r="T785">
        <f>IF(P785="P",IFNA(VLOOKUP(B785,Pitcher_RoleAdj!$A:$B,2,FALSE),0),IFNA(VLOOKUP(B785,Hitter_PrimaryAdj!$A:$B,2,FALSE),0))</f>
        <v/>
      </c>
      <c r="U785">
        <f>IFNA(VLOOKUP(IF(C785="","(none)",C785),SecondaryAdj!$A:$B,2,FALSE),0)</f>
        <v/>
      </c>
      <c r="V785">
        <f>IF(P785="P",0.7780+0.1628*S785+0.2957*Q785-0.1912*R785-0.1512*IF(D785="S",1,0)+0.1600*IF(E785="L",1,0)+0.0091*H785+0.0124*I785+0.0017*J785+T785+U785,-0.8294+0.1849*S785+0.1750*Q785-0.2969*R785+0.6924*IF(D785="S",1,0)+0.0457*IF(E785="L",1,0)+T785+U785)</f>
        <v/>
      </c>
      <c r="W785">
        <f>MAX(0,MIN(16,ROUND(V785,0)))</f>
        <v/>
      </c>
      <c r="X785">
        <f>IFNA(VLOOKUP(W785,Grade_Scale!$A:$B,2,FALSE),"F")</f>
        <v/>
      </c>
      <c r="Z785">
        <f>IF(Y785="","",W785-IFNA(VLOOKUP(Y785,Grade_Scale!$D:$E,2,FALSE),""))</f>
        <v/>
      </c>
    </row>
    <row r="786">
      <c r="P786">
        <f>IF(OR(B786="SP",B786="RP",B786="CP",B786="SP/RP"),"P","H")</f>
        <v/>
      </c>
      <c r="Q786">
        <f>IF(F786="",0,IFNA(VLOOKUP(F786,Trait_Polarity!$A:$C,2,FALSE),0))+IF(G786="",0,IFNA(VLOOKUP(G786,Trait_Polarity!$A:$C,2,FALSE),0))</f>
        <v/>
      </c>
      <c r="R786">
        <f>IF(F786="",0,IFNA(VLOOKUP(F786,Trait_Polarity!$A:$C,3,FALSE),0))+IF(G786="",0,IFNA(VLOOKUP(G786,Trait_Polarity!$A:$C,3,FALSE),0))</f>
        <v/>
      </c>
      <c r="S786">
        <f>IF(P786="P",(M786+N786+O786)/3,0.3*H786+0.3*I786+0.2*J786+0.1*K786+0.1*L786)</f>
        <v/>
      </c>
      <c r="T786">
        <f>IF(P786="P",IFNA(VLOOKUP(B786,Pitcher_RoleAdj!$A:$B,2,FALSE),0),IFNA(VLOOKUP(B786,Hitter_PrimaryAdj!$A:$B,2,FALSE),0))</f>
        <v/>
      </c>
      <c r="U786">
        <f>IFNA(VLOOKUP(IF(C786="","(none)",C786),SecondaryAdj!$A:$B,2,FALSE),0)</f>
        <v/>
      </c>
      <c r="V786">
        <f>IF(P786="P",0.7780+0.1628*S786+0.2957*Q786-0.1912*R786-0.1512*IF(D786="S",1,0)+0.1600*IF(E786="L",1,0)+0.0091*H786+0.0124*I786+0.0017*J786+T786+U786,-0.8294+0.1849*S786+0.1750*Q786-0.2969*R786+0.6924*IF(D786="S",1,0)+0.0457*IF(E786="L",1,0)+T786+U786)</f>
        <v/>
      </c>
      <c r="W786">
        <f>MAX(0,MIN(16,ROUND(V786,0)))</f>
        <v/>
      </c>
      <c r="X786">
        <f>IFNA(VLOOKUP(W786,Grade_Scale!$A:$B,2,FALSE),"F")</f>
        <v/>
      </c>
      <c r="Z786">
        <f>IF(Y786="","",W786-IFNA(VLOOKUP(Y786,Grade_Scale!$D:$E,2,FALSE),""))</f>
        <v/>
      </c>
    </row>
    <row r="787">
      <c r="P787">
        <f>IF(OR(B787="SP",B787="RP",B787="CP",B787="SP/RP"),"P","H")</f>
        <v/>
      </c>
      <c r="Q787">
        <f>IF(F787="",0,IFNA(VLOOKUP(F787,Trait_Polarity!$A:$C,2,FALSE),0))+IF(G787="",0,IFNA(VLOOKUP(G787,Trait_Polarity!$A:$C,2,FALSE),0))</f>
        <v/>
      </c>
      <c r="R787">
        <f>IF(F787="",0,IFNA(VLOOKUP(F787,Trait_Polarity!$A:$C,3,FALSE),0))+IF(G787="",0,IFNA(VLOOKUP(G787,Trait_Polarity!$A:$C,3,FALSE),0))</f>
        <v/>
      </c>
      <c r="S787">
        <f>IF(P787="P",(M787+N787+O787)/3,0.3*H787+0.3*I787+0.2*J787+0.1*K787+0.1*L787)</f>
        <v/>
      </c>
      <c r="T787">
        <f>IF(P787="P",IFNA(VLOOKUP(B787,Pitcher_RoleAdj!$A:$B,2,FALSE),0),IFNA(VLOOKUP(B787,Hitter_PrimaryAdj!$A:$B,2,FALSE),0))</f>
        <v/>
      </c>
      <c r="U787">
        <f>IFNA(VLOOKUP(IF(C787="","(none)",C787),SecondaryAdj!$A:$B,2,FALSE),0)</f>
        <v/>
      </c>
      <c r="V787">
        <f>IF(P787="P",0.7780+0.1628*S787+0.2957*Q787-0.1912*R787-0.1512*IF(D787="S",1,0)+0.1600*IF(E787="L",1,0)+0.0091*H787+0.0124*I787+0.0017*J787+T787+U787,-0.8294+0.1849*S787+0.1750*Q787-0.2969*R787+0.6924*IF(D787="S",1,0)+0.0457*IF(E787="L",1,0)+T787+U787)</f>
        <v/>
      </c>
      <c r="W787">
        <f>MAX(0,MIN(16,ROUND(V787,0)))</f>
        <v/>
      </c>
      <c r="X787">
        <f>IFNA(VLOOKUP(W787,Grade_Scale!$A:$B,2,FALSE),"F")</f>
        <v/>
      </c>
      <c r="Z787">
        <f>IF(Y787="","",W787-IFNA(VLOOKUP(Y787,Grade_Scale!$D:$E,2,FALSE),""))</f>
        <v/>
      </c>
    </row>
    <row r="788">
      <c r="P788">
        <f>IF(OR(B788="SP",B788="RP",B788="CP",B788="SP/RP"),"P","H")</f>
        <v/>
      </c>
      <c r="Q788">
        <f>IF(F788="",0,IFNA(VLOOKUP(F788,Trait_Polarity!$A:$C,2,FALSE),0))+IF(G788="",0,IFNA(VLOOKUP(G788,Trait_Polarity!$A:$C,2,FALSE),0))</f>
        <v/>
      </c>
      <c r="R788">
        <f>IF(F788="",0,IFNA(VLOOKUP(F788,Trait_Polarity!$A:$C,3,FALSE),0))+IF(G788="",0,IFNA(VLOOKUP(G788,Trait_Polarity!$A:$C,3,FALSE),0))</f>
        <v/>
      </c>
      <c r="S788">
        <f>IF(P788="P",(M788+N788+O788)/3,0.3*H788+0.3*I788+0.2*J788+0.1*K788+0.1*L788)</f>
        <v/>
      </c>
      <c r="T788">
        <f>IF(P788="P",IFNA(VLOOKUP(B788,Pitcher_RoleAdj!$A:$B,2,FALSE),0),IFNA(VLOOKUP(B788,Hitter_PrimaryAdj!$A:$B,2,FALSE),0))</f>
        <v/>
      </c>
      <c r="U788">
        <f>IFNA(VLOOKUP(IF(C788="","(none)",C788),SecondaryAdj!$A:$B,2,FALSE),0)</f>
        <v/>
      </c>
      <c r="V788">
        <f>IF(P788="P",0.7780+0.1628*S788+0.2957*Q788-0.1912*R788-0.1512*IF(D788="S",1,0)+0.1600*IF(E788="L",1,0)+0.0091*H788+0.0124*I788+0.0017*J788+T788+U788,-0.8294+0.1849*S788+0.1750*Q788-0.2969*R788+0.6924*IF(D788="S",1,0)+0.0457*IF(E788="L",1,0)+T788+U788)</f>
        <v/>
      </c>
      <c r="W788">
        <f>MAX(0,MIN(16,ROUND(V788,0)))</f>
        <v/>
      </c>
      <c r="X788">
        <f>IFNA(VLOOKUP(W788,Grade_Scale!$A:$B,2,FALSE),"F")</f>
        <v/>
      </c>
      <c r="Z788">
        <f>IF(Y788="","",W788-IFNA(VLOOKUP(Y788,Grade_Scale!$D:$E,2,FALSE),""))</f>
        <v/>
      </c>
    </row>
    <row r="789">
      <c r="P789">
        <f>IF(OR(B789="SP",B789="RP",B789="CP",B789="SP/RP"),"P","H")</f>
        <v/>
      </c>
      <c r="Q789">
        <f>IF(F789="",0,IFNA(VLOOKUP(F789,Trait_Polarity!$A:$C,2,FALSE),0))+IF(G789="",0,IFNA(VLOOKUP(G789,Trait_Polarity!$A:$C,2,FALSE),0))</f>
        <v/>
      </c>
      <c r="R789">
        <f>IF(F789="",0,IFNA(VLOOKUP(F789,Trait_Polarity!$A:$C,3,FALSE),0))+IF(G789="",0,IFNA(VLOOKUP(G789,Trait_Polarity!$A:$C,3,FALSE),0))</f>
        <v/>
      </c>
      <c r="S789">
        <f>IF(P789="P",(M789+N789+O789)/3,0.3*H789+0.3*I789+0.2*J789+0.1*K789+0.1*L789)</f>
        <v/>
      </c>
      <c r="T789">
        <f>IF(P789="P",IFNA(VLOOKUP(B789,Pitcher_RoleAdj!$A:$B,2,FALSE),0),IFNA(VLOOKUP(B789,Hitter_PrimaryAdj!$A:$B,2,FALSE),0))</f>
        <v/>
      </c>
      <c r="U789">
        <f>IFNA(VLOOKUP(IF(C789="","(none)",C789),SecondaryAdj!$A:$B,2,FALSE),0)</f>
        <v/>
      </c>
      <c r="V789">
        <f>IF(P789="P",0.7780+0.1628*S789+0.2957*Q789-0.1912*R789-0.1512*IF(D789="S",1,0)+0.1600*IF(E789="L",1,0)+0.0091*H789+0.0124*I789+0.0017*J789+T789+U789,-0.8294+0.1849*S789+0.1750*Q789-0.2969*R789+0.6924*IF(D789="S",1,0)+0.0457*IF(E789="L",1,0)+T789+U789)</f>
        <v/>
      </c>
      <c r="W789">
        <f>MAX(0,MIN(16,ROUND(V789,0)))</f>
        <v/>
      </c>
      <c r="X789">
        <f>IFNA(VLOOKUP(W789,Grade_Scale!$A:$B,2,FALSE),"F")</f>
        <v/>
      </c>
      <c r="Z789">
        <f>IF(Y789="","",W789-IFNA(VLOOKUP(Y789,Grade_Scale!$D:$E,2,FALSE),""))</f>
        <v/>
      </c>
    </row>
    <row r="790">
      <c r="P790">
        <f>IF(OR(B790="SP",B790="RP",B790="CP",B790="SP/RP"),"P","H")</f>
        <v/>
      </c>
      <c r="Q790">
        <f>IF(F790="",0,IFNA(VLOOKUP(F790,Trait_Polarity!$A:$C,2,FALSE),0))+IF(G790="",0,IFNA(VLOOKUP(G790,Trait_Polarity!$A:$C,2,FALSE),0))</f>
        <v/>
      </c>
      <c r="R790">
        <f>IF(F790="",0,IFNA(VLOOKUP(F790,Trait_Polarity!$A:$C,3,FALSE),0))+IF(G790="",0,IFNA(VLOOKUP(G790,Trait_Polarity!$A:$C,3,FALSE),0))</f>
        <v/>
      </c>
      <c r="S790">
        <f>IF(P790="P",(M790+N790+O790)/3,0.3*H790+0.3*I790+0.2*J790+0.1*K790+0.1*L790)</f>
        <v/>
      </c>
      <c r="T790">
        <f>IF(P790="P",IFNA(VLOOKUP(B790,Pitcher_RoleAdj!$A:$B,2,FALSE),0),IFNA(VLOOKUP(B790,Hitter_PrimaryAdj!$A:$B,2,FALSE),0))</f>
        <v/>
      </c>
      <c r="U790">
        <f>IFNA(VLOOKUP(IF(C790="","(none)",C790),SecondaryAdj!$A:$B,2,FALSE),0)</f>
        <v/>
      </c>
      <c r="V790">
        <f>IF(P790="P",0.7780+0.1628*S790+0.2957*Q790-0.1912*R790-0.1512*IF(D790="S",1,0)+0.1600*IF(E790="L",1,0)+0.0091*H790+0.0124*I790+0.0017*J790+T790+U790,-0.8294+0.1849*S790+0.1750*Q790-0.2969*R790+0.6924*IF(D790="S",1,0)+0.0457*IF(E790="L",1,0)+T790+U790)</f>
        <v/>
      </c>
      <c r="W790">
        <f>MAX(0,MIN(16,ROUND(V790,0)))</f>
        <v/>
      </c>
      <c r="X790">
        <f>IFNA(VLOOKUP(W790,Grade_Scale!$A:$B,2,FALSE),"F")</f>
        <v/>
      </c>
      <c r="Z790">
        <f>IF(Y790="","",W790-IFNA(VLOOKUP(Y790,Grade_Scale!$D:$E,2,FALSE),""))</f>
        <v/>
      </c>
    </row>
    <row r="791">
      <c r="P791">
        <f>IF(OR(B791="SP",B791="RP",B791="CP",B791="SP/RP"),"P","H")</f>
        <v/>
      </c>
      <c r="Q791">
        <f>IF(F791="",0,IFNA(VLOOKUP(F791,Trait_Polarity!$A:$C,2,FALSE),0))+IF(G791="",0,IFNA(VLOOKUP(G791,Trait_Polarity!$A:$C,2,FALSE),0))</f>
        <v/>
      </c>
      <c r="R791">
        <f>IF(F791="",0,IFNA(VLOOKUP(F791,Trait_Polarity!$A:$C,3,FALSE),0))+IF(G791="",0,IFNA(VLOOKUP(G791,Trait_Polarity!$A:$C,3,FALSE),0))</f>
        <v/>
      </c>
      <c r="S791">
        <f>IF(P791="P",(M791+N791+O791)/3,0.3*H791+0.3*I791+0.2*J791+0.1*K791+0.1*L791)</f>
        <v/>
      </c>
      <c r="T791">
        <f>IF(P791="P",IFNA(VLOOKUP(B791,Pitcher_RoleAdj!$A:$B,2,FALSE),0),IFNA(VLOOKUP(B791,Hitter_PrimaryAdj!$A:$B,2,FALSE),0))</f>
        <v/>
      </c>
      <c r="U791">
        <f>IFNA(VLOOKUP(IF(C791="","(none)",C791),SecondaryAdj!$A:$B,2,FALSE),0)</f>
        <v/>
      </c>
      <c r="V791">
        <f>IF(P791="P",0.7780+0.1628*S791+0.2957*Q791-0.1912*R791-0.1512*IF(D791="S",1,0)+0.1600*IF(E791="L",1,0)+0.0091*H791+0.0124*I791+0.0017*J791+T791+U791,-0.8294+0.1849*S791+0.1750*Q791-0.2969*R791+0.6924*IF(D791="S",1,0)+0.0457*IF(E791="L",1,0)+T791+U791)</f>
        <v/>
      </c>
      <c r="W791">
        <f>MAX(0,MIN(16,ROUND(V791,0)))</f>
        <v/>
      </c>
      <c r="X791">
        <f>IFNA(VLOOKUP(W791,Grade_Scale!$A:$B,2,FALSE),"F")</f>
        <v/>
      </c>
      <c r="Z791">
        <f>IF(Y791="","",W791-IFNA(VLOOKUP(Y791,Grade_Scale!$D:$E,2,FALSE),""))</f>
        <v/>
      </c>
    </row>
    <row r="792">
      <c r="P792">
        <f>IF(OR(B792="SP",B792="RP",B792="CP",B792="SP/RP"),"P","H")</f>
        <v/>
      </c>
      <c r="Q792">
        <f>IF(F792="",0,IFNA(VLOOKUP(F792,Trait_Polarity!$A:$C,2,FALSE),0))+IF(G792="",0,IFNA(VLOOKUP(G792,Trait_Polarity!$A:$C,2,FALSE),0))</f>
        <v/>
      </c>
      <c r="R792">
        <f>IF(F792="",0,IFNA(VLOOKUP(F792,Trait_Polarity!$A:$C,3,FALSE),0))+IF(G792="",0,IFNA(VLOOKUP(G792,Trait_Polarity!$A:$C,3,FALSE),0))</f>
        <v/>
      </c>
      <c r="S792">
        <f>IF(P792="P",(M792+N792+O792)/3,0.3*H792+0.3*I792+0.2*J792+0.1*K792+0.1*L792)</f>
        <v/>
      </c>
      <c r="T792">
        <f>IF(P792="P",IFNA(VLOOKUP(B792,Pitcher_RoleAdj!$A:$B,2,FALSE),0),IFNA(VLOOKUP(B792,Hitter_PrimaryAdj!$A:$B,2,FALSE),0))</f>
        <v/>
      </c>
      <c r="U792">
        <f>IFNA(VLOOKUP(IF(C792="","(none)",C792),SecondaryAdj!$A:$B,2,FALSE),0)</f>
        <v/>
      </c>
      <c r="V792">
        <f>IF(P792="P",0.7780+0.1628*S792+0.2957*Q792-0.1912*R792-0.1512*IF(D792="S",1,0)+0.1600*IF(E792="L",1,0)+0.0091*H792+0.0124*I792+0.0017*J792+T792+U792,-0.8294+0.1849*S792+0.1750*Q792-0.2969*R792+0.6924*IF(D792="S",1,0)+0.0457*IF(E792="L",1,0)+T792+U792)</f>
        <v/>
      </c>
      <c r="W792">
        <f>MAX(0,MIN(16,ROUND(V792,0)))</f>
        <v/>
      </c>
      <c r="X792">
        <f>IFNA(VLOOKUP(W792,Grade_Scale!$A:$B,2,FALSE),"F")</f>
        <v/>
      </c>
      <c r="Z792">
        <f>IF(Y792="","",W792-IFNA(VLOOKUP(Y792,Grade_Scale!$D:$E,2,FALSE),""))</f>
        <v/>
      </c>
    </row>
    <row r="793">
      <c r="P793">
        <f>IF(OR(B793="SP",B793="RP",B793="CP",B793="SP/RP"),"P","H")</f>
        <v/>
      </c>
      <c r="Q793">
        <f>IF(F793="",0,IFNA(VLOOKUP(F793,Trait_Polarity!$A:$C,2,FALSE),0))+IF(G793="",0,IFNA(VLOOKUP(G793,Trait_Polarity!$A:$C,2,FALSE),0))</f>
        <v/>
      </c>
      <c r="R793">
        <f>IF(F793="",0,IFNA(VLOOKUP(F793,Trait_Polarity!$A:$C,3,FALSE),0))+IF(G793="",0,IFNA(VLOOKUP(G793,Trait_Polarity!$A:$C,3,FALSE),0))</f>
        <v/>
      </c>
      <c r="S793">
        <f>IF(P793="P",(M793+N793+O793)/3,0.3*H793+0.3*I793+0.2*J793+0.1*K793+0.1*L793)</f>
        <v/>
      </c>
      <c r="T793">
        <f>IF(P793="P",IFNA(VLOOKUP(B793,Pitcher_RoleAdj!$A:$B,2,FALSE),0),IFNA(VLOOKUP(B793,Hitter_PrimaryAdj!$A:$B,2,FALSE),0))</f>
        <v/>
      </c>
      <c r="U793">
        <f>IFNA(VLOOKUP(IF(C793="","(none)",C793),SecondaryAdj!$A:$B,2,FALSE),0)</f>
        <v/>
      </c>
      <c r="V793">
        <f>IF(P793="P",0.7780+0.1628*S793+0.2957*Q793-0.1912*R793-0.1512*IF(D793="S",1,0)+0.1600*IF(E793="L",1,0)+0.0091*H793+0.0124*I793+0.0017*J793+T793+U793,-0.8294+0.1849*S793+0.1750*Q793-0.2969*R793+0.6924*IF(D793="S",1,0)+0.0457*IF(E793="L",1,0)+T793+U793)</f>
        <v/>
      </c>
      <c r="W793">
        <f>MAX(0,MIN(16,ROUND(V793,0)))</f>
        <v/>
      </c>
      <c r="X793">
        <f>IFNA(VLOOKUP(W793,Grade_Scale!$A:$B,2,FALSE),"F")</f>
        <v/>
      </c>
      <c r="Z793">
        <f>IF(Y793="","",W793-IFNA(VLOOKUP(Y793,Grade_Scale!$D:$E,2,FALSE),""))</f>
        <v/>
      </c>
    </row>
    <row r="794">
      <c r="P794">
        <f>IF(OR(B794="SP",B794="RP",B794="CP",B794="SP/RP"),"P","H")</f>
        <v/>
      </c>
      <c r="Q794">
        <f>IF(F794="",0,IFNA(VLOOKUP(F794,Trait_Polarity!$A:$C,2,FALSE),0))+IF(G794="",0,IFNA(VLOOKUP(G794,Trait_Polarity!$A:$C,2,FALSE),0))</f>
        <v/>
      </c>
      <c r="R794">
        <f>IF(F794="",0,IFNA(VLOOKUP(F794,Trait_Polarity!$A:$C,3,FALSE),0))+IF(G794="",0,IFNA(VLOOKUP(G794,Trait_Polarity!$A:$C,3,FALSE),0))</f>
        <v/>
      </c>
      <c r="S794">
        <f>IF(P794="P",(M794+N794+O794)/3,0.3*H794+0.3*I794+0.2*J794+0.1*K794+0.1*L794)</f>
        <v/>
      </c>
      <c r="T794">
        <f>IF(P794="P",IFNA(VLOOKUP(B794,Pitcher_RoleAdj!$A:$B,2,FALSE),0),IFNA(VLOOKUP(B794,Hitter_PrimaryAdj!$A:$B,2,FALSE),0))</f>
        <v/>
      </c>
      <c r="U794">
        <f>IFNA(VLOOKUP(IF(C794="","(none)",C794),SecondaryAdj!$A:$B,2,FALSE),0)</f>
        <v/>
      </c>
      <c r="V794">
        <f>IF(P794="P",0.7780+0.1628*S794+0.2957*Q794-0.1912*R794-0.1512*IF(D794="S",1,0)+0.1600*IF(E794="L",1,0)+0.0091*H794+0.0124*I794+0.0017*J794+T794+U794,-0.8294+0.1849*S794+0.1750*Q794-0.2969*R794+0.6924*IF(D794="S",1,0)+0.0457*IF(E794="L",1,0)+T794+U794)</f>
        <v/>
      </c>
      <c r="W794">
        <f>MAX(0,MIN(16,ROUND(V794,0)))</f>
        <v/>
      </c>
      <c r="X794">
        <f>IFNA(VLOOKUP(W794,Grade_Scale!$A:$B,2,FALSE),"F")</f>
        <v/>
      </c>
      <c r="Z794">
        <f>IF(Y794="","",W794-IFNA(VLOOKUP(Y794,Grade_Scale!$D:$E,2,FALSE),""))</f>
        <v/>
      </c>
    </row>
    <row r="795">
      <c r="P795">
        <f>IF(OR(B795="SP",B795="RP",B795="CP",B795="SP/RP"),"P","H")</f>
        <v/>
      </c>
      <c r="Q795">
        <f>IF(F795="",0,IFNA(VLOOKUP(F795,Trait_Polarity!$A:$C,2,FALSE),0))+IF(G795="",0,IFNA(VLOOKUP(G795,Trait_Polarity!$A:$C,2,FALSE),0))</f>
        <v/>
      </c>
      <c r="R795">
        <f>IF(F795="",0,IFNA(VLOOKUP(F795,Trait_Polarity!$A:$C,3,FALSE),0))+IF(G795="",0,IFNA(VLOOKUP(G795,Trait_Polarity!$A:$C,3,FALSE),0))</f>
        <v/>
      </c>
      <c r="S795">
        <f>IF(P795="P",(M795+N795+O795)/3,0.3*H795+0.3*I795+0.2*J795+0.1*K795+0.1*L795)</f>
        <v/>
      </c>
      <c r="T795">
        <f>IF(P795="P",IFNA(VLOOKUP(B795,Pitcher_RoleAdj!$A:$B,2,FALSE),0),IFNA(VLOOKUP(B795,Hitter_PrimaryAdj!$A:$B,2,FALSE),0))</f>
        <v/>
      </c>
      <c r="U795">
        <f>IFNA(VLOOKUP(IF(C795="","(none)",C795),SecondaryAdj!$A:$B,2,FALSE),0)</f>
        <v/>
      </c>
      <c r="V795">
        <f>IF(P795="P",0.7780+0.1628*S795+0.2957*Q795-0.1912*R795-0.1512*IF(D795="S",1,0)+0.1600*IF(E795="L",1,0)+0.0091*H795+0.0124*I795+0.0017*J795+T795+U795,-0.8294+0.1849*S795+0.1750*Q795-0.2969*R795+0.6924*IF(D795="S",1,0)+0.0457*IF(E795="L",1,0)+T795+U795)</f>
        <v/>
      </c>
      <c r="W795">
        <f>MAX(0,MIN(16,ROUND(V795,0)))</f>
        <v/>
      </c>
      <c r="X795">
        <f>IFNA(VLOOKUP(W795,Grade_Scale!$A:$B,2,FALSE),"F")</f>
        <v/>
      </c>
      <c r="Z795">
        <f>IF(Y795="","",W795-IFNA(VLOOKUP(Y795,Grade_Scale!$D:$E,2,FALSE),""))</f>
        <v/>
      </c>
    </row>
    <row r="796">
      <c r="P796">
        <f>IF(OR(B796="SP",B796="RP",B796="CP",B796="SP/RP"),"P","H")</f>
        <v/>
      </c>
      <c r="Q796">
        <f>IF(F796="",0,IFNA(VLOOKUP(F796,Trait_Polarity!$A:$C,2,FALSE),0))+IF(G796="",0,IFNA(VLOOKUP(G796,Trait_Polarity!$A:$C,2,FALSE),0))</f>
        <v/>
      </c>
      <c r="R796">
        <f>IF(F796="",0,IFNA(VLOOKUP(F796,Trait_Polarity!$A:$C,3,FALSE),0))+IF(G796="",0,IFNA(VLOOKUP(G796,Trait_Polarity!$A:$C,3,FALSE),0))</f>
        <v/>
      </c>
      <c r="S796">
        <f>IF(P796="P",(M796+N796+O796)/3,0.3*H796+0.3*I796+0.2*J796+0.1*K796+0.1*L796)</f>
        <v/>
      </c>
      <c r="T796">
        <f>IF(P796="P",IFNA(VLOOKUP(B796,Pitcher_RoleAdj!$A:$B,2,FALSE),0),IFNA(VLOOKUP(B796,Hitter_PrimaryAdj!$A:$B,2,FALSE),0))</f>
        <v/>
      </c>
      <c r="U796">
        <f>IFNA(VLOOKUP(IF(C796="","(none)",C796),SecondaryAdj!$A:$B,2,FALSE),0)</f>
        <v/>
      </c>
      <c r="V796">
        <f>IF(P796="P",0.7780+0.1628*S796+0.2957*Q796-0.1912*R796-0.1512*IF(D796="S",1,0)+0.1600*IF(E796="L",1,0)+0.0091*H796+0.0124*I796+0.0017*J796+T796+U796,-0.8294+0.1849*S796+0.1750*Q796-0.2969*R796+0.6924*IF(D796="S",1,0)+0.0457*IF(E796="L",1,0)+T796+U796)</f>
        <v/>
      </c>
      <c r="W796">
        <f>MAX(0,MIN(16,ROUND(V796,0)))</f>
        <v/>
      </c>
      <c r="X796">
        <f>IFNA(VLOOKUP(W796,Grade_Scale!$A:$B,2,FALSE),"F")</f>
        <v/>
      </c>
      <c r="Z796">
        <f>IF(Y796="","",W796-IFNA(VLOOKUP(Y796,Grade_Scale!$D:$E,2,FALSE),""))</f>
        <v/>
      </c>
    </row>
    <row r="797">
      <c r="P797">
        <f>IF(OR(B797="SP",B797="RP",B797="CP",B797="SP/RP"),"P","H")</f>
        <v/>
      </c>
      <c r="Q797">
        <f>IF(F797="",0,IFNA(VLOOKUP(F797,Trait_Polarity!$A:$C,2,FALSE),0))+IF(G797="",0,IFNA(VLOOKUP(G797,Trait_Polarity!$A:$C,2,FALSE),0))</f>
        <v/>
      </c>
      <c r="R797">
        <f>IF(F797="",0,IFNA(VLOOKUP(F797,Trait_Polarity!$A:$C,3,FALSE),0))+IF(G797="",0,IFNA(VLOOKUP(G797,Trait_Polarity!$A:$C,3,FALSE),0))</f>
        <v/>
      </c>
      <c r="S797">
        <f>IF(P797="P",(M797+N797+O797)/3,0.3*H797+0.3*I797+0.2*J797+0.1*K797+0.1*L797)</f>
        <v/>
      </c>
      <c r="T797">
        <f>IF(P797="P",IFNA(VLOOKUP(B797,Pitcher_RoleAdj!$A:$B,2,FALSE),0),IFNA(VLOOKUP(B797,Hitter_PrimaryAdj!$A:$B,2,FALSE),0))</f>
        <v/>
      </c>
      <c r="U797">
        <f>IFNA(VLOOKUP(IF(C797="","(none)",C797),SecondaryAdj!$A:$B,2,FALSE),0)</f>
        <v/>
      </c>
      <c r="V797">
        <f>IF(P797="P",0.7780+0.1628*S797+0.2957*Q797-0.1912*R797-0.1512*IF(D797="S",1,0)+0.1600*IF(E797="L",1,0)+0.0091*H797+0.0124*I797+0.0017*J797+T797+U797,-0.8294+0.1849*S797+0.1750*Q797-0.2969*R797+0.6924*IF(D797="S",1,0)+0.0457*IF(E797="L",1,0)+T797+U797)</f>
        <v/>
      </c>
      <c r="W797">
        <f>MAX(0,MIN(16,ROUND(V797,0)))</f>
        <v/>
      </c>
      <c r="X797">
        <f>IFNA(VLOOKUP(W797,Grade_Scale!$A:$B,2,FALSE),"F")</f>
        <v/>
      </c>
      <c r="Z797">
        <f>IF(Y797="","",W797-IFNA(VLOOKUP(Y797,Grade_Scale!$D:$E,2,FALSE),""))</f>
        <v/>
      </c>
    </row>
    <row r="798">
      <c r="P798">
        <f>IF(OR(B798="SP",B798="RP",B798="CP",B798="SP/RP"),"P","H")</f>
        <v/>
      </c>
      <c r="Q798">
        <f>IF(F798="",0,IFNA(VLOOKUP(F798,Trait_Polarity!$A:$C,2,FALSE),0))+IF(G798="",0,IFNA(VLOOKUP(G798,Trait_Polarity!$A:$C,2,FALSE),0))</f>
        <v/>
      </c>
      <c r="R798">
        <f>IF(F798="",0,IFNA(VLOOKUP(F798,Trait_Polarity!$A:$C,3,FALSE),0))+IF(G798="",0,IFNA(VLOOKUP(G798,Trait_Polarity!$A:$C,3,FALSE),0))</f>
        <v/>
      </c>
      <c r="S798">
        <f>IF(P798="P",(M798+N798+O798)/3,0.3*H798+0.3*I798+0.2*J798+0.1*K798+0.1*L798)</f>
        <v/>
      </c>
      <c r="T798">
        <f>IF(P798="P",IFNA(VLOOKUP(B798,Pitcher_RoleAdj!$A:$B,2,FALSE),0),IFNA(VLOOKUP(B798,Hitter_PrimaryAdj!$A:$B,2,FALSE),0))</f>
        <v/>
      </c>
      <c r="U798">
        <f>IFNA(VLOOKUP(IF(C798="","(none)",C798),SecondaryAdj!$A:$B,2,FALSE),0)</f>
        <v/>
      </c>
      <c r="V798">
        <f>IF(P798="P",0.7780+0.1628*S798+0.2957*Q798-0.1912*R798-0.1512*IF(D798="S",1,0)+0.1600*IF(E798="L",1,0)+0.0091*H798+0.0124*I798+0.0017*J798+T798+U798,-0.8294+0.1849*S798+0.1750*Q798-0.2969*R798+0.6924*IF(D798="S",1,0)+0.0457*IF(E798="L",1,0)+T798+U798)</f>
        <v/>
      </c>
      <c r="W798">
        <f>MAX(0,MIN(16,ROUND(V798,0)))</f>
        <v/>
      </c>
      <c r="X798">
        <f>IFNA(VLOOKUP(W798,Grade_Scale!$A:$B,2,FALSE),"F")</f>
        <v/>
      </c>
      <c r="Z798">
        <f>IF(Y798="","",W798-IFNA(VLOOKUP(Y798,Grade_Scale!$D:$E,2,FALSE),""))</f>
        <v/>
      </c>
    </row>
    <row r="799">
      <c r="P799">
        <f>IF(OR(B799="SP",B799="RP",B799="CP",B799="SP/RP"),"P","H")</f>
        <v/>
      </c>
      <c r="Q799">
        <f>IF(F799="",0,IFNA(VLOOKUP(F799,Trait_Polarity!$A:$C,2,FALSE),0))+IF(G799="",0,IFNA(VLOOKUP(G799,Trait_Polarity!$A:$C,2,FALSE),0))</f>
        <v/>
      </c>
      <c r="R799">
        <f>IF(F799="",0,IFNA(VLOOKUP(F799,Trait_Polarity!$A:$C,3,FALSE),0))+IF(G799="",0,IFNA(VLOOKUP(G799,Trait_Polarity!$A:$C,3,FALSE),0))</f>
        <v/>
      </c>
      <c r="S799">
        <f>IF(P799="P",(M799+N799+O799)/3,0.3*H799+0.3*I799+0.2*J799+0.1*K799+0.1*L799)</f>
        <v/>
      </c>
      <c r="T799">
        <f>IF(P799="P",IFNA(VLOOKUP(B799,Pitcher_RoleAdj!$A:$B,2,FALSE),0),IFNA(VLOOKUP(B799,Hitter_PrimaryAdj!$A:$B,2,FALSE),0))</f>
        <v/>
      </c>
      <c r="U799">
        <f>IFNA(VLOOKUP(IF(C799="","(none)",C799),SecondaryAdj!$A:$B,2,FALSE),0)</f>
        <v/>
      </c>
      <c r="V799">
        <f>IF(P799="P",0.7780+0.1628*S799+0.2957*Q799-0.1912*R799-0.1512*IF(D799="S",1,0)+0.1600*IF(E799="L",1,0)+0.0091*H799+0.0124*I799+0.0017*J799+T799+U799,-0.8294+0.1849*S799+0.1750*Q799-0.2969*R799+0.6924*IF(D799="S",1,0)+0.0457*IF(E799="L",1,0)+T799+U799)</f>
        <v/>
      </c>
      <c r="W799">
        <f>MAX(0,MIN(16,ROUND(V799,0)))</f>
        <v/>
      </c>
      <c r="X799">
        <f>IFNA(VLOOKUP(W799,Grade_Scale!$A:$B,2,FALSE),"F")</f>
        <v/>
      </c>
      <c r="Z799">
        <f>IF(Y799="","",W799-IFNA(VLOOKUP(Y799,Grade_Scale!$D:$E,2,FALSE),""))</f>
        <v/>
      </c>
    </row>
    <row r="800">
      <c r="P800">
        <f>IF(OR(B800="SP",B800="RP",B800="CP",B800="SP/RP"),"P","H")</f>
        <v/>
      </c>
      <c r="Q800">
        <f>IF(F800="",0,IFNA(VLOOKUP(F800,Trait_Polarity!$A:$C,2,FALSE),0))+IF(G800="",0,IFNA(VLOOKUP(G800,Trait_Polarity!$A:$C,2,FALSE),0))</f>
        <v/>
      </c>
      <c r="R800">
        <f>IF(F800="",0,IFNA(VLOOKUP(F800,Trait_Polarity!$A:$C,3,FALSE),0))+IF(G800="",0,IFNA(VLOOKUP(G800,Trait_Polarity!$A:$C,3,FALSE),0))</f>
        <v/>
      </c>
      <c r="S800">
        <f>IF(P800="P",(M800+N800+O800)/3,0.3*H800+0.3*I800+0.2*J800+0.1*K800+0.1*L800)</f>
        <v/>
      </c>
      <c r="T800">
        <f>IF(P800="P",IFNA(VLOOKUP(B800,Pitcher_RoleAdj!$A:$B,2,FALSE),0),IFNA(VLOOKUP(B800,Hitter_PrimaryAdj!$A:$B,2,FALSE),0))</f>
        <v/>
      </c>
      <c r="U800">
        <f>IFNA(VLOOKUP(IF(C800="","(none)",C800),SecondaryAdj!$A:$B,2,FALSE),0)</f>
        <v/>
      </c>
      <c r="V800">
        <f>IF(P800="P",0.7780+0.1628*S800+0.2957*Q800-0.1912*R800-0.1512*IF(D800="S",1,0)+0.1600*IF(E800="L",1,0)+0.0091*H800+0.0124*I800+0.0017*J800+T800+U800,-0.8294+0.1849*S800+0.1750*Q800-0.2969*R800+0.6924*IF(D800="S",1,0)+0.0457*IF(E800="L",1,0)+T800+U800)</f>
        <v/>
      </c>
      <c r="W800">
        <f>MAX(0,MIN(16,ROUND(V800,0)))</f>
        <v/>
      </c>
      <c r="X800">
        <f>IFNA(VLOOKUP(W800,Grade_Scale!$A:$B,2,FALSE),"F")</f>
        <v/>
      </c>
      <c r="Z800">
        <f>IF(Y800="","",W800-IFNA(VLOOKUP(Y800,Grade_Scale!$D:$E,2,FALSE),""))</f>
        <v/>
      </c>
    </row>
    <row r="801">
      <c r="P801">
        <f>IF(OR(B801="SP",B801="RP",B801="CP",B801="SP/RP"),"P","H")</f>
        <v/>
      </c>
      <c r="Q801">
        <f>IF(F801="",0,IFNA(VLOOKUP(F801,Trait_Polarity!$A:$C,2,FALSE),0))+IF(G801="",0,IFNA(VLOOKUP(G801,Trait_Polarity!$A:$C,2,FALSE),0))</f>
        <v/>
      </c>
      <c r="R801">
        <f>IF(F801="",0,IFNA(VLOOKUP(F801,Trait_Polarity!$A:$C,3,FALSE),0))+IF(G801="",0,IFNA(VLOOKUP(G801,Trait_Polarity!$A:$C,3,FALSE),0))</f>
        <v/>
      </c>
      <c r="S801">
        <f>IF(P801="P",(M801+N801+O801)/3,0.3*H801+0.3*I801+0.2*J801+0.1*K801+0.1*L801)</f>
        <v/>
      </c>
      <c r="T801">
        <f>IF(P801="P",IFNA(VLOOKUP(B801,Pitcher_RoleAdj!$A:$B,2,FALSE),0),IFNA(VLOOKUP(B801,Hitter_PrimaryAdj!$A:$B,2,FALSE),0))</f>
        <v/>
      </c>
      <c r="U801">
        <f>IFNA(VLOOKUP(IF(C801="","(none)",C801),SecondaryAdj!$A:$B,2,FALSE),0)</f>
        <v/>
      </c>
      <c r="V801">
        <f>IF(P801="P",0.7780+0.1628*S801+0.2957*Q801-0.1912*R801-0.1512*IF(D801="S",1,0)+0.1600*IF(E801="L",1,0)+0.0091*H801+0.0124*I801+0.0017*J801+T801+U801,-0.8294+0.1849*S801+0.1750*Q801-0.2969*R801+0.6924*IF(D801="S",1,0)+0.0457*IF(E801="L",1,0)+T801+U801)</f>
        <v/>
      </c>
      <c r="W801">
        <f>MAX(0,MIN(16,ROUND(V801,0)))</f>
        <v/>
      </c>
      <c r="X801">
        <f>IFNA(VLOOKUP(W801,Grade_Scale!$A:$B,2,FALSE),"F")</f>
        <v/>
      </c>
      <c r="Z801">
        <f>IF(Y801="","",W801-IFNA(VLOOKUP(Y801,Grade_Scale!$D:$E,2,FALSE),""))</f>
        <v/>
      </c>
    </row>
    <row r="802">
      <c r="P802">
        <f>IF(OR(B802="SP",B802="RP",B802="CP",B802="SP/RP"),"P","H")</f>
        <v/>
      </c>
      <c r="Q802">
        <f>IF(F802="",0,IFNA(VLOOKUP(F802,Trait_Polarity!$A:$C,2,FALSE),0))+IF(G802="",0,IFNA(VLOOKUP(G802,Trait_Polarity!$A:$C,2,FALSE),0))</f>
        <v/>
      </c>
      <c r="R802">
        <f>IF(F802="",0,IFNA(VLOOKUP(F802,Trait_Polarity!$A:$C,3,FALSE),0))+IF(G802="",0,IFNA(VLOOKUP(G802,Trait_Polarity!$A:$C,3,FALSE),0))</f>
        <v/>
      </c>
      <c r="S802">
        <f>IF(P802="P",(M802+N802+O802)/3,0.3*H802+0.3*I802+0.2*J802+0.1*K802+0.1*L802)</f>
        <v/>
      </c>
      <c r="T802">
        <f>IF(P802="P",IFNA(VLOOKUP(B802,Pitcher_RoleAdj!$A:$B,2,FALSE),0),IFNA(VLOOKUP(B802,Hitter_PrimaryAdj!$A:$B,2,FALSE),0))</f>
        <v/>
      </c>
      <c r="U802">
        <f>IFNA(VLOOKUP(IF(C802="","(none)",C802),SecondaryAdj!$A:$B,2,FALSE),0)</f>
        <v/>
      </c>
      <c r="V802">
        <f>IF(P802="P",0.7780+0.1628*S802+0.2957*Q802-0.1912*R802-0.1512*IF(D802="S",1,0)+0.1600*IF(E802="L",1,0)+0.0091*H802+0.0124*I802+0.0017*J802+T802+U802,-0.8294+0.1849*S802+0.1750*Q802-0.2969*R802+0.6924*IF(D802="S",1,0)+0.0457*IF(E802="L",1,0)+T802+U802)</f>
        <v/>
      </c>
      <c r="W802">
        <f>MAX(0,MIN(16,ROUND(V802,0)))</f>
        <v/>
      </c>
      <c r="X802">
        <f>IFNA(VLOOKUP(W802,Grade_Scale!$A:$B,2,FALSE),"F")</f>
        <v/>
      </c>
      <c r="Z802">
        <f>IF(Y802="","",W802-IFNA(VLOOKUP(Y802,Grade_Scale!$D:$E,2,FALSE),""))</f>
        <v/>
      </c>
    </row>
    <row r="803">
      <c r="P803">
        <f>IF(OR(B803="SP",B803="RP",B803="CP",B803="SP/RP"),"P","H")</f>
        <v/>
      </c>
      <c r="Q803">
        <f>IF(F803="",0,IFNA(VLOOKUP(F803,Trait_Polarity!$A:$C,2,FALSE),0))+IF(G803="",0,IFNA(VLOOKUP(G803,Trait_Polarity!$A:$C,2,FALSE),0))</f>
        <v/>
      </c>
      <c r="R803">
        <f>IF(F803="",0,IFNA(VLOOKUP(F803,Trait_Polarity!$A:$C,3,FALSE),0))+IF(G803="",0,IFNA(VLOOKUP(G803,Trait_Polarity!$A:$C,3,FALSE),0))</f>
        <v/>
      </c>
      <c r="S803">
        <f>IF(P803="P",(M803+N803+O803)/3,0.3*H803+0.3*I803+0.2*J803+0.1*K803+0.1*L803)</f>
        <v/>
      </c>
      <c r="T803">
        <f>IF(P803="P",IFNA(VLOOKUP(B803,Pitcher_RoleAdj!$A:$B,2,FALSE),0),IFNA(VLOOKUP(B803,Hitter_PrimaryAdj!$A:$B,2,FALSE),0))</f>
        <v/>
      </c>
      <c r="U803">
        <f>IFNA(VLOOKUP(IF(C803="","(none)",C803),SecondaryAdj!$A:$B,2,FALSE),0)</f>
        <v/>
      </c>
      <c r="V803">
        <f>IF(P803="P",0.7780+0.1628*S803+0.2957*Q803-0.1912*R803-0.1512*IF(D803="S",1,0)+0.1600*IF(E803="L",1,0)+0.0091*H803+0.0124*I803+0.0017*J803+T803+U803,-0.8294+0.1849*S803+0.1750*Q803-0.2969*R803+0.6924*IF(D803="S",1,0)+0.0457*IF(E803="L",1,0)+T803+U803)</f>
        <v/>
      </c>
      <c r="W803">
        <f>MAX(0,MIN(16,ROUND(V803,0)))</f>
        <v/>
      </c>
      <c r="X803">
        <f>IFNA(VLOOKUP(W803,Grade_Scale!$A:$B,2,FALSE),"F")</f>
        <v/>
      </c>
      <c r="Z803">
        <f>IF(Y803="","",W803-IFNA(VLOOKUP(Y803,Grade_Scale!$D:$E,2,FALSE),""))</f>
        <v/>
      </c>
    </row>
    <row r="804">
      <c r="P804">
        <f>IF(OR(B804="SP",B804="RP",B804="CP",B804="SP/RP"),"P","H")</f>
        <v/>
      </c>
      <c r="Q804">
        <f>IF(F804="",0,IFNA(VLOOKUP(F804,Trait_Polarity!$A:$C,2,FALSE),0))+IF(G804="",0,IFNA(VLOOKUP(G804,Trait_Polarity!$A:$C,2,FALSE),0))</f>
        <v/>
      </c>
      <c r="R804">
        <f>IF(F804="",0,IFNA(VLOOKUP(F804,Trait_Polarity!$A:$C,3,FALSE),0))+IF(G804="",0,IFNA(VLOOKUP(G804,Trait_Polarity!$A:$C,3,FALSE),0))</f>
        <v/>
      </c>
      <c r="S804">
        <f>IF(P804="P",(M804+N804+O804)/3,0.3*H804+0.3*I804+0.2*J804+0.1*K804+0.1*L804)</f>
        <v/>
      </c>
      <c r="T804">
        <f>IF(P804="P",IFNA(VLOOKUP(B804,Pitcher_RoleAdj!$A:$B,2,FALSE),0),IFNA(VLOOKUP(B804,Hitter_PrimaryAdj!$A:$B,2,FALSE),0))</f>
        <v/>
      </c>
      <c r="U804">
        <f>IFNA(VLOOKUP(IF(C804="","(none)",C804),SecondaryAdj!$A:$B,2,FALSE),0)</f>
        <v/>
      </c>
      <c r="V804">
        <f>IF(P804="P",0.7780+0.1628*S804+0.2957*Q804-0.1912*R804-0.1512*IF(D804="S",1,0)+0.1600*IF(E804="L",1,0)+0.0091*H804+0.0124*I804+0.0017*J804+T804+U804,-0.8294+0.1849*S804+0.1750*Q804-0.2969*R804+0.6924*IF(D804="S",1,0)+0.0457*IF(E804="L",1,0)+T804+U804)</f>
        <v/>
      </c>
      <c r="W804">
        <f>MAX(0,MIN(16,ROUND(V804,0)))</f>
        <v/>
      </c>
      <c r="X804">
        <f>IFNA(VLOOKUP(W804,Grade_Scale!$A:$B,2,FALSE),"F")</f>
        <v/>
      </c>
      <c r="Z804">
        <f>IF(Y804="","",W804-IFNA(VLOOKUP(Y804,Grade_Scale!$D:$E,2,FALSE),""))</f>
        <v/>
      </c>
    </row>
    <row r="805">
      <c r="P805">
        <f>IF(OR(B805="SP",B805="RP",B805="CP",B805="SP/RP"),"P","H")</f>
        <v/>
      </c>
      <c r="Q805">
        <f>IF(F805="",0,IFNA(VLOOKUP(F805,Trait_Polarity!$A:$C,2,FALSE),0))+IF(G805="",0,IFNA(VLOOKUP(G805,Trait_Polarity!$A:$C,2,FALSE),0))</f>
        <v/>
      </c>
      <c r="R805">
        <f>IF(F805="",0,IFNA(VLOOKUP(F805,Trait_Polarity!$A:$C,3,FALSE),0))+IF(G805="",0,IFNA(VLOOKUP(G805,Trait_Polarity!$A:$C,3,FALSE),0))</f>
        <v/>
      </c>
      <c r="S805">
        <f>IF(P805="P",(M805+N805+O805)/3,0.3*H805+0.3*I805+0.2*J805+0.1*K805+0.1*L805)</f>
        <v/>
      </c>
      <c r="T805">
        <f>IF(P805="P",IFNA(VLOOKUP(B805,Pitcher_RoleAdj!$A:$B,2,FALSE),0),IFNA(VLOOKUP(B805,Hitter_PrimaryAdj!$A:$B,2,FALSE),0))</f>
        <v/>
      </c>
      <c r="U805">
        <f>IFNA(VLOOKUP(IF(C805="","(none)",C805),SecondaryAdj!$A:$B,2,FALSE),0)</f>
        <v/>
      </c>
      <c r="V805">
        <f>IF(P805="P",0.7780+0.1628*S805+0.2957*Q805-0.1912*R805-0.1512*IF(D805="S",1,0)+0.1600*IF(E805="L",1,0)+0.0091*H805+0.0124*I805+0.0017*J805+T805+U805,-0.8294+0.1849*S805+0.1750*Q805-0.2969*R805+0.6924*IF(D805="S",1,0)+0.0457*IF(E805="L",1,0)+T805+U805)</f>
        <v/>
      </c>
      <c r="W805">
        <f>MAX(0,MIN(16,ROUND(V805,0)))</f>
        <v/>
      </c>
      <c r="X805">
        <f>IFNA(VLOOKUP(W805,Grade_Scale!$A:$B,2,FALSE),"F")</f>
        <v/>
      </c>
      <c r="Z805">
        <f>IF(Y805="","",W805-IFNA(VLOOKUP(Y805,Grade_Scale!$D:$E,2,FALSE),""))</f>
        <v/>
      </c>
    </row>
    <row r="806">
      <c r="P806">
        <f>IF(OR(B806="SP",B806="RP",B806="CP",B806="SP/RP"),"P","H")</f>
        <v/>
      </c>
      <c r="Q806">
        <f>IF(F806="",0,IFNA(VLOOKUP(F806,Trait_Polarity!$A:$C,2,FALSE),0))+IF(G806="",0,IFNA(VLOOKUP(G806,Trait_Polarity!$A:$C,2,FALSE),0))</f>
        <v/>
      </c>
      <c r="R806">
        <f>IF(F806="",0,IFNA(VLOOKUP(F806,Trait_Polarity!$A:$C,3,FALSE),0))+IF(G806="",0,IFNA(VLOOKUP(G806,Trait_Polarity!$A:$C,3,FALSE),0))</f>
        <v/>
      </c>
      <c r="S806">
        <f>IF(P806="P",(M806+N806+O806)/3,0.3*H806+0.3*I806+0.2*J806+0.1*K806+0.1*L806)</f>
        <v/>
      </c>
      <c r="T806">
        <f>IF(P806="P",IFNA(VLOOKUP(B806,Pitcher_RoleAdj!$A:$B,2,FALSE),0),IFNA(VLOOKUP(B806,Hitter_PrimaryAdj!$A:$B,2,FALSE),0))</f>
        <v/>
      </c>
      <c r="U806">
        <f>IFNA(VLOOKUP(IF(C806="","(none)",C806),SecondaryAdj!$A:$B,2,FALSE),0)</f>
        <v/>
      </c>
      <c r="V806">
        <f>IF(P806="P",0.7780+0.1628*S806+0.2957*Q806-0.1912*R806-0.1512*IF(D806="S",1,0)+0.1600*IF(E806="L",1,0)+0.0091*H806+0.0124*I806+0.0017*J806+T806+U806,-0.8294+0.1849*S806+0.1750*Q806-0.2969*R806+0.6924*IF(D806="S",1,0)+0.0457*IF(E806="L",1,0)+T806+U806)</f>
        <v/>
      </c>
      <c r="W806">
        <f>MAX(0,MIN(16,ROUND(V806,0)))</f>
        <v/>
      </c>
      <c r="X806">
        <f>IFNA(VLOOKUP(W806,Grade_Scale!$A:$B,2,FALSE),"F")</f>
        <v/>
      </c>
      <c r="Z806">
        <f>IF(Y806="","",W806-IFNA(VLOOKUP(Y806,Grade_Scale!$D:$E,2,FALSE),""))</f>
        <v/>
      </c>
    </row>
    <row r="807">
      <c r="P807">
        <f>IF(OR(B807="SP",B807="RP",B807="CP",B807="SP/RP"),"P","H")</f>
        <v/>
      </c>
      <c r="Q807">
        <f>IF(F807="",0,IFNA(VLOOKUP(F807,Trait_Polarity!$A:$C,2,FALSE),0))+IF(G807="",0,IFNA(VLOOKUP(G807,Trait_Polarity!$A:$C,2,FALSE),0))</f>
        <v/>
      </c>
      <c r="R807">
        <f>IF(F807="",0,IFNA(VLOOKUP(F807,Trait_Polarity!$A:$C,3,FALSE),0))+IF(G807="",0,IFNA(VLOOKUP(G807,Trait_Polarity!$A:$C,3,FALSE),0))</f>
        <v/>
      </c>
      <c r="S807">
        <f>IF(P807="P",(M807+N807+O807)/3,0.3*H807+0.3*I807+0.2*J807+0.1*K807+0.1*L807)</f>
        <v/>
      </c>
      <c r="T807">
        <f>IF(P807="P",IFNA(VLOOKUP(B807,Pitcher_RoleAdj!$A:$B,2,FALSE),0),IFNA(VLOOKUP(B807,Hitter_PrimaryAdj!$A:$B,2,FALSE),0))</f>
        <v/>
      </c>
      <c r="U807">
        <f>IFNA(VLOOKUP(IF(C807="","(none)",C807),SecondaryAdj!$A:$B,2,FALSE),0)</f>
        <v/>
      </c>
      <c r="V807">
        <f>IF(P807="P",0.7780+0.1628*S807+0.2957*Q807-0.1912*R807-0.1512*IF(D807="S",1,0)+0.1600*IF(E807="L",1,0)+0.0091*H807+0.0124*I807+0.0017*J807+T807+U807,-0.8294+0.1849*S807+0.1750*Q807-0.2969*R807+0.6924*IF(D807="S",1,0)+0.0457*IF(E807="L",1,0)+T807+U807)</f>
        <v/>
      </c>
      <c r="W807">
        <f>MAX(0,MIN(16,ROUND(V807,0)))</f>
        <v/>
      </c>
      <c r="X807">
        <f>IFNA(VLOOKUP(W807,Grade_Scale!$A:$B,2,FALSE),"F")</f>
        <v/>
      </c>
      <c r="Z807">
        <f>IF(Y807="","",W807-IFNA(VLOOKUP(Y807,Grade_Scale!$D:$E,2,FALSE),""))</f>
        <v/>
      </c>
    </row>
    <row r="808">
      <c r="P808">
        <f>IF(OR(B808="SP",B808="RP",B808="CP",B808="SP/RP"),"P","H")</f>
        <v/>
      </c>
      <c r="Q808">
        <f>IF(F808="",0,IFNA(VLOOKUP(F808,Trait_Polarity!$A:$C,2,FALSE),0))+IF(G808="",0,IFNA(VLOOKUP(G808,Trait_Polarity!$A:$C,2,FALSE),0))</f>
        <v/>
      </c>
      <c r="R808">
        <f>IF(F808="",0,IFNA(VLOOKUP(F808,Trait_Polarity!$A:$C,3,FALSE),0))+IF(G808="",0,IFNA(VLOOKUP(G808,Trait_Polarity!$A:$C,3,FALSE),0))</f>
        <v/>
      </c>
      <c r="S808">
        <f>IF(P808="P",(M808+N808+O808)/3,0.3*H808+0.3*I808+0.2*J808+0.1*K808+0.1*L808)</f>
        <v/>
      </c>
      <c r="T808">
        <f>IF(P808="P",IFNA(VLOOKUP(B808,Pitcher_RoleAdj!$A:$B,2,FALSE),0),IFNA(VLOOKUP(B808,Hitter_PrimaryAdj!$A:$B,2,FALSE),0))</f>
        <v/>
      </c>
      <c r="U808">
        <f>IFNA(VLOOKUP(IF(C808="","(none)",C808),SecondaryAdj!$A:$B,2,FALSE),0)</f>
        <v/>
      </c>
      <c r="V808">
        <f>IF(P808="P",0.7780+0.1628*S808+0.2957*Q808-0.1912*R808-0.1512*IF(D808="S",1,0)+0.1600*IF(E808="L",1,0)+0.0091*H808+0.0124*I808+0.0017*J808+T808+U808,-0.8294+0.1849*S808+0.1750*Q808-0.2969*R808+0.6924*IF(D808="S",1,0)+0.0457*IF(E808="L",1,0)+T808+U808)</f>
        <v/>
      </c>
      <c r="W808">
        <f>MAX(0,MIN(16,ROUND(V808,0)))</f>
        <v/>
      </c>
      <c r="X808">
        <f>IFNA(VLOOKUP(W808,Grade_Scale!$A:$B,2,FALSE),"F")</f>
        <v/>
      </c>
      <c r="Z808">
        <f>IF(Y808="","",W808-IFNA(VLOOKUP(Y808,Grade_Scale!$D:$E,2,FALSE),""))</f>
        <v/>
      </c>
    </row>
    <row r="809">
      <c r="P809">
        <f>IF(OR(B809="SP",B809="RP",B809="CP",B809="SP/RP"),"P","H")</f>
        <v/>
      </c>
      <c r="Q809">
        <f>IF(F809="",0,IFNA(VLOOKUP(F809,Trait_Polarity!$A:$C,2,FALSE),0))+IF(G809="",0,IFNA(VLOOKUP(G809,Trait_Polarity!$A:$C,2,FALSE),0))</f>
        <v/>
      </c>
      <c r="R809">
        <f>IF(F809="",0,IFNA(VLOOKUP(F809,Trait_Polarity!$A:$C,3,FALSE),0))+IF(G809="",0,IFNA(VLOOKUP(G809,Trait_Polarity!$A:$C,3,FALSE),0))</f>
        <v/>
      </c>
      <c r="S809">
        <f>IF(P809="P",(M809+N809+O809)/3,0.3*H809+0.3*I809+0.2*J809+0.1*K809+0.1*L809)</f>
        <v/>
      </c>
      <c r="T809">
        <f>IF(P809="P",IFNA(VLOOKUP(B809,Pitcher_RoleAdj!$A:$B,2,FALSE),0),IFNA(VLOOKUP(B809,Hitter_PrimaryAdj!$A:$B,2,FALSE),0))</f>
        <v/>
      </c>
      <c r="U809">
        <f>IFNA(VLOOKUP(IF(C809="","(none)",C809),SecondaryAdj!$A:$B,2,FALSE),0)</f>
        <v/>
      </c>
      <c r="V809">
        <f>IF(P809="P",0.7780+0.1628*S809+0.2957*Q809-0.1912*R809-0.1512*IF(D809="S",1,0)+0.1600*IF(E809="L",1,0)+0.0091*H809+0.0124*I809+0.0017*J809+T809+U809,-0.8294+0.1849*S809+0.1750*Q809-0.2969*R809+0.6924*IF(D809="S",1,0)+0.0457*IF(E809="L",1,0)+T809+U809)</f>
        <v/>
      </c>
      <c r="W809">
        <f>MAX(0,MIN(16,ROUND(V809,0)))</f>
        <v/>
      </c>
      <c r="X809">
        <f>IFNA(VLOOKUP(W809,Grade_Scale!$A:$B,2,FALSE),"F")</f>
        <v/>
      </c>
      <c r="Z809">
        <f>IF(Y809="","",W809-IFNA(VLOOKUP(Y809,Grade_Scale!$D:$E,2,FALSE),""))</f>
        <v/>
      </c>
    </row>
    <row r="810">
      <c r="P810">
        <f>IF(OR(B810="SP",B810="RP",B810="CP",B810="SP/RP"),"P","H")</f>
        <v/>
      </c>
      <c r="Q810">
        <f>IF(F810="",0,IFNA(VLOOKUP(F810,Trait_Polarity!$A:$C,2,FALSE),0))+IF(G810="",0,IFNA(VLOOKUP(G810,Trait_Polarity!$A:$C,2,FALSE),0))</f>
        <v/>
      </c>
      <c r="R810">
        <f>IF(F810="",0,IFNA(VLOOKUP(F810,Trait_Polarity!$A:$C,3,FALSE),0))+IF(G810="",0,IFNA(VLOOKUP(G810,Trait_Polarity!$A:$C,3,FALSE),0))</f>
        <v/>
      </c>
      <c r="S810">
        <f>IF(P810="P",(M810+N810+O810)/3,0.3*H810+0.3*I810+0.2*J810+0.1*K810+0.1*L810)</f>
        <v/>
      </c>
      <c r="T810">
        <f>IF(P810="P",IFNA(VLOOKUP(B810,Pitcher_RoleAdj!$A:$B,2,FALSE),0),IFNA(VLOOKUP(B810,Hitter_PrimaryAdj!$A:$B,2,FALSE),0))</f>
        <v/>
      </c>
      <c r="U810">
        <f>IFNA(VLOOKUP(IF(C810="","(none)",C810),SecondaryAdj!$A:$B,2,FALSE),0)</f>
        <v/>
      </c>
      <c r="V810">
        <f>IF(P810="P",0.7780+0.1628*S810+0.2957*Q810-0.1912*R810-0.1512*IF(D810="S",1,0)+0.1600*IF(E810="L",1,0)+0.0091*H810+0.0124*I810+0.0017*J810+T810+U810,-0.8294+0.1849*S810+0.1750*Q810-0.2969*R810+0.6924*IF(D810="S",1,0)+0.0457*IF(E810="L",1,0)+T810+U810)</f>
        <v/>
      </c>
      <c r="W810">
        <f>MAX(0,MIN(16,ROUND(V810,0)))</f>
        <v/>
      </c>
      <c r="X810">
        <f>IFNA(VLOOKUP(W810,Grade_Scale!$A:$B,2,FALSE),"F")</f>
        <v/>
      </c>
      <c r="Z810">
        <f>IF(Y810="","",W810-IFNA(VLOOKUP(Y810,Grade_Scale!$D:$E,2,FALSE),""))</f>
        <v/>
      </c>
    </row>
    <row r="811">
      <c r="P811">
        <f>IF(OR(B811="SP",B811="RP",B811="CP",B811="SP/RP"),"P","H")</f>
        <v/>
      </c>
      <c r="Q811">
        <f>IF(F811="",0,IFNA(VLOOKUP(F811,Trait_Polarity!$A:$C,2,FALSE),0))+IF(G811="",0,IFNA(VLOOKUP(G811,Trait_Polarity!$A:$C,2,FALSE),0))</f>
        <v/>
      </c>
      <c r="R811">
        <f>IF(F811="",0,IFNA(VLOOKUP(F811,Trait_Polarity!$A:$C,3,FALSE),0))+IF(G811="",0,IFNA(VLOOKUP(G811,Trait_Polarity!$A:$C,3,FALSE),0))</f>
        <v/>
      </c>
      <c r="S811">
        <f>IF(P811="P",(M811+N811+O811)/3,0.3*H811+0.3*I811+0.2*J811+0.1*K811+0.1*L811)</f>
        <v/>
      </c>
      <c r="T811">
        <f>IF(P811="P",IFNA(VLOOKUP(B811,Pitcher_RoleAdj!$A:$B,2,FALSE),0),IFNA(VLOOKUP(B811,Hitter_PrimaryAdj!$A:$B,2,FALSE),0))</f>
        <v/>
      </c>
      <c r="U811">
        <f>IFNA(VLOOKUP(IF(C811="","(none)",C811),SecondaryAdj!$A:$B,2,FALSE),0)</f>
        <v/>
      </c>
      <c r="V811">
        <f>IF(P811="P",0.7780+0.1628*S811+0.2957*Q811-0.1912*R811-0.1512*IF(D811="S",1,0)+0.1600*IF(E811="L",1,0)+0.0091*H811+0.0124*I811+0.0017*J811+T811+U811,-0.8294+0.1849*S811+0.1750*Q811-0.2969*R811+0.6924*IF(D811="S",1,0)+0.0457*IF(E811="L",1,0)+T811+U811)</f>
        <v/>
      </c>
      <c r="W811">
        <f>MAX(0,MIN(16,ROUND(V811,0)))</f>
        <v/>
      </c>
      <c r="X811">
        <f>IFNA(VLOOKUP(W811,Grade_Scale!$A:$B,2,FALSE),"F")</f>
        <v/>
      </c>
      <c r="Z811">
        <f>IF(Y811="","",W811-IFNA(VLOOKUP(Y811,Grade_Scale!$D:$E,2,FALSE),""))</f>
        <v/>
      </c>
    </row>
    <row r="812">
      <c r="P812">
        <f>IF(OR(B812="SP",B812="RP",B812="CP",B812="SP/RP"),"P","H")</f>
        <v/>
      </c>
      <c r="Q812">
        <f>IF(F812="",0,IFNA(VLOOKUP(F812,Trait_Polarity!$A:$C,2,FALSE),0))+IF(G812="",0,IFNA(VLOOKUP(G812,Trait_Polarity!$A:$C,2,FALSE),0))</f>
        <v/>
      </c>
      <c r="R812">
        <f>IF(F812="",0,IFNA(VLOOKUP(F812,Trait_Polarity!$A:$C,3,FALSE),0))+IF(G812="",0,IFNA(VLOOKUP(G812,Trait_Polarity!$A:$C,3,FALSE),0))</f>
        <v/>
      </c>
      <c r="S812">
        <f>IF(P812="P",(M812+N812+O812)/3,0.3*H812+0.3*I812+0.2*J812+0.1*K812+0.1*L812)</f>
        <v/>
      </c>
      <c r="T812">
        <f>IF(P812="P",IFNA(VLOOKUP(B812,Pitcher_RoleAdj!$A:$B,2,FALSE),0),IFNA(VLOOKUP(B812,Hitter_PrimaryAdj!$A:$B,2,FALSE),0))</f>
        <v/>
      </c>
      <c r="U812">
        <f>IFNA(VLOOKUP(IF(C812="","(none)",C812),SecondaryAdj!$A:$B,2,FALSE),0)</f>
        <v/>
      </c>
      <c r="V812">
        <f>IF(P812="P",0.7780+0.1628*S812+0.2957*Q812-0.1912*R812-0.1512*IF(D812="S",1,0)+0.1600*IF(E812="L",1,0)+0.0091*H812+0.0124*I812+0.0017*J812+T812+U812,-0.8294+0.1849*S812+0.1750*Q812-0.2969*R812+0.6924*IF(D812="S",1,0)+0.0457*IF(E812="L",1,0)+T812+U812)</f>
        <v/>
      </c>
      <c r="W812">
        <f>MAX(0,MIN(16,ROUND(V812,0)))</f>
        <v/>
      </c>
      <c r="X812">
        <f>IFNA(VLOOKUP(W812,Grade_Scale!$A:$B,2,FALSE),"F")</f>
        <v/>
      </c>
      <c r="Z812">
        <f>IF(Y812="","",W812-IFNA(VLOOKUP(Y812,Grade_Scale!$D:$E,2,FALSE),""))</f>
        <v/>
      </c>
    </row>
    <row r="813">
      <c r="P813">
        <f>IF(OR(B813="SP",B813="RP",B813="CP",B813="SP/RP"),"P","H")</f>
        <v/>
      </c>
      <c r="Q813">
        <f>IF(F813="",0,IFNA(VLOOKUP(F813,Trait_Polarity!$A:$C,2,FALSE),0))+IF(G813="",0,IFNA(VLOOKUP(G813,Trait_Polarity!$A:$C,2,FALSE),0))</f>
        <v/>
      </c>
      <c r="R813">
        <f>IF(F813="",0,IFNA(VLOOKUP(F813,Trait_Polarity!$A:$C,3,FALSE),0))+IF(G813="",0,IFNA(VLOOKUP(G813,Trait_Polarity!$A:$C,3,FALSE),0))</f>
        <v/>
      </c>
      <c r="S813">
        <f>IF(P813="P",(M813+N813+O813)/3,0.3*H813+0.3*I813+0.2*J813+0.1*K813+0.1*L813)</f>
        <v/>
      </c>
      <c r="T813">
        <f>IF(P813="P",IFNA(VLOOKUP(B813,Pitcher_RoleAdj!$A:$B,2,FALSE),0),IFNA(VLOOKUP(B813,Hitter_PrimaryAdj!$A:$B,2,FALSE),0))</f>
        <v/>
      </c>
      <c r="U813">
        <f>IFNA(VLOOKUP(IF(C813="","(none)",C813),SecondaryAdj!$A:$B,2,FALSE),0)</f>
        <v/>
      </c>
      <c r="V813">
        <f>IF(P813="P",0.7780+0.1628*S813+0.2957*Q813-0.1912*R813-0.1512*IF(D813="S",1,0)+0.1600*IF(E813="L",1,0)+0.0091*H813+0.0124*I813+0.0017*J813+T813+U813,-0.8294+0.1849*S813+0.1750*Q813-0.2969*R813+0.6924*IF(D813="S",1,0)+0.0457*IF(E813="L",1,0)+T813+U813)</f>
        <v/>
      </c>
      <c r="W813">
        <f>MAX(0,MIN(16,ROUND(V813,0)))</f>
        <v/>
      </c>
      <c r="X813">
        <f>IFNA(VLOOKUP(W813,Grade_Scale!$A:$B,2,FALSE),"F")</f>
        <v/>
      </c>
      <c r="Z813">
        <f>IF(Y813="","",W813-IFNA(VLOOKUP(Y813,Grade_Scale!$D:$E,2,FALSE),""))</f>
        <v/>
      </c>
    </row>
    <row r="814">
      <c r="P814">
        <f>IF(OR(B814="SP",B814="RP",B814="CP",B814="SP/RP"),"P","H")</f>
        <v/>
      </c>
      <c r="Q814">
        <f>IF(F814="",0,IFNA(VLOOKUP(F814,Trait_Polarity!$A:$C,2,FALSE),0))+IF(G814="",0,IFNA(VLOOKUP(G814,Trait_Polarity!$A:$C,2,FALSE),0))</f>
        <v/>
      </c>
      <c r="R814">
        <f>IF(F814="",0,IFNA(VLOOKUP(F814,Trait_Polarity!$A:$C,3,FALSE),0))+IF(G814="",0,IFNA(VLOOKUP(G814,Trait_Polarity!$A:$C,3,FALSE),0))</f>
        <v/>
      </c>
      <c r="S814">
        <f>IF(P814="P",(M814+N814+O814)/3,0.3*H814+0.3*I814+0.2*J814+0.1*K814+0.1*L814)</f>
        <v/>
      </c>
      <c r="T814">
        <f>IF(P814="P",IFNA(VLOOKUP(B814,Pitcher_RoleAdj!$A:$B,2,FALSE),0),IFNA(VLOOKUP(B814,Hitter_PrimaryAdj!$A:$B,2,FALSE),0))</f>
        <v/>
      </c>
      <c r="U814">
        <f>IFNA(VLOOKUP(IF(C814="","(none)",C814),SecondaryAdj!$A:$B,2,FALSE),0)</f>
        <v/>
      </c>
      <c r="V814">
        <f>IF(P814="P",0.7780+0.1628*S814+0.2957*Q814-0.1912*R814-0.1512*IF(D814="S",1,0)+0.1600*IF(E814="L",1,0)+0.0091*H814+0.0124*I814+0.0017*J814+T814+U814,-0.8294+0.1849*S814+0.1750*Q814-0.2969*R814+0.6924*IF(D814="S",1,0)+0.0457*IF(E814="L",1,0)+T814+U814)</f>
        <v/>
      </c>
      <c r="W814">
        <f>MAX(0,MIN(16,ROUND(V814,0)))</f>
        <v/>
      </c>
      <c r="X814">
        <f>IFNA(VLOOKUP(W814,Grade_Scale!$A:$B,2,FALSE),"F")</f>
        <v/>
      </c>
      <c r="Z814">
        <f>IF(Y814="","",W814-IFNA(VLOOKUP(Y814,Grade_Scale!$D:$E,2,FALSE),""))</f>
        <v/>
      </c>
    </row>
    <row r="815">
      <c r="P815">
        <f>IF(OR(B815="SP",B815="RP",B815="CP",B815="SP/RP"),"P","H")</f>
        <v/>
      </c>
      <c r="Q815">
        <f>IF(F815="",0,IFNA(VLOOKUP(F815,Trait_Polarity!$A:$C,2,FALSE),0))+IF(G815="",0,IFNA(VLOOKUP(G815,Trait_Polarity!$A:$C,2,FALSE),0))</f>
        <v/>
      </c>
      <c r="R815">
        <f>IF(F815="",0,IFNA(VLOOKUP(F815,Trait_Polarity!$A:$C,3,FALSE),0))+IF(G815="",0,IFNA(VLOOKUP(G815,Trait_Polarity!$A:$C,3,FALSE),0))</f>
        <v/>
      </c>
      <c r="S815">
        <f>IF(P815="P",(M815+N815+O815)/3,0.3*H815+0.3*I815+0.2*J815+0.1*K815+0.1*L815)</f>
        <v/>
      </c>
      <c r="T815">
        <f>IF(P815="P",IFNA(VLOOKUP(B815,Pitcher_RoleAdj!$A:$B,2,FALSE),0),IFNA(VLOOKUP(B815,Hitter_PrimaryAdj!$A:$B,2,FALSE),0))</f>
        <v/>
      </c>
      <c r="U815">
        <f>IFNA(VLOOKUP(IF(C815="","(none)",C815),SecondaryAdj!$A:$B,2,FALSE),0)</f>
        <v/>
      </c>
      <c r="V815">
        <f>IF(P815="P",0.7780+0.1628*S815+0.2957*Q815-0.1912*R815-0.1512*IF(D815="S",1,0)+0.1600*IF(E815="L",1,0)+0.0091*H815+0.0124*I815+0.0017*J815+T815+U815,-0.8294+0.1849*S815+0.1750*Q815-0.2969*R815+0.6924*IF(D815="S",1,0)+0.0457*IF(E815="L",1,0)+T815+U815)</f>
        <v/>
      </c>
      <c r="W815">
        <f>MAX(0,MIN(16,ROUND(V815,0)))</f>
        <v/>
      </c>
      <c r="X815">
        <f>IFNA(VLOOKUP(W815,Grade_Scale!$A:$B,2,FALSE),"F")</f>
        <v/>
      </c>
      <c r="Z815">
        <f>IF(Y815="","",W815-IFNA(VLOOKUP(Y815,Grade_Scale!$D:$E,2,FALSE),""))</f>
        <v/>
      </c>
    </row>
    <row r="816">
      <c r="P816">
        <f>IF(OR(B816="SP",B816="RP",B816="CP",B816="SP/RP"),"P","H")</f>
        <v/>
      </c>
      <c r="Q816">
        <f>IF(F816="",0,IFNA(VLOOKUP(F816,Trait_Polarity!$A:$C,2,FALSE),0))+IF(G816="",0,IFNA(VLOOKUP(G816,Trait_Polarity!$A:$C,2,FALSE),0))</f>
        <v/>
      </c>
      <c r="R816">
        <f>IF(F816="",0,IFNA(VLOOKUP(F816,Trait_Polarity!$A:$C,3,FALSE),0))+IF(G816="",0,IFNA(VLOOKUP(G816,Trait_Polarity!$A:$C,3,FALSE),0))</f>
        <v/>
      </c>
      <c r="S816">
        <f>IF(P816="P",(M816+N816+O816)/3,0.3*H816+0.3*I816+0.2*J816+0.1*K816+0.1*L816)</f>
        <v/>
      </c>
      <c r="T816">
        <f>IF(P816="P",IFNA(VLOOKUP(B816,Pitcher_RoleAdj!$A:$B,2,FALSE),0),IFNA(VLOOKUP(B816,Hitter_PrimaryAdj!$A:$B,2,FALSE),0))</f>
        <v/>
      </c>
      <c r="U816">
        <f>IFNA(VLOOKUP(IF(C816="","(none)",C816),SecondaryAdj!$A:$B,2,FALSE),0)</f>
        <v/>
      </c>
      <c r="V816">
        <f>IF(P816="P",0.7780+0.1628*S816+0.2957*Q816-0.1912*R816-0.1512*IF(D816="S",1,0)+0.1600*IF(E816="L",1,0)+0.0091*H816+0.0124*I816+0.0017*J816+T816+U816,-0.8294+0.1849*S816+0.1750*Q816-0.2969*R816+0.6924*IF(D816="S",1,0)+0.0457*IF(E816="L",1,0)+T816+U816)</f>
        <v/>
      </c>
      <c r="W816">
        <f>MAX(0,MIN(16,ROUND(V816,0)))</f>
        <v/>
      </c>
      <c r="X816">
        <f>IFNA(VLOOKUP(W816,Grade_Scale!$A:$B,2,FALSE),"F")</f>
        <v/>
      </c>
      <c r="Z816">
        <f>IF(Y816="","",W816-IFNA(VLOOKUP(Y816,Grade_Scale!$D:$E,2,FALSE),""))</f>
        <v/>
      </c>
    </row>
    <row r="817">
      <c r="P817">
        <f>IF(OR(B817="SP",B817="RP",B817="CP",B817="SP/RP"),"P","H")</f>
        <v/>
      </c>
      <c r="Q817">
        <f>IF(F817="",0,IFNA(VLOOKUP(F817,Trait_Polarity!$A:$C,2,FALSE),0))+IF(G817="",0,IFNA(VLOOKUP(G817,Trait_Polarity!$A:$C,2,FALSE),0))</f>
        <v/>
      </c>
      <c r="R817">
        <f>IF(F817="",0,IFNA(VLOOKUP(F817,Trait_Polarity!$A:$C,3,FALSE),0))+IF(G817="",0,IFNA(VLOOKUP(G817,Trait_Polarity!$A:$C,3,FALSE),0))</f>
        <v/>
      </c>
      <c r="S817">
        <f>IF(P817="P",(M817+N817+O817)/3,0.3*H817+0.3*I817+0.2*J817+0.1*K817+0.1*L817)</f>
        <v/>
      </c>
      <c r="T817">
        <f>IF(P817="P",IFNA(VLOOKUP(B817,Pitcher_RoleAdj!$A:$B,2,FALSE),0),IFNA(VLOOKUP(B817,Hitter_PrimaryAdj!$A:$B,2,FALSE),0))</f>
        <v/>
      </c>
      <c r="U817">
        <f>IFNA(VLOOKUP(IF(C817="","(none)",C817),SecondaryAdj!$A:$B,2,FALSE),0)</f>
        <v/>
      </c>
      <c r="V817">
        <f>IF(P817="P",0.7780+0.1628*S817+0.2957*Q817-0.1912*R817-0.1512*IF(D817="S",1,0)+0.1600*IF(E817="L",1,0)+0.0091*H817+0.0124*I817+0.0017*J817+T817+U817,-0.8294+0.1849*S817+0.1750*Q817-0.2969*R817+0.6924*IF(D817="S",1,0)+0.0457*IF(E817="L",1,0)+T817+U817)</f>
        <v/>
      </c>
      <c r="W817">
        <f>MAX(0,MIN(16,ROUND(V817,0)))</f>
        <v/>
      </c>
      <c r="X817">
        <f>IFNA(VLOOKUP(W817,Grade_Scale!$A:$B,2,FALSE),"F")</f>
        <v/>
      </c>
      <c r="Z817">
        <f>IF(Y817="","",W817-IFNA(VLOOKUP(Y817,Grade_Scale!$D:$E,2,FALSE),""))</f>
        <v/>
      </c>
    </row>
    <row r="818">
      <c r="P818">
        <f>IF(OR(B818="SP",B818="RP",B818="CP",B818="SP/RP"),"P","H")</f>
        <v/>
      </c>
      <c r="Q818">
        <f>IF(F818="",0,IFNA(VLOOKUP(F818,Trait_Polarity!$A:$C,2,FALSE),0))+IF(G818="",0,IFNA(VLOOKUP(G818,Trait_Polarity!$A:$C,2,FALSE),0))</f>
        <v/>
      </c>
      <c r="R818">
        <f>IF(F818="",0,IFNA(VLOOKUP(F818,Trait_Polarity!$A:$C,3,FALSE),0))+IF(G818="",0,IFNA(VLOOKUP(G818,Trait_Polarity!$A:$C,3,FALSE),0))</f>
        <v/>
      </c>
      <c r="S818">
        <f>IF(P818="P",(M818+N818+O818)/3,0.3*H818+0.3*I818+0.2*J818+0.1*K818+0.1*L818)</f>
        <v/>
      </c>
      <c r="T818">
        <f>IF(P818="P",IFNA(VLOOKUP(B818,Pitcher_RoleAdj!$A:$B,2,FALSE),0),IFNA(VLOOKUP(B818,Hitter_PrimaryAdj!$A:$B,2,FALSE),0))</f>
        <v/>
      </c>
      <c r="U818">
        <f>IFNA(VLOOKUP(IF(C818="","(none)",C818),SecondaryAdj!$A:$B,2,FALSE),0)</f>
        <v/>
      </c>
      <c r="V818">
        <f>IF(P818="P",0.7780+0.1628*S818+0.2957*Q818-0.1912*R818-0.1512*IF(D818="S",1,0)+0.1600*IF(E818="L",1,0)+0.0091*H818+0.0124*I818+0.0017*J818+T818+U818,-0.8294+0.1849*S818+0.1750*Q818-0.2969*R818+0.6924*IF(D818="S",1,0)+0.0457*IF(E818="L",1,0)+T818+U818)</f>
        <v/>
      </c>
      <c r="W818">
        <f>MAX(0,MIN(16,ROUND(V818,0)))</f>
        <v/>
      </c>
      <c r="X818">
        <f>IFNA(VLOOKUP(W818,Grade_Scale!$A:$B,2,FALSE),"F")</f>
        <v/>
      </c>
      <c r="Z818">
        <f>IF(Y818="","",W818-IFNA(VLOOKUP(Y818,Grade_Scale!$D:$E,2,FALSE),""))</f>
        <v/>
      </c>
    </row>
    <row r="819">
      <c r="P819">
        <f>IF(OR(B819="SP",B819="RP",B819="CP",B819="SP/RP"),"P","H")</f>
        <v/>
      </c>
      <c r="Q819">
        <f>IF(F819="",0,IFNA(VLOOKUP(F819,Trait_Polarity!$A:$C,2,FALSE),0))+IF(G819="",0,IFNA(VLOOKUP(G819,Trait_Polarity!$A:$C,2,FALSE),0))</f>
        <v/>
      </c>
      <c r="R819">
        <f>IF(F819="",0,IFNA(VLOOKUP(F819,Trait_Polarity!$A:$C,3,FALSE),0))+IF(G819="",0,IFNA(VLOOKUP(G819,Trait_Polarity!$A:$C,3,FALSE),0))</f>
        <v/>
      </c>
      <c r="S819">
        <f>IF(P819="P",(M819+N819+O819)/3,0.3*H819+0.3*I819+0.2*J819+0.1*K819+0.1*L819)</f>
        <v/>
      </c>
      <c r="T819">
        <f>IF(P819="P",IFNA(VLOOKUP(B819,Pitcher_RoleAdj!$A:$B,2,FALSE),0),IFNA(VLOOKUP(B819,Hitter_PrimaryAdj!$A:$B,2,FALSE),0))</f>
        <v/>
      </c>
      <c r="U819">
        <f>IFNA(VLOOKUP(IF(C819="","(none)",C819),SecondaryAdj!$A:$B,2,FALSE),0)</f>
        <v/>
      </c>
      <c r="V819">
        <f>IF(P819="P",0.7780+0.1628*S819+0.2957*Q819-0.1912*R819-0.1512*IF(D819="S",1,0)+0.1600*IF(E819="L",1,0)+0.0091*H819+0.0124*I819+0.0017*J819+T819+U819,-0.8294+0.1849*S819+0.1750*Q819-0.2969*R819+0.6924*IF(D819="S",1,0)+0.0457*IF(E819="L",1,0)+T819+U819)</f>
        <v/>
      </c>
      <c r="W819">
        <f>MAX(0,MIN(16,ROUND(V819,0)))</f>
        <v/>
      </c>
      <c r="X819">
        <f>IFNA(VLOOKUP(W819,Grade_Scale!$A:$B,2,FALSE),"F")</f>
        <v/>
      </c>
      <c r="Z819">
        <f>IF(Y819="","",W819-IFNA(VLOOKUP(Y819,Grade_Scale!$D:$E,2,FALSE),""))</f>
        <v/>
      </c>
    </row>
    <row r="820">
      <c r="P820">
        <f>IF(OR(B820="SP",B820="RP",B820="CP",B820="SP/RP"),"P","H")</f>
        <v/>
      </c>
      <c r="Q820">
        <f>IF(F820="",0,IFNA(VLOOKUP(F820,Trait_Polarity!$A:$C,2,FALSE),0))+IF(G820="",0,IFNA(VLOOKUP(G820,Trait_Polarity!$A:$C,2,FALSE),0))</f>
        <v/>
      </c>
      <c r="R820">
        <f>IF(F820="",0,IFNA(VLOOKUP(F820,Trait_Polarity!$A:$C,3,FALSE),0))+IF(G820="",0,IFNA(VLOOKUP(G820,Trait_Polarity!$A:$C,3,FALSE),0))</f>
        <v/>
      </c>
      <c r="S820">
        <f>IF(P820="P",(M820+N820+O820)/3,0.3*H820+0.3*I820+0.2*J820+0.1*K820+0.1*L820)</f>
        <v/>
      </c>
      <c r="T820">
        <f>IF(P820="P",IFNA(VLOOKUP(B820,Pitcher_RoleAdj!$A:$B,2,FALSE),0),IFNA(VLOOKUP(B820,Hitter_PrimaryAdj!$A:$B,2,FALSE),0))</f>
        <v/>
      </c>
      <c r="U820">
        <f>IFNA(VLOOKUP(IF(C820="","(none)",C820),SecondaryAdj!$A:$B,2,FALSE),0)</f>
        <v/>
      </c>
      <c r="V820">
        <f>IF(P820="P",0.7780+0.1628*S820+0.2957*Q820-0.1912*R820-0.1512*IF(D820="S",1,0)+0.1600*IF(E820="L",1,0)+0.0091*H820+0.0124*I820+0.0017*J820+T820+U820,-0.8294+0.1849*S820+0.1750*Q820-0.2969*R820+0.6924*IF(D820="S",1,0)+0.0457*IF(E820="L",1,0)+T820+U820)</f>
        <v/>
      </c>
      <c r="W820">
        <f>MAX(0,MIN(16,ROUND(V820,0)))</f>
        <v/>
      </c>
      <c r="X820">
        <f>IFNA(VLOOKUP(W820,Grade_Scale!$A:$B,2,FALSE),"F")</f>
        <v/>
      </c>
      <c r="Z820">
        <f>IF(Y820="","",W820-IFNA(VLOOKUP(Y820,Grade_Scale!$D:$E,2,FALSE),""))</f>
        <v/>
      </c>
    </row>
    <row r="821">
      <c r="P821">
        <f>IF(OR(B821="SP",B821="RP",B821="CP",B821="SP/RP"),"P","H")</f>
        <v/>
      </c>
      <c r="Q821">
        <f>IF(F821="",0,IFNA(VLOOKUP(F821,Trait_Polarity!$A:$C,2,FALSE),0))+IF(G821="",0,IFNA(VLOOKUP(G821,Trait_Polarity!$A:$C,2,FALSE),0))</f>
        <v/>
      </c>
      <c r="R821">
        <f>IF(F821="",0,IFNA(VLOOKUP(F821,Trait_Polarity!$A:$C,3,FALSE),0))+IF(G821="",0,IFNA(VLOOKUP(G821,Trait_Polarity!$A:$C,3,FALSE),0))</f>
        <v/>
      </c>
      <c r="S821">
        <f>IF(P821="P",(M821+N821+O821)/3,0.3*H821+0.3*I821+0.2*J821+0.1*K821+0.1*L821)</f>
        <v/>
      </c>
      <c r="T821">
        <f>IF(P821="P",IFNA(VLOOKUP(B821,Pitcher_RoleAdj!$A:$B,2,FALSE),0),IFNA(VLOOKUP(B821,Hitter_PrimaryAdj!$A:$B,2,FALSE),0))</f>
        <v/>
      </c>
      <c r="U821">
        <f>IFNA(VLOOKUP(IF(C821="","(none)",C821),SecondaryAdj!$A:$B,2,FALSE),0)</f>
        <v/>
      </c>
      <c r="V821">
        <f>IF(P821="P",0.7780+0.1628*S821+0.2957*Q821-0.1912*R821-0.1512*IF(D821="S",1,0)+0.1600*IF(E821="L",1,0)+0.0091*H821+0.0124*I821+0.0017*J821+T821+U821,-0.8294+0.1849*S821+0.1750*Q821-0.2969*R821+0.6924*IF(D821="S",1,0)+0.0457*IF(E821="L",1,0)+T821+U821)</f>
        <v/>
      </c>
      <c r="W821">
        <f>MAX(0,MIN(16,ROUND(V821,0)))</f>
        <v/>
      </c>
      <c r="X821">
        <f>IFNA(VLOOKUP(W821,Grade_Scale!$A:$B,2,FALSE),"F")</f>
        <v/>
      </c>
      <c r="Z821">
        <f>IF(Y821="","",W821-IFNA(VLOOKUP(Y821,Grade_Scale!$D:$E,2,FALSE),""))</f>
        <v/>
      </c>
    </row>
    <row r="822">
      <c r="P822">
        <f>IF(OR(B822="SP",B822="RP",B822="CP",B822="SP/RP"),"P","H")</f>
        <v/>
      </c>
      <c r="Q822">
        <f>IF(F822="",0,IFNA(VLOOKUP(F822,Trait_Polarity!$A:$C,2,FALSE),0))+IF(G822="",0,IFNA(VLOOKUP(G822,Trait_Polarity!$A:$C,2,FALSE),0))</f>
        <v/>
      </c>
      <c r="R822">
        <f>IF(F822="",0,IFNA(VLOOKUP(F822,Trait_Polarity!$A:$C,3,FALSE),0))+IF(G822="",0,IFNA(VLOOKUP(G822,Trait_Polarity!$A:$C,3,FALSE),0))</f>
        <v/>
      </c>
      <c r="S822">
        <f>IF(P822="P",(M822+N822+O822)/3,0.3*H822+0.3*I822+0.2*J822+0.1*K822+0.1*L822)</f>
        <v/>
      </c>
      <c r="T822">
        <f>IF(P822="P",IFNA(VLOOKUP(B822,Pitcher_RoleAdj!$A:$B,2,FALSE),0),IFNA(VLOOKUP(B822,Hitter_PrimaryAdj!$A:$B,2,FALSE),0))</f>
        <v/>
      </c>
      <c r="U822">
        <f>IFNA(VLOOKUP(IF(C822="","(none)",C822),SecondaryAdj!$A:$B,2,FALSE),0)</f>
        <v/>
      </c>
      <c r="V822">
        <f>IF(P822="P",0.7780+0.1628*S822+0.2957*Q822-0.1912*R822-0.1512*IF(D822="S",1,0)+0.1600*IF(E822="L",1,0)+0.0091*H822+0.0124*I822+0.0017*J822+T822+U822,-0.8294+0.1849*S822+0.1750*Q822-0.2969*R822+0.6924*IF(D822="S",1,0)+0.0457*IF(E822="L",1,0)+T822+U822)</f>
        <v/>
      </c>
      <c r="W822">
        <f>MAX(0,MIN(16,ROUND(V822,0)))</f>
        <v/>
      </c>
      <c r="X822">
        <f>IFNA(VLOOKUP(W822,Grade_Scale!$A:$B,2,FALSE),"F")</f>
        <v/>
      </c>
      <c r="Z822">
        <f>IF(Y822="","",W822-IFNA(VLOOKUP(Y822,Grade_Scale!$D:$E,2,FALSE),""))</f>
        <v/>
      </c>
    </row>
    <row r="823">
      <c r="P823">
        <f>IF(OR(B823="SP",B823="RP",B823="CP",B823="SP/RP"),"P","H")</f>
        <v/>
      </c>
      <c r="Q823">
        <f>IF(F823="",0,IFNA(VLOOKUP(F823,Trait_Polarity!$A:$C,2,FALSE),0))+IF(G823="",0,IFNA(VLOOKUP(G823,Trait_Polarity!$A:$C,2,FALSE),0))</f>
        <v/>
      </c>
      <c r="R823">
        <f>IF(F823="",0,IFNA(VLOOKUP(F823,Trait_Polarity!$A:$C,3,FALSE),0))+IF(G823="",0,IFNA(VLOOKUP(G823,Trait_Polarity!$A:$C,3,FALSE),0))</f>
        <v/>
      </c>
      <c r="S823">
        <f>IF(P823="P",(M823+N823+O823)/3,0.3*H823+0.3*I823+0.2*J823+0.1*K823+0.1*L823)</f>
        <v/>
      </c>
      <c r="T823">
        <f>IF(P823="P",IFNA(VLOOKUP(B823,Pitcher_RoleAdj!$A:$B,2,FALSE),0),IFNA(VLOOKUP(B823,Hitter_PrimaryAdj!$A:$B,2,FALSE),0))</f>
        <v/>
      </c>
      <c r="U823">
        <f>IFNA(VLOOKUP(IF(C823="","(none)",C823),SecondaryAdj!$A:$B,2,FALSE),0)</f>
        <v/>
      </c>
      <c r="V823">
        <f>IF(P823="P",0.7780+0.1628*S823+0.2957*Q823-0.1912*R823-0.1512*IF(D823="S",1,0)+0.1600*IF(E823="L",1,0)+0.0091*H823+0.0124*I823+0.0017*J823+T823+U823,-0.8294+0.1849*S823+0.1750*Q823-0.2969*R823+0.6924*IF(D823="S",1,0)+0.0457*IF(E823="L",1,0)+T823+U823)</f>
        <v/>
      </c>
      <c r="W823">
        <f>MAX(0,MIN(16,ROUND(V823,0)))</f>
        <v/>
      </c>
      <c r="X823">
        <f>IFNA(VLOOKUP(W823,Grade_Scale!$A:$B,2,FALSE),"F")</f>
        <v/>
      </c>
      <c r="Z823">
        <f>IF(Y823="","",W823-IFNA(VLOOKUP(Y823,Grade_Scale!$D:$E,2,FALSE),""))</f>
        <v/>
      </c>
    </row>
    <row r="824">
      <c r="P824">
        <f>IF(OR(B824="SP",B824="RP",B824="CP",B824="SP/RP"),"P","H")</f>
        <v/>
      </c>
      <c r="Q824">
        <f>IF(F824="",0,IFNA(VLOOKUP(F824,Trait_Polarity!$A:$C,2,FALSE),0))+IF(G824="",0,IFNA(VLOOKUP(G824,Trait_Polarity!$A:$C,2,FALSE),0))</f>
        <v/>
      </c>
      <c r="R824">
        <f>IF(F824="",0,IFNA(VLOOKUP(F824,Trait_Polarity!$A:$C,3,FALSE),0))+IF(G824="",0,IFNA(VLOOKUP(G824,Trait_Polarity!$A:$C,3,FALSE),0))</f>
        <v/>
      </c>
      <c r="S824">
        <f>IF(P824="P",(M824+N824+O824)/3,0.3*H824+0.3*I824+0.2*J824+0.1*K824+0.1*L824)</f>
        <v/>
      </c>
      <c r="T824">
        <f>IF(P824="P",IFNA(VLOOKUP(B824,Pitcher_RoleAdj!$A:$B,2,FALSE),0),IFNA(VLOOKUP(B824,Hitter_PrimaryAdj!$A:$B,2,FALSE),0))</f>
        <v/>
      </c>
      <c r="U824">
        <f>IFNA(VLOOKUP(IF(C824="","(none)",C824),SecondaryAdj!$A:$B,2,FALSE),0)</f>
        <v/>
      </c>
      <c r="V824">
        <f>IF(P824="P",0.7780+0.1628*S824+0.2957*Q824-0.1912*R824-0.1512*IF(D824="S",1,0)+0.1600*IF(E824="L",1,0)+0.0091*H824+0.0124*I824+0.0017*J824+T824+U824,-0.8294+0.1849*S824+0.1750*Q824-0.2969*R824+0.6924*IF(D824="S",1,0)+0.0457*IF(E824="L",1,0)+T824+U824)</f>
        <v/>
      </c>
      <c r="W824">
        <f>MAX(0,MIN(16,ROUND(V824,0)))</f>
        <v/>
      </c>
      <c r="X824">
        <f>IFNA(VLOOKUP(W824,Grade_Scale!$A:$B,2,FALSE),"F")</f>
        <v/>
      </c>
      <c r="Z824">
        <f>IF(Y824="","",W824-IFNA(VLOOKUP(Y824,Grade_Scale!$D:$E,2,FALSE),""))</f>
        <v/>
      </c>
    </row>
    <row r="825">
      <c r="P825">
        <f>IF(OR(B825="SP",B825="RP",B825="CP",B825="SP/RP"),"P","H")</f>
        <v/>
      </c>
      <c r="Q825">
        <f>IF(F825="",0,IFNA(VLOOKUP(F825,Trait_Polarity!$A:$C,2,FALSE),0))+IF(G825="",0,IFNA(VLOOKUP(G825,Trait_Polarity!$A:$C,2,FALSE),0))</f>
        <v/>
      </c>
      <c r="R825">
        <f>IF(F825="",0,IFNA(VLOOKUP(F825,Trait_Polarity!$A:$C,3,FALSE),0))+IF(G825="",0,IFNA(VLOOKUP(G825,Trait_Polarity!$A:$C,3,FALSE),0))</f>
        <v/>
      </c>
      <c r="S825">
        <f>IF(P825="P",(M825+N825+O825)/3,0.3*H825+0.3*I825+0.2*J825+0.1*K825+0.1*L825)</f>
        <v/>
      </c>
      <c r="T825">
        <f>IF(P825="P",IFNA(VLOOKUP(B825,Pitcher_RoleAdj!$A:$B,2,FALSE),0),IFNA(VLOOKUP(B825,Hitter_PrimaryAdj!$A:$B,2,FALSE),0))</f>
        <v/>
      </c>
      <c r="U825">
        <f>IFNA(VLOOKUP(IF(C825="","(none)",C825),SecondaryAdj!$A:$B,2,FALSE),0)</f>
        <v/>
      </c>
      <c r="V825">
        <f>IF(P825="P",0.7780+0.1628*S825+0.2957*Q825-0.1912*R825-0.1512*IF(D825="S",1,0)+0.1600*IF(E825="L",1,0)+0.0091*H825+0.0124*I825+0.0017*J825+T825+U825,-0.8294+0.1849*S825+0.1750*Q825-0.2969*R825+0.6924*IF(D825="S",1,0)+0.0457*IF(E825="L",1,0)+T825+U825)</f>
        <v/>
      </c>
      <c r="W825">
        <f>MAX(0,MIN(16,ROUND(V825,0)))</f>
        <v/>
      </c>
      <c r="X825">
        <f>IFNA(VLOOKUP(W825,Grade_Scale!$A:$B,2,FALSE),"F")</f>
        <v/>
      </c>
      <c r="Z825">
        <f>IF(Y825="","",W825-IFNA(VLOOKUP(Y825,Grade_Scale!$D:$E,2,FALSE),""))</f>
        <v/>
      </c>
    </row>
    <row r="826">
      <c r="P826">
        <f>IF(OR(B826="SP",B826="RP",B826="CP",B826="SP/RP"),"P","H")</f>
        <v/>
      </c>
      <c r="Q826">
        <f>IF(F826="",0,IFNA(VLOOKUP(F826,Trait_Polarity!$A:$C,2,FALSE),0))+IF(G826="",0,IFNA(VLOOKUP(G826,Trait_Polarity!$A:$C,2,FALSE),0))</f>
        <v/>
      </c>
      <c r="R826">
        <f>IF(F826="",0,IFNA(VLOOKUP(F826,Trait_Polarity!$A:$C,3,FALSE),0))+IF(G826="",0,IFNA(VLOOKUP(G826,Trait_Polarity!$A:$C,3,FALSE),0))</f>
        <v/>
      </c>
      <c r="S826">
        <f>IF(P826="P",(M826+N826+O826)/3,0.3*H826+0.3*I826+0.2*J826+0.1*K826+0.1*L826)</f>
        <v/>
      </c>
      <c r="T826">
        <f>IF(P826="P",IFNA(VLOOKUP(B826,Pitcher_RoleAdj!$A:$B,2,FALSE),0),IFNA(VLOOKUP(B826,Hitter_PrimaryAdj!$A:$B,2,FALSE),0))</f>
        <v/>
      </c>
      <c r="U826">
        <f>IFNA(VLOOKUP(IF(C826="","(none)",C826),SecondaryAdj!$A:$B,2,FALSE),0)</f>
        <v/>
      </c>
      <c r="V826">
        <f>IF(P826="P",0.7780+0.1628*S826+0.2957*Q826-0.1912*R826-0.1512*IF(D826="S",1,0)+0.1600*IF(E826="L",1,0)+0.0091*H826+0.0124*I826+0.0017*J826+T826+U826,-0.8294+0.1849*S826+0.1750*Q826-0.2969*R826+0.6924*IF(D826="S",1,0)+0.0457*IF(E826="L",1,0)+T826+U826)</f>
        <v/>
      </c>
      <c r="W826">
        <f>MAX(0,MIN(16,ROUND(V826,0)))</f>
        <v/>
      </c>
      <c r="X826">
        <f>IFNA(VLOOKUP(W826,Grade_Scale!$A:$B,2,FALSE),"F")</f>
        <v/>
      </c>
      <c r="Z826">
        <f>IF(Y826="","",W826-IFNA(VLOOKUP(Y826,Grade_Scale!$D:$E,2,FALSE),""))</f>
        <v/>
      </c>
    </row>
    <row r="827">
      <c r="P827">
        <f>IF(OR(B827="SP",B827="RP",B827="CP",B827="SP/RP"),"P","H")</f>
        <v/>
      </c>
      <c r="Q827">
        <f>IF(F827="",0,IFNA(VLOOKUP(F827,Trait_Polarity!$A:$C,2,FALSE),0))+IF(G827="",0,IFNA(VLOOKUP(G827,Trait_Polarity!$A:$C,2,FALSE),0))</f>
        <v/>
      </c>
      <c r="R827">
        <f>IF(F827="",0,IFNA(VLOOKUP(F827,Trait_Polarity!$A:$C,3,FALSE),0))+IF(G827="",0,IFNA(VLOOKUP(G827,Trait_Polarity!$A:$C,3,FALSE),0))</f>
        <v/>
      </c>
      <c r="S827">
        <f>IF(P827="P",(M827+N827+O827)/3,0.3*H827+0.3*I827+0.2*J827+0.1*K827+0.1*L827)</f>
        <v/>
      </c>
      <c r="T827">
        <f>IF(P827="P",IFNA(VLOOKUP(B827,Pitcher_RoleAdj!$A:$B,2,FALSE),0),IFNA(VLOOKUP(B827,Hitter_PrimaryAdj!$A:$B,2,FALSE),0))</f>
        <v/>
      </c>
      <c r="U827">
        <f>IFNA(VLOOKUP(IF(C827="","(none)",C827),SecondaryAdj!$A:$B,2,FALSE),0)</f>
        <v/>
      </c>
      <c r="V827">
        <f>IF(P827="P",0.7780+0.1628*S827+0.2957*Q827-0.1912*R827-0.1512*IF(D827="S",1,0)+0.1600*IF(E827="L",1,0)+0.0091*H827+0.0124*I827+0.0017*J827+T827+U827,-0.8294+0.1849*S827+0.1750*Q827-0.2969*R827+0.6924*IF(D827="S",1,0)+0.0457*IF(E827="L",1,0)+T827+U827)</f>
        <v/>
      </c>
      <c r="W827">
        <f>MAX(0,MIN(16,ROUND(V827,0)))</f>
        <v/>
      </c>
      <c r="X827">
        <f>IFNA(VLOOKUP(W827,Grade_Scale!$A:$B,2,FALSE),"F")</f>
        <v/>
      </c>
      <c r="Z827">
        <f>IF(Y827="","",W827-IFNA(VLOOKUP(Y827,Grade_Scale!$D:$E,2,FALSE),""))</f>
        <v/>
      </c>
    </row>
    <row r="828">
      <c r="P828">
        <f>IF(OR(B828="SP",B828="RP",B828="CP",B828="SP/RP"),"P","H")</f>
        <v/>
      </c>
      <c r="Q828">
        <f>IF(F828="",0,IFNA(VLOOKUP(F828,Trait_Polarity!$A:$C,2,FALSE),0))+IF(G828="",0,IFNA(VLOOKUP(G828,Trait_Polarity!$A:$C,2,FALSE),0))</f>
        <v/>
      </c>
      <c r="R828">
        <f>IF(F828="",0,IFNA(VLOOKUP(F828,Trait_Polarity!$A:$C,3,FALSE),0))+IF(G828="",0,IFNA(VLOOKUP(G828,Trait_Polarity!$A:$C,3,FALSE),0))</f>
        <v/>
      </c>
      <c r="S828">
        <f>IF(P828="P",(M828+N828+O828)/3,0.3*H828+0.3*I828+0.2*J828+0.1*K828+0.1*L828)</f>
        <v/>
      </c>
      <c r="T828">
        <f>IF(P828="P",IFNA(VLOOKUP(B828,Pitcher_RoleAdj!$A:$B,2,FALSE),0),IFNA(VLOOKUP(B828,Hitter_PrimaryAdj!$A:$B,2,FALSE),0))</f>
        <v/>
      </c>
      <c r="U828">
        <f>IFNA(VLOOKUP(IF(C828="","(none)",C828),SecondaryAdj!$A:$B,2,FALSE),0)</f>
        <v/>
      </c>
      <c r="V828">
        <f>IF(P828="P",0.7780+0.1628*S828+0.2957*Q828-0.1912*R828-0.1512*IF(D828="S",1,0)+0.1600*IF(E828="L",1,0)+0.0091*H828+0.0124*I828+0.0017*J828+T828+U828,-0.8294+0.1849*S828+0.1750*Q828-0.2969*R828+0.6924*IF(D828="S",1,0)+0.0457*IF(E828="L",1,0)+T828+U828)</f>
        <v/>
      </c>
      <c r="W828">
        <f>MAX(0,MIN(16,ROUND(V828,0)))</f>
        <v/>
      </c>
      <c r="X828">
        <f>IFNA(VLOOKUP(W828,Grade_Scale!$A:$B,2,FALSE),"F")</f>
        <v/>
      </c>
      <c r="Z828">
        <f>IF(Y828="","",W828-IFNA(VLOOKUP(Y828,Grade_Scale!$D:$E,2,FALSE),""))</f>
        <v/>
      </c>
    </row>
    <row r="829">
      <c r="P829">
        <f>IF(OR(B829="SP",B829="RP",B829="CP",B829="SP/RP"),"P","H")</f>
        <v/>
      </c>
      <c r="Q829">
        <f>IF(F829="",0,IFNA(VLOOKUP(F829,Trait_Polarity!$A:$C,2,FALSE),0))+IF(G829="",0,IFNA(VLOOKUP(G829,Trait_Polarity!$A:$C,2,FALSE),0))</f>
        <v/>
      </c>
      <c r="R829">
        <f>IF(F829="",0,IFNA(VLOOKUP(F829,Trait_Polarity!$A:$C,3,FALSE),0))+IF(G829="",0,IFNA(VLOOKUP(G829,Trait_Polarity!$A:$C,3,FALSE),0))</f>
        <v/>
      </c>
      <c r="S829">
        <f>IF(P829="P",(M829+N829+O829)/3,0.3*H829+0.3*I829+0.2*J829+0.1*K829+0.1*L829)</f>
        <v/>
      </c>
      <c r="T829">
        <f>IF(P829="P",IFNA(VLOOKUP(B829,Pitcher_RoleAdj!$A:$B,2,FALSE),0),IFNA(VLOOKUP(B829,Hitter_PrimaryAdj!$A:$B,2,FALSE),0))</f>
        <v/>
      </c>
      <c r="U829">
        <f>IFNA(VLOOKUP(IF(C829="","(none)",C829),SecondaryAdj!$A:$B,2,FALSE),0)</f>
        <v/>
      </c>
      <c r="V829">
        <f>IF(P829="P",0.7780+0.1628*S829+0.2957*Q829-0.1912*R829-0.1512*IF(D829="S",1,0)+0.1600*IF(E829="L",1,0)+0.0091*H829+0.0124*I829+0.0017*J829+T829+U829,-0.8294+0.1849*S829+0.1750*Q829-0.2969*R829+0.6924*IF(D829="S",1,0)+0.0457*IF(E829="L",1,0)+T829+U829)</f>
        <v/>
      </c>
      <c r="W829">
        <f>MAX(0,MIN(16,ROUND(V829,0)))</f>
        <v/>
      </c>
      <c r="X829">
        <f>IFNA(VLOOKUP(W829,Grade_Scale!$A:$B,2,FALSE),"F")</f>
        <v/>
      </c>
      <c r="Z829">
        <f>IF(Y829="","",W829-IFNA(VLOOKUP(Y829,Grade_Scale!$D:$E,2,FALSE),""))</f>
        <v/>
      </c>
    </row>
    <row r="830">
      <c r="P830">
        <f>IF(OR(B830="SP",B830="RP",B830="CP",B830="SP/RP"),"P","H")</f>
        <v/>
      </c>
      <c r="Q830">
        <f>IF(F830="",0,IFNA(VLOOKUP(F830,Trait_Polarity!$A:$C,2,FALSE),0))+IF(G830="",0,IFNA(VLOOKUP(G830,Trait_Polarity!$A:$C,2,FALSE),0))</f>
        <v/>
      </c>
      <c r="R830">
        <f>IF(F830="",0,IFNA(VLOOKUP(F830,Trait_Polarity!$A:$C,3,FALSE),0))+IF(G830="",0,IFNA(VLOOKUP(G830,Trait_Polarity!$A:$C,3,FALSE),0))</f>
        <v/>
      </c>
      <c r="S830">
        <f>IF(P830="P",(M830+N830+O830)/3,0.3*H830+0.3*I830+0.2*J830+0.1*K830+0.1*L830)</f>
        <v/>
      </c>
      <c r="T830">
        <f>IF(P830="P",IFNA(VLOOKUP(B830,Pitcher_RoleAdj!$A:$B,2,FALSE),0),IFNA(VLOOKUP(B830,Hitter_PrimaryAdj!$A:$B,2,FALSE),0))</f>
        <v/>
      </c>
      <c r="U830">
        <f>IFNA(VLOOKUP(IF(C830="","(none)",C830),SecondaryAdj!$A:$B,2,FALSE),0)</f>
        <v/>
      </c>
      <c r="V830">
        <f>IF(P830="P",0.7780+0.1628*S830+0.2957*Q830-0.1912*R830-0.1512*IF(D830="S",1,0)+0.1600*IF(E830="L",1,0)+0.0091*H830+0.0124*I830+0.0017*J830+T830+U830,-0.8294+0.1849*S830+0.1750*Q830-0.2969*R830+0.6924*IF(D830="S",1,0)+0.0457*IF(E830="L",1,0)+T830+U830)</f>
        <v/>
      </c>
      <c r="W830">
        <f>MAX(0,MIN(16,ROUND(V830,0)))</f>
        <v/>
      </c>
      <c r="X830">
        <f>IFNA(VLOOKUP(W830,Grade_Scale!$A:$B,2,FALSE),"F")</f>
        <v/>
      </c>
      <c r="Z830">
        <f>IF(Y830="","",W830-IFNA(VLOOKUP(Y830,Grade_Scale!$D:$E,2,FALSE),""))</f>
        <v/>
      </c>
    </row>
    <row r="831">
      <c r="P831">
        <f>IF(OR(B831="SP",B831="RP",B831="CP",B831="SP/RP"),"P","H")</f>
        <v/>
      </c>
      <c r="Q831">
        <f>IF(F831="",0,IFNA(VLOOKUP(F831,Trait_Polarity!$A:$C,2,FALSE),0))+IF(G831="",0,IFNA(VLOOKUP(G831,Trait_Polarity!$A:$C,2,FALSE),0))</f>
        <v/>
      </c>
      <c r="R831">
        <f>IF(F831="",0,IFNA(VLOOKUP(F831,Trait_Polarity!$A:$C,3,FALSE),0))+IF(G831="",0,IFNA(VLOOKUP(G831,Trait_Polarity!$A:$C,3,FALSE),0))</f>
        <v/>
      </c>
      <c r="S831">
        <f>IF(P831="P",(M831+N831+O831)/3,0.3*H831+0.3*I831+0.2*J831+0.1*K831+0.1*L831)</f>
        <v/>
      </c>
      <c r="T831">
        <f>IF(P831="P",IFNA(VLOOKUP(B831,Pitcher_RoleAdj!$A:$B,2,FALSE),0),IFNA(VLOOKUP(B831,Hitter_PrimaryAdj!$A:$B,2,FALSE),0))</f>
        <v/>
      </c>
      <c r="U831">
        <f>IFNA(VLOOKUP(IF(C831="","(none)",C831),SecondaryAdj!$A:$B,2,FALSE),0)</f>
        <v/>
      </c>
      <c r="V831">
        <f>IF(P831="P",0.7780+0.1628*S831+0.2957*Q831-0.1912*R831-0.1512*IF(D831="S",1,0)+0.1600*IF(E831="L",1,0)+0.0091*H831+0.0124*I831+0.0017*J831+T831+U831,-0.8294+0.1849*S831+0.1750*Q831-0.2969*R831+0.6924*IF(D831="S",1,0)+0.0457*IF(E831="L",1,0)+T831+U831)</f>
        <v/>
      </c>
      <c r="W831">
        <f>MAX(0,MIN(16,ROUND(V831,0)))</f>
        <v/>
      </c>
      <c r="X831">
        <f>IFNA(VLOOKUP(W831,Grade_Scale!$A:$B,2,FALSE),"F")</f>
        <v/>
      </c>
      <c r="Z831">
        <f>IF(Y831="","",W831-IFNA(VLOOKUP(Y831,Grade_Scale!$D:$E,2,FALSE),""))</f>
        <v/>
      </c>
    </row>
    <row r="832">
      <c r="P832">
        <f>IF(OR(B832="SP",B832="RP",B832="CP",B832="SP/RP"),"P","H")</f>
        <v/>
      </c>
      <c r="Q832">
        <f>IF(F832="",0,IFNA(VLOOKUP(F832,Trait_Polarity!$A:$C,2,FALSE),0))+IF(G832="",0,IFNA(VLOOKUP(G832,Trait_Polarity!$A:$C,2,FALSE),0))</f>
        <v/>
      </c>
      <c r="R832">
        <f>IF(F832="",0,IFNA(VLOOKUP(F832,Trait_Polarity!$A:$C,3,FALSE),0))+IF(G832="",0,IFNA(VLOOKUP(G832,Trait_Polarity!$A:$C,3,FALSE),0))</f>
        <v/>
      </c>
      <c r="S832">
        <f>IF(P832="P",(M832+N832+O832)/3,0.3*H832+0.3*I832+0.2*J832+0.1*K832+0.1*L832)</f>
        <v/>
      </c>
      <c r="T832">
        <f>IF(P832="P",IFNA(VLOOKUP(B832,Pitcher_RoleAdj!$A:$B,2,FALSE),0),IFNA(VLOOKUP(B832,Hitter_PrimaryAdj!$A:$B,2,FALSE),0))</f>
        <v/>
      </c>
      <c r="U832">
        <f>IFNA(VLOOKUP(IF(C832="","(none)",C832),SecondaryAdj!$A:$B,2,FALSE),0)</f>
        <v/>
      </c>
      <c r="V832">
        <f>IF(P832="P",0.7780+0.1628*S832+0.2957*Q832-0.1912*R832-0.1512*IF(D832="S",1,0)+0.1600*IF(E832="L",1,0)+0.0091*H832+0.0124*I832+0.0017*J832+T832+U832,-0.8294+0.1849*S832+0.1750*Q832-0.2969*R832+0.6924*IF(D832="S",1,0)+0.0457*IF(E832="L",1,0)+T832+U832)</f>
        <v/>
      </c>
      <c r="W832">
        <f>MAX(0,MIN(16,ROUND(V832,0)))</f>
        <v/>
      </c>
      <c r="X832">
        <f>IFNA(VLOOKUP(W832,Grade_Scale!$A:$B,2,FALSE),"F")</f>
        <v/>
      </c>
      <c r="Z832">
        <f>IF(Y832="","",W832-IFNA(VLOOKUP(Y832,Grade_Scale!$D:$E,2,FALSE),""))</f>
        <v/>
      </c>
    </row>
    <row r="833">
      <c r="P833">
        <f>IF(OR(B833="SP",B833="RP",B833="CP",B833="SP/RP"),"P","H")</f>
        <v/>
      </c>
      <c r="Q833">
        <f>IF(F833="",0,IFNA(VLOOKUP(F833,Trait_Polarity!$A:$C,2,FALSE),0))+IF(G833="",0,IFNA(VLOOKUP(G833,Trait_Polarity!$A:$C,2,FALSE),0))</f>
        <v/>
      </c>
      <c r="R833">
        <f>IF(F833="",0,IFNA(VLOOKUP(F833,Trait_Polarity!$A:$C,3,FALSE),0))+IF(G833="",0,IFNA(VLOOKUP(G833,Trait_Polarity!$A:$C,3,FALSE),0))</f>
        <v/>
      </c>
      <c r="S833">
        <f>IF(P833="P",(M833+N833+O833)/3,0.3*H833+0.3*I833+0.2*J833+0.1*K833+0.1*L833)</f>
        <v/>
      </c>
      <c r="T833">
        <f>IF(P833="P",IFNA(VLOOKUP(B833,Pitcher_RoleAdj!$A:$B,2,FALSE),0),IFNA(VLOOKUP(B833,Hitter_PrimaryAdj!$A:$B,2,FALSE),0))</f>
        <v/>
      </c>
      <c r="U833">
        <f>IFNA(VLOOKUP(IF(C833="","(none)",C833),SecondaryAdj!$A:$B,2,FALSE),0)</f>
        <v/>
      </c>
      <c r="V833">
        <f>IF(P833="P",0.7780+0.1628*S833+0.2957*Q833-0.1912*R833-0.1512*IF(D833="S",1,0)+0.1600*IF(E833="L",1,0)+0.0091*H833+0.0124*I833+0.0017*J833+T833+U833,-0.8294+0.1849*S833+0.1750*Q833-0.2969*R833+0.6924*IF(D833="S",1,0)+0.0457*IF(E833="L",1,0)+T833+U833)</f>
        <v/>
      </c>
      <c r="W833">
        <f>MAX(0,MIN(16,ROUND(V833,0)))</f>
        <v/>
      </c>
      <c r="X833">
        <f>IFNA(VLOOKUP(W833,Grade_Scale!$A:$B,2,FALSE),"F")</f>
        <v/>
      </c>
      <c r="Z833">
        <f>IF(Y833="","",W833-IFNA(VLOOKUP(Y833,Grade_Scale!$D:$E,2,FALSE),""))</f>
        <v/>
      </c>
    </row>
    <row r="834">
      <c r="P834">
        <f>IF(OR(B834="SP",B834="RP",B834="CP",B834="SP/RP"),"P","H")</f>
        <v/>
      </c>
      <c r="Q834">
        <f>IF(F834="",0,IFNA(VLOOKUP(F834,Trait_Polarity!$A:$C,2,FALSE),0))+IF(G834="",0,IFNA(VLOOKUP(G834,Trait_Polarity!$A:$C,2,FALSE),0))</f>
        <v/>
      </c>
      <c r="R834">
        <f>IF(F834="",0,IFNA(VLOOKUP(F834,Trait_Polarity!$A:$C,3,FALSE),0))+IF(G834="",0,IFNA(VLOOKUP(G834,Trait_Polarity!$A:$C,3,FALSE),0))</f>
        <v/>
      </c>
      <c r="S834">
        <f>IF(P834="P",(M834+N834+O834)/3,0.3*H834+0.3*I834+0.2*J834+0.1*K834+0.1*L834)</f>
        <v/>
      </c>
      <c r="T834">
        <f>IF(P834="P",IFNA(VLOOKUP(B834,Pitcher_RoleAdj!$A:$B,2,FALSE),0),IFNA(VLOOKUP(B834,Hitter_PrimaryAdj!$A:$B,2,FALSE),0))</f>
        <v/>
      </c>
      <c r="U834">
        <f>IFNA(VLOOKUP(IF(C834="","(none)",C834),SecondaryAdj!$A:$B,2,FALSE),0)</f>
        <v/>
      </c>
      <c r="V834">
        <f>IF(P834="P",0.7780+0.1628*S834+0.2957*Q834-0.1912*R834-0.1512*IF(D834="S",1,0)+0.1600*IF(E834="L",1,0)+0.0091*H834+0.0124*I834+0.0017*J834+T834+U834,-0.8294+0.1849*S834+0.1750*Q834-0.2969*R834+0.6924*IF(D834="S",1,0)+0.0457*IF(E834="L",1,0)+T834+U834)</f>
        <v/>
      </c>
      <c r="W834">
        <f>MAX(0,MIN(16,ROUND(V834,0)))</f>
        <v/>
      </c>
      <c r="X834">
        <f>IFNA(VLOOKUP(W834,Grade_Scale!$A:$B,2,FALSE),"F")</f>
        <v/>
      </c>
      <c r="Z834">
        <f>IF(Y834="","",W834-IFNA(VLOOKUP(Y834,Grade_Scale!$D:$E,2,FALSE),""))</f>
        <v/>
      </c>
    </row>
    <row r="835">
      <c r="P835">
        <f>IF(OR(B835="SP",B835="RP",B835="CP",B835="SP/RP"),"P","H")</f>
        <v/>
      </c>
      <c r="Q835">
        <f>IF(F835="",0,IFNA(VLOOKUP(F835,Trait_Polarity!$A:$C,2,FALSE),0))+IF(G835="",0,IFNA(VLOOKUP(G835,Trait_Polarity!$A:$C,2,FALSE),0))</f>
        <v/>
      </c>
      <c r="R835">
        <f>IF(F835="",0,IFNA(VLOOKUP(F835,Trait_Polarity!$A:$C,3,FALSE),0))+IF(G835="",0,IFNA(VLOOKUP(G835,Trait_Polarity!$A:$C,3,FALSE),0))</f>
        <v/>
      </c>
      <c r="S835">
        <f>IF(P835="P",(M835+N835+O835)/3,0.3*H835+0.3*I835+0.2*J835+0.1*K835+0.1*L835)</f>
        <v/>
      </c>
      <c r="T835">
        <f>IF(P835="P",IFNA(VLOOKUP(B835,Pitcher_RoleAdj!$A:$B,2,FALSE),0),IFNA(VLOOKUP(B835,Hitter_PrimaryAdj!$A:$B,2,FALSE),0))</f>
        <v/>
      </c>
      <c r="U835">
        <f>IFNA(VLOOKUP(IF(C835="","(none)",C835),SecondaryAdj!$A:$B,2,FALSE),0)</f>
        <v/>
      </c>
      <c r="V835">
        <f>IF(P835="P",0.7780+0.1628*S835+0.2957*Q835-0.1912*R835-0.1512*IF(D835="S",1,0)+0.1600*IF(E835="L",1,0)+0.0091*H835+0.0124*I835+0.0017*J835+T835+U835,-0.8294+0.1849*S835+0.1750*Q835-0.2969*R835+0.6924*IF(D835="S",1,0)+0.0457*IF(E835="L",1,0)+T835+U835)</f>
        <v/>
      </c>
      <c r="W835">
        <f>MAX(0,MIN(16,ROUND(V835,0)))</f>
        <v/>
      </c>
      <c r="X835">
        <f>IFNA(VLOOKUP(W835,Grade_Scale!$A:$B,2,FALSE),"F")</f>
        <v/>
      </c>
      <c r="Z835">
        <f>IF(Y835="","",W835-IFNA(VLOOKUP(Y835,Grade_Scale!$D:$E,2,FALSE),""))</f>
        <v/>
      </c>
    </row>
    <row r="836">
      <c r="P836">
        <f>IF(OR(B836="SP",B836="RP",B836="CP",B836="SP/RP"),"P","H")</f>
        <v/>
      </c>
      <c r="Q836">
        <f>IF(F836="",0,IFNA(VLOOKUP(F836,Trait_Polarity!$A:$C,2,FALSE),0))+IF(G836="",0,IFNA(VLOOKUP(G836,Trait_Polarity!$A:$C,2,FALSE),0))</f>
        <v/>
      </c>
      <c r="R836">
        <f>IF(F836="",0,IFNA(VLOOKUP(F836,Trait_Polarity!$A:$C,3,FALSE),0))+IF(G836="",0,IFNA(VLOOKUP(G836,Trait_Polarity!$A:$C,3,FALSE),0))</f>
        <v/>
      </c>
      <c r="S836">
        <f>IF(P836="P",(M836+N836+O836)/3,0.3*H836+0.3*I836+0.2*J836+0.1*K836+0.1*L836)</f>
        <v/>
      </c>
      <c r="T836">
        <f>IF(P836="P",IFNA(VLOOKUP(B836,Pitcher_RoleAdj!$A:$B,2,FALSE),0),IFNA(VLOOKUP(B836,Hitter_PrimaryAdj!$A:$B,2,FALSE),0))</f>
        <v/>
      </c>
      <c r="U836">
        <f>IFNA(VLOOKUP(IF(C836="","(none)",C836),SecondaryAdj!$A:$B,2,FALSE),0)</f>
        <v/>
      </c>
      <c r="V836">
        <f>IF(P836="P",0.7780+0.1628*S836+0.2957*Q836-0.1912*R836-0.1512*IF(D836="S",1,0)+0.1600*IF(E836="L",1,0)+0.0091*H836+0.0124*I836+0.0017*J836+T836+U836,-0.8294+0.1849*S836+0.1750*Q836-0.2969*R836+0.6924*IF(D836="S",1,0)+0.0457*IF(E836="L",1,0)+T836+U836)</f>
        <v/>
      </c>
      <c r="W836">
        <f>MAX(0,MIN(16,ROUND(V836,0)))</f>
        <v/>
      </c>
      <c r="X836">
        <f>IFNA(VLOOKUP(W836,Grade_Scale!$A:$B,2,FALSE),"F")</f>
        <v/>
      </c>
      <c r="Z836">
        <f>IF(Y836="","",W836-IFNA(VLOOKUP(Y836,Grade_Scale!$D:$E,2,FALSE),""))</f>
        <v/>
      </c>
    </row>
    <row r="837">
      <c r="P837">
        <f>IF(OR(B837="SP",B837="RP",B837="CP",B837="SP/RP"),"P","H")</f>
        <v/>
      </c>
      <c r="Q837">
        <f>IF(F837="",0,IFNA(VLOOKUP(F837,Trait_Polarity!$A:$C,2,FALSE),0))+IF(G837="",0,IFNA(VLOOKUP(G837,Trait_Polarity!$A:$C,2,FALSE),0))</f>
        <v/>
      </c>
      <c r="R837">
        <f>IF(F837="",0,IFNA(VLOOKUP(F837,Trait_Polarity!$A:$C,3,FALSE),0))+IF(G837="",0,IFNA(VLOOKUP(G837,Trait_Polarity!$A:$C,3,FALSE),0))</f>
        <v/>
      </c>
      <c r="S837">
        <f>IF(P837="P",(M837+N837+O837)/3,0.3*H837+0.3*I837+0.2*J837+0.1*K837+0.1*L837)</f>
        <v/>
      </c>
      <c r="T837">
        <f>IF(P837="P",IFNA(VLOOKUP(B837,Pitcher_RoleAdj!$A:$B,2,FALSE),0),IFNA(VLOOKUP(B837,Hitter_PrimaryAdj!$A:$B,2,FALSE),0))</f>
        <v/>
      </c>
      <c r="U837">
        <f>IFNA(VLOOKUP(IF(C837="","(none)",C837),SecondaryAdj!$A:$B,2,FALSE),0)</f>
        <v/>
      </c>
      <c r="V837">
        <f>IF(P837="P",0.7780+0.1628*S837+0.2957*Q837-0.1912*R837-0.1512*IF(D837="S",1,0)+0.1600*IF(E837="L",1,0)+0.0091*H837+0.0124*I837+0.0017*J837+T837+U837,-0.8294+0.1849*S837+0.1750*Q837-0.2969*R837+0.6924*IF(D837="S",1,0)+0.0457*IF(E837="L",1,0)+T837+U837)</f>
        <v/>
      </c>
      <c r="W837">
        <f>MAX(0,MIN(16,ROUND(V837,0)))</f>
        <v/>
      </c>
      <c r="X837">
        <f>IFNA(VLOOKUP(W837,Grade_Scale!$A:$B,2,FALSE),"F")</f>
        <v/>
      </c>
      <c r="Z837">
        <f>IF(Y837="","",W837-IFNA(VLOOKUP(Y837,Grade_Scale!$D:$E,2,FALSE),""))</f>
        <v/>
      </c>
    </row>
    <row r="838">
      <c r="P838">
        <f>IF(OR(B838="SP",B838="RP",B838="CP",B838="SP/RP"),"P","H")</f>
        <v/>
      </c>
      <c r="Q838">
        <f>IF(F838="",0,IFNA(VLOOKUP(F838,Trait_Polarity!$A:$C,2,FALSE),0))+IF(G838="",0,IFNA(VLOOKUP(G838,Trait_Polarity!$A:$C,2,FALSE),0))</f>
        <v/>
      </c>
      <c r="R838">
        <f>IF(F838="",0,IFNA(VLOOKUP(F838,Trait_Polarity!$A:$C,3,FALSE),0))+IF(G838="",0,IFNA(VLOOKUP(G838,Trait_Polarity!$A:$C,3,FALSE),0))</f>
        <v/>
      </c>
      <c r="S838">
        <f>IF(P838="P",(M838+N838+O838)/3,0.3*H838+0.3*I838+0.2*J838+0.1*K838+0.1*L838)</f>
        <v/>
      </c>
      <c r="T838">
        <f>IF(P838="P",IFNA(VLOOKUP(B838,Pitcher_RoleAdj!$A:$B,2,FALSE),0),IFNA(VLOOKUP(B838,Hitter_PrimaryAdj!$A:$B,2,FALSE),0))</f>
        <v/>
      </c>
      <c r="U838">
        <f>IFNA(VLOOKUP(IF(C838="","(none)",C838),SecondaryAdj!$A:$B,2,FALSE),0)</f>
        <v/>
      </c>
      <c r="V838">
        <f>IF(P838="P",0.7780+0.1628*S838+0.2957*Q838-0.1912*R838-0.1512*IF(D838="S",1,0)+0.1600*IF(E838="L",1,0)+0.0091*H838+0.0124*I838+0.0017*J838+T838+U838,-0.8294+0.1849*S838+0.1750*Q838-0.2969*R838+0.6924*IF(D838="S",1,0)+0.0457*IF(E838="L",1,0)+T838+U838)</f>
        <v/>
      </c>
      <c r="W838">
        <f>MAX(0,MIN(16,ROUND(V838,0)))</f>
        <v/>
      </c>
      <c r="X838">
        <f>IFNA(VLOOKUP(W838,Grade_Scale!$A:$B,2,FALSE),"F")</f>
        <v/>
      </c>
      <c r="Z838">
        <f>IF(Y838="","",W838-IFNA(VLOOKUP(Y838,Grade_Scale!$D:$E,2,FALSE),""))</f>
        <v/>
      </c>
    </row>
    <row r="839">
      <c r="P839">
        <f>IF(OR(B839="SP",B839="RP",B839="CP",B839="SP/RP"),"P","H")</f>
        <v/>
      </c>
      <c r="Q839">
        <f>IF(F839="",0,IFNA(VLOOKUP(F839,Trait_Polarity!$A:$C,2,FALSE),0))+IF(G839="",0,IFNA(VLOOKUP(G839,Trait_Polarity!$A:$C,2,FALSE),0))</f>
        <v/>
      </c>
      <c r="R839">
        <f>IF(F839="",0,IFNA(VLOOKUP(F839,Trait_Polarity!$A:$C,3,FALSE),0))+IF(G839="",0,IFNA(VLOOKUP(G839,Trait_Polarity!$A:$C,3,FALSE),0))</f>
        <v/>
      </c>
      <c r="S839">
        <f>IF(P839="P",(M839+N839+O839)/3,0.3*H839+0.3*I839+0.2*J839+0.1*K839+0.1*L839)</f>
        <v/>
      </c>
      <c r="T839">
        <f>IF(P839="P",IFNA(VLOOKUP(B839,Pitcher_RoleAdj!$A:$B,2,FALSE),0),IFNA(VLOOKUP(B839,Hitter_PrimaryAdj!$A:$B,2,FALSE),0))</f>
        <v/>
      </c>
      <c r="U839">
        <f>IFNA(VLOOKUP(IF(C839="","(none)",C839),SecondaryAdj!$A:$B,2,FALSE),0)</f>
        <v/>
      </c>
      <c r="V839">
        <f>IF(P839="P",0.7780+0.1628*S839+0.2957*Q839-0.1912*R839-0.1512*IF(D839="S",1,0)+0.1600*IF(E839="L",1,0)+0.0091*H839+0.0124*I839+0.0017*J839+T839+U839,-0.8294+0.1849*S839+0.1750*Q839-0.2969*R839+0.6924*IF(D839="S",1,0)+0.0457*IF(E839="L",1,0)+T839+U839)</f>
        <v/>
      </c>
      <c r="W839">
        <f>MAX(0,MIN(16,ROUND(V839,0)))</f>
        <v/>
      </c>
      <c r="X839">
        <f>IFNA(VLOOKUP(W839,Grade_Scale!$A:$B,2,FALSE),"F")</f>
        <v/>
      </c>
      <c r="Z839">
        <f>IF(Y839="","",W839-IFNA(VLOOKUP(Y839,Grade_Scale!$D:$E,2,FALSE),""))</f>
        <v/>
      </c>
    </row>
    <row r="840">
      <c r="P840">
        <f>IF(OR(B840="SP",B840="RP",B840="CP",B840="SP/RP"),"P","H")</f>
        <v/>
      </c>
      <c r="Q840">
        <f>IF(F840="",0,IFNA(VLOOKUP(F840,Trait_Polarity!$A:$C,2,FALSE),0))+IF(G840="",0,IFNA(VLOOKUP(G840,Trait_Polarity!$A:$C,2,FALSE),0))</f>
        <v/>
      </c>
      <c r="R840">
        <f>IF(F840="",0,IFNA(VLOOKUP(F840,Trait_Polarity!$A:$C,3,FALSE),0))+IF(G840="",0,IFNA(VLOOKUP(G840,Trait_Polarity!$A:$C,3,FALSE),0))</f>
        <v/>
      </c>
      <c r="S840">
        <f>IF(P840="P",(M840+N840+O840)/3,0.3*H840+0.3*I840+0.2*J840+0.1*K840+0.1*L840)</f>
        <v/>
      </c>
      <c r="T840">
        <f>IF(P840="P",IFNA(VLOOKUP(B840,Pitcher_RoleAdj!$A:$B,2,FALSE),0),IFNA(VLOOKUP(B840,Hitter_PrimaryAdj!$A:$B,2,FALSE),0))</f>
        <v/>
      </c>
      <c r="U840">
        <f>IFNA(VLOOKUP(IF(C840="","(none)",C840),SecondaryAdj!$A:$B,2,FALSE),0)</f>
        <v/>
      </c>
      <c r="V840">
        <f>IF(P840="P",0.7780+0.1628*S840+0.2957*Q840-0.1912*R840-0.1512*IF(D840="S",1,0)+0.1600*IF(E840="L",1,0)+0.0091*H840+0.0124*I840+0.0017*J840+T840+U840,-0.8294+0.1849*S840+0.1750*Q840-0.2969*R840+0.6924*IF(D840="S",1,0)+0.0457*IF(E840="L",1,0)+T840+U840)</f>
        <v/>
      </c>
      <c r="W840">
        <f>MAX(0,MIN(16,ROUND(V840,0)))</f>
        <v/>
      </c>
      <c r="X840">
        <f>IFNA(VLOOKUP(W840,Grade_Scale!$A:$B,2,FALSE),"F")</f>
        <v/>
      </c>
      <c r="Z840">
        <f>IF(Y840="","",W840-IFNA(VLOOKUP(Y840,Grade_Scale!$D:$E,2,FALSE),""))</f>
        <v/>
      </c>
    </row>
    <row r="841">
      <c r="P841">
        <f>IF(OR(B841="SP",B841="RP",B841="CP",B841="SP/RP"),"P","H")</f>
        <v/>
      </c>
      <c r="Q841">
        <f>IF(F841="",0,IFNA(VLOOKUP(F841,Trait_Polarity!$A:$C,2,FALSE),0))+IF(G841="",0,IFNA(VLOOKUP(G841,Trait_Polarity!$A:$C,2,FALSE),0))</f>
        <v/>
      </c>
      <c r="R841">
        <f>IF(F841="",0,IFNA(VLOOKUP(F841,Trait_Polarity!$A:$C,3,FALSE),0))+IF(G841="",0,IFNA(VLOOKUP(G841,Trait_Polarity!$A:$C,3,FALSE),0))</f>
        <v/>
      </c>
      <c r="S841">
        <f>IF(P841="P",(M841+N841+O841)/3,0.3*H841+0.3*I841+0.2*J841+0.1*K841+0.1*L841)</f>
        <v/>
      </c>
      <c r="T841">
        <f>IF(P841="P",IFNA(VLOOKUP(B841,Pitcher_RoleAdj!$A:$B,2,FALSE),0),IFNA(VLOOKUP(B841,Hitter_PrimaryAdj!$A:$B,2,FALSE),0))</f>
        <v/>
      </c>
      <c r="U841">
        <f>IFNA(VLOOKUP(IF(C841="","(none)",C841),SecondaryAdj!$A:$B,2,FALSE),0)</f>
        <v/>
      </c>
      <c r="V841">
        <f>IF(P841="P",0.7780+0.1628*S841+0.2957*Q841-0.1912*R841-0.1512*IF(D841="S",1,0)+0.1600*IF(E841="L",1,0)+0.0091*H841+0.0124*I841+0.0017*J841+T841+U841,-0.8294+0.1849*S841+0.1750*Q841-0.2969*R841+0.6924*IF(D841="S",1,0)+0.0457*IF(E841="L",1,0)+T841+U841)</f>
        <v/>
      </c>
      <c r="W841">
        <f>MAX(0,MIN(16,ROUND(V841,0)))</f>
        <v/>
      </c>
      <c r="X841">
        <f>IFNA(VLOOKUP(W841,Grade_Scale!$A:$B,2,FALSE),"F")</f>
        <v/>
      </c>
      <c r="Z841">
        <f>IF(Y841="","",W841-IFNA(VLOOKUP(Y841,Grade_Scale!$D:$E,2,FALSE),""))</f>
        <v/>
      </c>
    </row>
    <row r="842">
      <c r="P842">
        <f>IF(OR(B842="SP",B842="RP",B842="CP",B842="SP/RP"),"P","H")</f>
        <v/>
      </c>
      <c r="Q842">
        <f>IF(F842="",0,IFNA(VLOOKUP(F842,Trait_Polarity!$A:$C,2,FALSE),0))+IF(G842="",0,IFNA(VLOOKUP(G842,Trait_Polarity!$A:$C,2,FALSE),0))</f>
        <v/>
      </c>
      <c r="R842">
        <f>IF(F842="",0,IFNA(VLOOKUP(F842,Trait_Polarity!$A:$C,3,FALSE),0))+IF(G842="",0,IFNA(VLOOKUP(G842,Trait_Polarity!$A:$C,3,FALSE),0))</f>
        <v/>
      </c>
      <c r="S842">
        <f>IF(P842="P",(M842+N842+O842)/3,0.3*H842+0.3*I842+0.2*J842+0.1*K842+0.1*L842)</f>
        <v/>
      </c>
      <c r="T842">
        <f>IF(P842="P",IFNA(VLOOKUP(B842,Pitcher_RoleAdj!$A:$B,2,FALSE),0),IFNA(VLOOKUP(B842,Hitter_PrimaryAdj!$A:$B,2,FALSE),0))</f>
        <v/>
      </c>
      <c r="U842">
        <f>IFNA(VLOOKUP(IF(C842="","(none)",C842),SecondaryAdj!$A:$B,2,FALSE),0)</f>
        <v/>
      </c>
      <c r="V842">
        <f>IF(P842="P",0.7780+0.1628*S842+0.2957*Q842-0.1912*R842-0.1512*IF(D842="S",1,0)+0.1600*IF(E842="L",1,0)+0.0091*H842+0.0124*I842+0.0017*J842+T842+U842,-0.8294+0.1849*S842+0.1750*Q842-0.2969*R842+0.6924*IF(D842="S",1,0)+0.0457*IF(E842="L",1,0)+T842+U842)</f>
        <v/>
      </c>
      <c r="W842">
        <f>MAX(0,MIN(16,ROUND(V842,0)))</f>
        <v/>
      </c>
      <c r="X842">
        <f>IFNA(VLOOKUP(W842,Grade_Scale!$A:$B,2,FALSE),"F")</f>
        <v/>
      </c>
      <c r="Z842">
        <f>IF(Y842="","",W842-IFNA(VLOOKUP(Y842,Grade_Scale!$D:$E,2,FALSE),""))</f>
        <v/>
      </c>
    </row>
    <row r="843">
      <c r="P843">
        <f>IF(OR(B843="SP",B843="RP",B843="CP",B843="SP/RP"),"P","H")</f>
        <v/>
      </c>
      <c r="Q843">
        <f>IF(F843="",0,IFNA(VLOOKUP(F843,Trait_Polarity!$A:$C,2,FALSE),0))+IF(G843="",0,IFNA(VLOOKUP(G843,Trait_Polarity!$A:$C,2,FALSE),0))</f>
        <v/>
      </c>
      <c r="R843">
        <f>IF(F843="",0,IFNA(VLOOKUP(F843,Trait_Polarity!$A:$C,3,FALSE),0))+IF(G843="",0,IFNA(VLOOKUP(G843,Trait_Polarity!$A:$C,3,FALSE),0))</f>
        <v/>
      </c>
      <c r="S843">
        <f>IF(P843="P",(M843+N843+O843)/3,0.3*H843+0.3*I843+0.2*J843+0.1*K843+0.1*L843)</f>
        <v/>
      </c>
      <c r="T843">
        <f>IF(P843="P",IFNA(VLOOKUP(B843,Pitcher_RoleAdj!$A:$B,2,FALSE),0),IFNA(VLOOKUP(B843,Hitter_PrimaryAdj!$A:$B,2,FALSE),0))</f>
        <v/>
      </c>
      <c r="U843">
        <f>IFNA(VLOOKUP(IF(C843="","(none)",C843),SecondaryAdj!$A:$B,2,FALSE),0)</f>
        <v/>
      </c>
      <c r="V843">
        <f>IF(P843="P",0.7780+0.1628*S843+0.2957*Q843-0.1912*R843-0.1512*IF(D843="S",1,0)+0.1600*IF(E843="L",1,0)+0.0091*H843+0.0124*I843+0.0017*J843+T843+U843,-0.8294+0.1849*S843+0.1750*Q843-0.2969*R843+0.6924*IF(D843="S",1,0)+0.0457*IF(E843="L",1,0)+T843+U843)</f>
        <v/>
      </c>
      <c r="W843">
        <f>MAX(0,MIN(16,ROUND(V843,0)))</f>
        <v/>
      </c>
      <c r="X843">
        <f>IFNA(VLOOKUP(W843,Grade_Scale!$A:$B,2,FALSE),"F")</f>
        <v/>
      </c>
      <c r="Z843">
        <f>IF(Y843="","",W843-IFNA(VLOOKUP(Y843,Grade_Scale!$D:$E,2,FALSE),""))</f>
        <v/>
      </c>
    </row>
    <row r="844">
      <c r="P844">
        <f>IF(OR(B844="SP",B844="RP",B844="CP",B844="SP/RP"),"P","H")</f>
        <v/>
      </c>
      <c r="Q844">
        <f>IF(F844="",0,IFNA(VLOOKUP(F844,Trait_Polarity!$A:$C,2,FALSE),0))+IF(G844="",0,IFNA(VLOOKUP(G844,Trait_Polarity!$A:$C,2,FALSE),0))</f>
        <v/>
      </c>
      <c r="R844">
        <f>IF(F844="",0,IFNA(VLOOKUP(F844,Trait_Polarity!$A:$C,3,FALSE),0))+IF(G844="",0,IFNA(VLOOKUP(G844,Trait_Polarity!$A:$C,3,FALSE),0))</f>
        <v/>
      </c>
      <c r="S844">
        <f>IF(P844="P",(M844+N844+O844)/3,0.3*H844+0.3*I844+0.2*J844+0.1*K844+0.1*L844)</f>
        <v/>
      </c>
      <c r="T844">
        <f>IF(P844="P",IFNA(VLOOKUP(B844,Pitcher_RoleAdj!$A:$B,2,FALSE),0),IFNA(VLOOKUP(B844,Hitter_PrimaryAdj!$A:$B,2,FALSE),0))</f>
        <v/>
      </c>
      <c r="U844">
        <f>IFNA(VLOOKUP(IF(C844="","(none)",C844),SecondaryAdj!$A:$B,2,FALSE),0)</f>
        <v/>
      </c>
      <c r="V844">
        <f>IF(P844="P",0.7780+0.1628*S844+0.2957*Q844-0.1912*R844-0.1512*IF(D844="S",1,0)+0.1600*IF(E844="L",1,0)+0.0091*H844+0.0124*I844+0.0017*J844+T844+U844,-0.8294+0.1849*S844+0.1750*Q844-0.2969*R844+0.6924*IF(D844="S",1,0)+0.0457*IF(E844="L",1,0)+T844+U844)</f>
        <v/>
      </c>
      <c r="W844">
        <f>MAX(0,MIN(16,ROUND(V844,0)))</f>
        <v/>
      </c>
      <c r="X844">
        <f>IFNA(VLOOKUP(W844,Grade_Scale!$A:$B,2,FALSE),"F")</f>
        <v/>
      </c>
      <c r="Z844">
        <f>IF(Y844="","",W844-IFNA(VLOOKUP(Y844,Grade_Scale!$D:$E,2,FALSE),""))</f>
        <v/>
      </c>
    </row>
    <row r="845">
      <c r="P845">
        <f>IF(OR(B845="SP",B845="RP",B845="CP",B845="SP/RP"),"P","H")</f>
        <v/>
      </c>
      <c r="Q845">
        <f>IF(F845="",0,IFNA(VLOOKUP(F845,Trait_Polarity!$A:$C,2,FALSE),0))+IF(G845="",0,IFNA(VLOOKUP(G845,Trait_Polarity!$A:$C,2,FALSE),0))</f>
        <v/>
      </c>
      <c r="R845">
        <f>IF(F845="",0,IFNA(VLOOKUP(F845,Trait_Polarity!$A:$C,3,FALSE),0))+IF(G845="",0,IFNA(VLOOKUP(G845,Trait_Polarity!$A:$C,3,FALSE),0))</f>
        <v/>
      </c>
      <c r="S845">
        <f>IF(P845="P",(M845+N845+O845)/3,0.3*H845+0.3*I845+0.2*J845+0.1*K845+0.1*L845)</f>
        <v/>
      </c>
      <c r="T845">
        <f>IF(P845="P",IFNA(VLOOKUP(B845,Pitcher_RoleAdj!$A:$B,2,FALSE),0),IFNA(VLOOKUP(B845,Hitter_PrimaryAdj!$A:$B,2,FALSE),0))</f>
        <v/>
      </c>
      <c r="U845">
        <f>IFNA(VLOOKUP(IF(C845="","(none)",C845),SecondaryAdj!$A:$B,2,FALSE),0)</f>
        <v/>
      </c>
      <c r="V845">
        <f>IF(P845="P",0.7780+0.1628*S845+0.2957*Q845-0.1912*R845-0.1512*IF(D845="S",1,0)+0.1600*IF(E845="L",1,0)+0.0091*H845+0.0124*I845+0.0017*J845+T845+U845,-0.8294+0.1849*S845+0.1750*Q845-0.2969*R845+0.6924*IF(D845="S",1,0)+0.0457*IF(E845="L",1,0)+T845+U845)</f>
        <v/>
      </c>
      <c r="W845">
        <f>MAX(0,MIN(16,ROUND(V845,0)))</f>
        <v/>
      </c>
      <c r="X845">
        <f>IFNA(VLOOKUP(W845,Grade_Scale!$A:$B,2,FALSE),"F")</f>
        <v/>
      </c>
      <c r="Z845">
        <f>IF(Y845="","",W845-IFNA(VLOOKUP(Y845,Grade_Scale!$D:$E,2,FALSE),""))</f>
        <v/>
      </c>
    </row>
    <row r="846">
      <c r="P846">
        <f>IF(OR(B846="SP",B846="RP",B846="CP",B846="SP/RP"),"P","H")</f>
        <v/>
      </c>
      <c r="Q846">
        <f>IF(F846="",0,IFNA(VLOOKUP(F846,Trait_Polarity!$A:$C,2,FALSE),0))+IF(G846="",0,IFNA(VLOOKUP(G846,Trait_Polarity!$A:$C,2,FALSE),0))</f>
        <v/>
      </c>
      <c r="R846">
        <f>IF(F846="",0,IFNA(VLOOKUP(F846,Trait_Polarity!$A:$C,3,FALSE),0))+IF(G846="",0,IFNA(VLOOKUP(G846,Trait_Polarity!$A:$C,3,FALSE),0))</f>
        <v/>
      </c>
      <c r="S846">
        <f>IF(P846="P",(M846+N846+O846)/3,0.3*H846+0.3*I846+0.2*J846+0.1*K846+0.1*L846)</f>
        <v/>
      </c>
      <c r="T846">
        <f>IF(P846="P",IFNA(VLOOKUP(B846,Pitcher_RoleAdj!$A:$B,2,FALSE),0),IFNA(VLOOKUP(B846,Hitter_PrimaryAdj!$A:$B,2,FALSE),0))</f>
        <v/>
      </c>
      <c r="U846">
        <f>IFNA(VLOOKUP(IF(C846="","(none)",C846),SecondaryAdj!$A:$B,2,FALSE),0)</f>
        <v/>
      </c>
      <c r="V846">
        <f>IF(P846="P",0.7780+0.1628*S846+0.2957*Q846-0.1912*R846-0.1512*IF(D846="S",1,0)+0.1600*IF(E846="L",1,0)+0.0091*H846+0.0124*I846+0.0017*J846+T846+U846,-0.8294+0.1849*S846+0.1750*Q846-0.2969*R846+0.6924*IF(D846="S",1,0)+0.0457*IF(E846="L",1,0)+T846+U846)</f>
        <v/>
      </c>
      <c r="W846">
        <f>MAX(0,MIN(16,ROUND(V846,0)))</f>
        <v/>
      </c>
      <c r="X846">
        <f>IFNA(VLOOKUP(W846,Grade_Scale!$A:$B,2,FALSE),"F")</f>
        <v/>
      </c>
      <c r="Z846">
        <f>IF(Y846="","",W846-IFNA(VLOOKUP(Y846,Grade_Scale!$D:$E,2,FALSE),""))</f>
        <v/>
      </c>
    </row>
    <row r="847">
      <c r="P847">
        <f>IF(OR(B847="SP",B847="RP",B847="CP",B847="SP/RP"),"P","H")</f>
        <v/>
      </c>
      <c r="Q847">
        <f>IF(F847="",0,IFNA(VLOOKUP(F847,Trait_Polarity!$A:$C,2,FALSE),0))+IF(G847="",0,IFNA(VLOOKUP(G847,Trait_Polarity!$A:$C,2,FALSE),0))</f>
        <v/>
      </c>
      <c r="R847">
        <f>IF(F847="",0,IFNA(VLOOKUP(F847,Trait_Polarity!$A:$C,3,FALSE),0))+IF(G847="",0,IFNA(VLOOKUP(G847,Trait_Polarity!$A:$C,3,FALSE),0))</f>
        <v/>
      </c>
      <c r="S847">
        <f>IF(P847="P",(M847+N847+O847)/3,0.3*H847+0.3*I847+0.2*J847+0.1*K847+0.1*L847)</f>
        <v/>
      </c>
      <c r="T847">
        <f>IF(P847="P",IFNA(VLOOKUP(B847,Pitcher_RoleAdj!$A:$B,2,FALSE),0),IFNA(VLOOKUP(B847,Hitter_PrimaryAdj!$A:$B,2,FALSE),0))</f>
        <v/>
      </c>
      <c r="U847">
        <f>IFNA(VLOOKUP(IF(C847="","(none)",C847),SecondaryAdj!$A:$B,2,FALSE),0)</f>
        <v/>
      </c>
      <c r="V847">
        <f>IF(P847="P",0.7780+0.1628*S847+0.2957*Q847-0.1912*R847-0.1512*IF(D847="S",1,0)+0.1600*IF(E847="L",1,0)+0.0091*H847+0.0124*I847+0.0017*J847+T847+U847,-0.8294+0.1849*S847+0.1750*Q847-0.2969*R847+0.6924*IF(D847="S",1,0)+0.0457*IF(E847="L",1,0)+T847+U847)</f>
        <v/>
      </c>
      <c r="W847">
        <f>MAX(0,MIN(16,ROUND(V847,0)))</f>
        <v/>
      </c>
      <c r="X847">
        <f>IFNA(VLOOKUP(W847,Grade_Scale!$A:$B,2,FALSE),"F")</f>
        <v/>
      </c>
      <c r="Z847">
        <f>IF(Y847="","",W847-IFNA(VLOOKUP(Y847,Grade_Scale!$D:$E,2,FALSE),""))</f>
        <v/>
      </c>
    </row>
    <row r="848">
      <c r="P848">
        <f>IF(OR(B848="SP",B848="RP",B848="CP",B848="SP/RP"),"P","H")</f>
        <v/>
      </c>
      <c r="Q848">
        <f>IF(F848="",0,IFNA(VLOOKUP(F848,Trait_Polarity!$A:$C,2,FALSE),0))+IF(G848="",0,IFNA(VLOOKUP(G848,Trait_Polarity!$A:$C,2,FALSE),0))</f>
        <v/>
      </c>
      <c r="R848">
        <f>IF(F848="",0,IFNA(VLOOKUP(F848,Trait_Polarity!$A:$C,3,FALSE),0))+IF(G848="",0,IFNA(VLOOKUP(G848,Trait_Polarity!$A:$C,3,FALSE),0))</f>
        <v/>
      </c>
      <c r="S848">
        <f>IF(P848="P",(M848+N848+O848)/3,0.3*H848+0.3*I848+0.2*J848+0.1*K848+0.1*L848)</f>
        <v/>
      </c>
      <c r="T848">
        <f>IF(P848="P",IFNA(VLOOKUP(B848,Pitcher_RoleAdj!$A:$B,2,FALSE),0),IFNA(VLOOKUP(B848,Hitter_PrimaryAdj!$A:$B,2,FALSE),0))</f>
        <v/>
      </c>
      <c r="U848">
        <f>IFNA(VLOOKUP(IF(C848="","(none)",C848),SecondaryAdj!$A:$B,2,FALSE),0)</f>
        <v/>
      </c>
      <c r="V848">
        <f>IF(P848="P",0.7780+0.1628*S848+0.2957*Q848-0.1912*R848-0.1512*IF(D848="S",1,0)+0.1600*IF(E848="L",1,0)+0.0091*H848+0.0124*I848+0.0017*J848+T848+U848,-0.8294+0.1849*S848+0.1750*Q848-0.2969*R848+0.6924*IF(D848="S",1,0)+0.0457*IF(E848="L",1,0)+T848+U848)</f>
        <v/>
      </c>
      <c r="W848">
        <f>MAX(0,MIN(16,ROUND(V848,0)))</f>
        <v/>
      </c>
      <c r="X848">
        <f>IFNA(VLOOKUP(W848,Grade_Scale!$A:$B,2,FALSE),"F")</f>
        <v/>
      </c>
      <c r="Z848">
        <f>IF(Y848="","",W848-IFNA(VLOOKUP(Y848,Grade_Scale!$D:$E,2,FALSE),""))</f>
        <v/>
      </c>
    </row>
    <row r="849">
      <c r="P849">
        <f>IF(OR(B849="SP",B849="RP",B849="CP",B849="SP/RP"),"P","H")</f>
        <v/>
      </c>
      <c r="Q849">
        <f>IF(F849="",0,IFNA(VLOOKUP(F849,Trait_Polarity!$A:$C,2,FALSE),0))+IF(G849="",0,IFNA(VLOOKUP(G849,Trait_Polarity!$A:$C,2,FALSE),0))</f>
        <v/>
      </c>
      <c r="R849">
        <f>IF(F849="",0,IFNA(VLOOKUP(F849,Trait_Polarity!$A:$C,3,FALSE),0))+IF(G849="",0,IFNA(VLOOKUP(G849,Trait_Polarity!$A:$C,3,FALSE),0))</f>
        <v/>
      </c>
      <c r="S849">
        <f>IF(P849="P",(M849+N849+O849)/3,0.3*H849+0.3*I849+0.2*J849+0.1*K849+0.1*L849)</f>
        <v/>
      </c>
      <c r="T849">
        <f>IF(P849="P",IFNA(VLOOKUP(B849,Pitcher_RoleAdj!$A:$B,2,FALSE),0),IFNA(VLOOKUP(B849,Hitter_PrimaryAdj!$A:$B,2,FALSE),0))</f>
        <v/>
      </c>
      <c r="U849">
        <f>IFNA(VLOOKUP(IF(C849="","(none)",C849),SecondaryAdj!$A:$B,2,FALSE),0)</f>
        <v/>
      </c>
      <c r="V849">
        <f>IF(P849="P",0.7780+0.1628*S849+0.2957*Q849-0.1912*R849-0.1512*IF(D849="S",1,0)+0.1600*IF(E849="L",1,0)+0.0091*H849+0.0124*I849+0.0017*J849+T849+U849,-0.8294+0.1849*S849+0.1750*Q849-0.2969*R849+0.6924*IF(D849="S",1,0)+0.0457*IF(E849="L",1,0)+T849+U849)</f>
        <v/>
      </c>
      <c r="W849">
        <f>MAX(0,MIN(16,ROUND(V849,0)))</f>
        <v/>
      </c>
      <c r="X849">
        <f>IFNA(VLOOKUP(W849,Grade_Scale!$A:$B,2,FALSE),"F")</f>
        <v/>
      </c>
      <c r="Z849">
        <f>IF(Y849="","",W849-IFNA(VLOOKUP(Y849,Grade_Scale!$D:$E,2,FALSE),""))</f>
        <v/>
      </c>
    </row>
    <row r="850">
      <c r="P850">
        <f>IF(OR(B850="SP",B850="RP",B850="CP",B850="SP/RP"),"P","H")</f>
        <v/>
      </c>
      <c r="Q850">
        <f>IF(F850="",0,IFNA(VLOOKUP(F850,Trait_Polarity!$A:$C,2,FALSE),0))+IF(G850="",0,IFNA(VLOOKUP(G850,Trait_Polarity!$A:$C,2,FALSE),0))</f>
        <v/>
      </c>
      <c r="R850">
        <f>IF(F850="",0,IFNA(VLOOKUP(F850,Trait_Polarity!$A:$C,3,FALSE),0))+IF(G850="",0,IFNA(VLOOKUP(G850,Trait_Polarity!$A:$C,3,FALSE),0))</f>
        <v/>
      </c>
      <c r="S850">
        <f>IF(P850="P",(M850+N850+O850)/3,0.3*H850+0.3*I850+0.2*J850+0.1*K850+0.1*L850)</f>
        <v/>
      </c>
      <c r="T850">
        <f>IF(P850="P",IFNA(VLOOKUP(B850,Pitcher_RoleAdj!$A:$B,2,FALSE),0),IFNA(VLOOKUP(B850,Hitter_PrimaryAdj!$A:$B,2,FALSE),0))</f>
        <v/>
      </c>
      <c r="U850">
        <f>IFNA(VLOOKUP(IF(C850="","(none)",C850),SecondaryAdj!$A:$B,2,FALSE),0)</f>
        <v/>
      </c>
      <c r="V850">
        <f>IF(P850="P",0.7780+0.1628*S850+0.2957*Q850-0.1912*R850-0.1512*IF(D850="S",1,0)+0.1600*IF(E850="L",1,0)+0.0091*H850+0.0124*I850+0.0017*J850+T850+U850,-0.8294+0.1849*S850+0.1750*Q850-0.2969*R850+0.6924*IF(D850="S",1,0)+0.0457*IF(E850="L",1,0)+T850+U850)</f>
        <v/>
      </c>
      <c r="W850">
        <f>MAX(0,MIN(16,ROUND(V850,0)))</f>
        <v/>
      </c>
      <c r="X850">
        <f>IFNA(VLOOKUP(W850,Grade_Scale!$A:$B,2,FALSE),"F")</f>
        <v/>
      </c>
      <c r="Z850">
        <f>IF(Y850="","",W850-IFNA(VLOOKUP(Y850,Grade_Scale!$D:$E,2,FALSE),""))</f>
        <v/>
      </c>
    </row>
    <row r="851">
      <c r="P851">
        <f>IF(OR(B851="SP",B851="RP",B851="CP",B851="SP/RP"),"P","H")</f>
        <v/>
      </c>
      <c r="Q851">
        <f>IF(F851="",0,IFNA(VLOOKUP(F851,Trait_Polarity!$A:$C,2,FALSE),0))+IF(G851="",0,IFNA(VLOOKUP(G851,Trait_Polarity!$A:$C,2,FALSE),0))</f>
        <v/>
      </c>
      <c r="R851">
        <f>IF(F851="",0,IFNA(VLOOKUP(F851,Trait_Polarity!$A:$C,3,FALSE),0))+IF(G851="",0,IFNA(VLOOKUP(G851,Trait_Polarity!$A:$C,3,FALSE),0))</f>
        <v/>
      </c>
      <c r="S851">
        <f>IF(P851="P",(M851+N851+O851)/3,0.3*H851+0.3*I851+0.2*J851+0.1*K851+0.1*L851)</f>
        <v/>
      </c>
      <c r="T851">
        <f>IF(P851="P",IFNA(VLOOKUP(B851,Pitcher_RoleAdj!$A:$B,2,FALSE),0),IFNA(VLOOKUP(B851,Hitter_PrimaryAdj!$A:$B,2,FALSE),0))</f>
        <v/>
      </c>
      <c r="U851">
        <f>IFNA(VLOOKUP(IF(C851="","(none)",C851),SecondaryAdj!$A:$B,2,FALSE),0)</f>
        <v/>
      </c>
      <c r="V851">
        <f>IF(P851="P",0.7780+0.1628*S851+0.2957*Q851-0.1912*R851-0.1512*IF(D851="S",1,0)+0.1600*IF(E851="L",1,0)+0.0091*H851+0.0124*I851+0.0017*J851+T851+U851,-0.8294+0.1849*S851+0.1750*Q851-0.2969*R851+0.6924*IF(D851="S",1,0)+0.0457*IF(E851="L",1,0)+T851+U851)</f>
        <v/>
      </c>
      <c r="W851">
        <f>MAX(0,MIN(16,ROUND(V851,0)))</f>
        <v/>
      </c>
      <c r="X851">
        <f>IFNA(VLOOKUP(W851,Grade_Scale!$A:$B,2,FALSE),"F")</f>
        <v/>
      </c>
      <c r="Z851">
        <f>IF(Y851="","",W851-IFNA(VLOOKUP(Y851,Grade_Scale!$D:$E,2,FALSE),""))</f>
        <v/>
      </c>
    </row>
    <row r="852">
      <c r="P852">
        <f>IF(OR(B852="SP",B852="RP",B852="CP",B852="SP/RP"),"P","H")</f>
        <v/>
      </c>
      <c r="Q852">
        <f>IF(F852="",0,IFNA(VLOOKUP(F852,Trait_Polarity!$A:$C,2,FALSE),0))+IF(G852="",0,IFNA(VLOOKUP(G852,Trait_Polarity!$A:$C,2,FALSE),0))</f>
        <v/>
      </c>
      <c r="R852">
        <f>IF(F852="",0,IFNA(VLOOKUP(F852,Trait_Polarity!$A:$C,3,FALSE),0))+IF(G852="",0,IFNA(VLOOKUP(G852,Trait_Polarity!$A:$C,3,FALSE),0))</f>
        <v/>
      </c>
      <c r="S852">
        <f>IF(P852="P",(M852+N852+O852)/3,0.3*H852+0.3*I852+0.2*J852+0.1*K852+0.1*L852)</f>
        <v/>
      </c>
      <c r="T852">
        <f>IF(P852="P",IFNA(VLOOKUP(B852,Pitcher_RoleAdj!$A:$B,2,FALSE),0),IFNA(VLOOKUP(B852,Hitter_PrimaryAdj!$A:$B,2,FALSE),0))</f>
        <v/>
      </c>
      <c r="U852">
        <f>IFNA(VLOOKUP(IF(C852="","(none)",C852),SecondaryAdj!$A:$B,2,FALSE),0)</f>
        <v/>
      </c>
      <c r="V852">
        <f>IF(P852="P",0.7780+0.1628*S852+0.2957*Q852-0.1912*R852-0.1512*IF(D852="S",1,0)+0.1600*IF(E852="L",1,0)+0.0091*H852+0.0124*I852+0.0017*J852+T852+U852,-0.8294+0.1849*S852+0.1750*Q852-0.2969*R852+0.6924*IF(D852="S",1,0)+0.0457*IF(E852="L",1,0)+T852+U852)</f>
        <v/>
      </c>
      <c r="W852">
        <f>MAX(0,MIN(16,ROUND(V852,0)))</f>
        <v/>
      </c>
      <c r="X852">
        <f>IFNA(VLOOKUP(W852,Grade_Scale!$A:$B,2,FALSE),"F")</f>
        <v/>
      </c>
      <c r="Z852">
        <f>IF(Y852="","",W852-IFNA(VLOOKUP(Y852,Grade_Scale!$D:$E,2,FALSE),""))</f>
        <v/>
      </c>
    </row>
    <row r="853">
      <c r="P853">
        <f>IF(OR(B853="SP",B853="RP",B853="CP",B853="SP/RP"),"P","H")</f>
        <v/>
      </c>
      <c r="Q853">
        <f>IF(F853="",0,IFNA(VLOOKUP(F853,Trait_Polarity!$A:$C,2,FALSE),0))+IF(G853="",0,IFNA(VLOOKUP(G853,Trait_Polarity!$A:$C,2,FALSE),0))</f>
        <v/>
      </c>
      <c r="R853">
        <f>IF(F853="",0,IFNA(VLOOKUP(F853,Trait_Polarity!$A:$C,3,FALSE),0))+IF(G853="",0,IFNA(VLOOKUP(G853,Trait_Polarity!$A:$C,3,FALSE),0))</f>
        <v/>
      </c>
      <c r="S853">
        <f>IF(P853="P",(M853+N853+O853)/3,0.3*H853+0.3*I853+0.2*J853+0.1*K853+0.1*L853)</f>
        <v/>
      </c>
      <c r="T853">
        <f>IF(P853="P",IFNA(VLOOKUP(B853,Pitcher_RoleAdj!$A:$B,2,FALSE),0),IFNA(VLOOKUP(B853,Hitter_PrimaryAdj!$A:$B,2,FALSE),0))</f>
        <v/>
      </c>
      <c r="U853">
        <f>IFNA(VLOOKUP(IF(C853="","(none)",C853),SecondaryAdj!$A:$B,2,FALSE),0)</f>
        <v/>
      </c>
      <c r="V853">
        <f>IF(P853="P",0.7780+0.1628*S853+0.2957*Q853-0.1912*R853-0.1512*IF(D853="S",1,0)+0.1600*IF(E853="L",1,0)+0.0091*H853+0.0124*I853+0.0017*J853+T853+U853,-0.8294+0.1849*S853+0.1750*Q853-0.2969*R853+0.6924*IF(D853="S",1,0)+0.0457*IF(E853="L",1,0)+T853+U853)</f>
        <v/>
      </c>
      <c r="W853">
        <f>MAX(0,MIN(16,ROUND(V853,0)))</f>
        <v/>
      </c>
      <c r="X853">
        <f>IFNA(VLOOKUP(W853,Grade_Scale!$A:$B,2,FALSE),"F")</f>
        <v/>
      </c>
      <c r="Z853">
        <f>IF(Y853="","",W853-IFNA(VLOOKUP(Y853,Grade_Scale!$D:$E,2,FALSE),""))</f>
        <v/>
      </c>
    </row>
    <row r="854">
      <c r="P854">
        <f>IF(OR(B854="SP",B854="RP",B854="CP",B854="SP/RP"),"P","H")</f>
        <v/>
      </c>
      <c r="Q854">
        <f>IF(F854="",0,IFNA(VLOOKUP(F854,Trait_Polarity!$A:$C,2,FALSE),0))+IF(G854="",0,IFNA(VLOOKUP(G854,Trait_Polarity!$A:$C,2,FALSE),0))</f>
        <v/>
      </c>
      <c r="R854">
        <f>IF(F854="",0,IFNA(VLOOKUP(F854,Trait_Polarity!$A:$C,3,FALSE),0))+IF(G854="",0,IFNA(VLOOKUP(G854,Trait_Polarity!$A:$C,3,FALSE),0))</f>
        <v/>
      </c>
      <c r="S854">
        <f>IF(P854="P",(M854+N854+O854)/3,0.3*H854+0.3*I854+0.2*J854+0.1*K854+0.1*L854)</f>
        <v/>
      </c>
      <c r="T854">
        <f>IF(P854="P",IFNA(VLOOKUP(B854,Pitcher_RoleAdj!$A:$B,2,FALSE),0),IFNA(VLOOKUP(B854,Hitter_PrimaryAdj!$A:$B,2,FALSE),0))</f>
        <v/>
      </c>
      <c r="U854">
        <f>IFNA(VLOOKUP(IF(C854="","(none)",C854),SecondaryAdj!$A:$B,2,FALSE),0)</f>
        <v/>
      </c>
      <c r="V854">
        <f>IF(P854="P",0.7780+0.1628*S854+0.2957*Q854-0.1912*R854-0.1512*IF(D854="S",1,0)+0.1600*IF(E854="L",1,0)+0.0091*H854+0.0124*I854+0.0017*J854+T854+U854,-0.8294+0.1849*S854+0.1750*Q854-0.2969*R854+0.6924*IF(D854="S",1,0)+0.0457*IF(E854="L",1,0)+T854+U854)</f>
        <v/>
      </c>
      <c r="W854">
        <f>MAX(0,MIN(16,ROUND(V854,0)))</f>
        <v/>
      </c>
      <c r="X854">
        <f>IFNA(VLOOKUP(W854,Grade_Scale!$A:$B,2,FALSE),"F")</f>
        <v/>
      </c>
      <c r="Z854">
        <f>IF(Y854="","",W854-IFNA(VLOOKUP(Y854,Grade_Scale!$D:$E,2,FALSE),""))</f>
        <v/>
      </c>
    </row>
    <row r="855">
      <c r="P855">
        <f>IF(OR(B855="SP",B855="RP",B855="CP",B855="SP/RP"),"P","H")</f>
        <v/>
      </c>
      <c r="Q855">
        <f>IF(F855="",0,IFNA(VLOOKUP(F855,Trait_Polarity!$A:$C,2,FALSE),0))+IF(G855="",0,IFNA(VLOOKUP(G855,Trait_Polarity!$A:$C,2,FALSE),0))</f>
        <v/>
      </c>
      <c r="R855">
        <f>IF(F855="",0,IFNA(VLOOKUP(F855,Trait_Polarity!$A:$C,3,FALSE),0))+IF(G855="",0,IFNA(VLOOKUP(G855,Trait_Polarity!$A:$C,3,FALSE),0))</f>
        <v/>
      </c>
      <c r="S855">
        <f>IF(P855="P",(M855+N855+O855)/3,0.3*H855+0.3*I855+0.2*J855+0.1*K855+0.1*L855)</f>
        <v/>
      </c>
      <c r="T855">
        <f>IF(P855="P",IFNA(VLOOKUP(B855,Pitcher_RoleAdj!$A:$B,2,FALSE),0),IFNA(VLOOKUP(B855,Hitter_PrimaryAdj!$A:$B,2,FALSE),0))</f>
        <v/>
      </c>
      <c r="U855">
        <f>IFNA(VLOOKUP(IF(C855="","(none)",C855),SecondaryAdj!$A:$B,2,FALSE),0)</f>
        <v/>
      </c>
      <c r="V855">
        <f>IF(P855="P",0.7780+0.1628*S855+0.2957*Q855-0.1912*R855-0.1512*IF(D855="S",1,0)+0.1600*IF(E855="L",1,0)+0.0091*H855+0.0124*I855+0.0017*J855+T855+U855,-0.8294+0.1849*S855+0.1750*Q855-0.2969*R855+0.6924*IF(D855="S",1,0)+0.0457*IF(E855="L",1,0)+T855+U855)</f>
        <v/>
      </c>
      <c r="W855">
        <f>MAX(0,MIN(16,ROUND(V855,0)))</f>
        <v/>
      </c>
      <c r="X855">
        <f>IFNA(VLOOKUP(W855,Grade_Scale!$A:$B,2,FALSE),"F")</f>
        <v/>
      </c>
      <c r="Z855">
        <f>IF(Y855="","",W855-IFNA(VLOOKUP(Y855,Grade_Scale!$D:$E,2,FALSE),""))</f>
        <v/>
      </c>
    </row>
    <row r="856">
      <c r="P856">
        <f>IF(OR(B856="SP",B856="RP",B856="CP",B856="SP/RP"),"P","H")</f>
        <v/>
      </c>
      <c r="Q856">
        <f>IF(F856="",0,IFNA(VLOOKUP(F856,Trait_Polarity!$A:$C,2,FALSE),0))+IF(G856="",0,IFNA(VLOOKUP(G856,Trait_Polarity!$A:$C,2,FALSE),0))</f>
        <v/>
      </c>
      <c r="R856">
        <f>IF(F856="",0,IFNA(VLOOKUP(F856,Trait_Polarity!$A:$C,3,FALSE),0))+IF(G856="",0,IFNA(VLOOKUP(G856,Trait_Polarity!$A:$C,3,FALSE),0))</f>
        <v/>
      </c>
      <c r="S856">
        <f>IF(P856="P",(M856+N856+O856)/3,0.3*H856+0.3*I856+0.2*J856+0.1*K856+0.1*L856)</f>
        <v/>
      </c>
      <c r="T856">
        <f>IF(P856="P",IFNA(VLOOKUP(B856,Pitcher_RoleAdj!$A:$B,2,FALSE),0),IFNA(VLOOKUP(B856,Hitter_PrimaryAdj!$A:$B,2,FALSE),0))</f>
        <v/>
      </c>
      <c r="U856">
        <f>IFNA(VLOOKUP(IF(C856="","(none)",C856),SecondaryAdj!$A:$B,2,FALSE),0)</f>
        <v/>
      </c>
      <c r="V856">
        <f>IF(P856="P",0.7780+0.1628*S856+0.2957*Q856-0.1912*R856-0.1512*IF(D856="S",1,0)+0.1600*IF(E856="L",1,0)+0.0091*H856+0.0124*I856+0.0017*J856+T856+U856,-0.8294+0.1849*S856+0.1750*Q856-0.2969*R856+0.6924*IF(D856="S",1,0)+0.0457*IF(E856="L",1,0)+T856+U856)</f>
        <v/>
      </c>
      <c r="W856">
        <f>MAX(0,MIN(16,ROUND(V856,0)))</f>
        <v/>
      </c>
      <c r="X856">
        <f>IFNA(VLOOKUP(W856,Grade_Scale!$A:$B,2,FALSE),"F")</f>
        <v/>
      </c>
      <c r="Z856">
        <f>IF(Y856="","",W856-IFNA(VLOOKUP(Y856,Grade_Scale!$D:$E,2,FALSE),""))</f>
        <v/>
      </c>
    </row>
    <row r="857">
      <c r="P857">
        <f>IF(OR(B857="SP",B857="RP",B857="CP",B857="SP/RP"),"P","H")</f>
        <v/>
      </c>
      <c r="Q857">
        <f>IF(F857="",0,IFNA(VLOOKUP(F857,Trait_Polarity!$A:$C,2,FALSE),0))+IF(G857="",0,IFNA(VLOOKUP(G857,Trait_Polarity!$A:$C,2,FALSE),0))</f>
        <v/>
      </c>
      <c r="R857">
        <f>IF(F857="",0,IFNA(VLOOKUP(F857,Trait_Polarity!$A:$C,3,FALSE),0))+IF(G857="",0,IFNA(VLOOKUP(G857,Trait_Polarity!$A:$C,3,FALSE),0))</f>
        <v/>
      </c>
      <c r="S857">
        <f>IF(P857="P",(M857+N857+O857)/3,0.3*H857+0.3*I857+0.2*J857+0.1*K857+0.1*L857)</f>
        <v/>
      </c>
      <c r="T857">
        <f>IF(P857="P",IFNA(VLOOKUP(B857,Pitcher_RoleAdj!$A:$B,2,FALSE),0),IFNA(VLOOKUP(B857,Hitter_PrimaryAdj!$A:$B,2,FALSE),0))</f>
        <v/>
      </c>
      <c r="U857">
        <f>IFNA(VLOOKUP(IF(C857="","(none)",C857),SecondaryAdj!$A:$B,2,FALSE),0)</f>
        <v/>
      </c>
      <c r="V857">
        <f>IF(P857="P",0.7780+0.1628*S857+0.2957*Q857-0.1912*R857-0.1512*IF(D857="S",1,0)+0.1600*IF(E857="L",1,0)+0.0091*H857+0.0124*I857+0.0017*J857+T857+U857,-0.8294+0.1849*S857+0.1750*Q857-0.2969*R857+0.6924*IF(D857="S",1,0)+0.0457*IF(E857="L",1,0)+T857+U857)</f>
        <v/>
      </c>
      <c r="W857">
        <f>MAX(0,MIN(16,ROUND(V857,0)))</f>
        <v/>
      </c>
      <c r="X857">
        <f>IFNA(VLOOKUP(W857,Grade_Scale!$A:$B,2,FALSE),"F")</f>
        <v/>
      </c>
      <c r="Z857">
        <f>IF(Y857="","",W857-IFNA(VLOOKUP(Y857,Grade_Scale!$D:$E,2,FALSE),""))</f>
        <v/>
      </c>
    </row>
    <row r="858">
      <c r="P858">
        <f>IF(OR(B858="SP",B858="RP",B858="CP",B858="SP/RP"),"P","H")</f>
        <v/>
      </c>
      <c r="Q858">
        <f>IF(F858="",0,IFNA(VLOOKUP(F858,Trait_Polarity!$A:$C,2,FALSE),0))+IF(G858="",0,IFNA(VLOOKUP(G858,Trait_Polarity!$A:$C,2,FALSE),0))</f>
        <v/>
      </c>
      <c r="R858">
        <f>IF(F858="",0,IFNA(VLOOKUP(F858,Trait_Polarity!$A:$C,3,FALSE),0))+IF(G858="",0,IFNA(VLOOKUP(G858,Trait_Polarity!$A:$C,3,FALSE),0))</f>
        <v/>
      </c>
      <c r="S858">
        <f>IF(P858="P",(M858+N858+O858)/3,0.3*H858+0.3*I858+0.2*J858+0.1*K858+0.1*L858)</f>
        <v/>
      </c>
      <c r="T858">
        <f>IF(P858="P",IFNA(VLOOKUP(B858,Pitcher_RoleAdj!$A:$B,2,FALSE),0),IFNA(VLOOKUP(B858,Hitter_PrimaryAdj!$A:$B,2,FALSE),0))</f>
        <v/>
      </c>
      <c r="U858">
        <f>IFNA(VLOOKUP(IF(C858="","(none)",C858),SecondaryAdj!$A:$B,2,FALSE),0)</f>
        <v/>
      </c>
      <c r="V858">
        <f>IF(P858="P",0.7780+0.1628*S858+0.2957*Q858-0.1912*R858-0.1512*IF(D858="S",1,0)+0.1600*IF(E858="L",1,0)+0.0091*H858+0.0124*I858+0.0017*J858+T858+U858,-0.8294+0.1849*S858+0.1750*Q858-0.2969*R858+0.6924*IF(D858="S",1,0)+0.0457*IF(E858="L",1,0)+T858+U858)</f>
        <v/>
      </c>
      <c r="W858">
        <f>MAX(0,MIN(16,ROUND(V858,0)))</f>
        <v/>
      </c>
      <c r="X858">
        <f>IFNA(VLOOKUP(W858,Grade_Scale!$A:$B,2,FALSE),"F")</f>
        <v/>
      </c>
      <c r="Z858">
        <f>IF(Y858="","",W858-IFNA(VLOOKUP(Y858,Grade_Scale!$D:$E,2,FALSE),""))</f>
        <v/>
      </c>
    </row>
    <row r="859">
      <c r="P859">
        <f>IF(OR(B859="SP",B859="RP",B859="CP",B859="SP/RP"),"P","H")</f>
        <v/>
      </c>
      <c r="Q859">
        <f>IF(F859="",0,IFNA(VLOOKUP(F859,Trait_Polarity!$A:$C,2,FALSE),0))+IF(G859="",0,IFNA(VLOOKUP(G859,Trait_Polarity!$A:$C,2,FALSE),0))</f>
        <v/>
      </c>
      <c r="R859">
        <f>IF(F859="",0,IFNA(VLOOKUP(F859,Trait_Polarity!$A:$C,3,FALSE),0))+IF(G859="",0,IFNA(VLOOKUP(G859,Trait_Polarity!$A:$C,3,FALSE),0))</f>
        <v/>
      </c>
      <c r="S859">
        <f>IF(P859="P",(M859+N859+O859)/3,0.3*H859+0.3*I859+0.2*J859+0.1*K859+0.1*L859)</f>
        <v/>
      </c>
      <c r="T859">
        <f>IF(P859="P",IFNA(VLOOKUP(B859,Pitcher_RoleAdj!$A:$B,2,FALSE),0),IFNA(VLOOKUP(B859,Hitter_PrimaryAdj!$A:$B,2,FALSE),0))</f>
        <v/>
      </c>
      <c r="U859">
        <f>IFNA(VLOOKUP(IF(C859="","(none)",C859),SecondaryAdj!$A:$B,2,FALSE),0)</f>
        <v/>
      </c>
      <c r="V859">
        <f>IF(P859="P",0.7780+0.1628*S859+0.2957*Q859-0.1912*R859-0.1512*IF(D859="S",1,0)+0.1600*IF(E859="L",1,0)+0.0091*H859+0.0124*I859+0.0017*J859+T859+U859,-0.8294+0.1849*S859+0.1750*Q859-0.2969*R859+0.6924*IF(D859="S",1,0)+0.0457*IF(E859="L",1,0)+T859+U859)</f>
        <v/>
      </c>
      <c r="W859">
        <f>MAX(0,MIN(16,ROUND(V859,0)))</f>
        <v/>
      </c>
      <c r="X859">
        <f>IFNA(VLOOKUP(W859,Grade_Scale!$A:$B,2,FALSE),"F")</f>
        <v/>
      </c>
      <c r="Z859">
        <f>IF(Y859="","",W859-IFNA(VLOOKUP(Y859,Grade_Scale!$D:$E,2,FALSE),""))</f>
        <v/>
      </c>
    </row>
    <row r="860">
      <c r="P860">
        <f>IF(OR(B860="SP",B860="RP",B860="CP",B860="SP/RP"),"P","H")</f>
        <v/>
      </c>
      <c r="Q860">
        <f>IF(F860="",0,IFNA(VLOOKUP(F860,Trait_Polarity!$A:$C,2,FALSE),0))+IF(G860="",0,IFNA(VLOOKUP(G860,Trait_Polarity!$A:$C,2,FALSE),0))</f>
        <v/>
      </c>
      <c r="R860">
        <f>IF(F860="",0,IFNA(VLOOKUP(F860,Trait_Polarity!$A:$C,3,FALSE),0))+IF(G860="",0,IFNA(VLOOKUP(G860,Trait_Polarity!$A:$C,3,FALSE),0))</f>
        <v/>
      </c>
      <c r="S860">
        <f>IF(P860="P",(M860+N860+O860)/3,0.3*H860+0.3*I860+0.2*J860+0.1*K860+0.1*L860)</f>
        <v/>
      </c>
      <c r="T860">
        <f>IF(P860="P",IFNA(VLOOKUP(B860,Pitcher_RoleAdj!$A:$B,2,FALSE),0),IFNA(VLOOKUP(B860,Hitter_PrimaryAdj!$A:$B,2,FALSE),0))</f>
        <v/>
      </c>
      <c r="U860">
        <f>IFNA(VLOOKUP(IF(C860="","(none)",C860),SecondaryAdj!$A:$B,2,FALSE),0)</f>
        <v/>
      </c>
      <c r="V860">
        <f>IF(P860="P",0.7780+0.1628*S860+0.2957*Q860-0.1912*R860-0.1512*IF(D860="S",1,0)+0.1600*IF(E860="L",1,0)+0.0091*H860+0.0124*I860+0.0017*J860+T860+U860,-0.8294+0.1849*S860+0.1750*Q860-0.2969*R860+0.6924*IF(D860="S",1,0)+0.0457*IF(E860="L",1,0)+T860+U860)</f>
        <v/>
      </c>
      <c r="W860">
        <f>MAX(0,MIN(16,ROUND(V860,0)))</f>
        <v/>
      </c>
      <c r="X860">
        <f>IFNA(VLOOKUP(W860,Grade_Scale!$A:$B,2,FALSE),"F")</f>
        <v/>
      </c>
      <c r="Z860">
        <f>IF(Y860="","",W860-IFNA(VLOOKUP(Y860,Grade_Scale!$D:$E,2,FALSE),""))</f>
        <v/>
      </c>
    </row>
    <row r="861">
      <c r="P861">
        <f>IF(OR(B861="SP",B861="RP",B861="CP",B861="SP/RP"),"P","H")</f>
        <v/>
      </c>
      <c r="Q861">
        <f>IF(F861="",0,IFNA(VLOOKUP(F861,Trait_Polarity!$A:$C,2,FALSE),0))+IF(G861="",0,IFNA(VLOOKUP(G861,Trait_Polarity!$A:$C,2,FALSE),0))</f>
        <v/>
      </c>
      <c r="R861">
        <f>IF(F861="",0,IFNA(VLOOKUP(F861,Trait_Polarity!$A:$C,3,FALSE),0))+IF(G861="",0,IFNA(VLOOKUP(G861,Trait_Polarity!$A:$C,3,FALSE),0))</f>
        <v/>
      </c>
      <c r="S861">
        <f>IF(P861="P",(M861+N861+O861)/3,0.3*H861+0.3*I861+0.2*J861+0.1*K861+0.1*L861)</f>
        <v/>
      </c>
      <c r="T861">
        <f>IF(P861="P",IFNA(VLOOKUP(B861,Pitcher_RoleAdj!$A:$B,2,FALSE),0),IFNA(VLOOKUP(B861,Hitter_PrimaryAdj!$A:$B,2,FALSE),0))</f>
        <v/>
      </c>
      <c r="U861">
        <f>IFNA(VLOOKUP(IF(C861="","(none)",C861),SecondaryAdj!$A:$B,2,FALSE),0)</f>
        <v/>
      </c>
      <c r="V861">
        <f>IF(P861="P",0.7780+0.1628*S861+0.2957*Q861-0.1912*R861-0.1512*IF(D861="S",1,0)+0.1600*IF(E861="L",1,0)+0.0091*H861+0.0124*I861+0.0017*J861+T861+U861,-0.8294+0.1849*S861+0.1750*Q861-0.2969*R861+0.6924*IF(D861="S",1,0)+0.0457*IF(E861="L",1,0)+T861+U861)</f>
        <v/>
      </c>
      <c r="W861">
        <f>MAX(0,MIN(16,ROUND(V861,0)))</f>
        <v/>
      </c>
      <c r="X861">
        <f>IFNA(VLOOKUP(W861,Grade_Scale!$A:$B,2,FALSE),"F")</f>
        <v/>
      </c>
      <c r="Z861">
        <f>IF(Y861="","",W861-IFNA(VLOOKUP(Y861,Grade_Scale!$D:$E,2,FALSE),""))</f>
        <v/>
      </c>
    </row>
    <row r="862">
      <c r="P862">
        <f>IF(OR(B862="SP",B862="RP",B862="CP",B862="SP/RP"),"P","H")</f>
        <v/>
      </c>
      <c r="Q862">
        <f>IF(F862="",0,IFNA(VLOOKUP(F862,Trait_Polarity!$A:$C,2,FALSE),0))+IF(G862="",0,IFNA(VLOOKUP(G862,Trait_Polarity!$A:$C,2,FALSE),0))</f>
        <v/>
      </c>
      <c r="R862">
        <f>IF(F862="",0,IFNA(VLOOKUP(F862,Trait_Polarity!$A:$C,3,FALSE),0))+IF(G862="",0,IFNA(VLOOKUP(G862,Trait_Polarity!$A:$C,3,FALSE),0))</f>
        <v/>
      </c>
      <c r="S862">
        <f>IF(P862="P",(M862+N862+O862)/3,0.3*H862+0.3*I862+0.2*J862+0.1*K862+0.1*L862)</f>
        <v/>
      </c>
      <c r="T862">
        <f>IF(P862="P",IFNA(VLOOKUP(B862,Pitcher_RoleAdj!$A:$B,2,FALSE),0),IFNA(VLOOKUP(B862,Hitter_PrimaryAdj!$A:$B,2,FALSE),0))</f>
        <v/>
      </c>
      <c r="U862">
        <f>IFNA(VLOOKUP(IF(C862="","(none)",C862),SecondaryAdj!$A:$B,2,FALSE),0)</f>
        <v/>
      </c>
      <c r="V862">
        <f>IF(P862="P",0.7780+0.1628*S862+0.2957*Q862-0.1912*R862-0.1512*IF(D862="S",1,0)+0.1600*IF(E862="L",1,0)+0.0091*H862+0.0124*I862+0.0017*J862+T862+U862,-0.8294+0.1849*S862+0.1750*Q862-0.2969*R862+0.6924*IF(D862="S",1,0)+0.0457*IF(E862="L",1,0)+T862+U862)</f>
        <v/>
      </c>
      <c r="W862">
        <f>MAX(0,MIN(16,ROUND(V862,0)))</f>
        <v/>
      </c>
      <c r="X862">
        <f>IFNA(VLOOKUP(W862,Grade_Scale!$A:$B,2,FALSE),"F")</f>
        <v/>
      </c>
      <c r="Z862">
        <f>IF(Y862="","",W862-IFNA(VLOOKUP(Y862,Grade_Scale!$D:$E,2,FALSE),""))</f>
        <v/>
      </c>
    </row>
    <row r="863">
      <c r="P863">
        <f>IF(OR(B863="SP",B863="RP",B863="CP",B863="SP/RP"),"P","H")</f>
        <v/>
      </c>
      <c r="Q863">
        <f>IF(F863="",0,IFNA(VLOOKUP(F863,Trait_Polarity!$A:$C,2,FALSE),0))+IF(G863="",0,IFNA(VLOOKUP(G863,Trait_Polarity!$A:$C,2,FALSE),0))</f>
        <v/>
      </c>
      <c r="R863">
        <f>IF(F863="",0,IFNA(VLOOKUP(F863,Trait_Polarity!$A:$C,3,FALSE),0))+IF(G863="",0,IFNA(VLOOKUP(G863,Trait_Polarity!$A:$C,3,FALSE),0))</f>
        <v/>
      </c>
      <c r="S863">
        <f>IF(P863="P",(M863+N863+O863)/3,0.3*H863+0.3*I863+0.2*J863+0.1*K863+0.1*L863)</f>
        <v/>
      </c>
      <c r="T863">
        <f>IF(P863="P",IFNA(VLOOKUP(B863,Pitcher_RoleAdj!$A:$B,2,FALSE),0),IFNA(VLOOKUP(B863,Hitter_PrimaryAdj!$A:$B,2,FALSE),0))</f>
        <v/>
      </c>
      <c r="U863">
        <f>IFNA(VLOOKUP(IF(C863="","(none)",C863),SecondaryAdj!$A:$B,2,FALSE),0)</f>
        <v/>
      </c>
      <c r="V863">
        <f>IF(P863="P",0.7780+0.1628*S863+0.2957*Q863-0.1912*R863-0.1512*IF(D863="S",1,0)+0.1600*IF(E863="L",1,0)+0.0091*H863+0.0124*I863+0.0017*J863+T863+U863,-0.8294+0.1849*S863+0.1750*Q863-0.2969*R863+0.6924*IF(D863="S",1,0)+0.0457*IF(E863="L",1,0)+T863+U863)</f>
        <v/>
      </c>
      <c r="W863">
        <f>MAX(0,MIN(16,ROUND(V863,0)))</f>
        <v/>
      </c>
      <c r="X863">
        <f>IFNA(VLOOKUP(W863,Grade_Scale!$A:$B,2,FALSE),"F")</f>
        <v/>
      </c>
      <c r="Z863">
        <f>IF(Y863="","",W863-IFNA(VLOOKUP(Y863,Grade_Scale!$D:$E,2,FALSE),""))</f>
        <v/>
      </c>
    </row>
    <row r="864">
      <c r="P864">
        <f>IF(OR(B864="SP",B864="RP",B864="CP",B864="SP/RP"),"P","H")</f>
        <v/>
      </c>
      <c r="Q864">
        <f>IF(F864="",0,IFNA(VLOOKUP(F864,Trait_Polarity!$A:$C,2,FALSE),0))+IF(G864="",0,IFNA(VLOOKUP(G864,Trait_Polarity!$A:$C,2,FALSE),0))</f>
        <v/>
      </c>
      <c r="R864">
        <f>IF(F864="",0,IFNA(VLOOKUP(F864,Trait_Polarity!$A:$C,3,FALSE),0))+IF(G864="",0,IFNA(VLOOKUP(G864,Trait_Polarity!$A:$C,3,FALSE),0))</f>
        <v/>
      </c>
      <c r="S864">
        <f>IF(P864="P",(M864+N864+O864)/3,0.3*H864+0.3*I864+0.2*J864+0.1*K864+0.1*L864)</f>
        <v/>
      </c>
      <c r="T864">
        <f>IF(P864="P",IFNA(VLOOKUP(B864,Pitcher_RoleAdj!$A:$B,2,FALSE),0),IFNA(VLOOKUP(B864,Hitter_PrimaryAdj!$A:$B,2,FALSE),0))</f>
        <v/>
      </c>
      <c r="U864">
        <f>IFNA(VLOOKUP(IF(C864="","(none)",C864),SecondaryAdj!$A:$B,2,FALSE),0)</f>
        <v/>
      </c>
      <c r="V864">
        <f>IF(P864="P",0.7780+0.1628*S864+0.2957*Q864-0.1912*R864-0.1512*IF(D864="S",1,0)+0.1600*IF(E864="L",1,0)+0.0091*H864+0.0124*I864+0.0017*J864+T864+U864,-0.8294+0.1849*S864+0.1750*Q864-0.2969*R864+0.6924*IF(D864="S",1,0)+0.0457*IF(E864="L",1,0)+T864+U864)</f>
        <v/>
      </c>
      <c r="W864">
        <f>MAX(0,MIN(16,ROUND(V864,0)))</f>
        <v/>
      </c>
      <c r="X864">
        <f>IFNA(VLOOKUP(W864,Grade_Scale!$A:$B,2,FALSE),"F")</f>
        <v/>
      </c>
      <c r="Z864">
        <f>IF(Y864="","",W864-IFNA(VLOOKUP(Y864,Grade_Scale!$D:$E,2,FALSE),""))</f>
        <v/>
      </c>
    </row>
    <row r="865">
      <c r="P865">
        <f>IF(OR(B865="SP",B865="RP",B865="CP",B865="SP/RP"),"P","H")</f>
        <v/>
      </c>
      <c r="Q865">
        <f>IF(F865="",0,IFNA(VLOOKUP(F865,Trait_Polarity!$A:$C,2,FALSE),0))+IF(G865="",0,IFNA(VLOOKUP(G865,Trait_Polarity!$A:$C,2,FALSE),0))</f>
        <v/>
      </c>
      <c r="R865">
        <f>IF(F865="",0,IFNA(VLOOKUP(F865,Trait_Polarity!$A:$C,3,FALSE),0))+IF(G865="",0,IFNA(VLOOKUP(G865,Trait_Polarity!$A:$C,3,FALSE),0))</f>
        <v/>
      </c>
      <c r="S865">
        <f>IF(P865="P",(M865+N865+O865)/3,0.3*H865+0.3*I865+0.2*J865+0.1*K865+0.1*L865)</f>
        <v/>
      </c>
      <c r="T865">
        <f>IF(P865="P",IFNA(VLOOKUP(B865,Pitcher_RoleAdj!$A:$B,2,FALSE),0),IFNA(VLOOKUP(B865,Hitter_PrimaryAdj!$A:$B,2,FALSE),0))</f>
        <v/>
      </c>
      <c r="U865">
        <f>IFNA(VLOOKUP(IF(C865="","(none)",C865),SecondaryAdj!$A:$B,2,FALSE),0)</f>
        <v/>
      </c>
      <c r="V865">
        <f>IF(P865="P",0.7780+0.1628*S865+0.2957*Q865-0.1912*R865-0.1512*IF(D865="S",1,0)+0.1600*IF(E865="L",1,0)+0.0091*H865+0.0124*I865+0.0017*J865+T865+U865,-0.8294+0.1849*S865+0.1750*Q865-0.2969*R865+0.6924*IF(D865="S",1,0)+0.0457*IF(E865="L",1,0)+T865+U865)</f>
        <v/>
      </c>
      <c r="W865">
        <f>MAX(0,MIN(16,ROUND(V865,0)))</f>
        <v/>
      </c>
      <c r="X865">
        <f>IFNA(VLOOKUP(W865,Grade_Scale!$A:$B,2,FALSE),"F")</f>
        <v/>
      </c>
      <c r="Z865">
        <f>IF(Y865="","",W865-IFNA(VLOOKUP(Y865,Grade_Scale!$D:$E,2,FALSE),""))</f>
        <v/>
      </c>
    </row>
    <row r="866">
      <c r="P866">
        <f>IF(OR(B866="SP",B866="RP",B866="CP",B866="SP/RP"),"P","H")</f>
        <v/>
      </c>
      <c r="Q866">
        <f>IF(F866="",0,IFNA(VLOOKUP(F866,Trait_Polarity!$A:$C,2,FALSE),0))+IF(G866="",0,IFNA(VLOOKUP(G866,Trait_Polarity!$A:$C,2,FALSE),0))</f>
        <v/>
      </c>
      <c r="R866">
        <f>IF(F866="",0,IFNA(VLOOKUP(F866,Trait_Polarity!$A:$C,3,FALSE),0))+IF(G866="",0,IFNA(VLOOKUP(G866,Trait_Polarity!$A:$C,3,FALSE),0))</f>
        <v/>
      </c>
      <c r="S866">
        <f>IF(P866="P",(M866+N866+O866)/3,0.3*H866+0.3*I866+0.2*J866+0.1*K866+0.1*L866)</f>
        <v/>
      </c>
      <c r="T866">
        <f>IF(P866="P",IFNA(VLOOKUP(B866,Pitcher_RoleAdj!$A:$B,2,FALSE),0),IFNA(VLOOKUP(B866,Hitter_PrimaryAdj!$A:$B,2,FALSE),0))</f>
        <v/>
      </c>
      <c r="U866">
        <f>IFNA(VLOOKUP(IF(C866="","(none)",C866),SecondaryAdj!$A:$B,2,FALSE),0)</f>
        <v/>
      </c>
      <c r="V866">
        <f>IF(P866="P",0.7780+0.1628*S866+0.2957*Q866-0.1912*R866-0.1512*IF(D866="S",1,0)+0.1600*IF(E866="L",1,0)+0.0091*H866+0.0124*I866+0.0017*J866+T866+U866,-0.8294+0.1849*S866+0.1750*Q866-0.2969*R866+0.6924*IF(D866="S",1,0)+0.0457*IF(E866="L",1,0)+T866+U866)</f>
        <v/>
      </c>
      <c r="W866">
        <f>MAX(0,MIN(16,ROUND(V866,0)))</f>
        <v/>
      </c>
      <c r="X866">
        <f>IFNA(VLOOKUP(W866,Grade_Scale!$A:$B,2,FALSE),"F")</f>
        <v/>
      </c>
      <c r="Z866">
        <f>IF(Y866="","",W866-IFNA(VLOOKUP(Y866,Grade_Scale!$D:$E,2,FALSE),""))</f>
        <v/>
      </c>
    </row>
    <row r="867">
      <c r="P867">
        <f>IF(OR(B867="SP",B867="RP",B867="CP",B867="SP/RP"),"P","H")</f>
        <v/>
      </c>
      <c r="Q867">
        <f>IF(F867="",0,IFNA(VLOOKUP(F867,Trait_Polarity!$A:$C,2,FALSE),0))+IF(G867="",0,IFNA(VLOOKUP(G867,Trait_Polarity!$A:$C,2,FALSE),0))</f>
        <v/>
      </c>
      <c r="R867">
        <f>IF(F867="",0,IFNA(VLOOKUP(F867,Trait_Polarity!$A:$C,3,FALSE),0))+IF(G867="",0,IFNA(VLOOKUP(G867,Trait_Polarity!$A:$C,3,FALSE),0))</f>
        <v/>
      </c>
      <c r="S867">
        <f>IF(P867="P",(M867+N867+O867)/3,0.3*H867+0.3*I867+0.2*J867+0.1*K867+0.1*L867)</f>
        <v/>
      </c>
      <c r="T867">
        <f>IF(P867="P",IFNA(VLOOKUP(B867,Pitcher_RoleAdj!$A:$B,2,FALSE),0),IFNA(VLOOKUP(B867,Hitter_PrimaryAdj!$A:$B,2,FALSE),0))</f>
        <v/>
      </c>
      <c r="U867">
        <f>IFNA(VLOOKUP(IF(C867="","(none)",C867),SecondaryAdj!$A:$B,2,FALSE),0)</f>
        <v/>
      </c>
      <c r="V867">
        <f>IF(P867="P",0.7780+0.1628*S867+0.2957*Q867-0.1912*R867-0.1512*IF(D867="S",1,0)+0.1600*IF(E867="L",1,0)+0.0091*H867+0.0124*I867+0.0017*J867+T867+U867,-0.8294+0.1849*S867+0.1750*Q867-0.2969*R867+0.6924*IF(D867="S",1,0)+0.0457*IF(E867="L",1,0)+T867+U867)</f>
        <v/>
      </c>
      <c r="W867">
        <f>MAX(0,MIN(16,ROUND(V867,0)))</f>
        <v/>
      </c>
      <c r="X867">
        <f>IFNA(VLOOKUP(W867,Grade_Scale!$A:$B,2,FALSE),"F")</f>
        <v/>
      </c>
      <c r="Z867">
        <f>IF(Y867="","",W867-IFNA(VLOOKUP(Y867,Grade_Scale!$D:$E,2,FALSE),""))</f>
        <v/>
      </c>
    </row>
    <row r="868">
      <c r="P868">
        <f>IF(OR(B868="SP",B868="RP",B868="CP",B868="SP/RP"),"P","H")</f>
        <v/>
      </c>
      <c r="Q868">
        <f>IF(F868="",0,IFNA(VLOOKUP(F868,Trait_Polarity!$A:$C,2,FALSE),0))+IF(G868="",0,IFNA(VLOOKUP(G868,Trait_Polarity!$A:$C,2,FALSE),0))</f>
        <v/>
      </c>
      <c r="R868">
        <f>IF(F868="",0,IFNA(VLOOKUP(F868,Trait_Polarity!$A:$C,3,FALSE),0))+IF(G868="",0,IFNA(VLOOKUP(G868,Trait_Polarity!$A:$C,3,FALSE),0))</f>
        <v/>
      </c>
      <c r="S868">
        <f>IF(P868="P",(M868+N868+O868)/3,0.3*H868+0.3*I868+0.2*J868+0.1*K868+0.1*L868)</f>
        <v/>
      </c>
      <c r="T868">
        <f>IF(P868="P",IFNA(VLOOKUP(B868,Pitcher_RoleAdj!$A:$B,2,FALSE),0),IFNA(VLOOKUP(B868,Hitter_PrimaryAdj!$A:$B,2,FALSE),0))</f>
        <v/>
      </c>
      <c r="U868">
        <f>IFNA(VLOOKUP(IF(C868="","(none)",C868),SecondaryAdj!$A:$B,2,FALSE),0)</f>
        <v/>
      </c>
      <c r="V868">
        <f>IF(P868="P",0.7780+0.1628*S868+0.2957*Q868-0.1912*R868-0.1512*IF(D868="S",1,0)+0.1600*IF(E868="L",1,0)+0.0091*H868+0.0124*I868+0.0017*J868+T868+U868,-0.8294+0.1849*S868+0.1750*Q868-0.2969*R868+0.6924*IF(D868="S",1,0)+0.0457*IF(E868="L",1,0)+T868+U868)</f>
        <v/>
      </c>
      <c r="W868">
        <f>MAX(0,MIN(16,ROUND(V868,0)))</f>
        <v/>
      </c>
      <c r="X868">
        <f>IFNA(VLOOKUP(W868,Grade_Scale!$A:$B,2,FALSE),"F")</f>
        <v/>
      </c>
      <c r="Z868">
        <f>IF(Y868="","",W868-IFNA(VLOOKUP(Y868,Grade_Scale!$D:$E,2,FALSE),""))</f>
        <v/>
      </c>
    </row>
    <row r="869">
      <c r="P869">
        <f>IF(OR(B869="SP",B869="RP",B869="CP",B869="SP/RP"),"P","H")</f>
        <v/>
      </c>
      <c r="Q869">
        <f>IF(F869="",0,IFNA(VLOOKUP(F869,Trait_Polarity!$A:$C,2,FALSE),0))+IF(G869="",0,IFNA(VLOOKUP(G869,Trait_Polarity!$A:$C,2,FALSE),0))</f>
        <v/>
      </c>
      <c r="R869">
        <f>IF(F869="",0,IFNA(VLOOKUP(F869,Trait_Polarity!$A:$C,3,FALSE),0))+IF(G869="",0,IFNA(VLOOKUP(G869,Trait_Polarity!$A:$C,3,FALSE),0))</f>
        <v/>
      </c>
      <c r="S869">
        <f>IF(P869="P",(M869+N869+O869)/3,0.3*H869+0.3*I869+0.2*J869+0.1*K869+0.1*L869)</f>
        <v/>
      </c>
      <c r="T869">
        <f>IF(P869="P",IFNA(VLOOKUP(B869,Pitcher_RoleAdj!$A:$B,2,FALSE),0),IFNA(VLOOKUP(B869,Hitter_PrimaryAdj!$A:$B,2,FALSE),0))</f>
        <v/>
      </c>
      <c r="U869">
        <f>IFNA(VLOOKUP(IF(C869="","(none)",C869),SecondaryAdj!$A:$B,2,FALSE),0)</f>
        <v/>
      </c>
      <c r="V869">
        <f>IF(P869="P",0.7780+0.1628*S869+0.2957*Q869-0.1912*R869-0.1512*IF(D869="S",1,0)+0.1600*IF(E869="L",1,0)+0.0091*H869+0.0124*I869+0.0017*J869+T869+U869,-0.8294+0.1849*S869+0.1750*Q869-0.2969*R869+0.6924*IF(D869="S",1,0)+0.0457*IF(E869="L",1,0)+T869+U869)</f>
        <v/>
      </c>
      <c r="W869">
        <f>MAX(0,MIN(16,ROUND(V869,0)))</f>
        <v/>
      </c>
      <c r="X869">
        <f>IFNA(VLOOKUP(W869,Grade_Scale!$A:$B,2,FALSE),"F")</f>
        <v/>
      </c>
      <c r="Z869">
        <f>IF(Y869="","",W869-IFNA(VLOOKUP(Y869,Grade_Scale!$D:$E,2,FALSE),""))</f>
        <v/>
      </c>
    </row>
    <row r="870">
      <c r="P870">
        <f>IF(OR(B870="SP",B870="RP",B870="CP",B870="SP/RP"),"P","H")</f>
        <v/>
      </c>
      <c r="Q870">
        <f>IF(F870="",0,IFNA(VLOOKUP(F870,Trait_Polarity!$A:$C,2,FALSE),0))+IF(G870="",0,IFNA(VLOOKUP(G870,Trait_Polarity!$A:$C,2,FALSE),0))</f>
        <v/>
      </c>
      <c r="R870">
        <f>IF(F870="",0,IFNA(VLOOKUP(F870,Trait_Polarity!$A:$C,3,FALSE),0))+IF(G870="",0,IFNA(VLOOKUP(G870,Trait_Polarity!$A:$C,3,FALSE),0))</f>
        <v/>
      </c>
      <c r="S870">
        <f>IF(P870="P",(M870+N870+O870)/3,0.3*H870+0.3*I870+0.2*J870+0.1*K870+0.1*L870)</f>
        <v/>
      </c>
      <c r="T870">
        <f>IF(P870="P",IFNA(VLOOKUP(B870,Pitcher_RoleAdj!$A:$B,2,FALSE),0),IFNA(VLOOKUP(B870,Hitter_PrimaryAdj!$A:$B,2,FALSE),0))</f>
        <v/>
      </c>
      <c r="U870">
        <f>IFNA(VLOOKUP(IF(C870="","(none)",C870),SecondaryAdj!$A:$B,2,FALSE),0)</f>
        <v/>
      </c>
      <c r="V870">
        <f>IF(P870="P",0.7780+0.1628*S870+0.2957*Q870-0.1912*R870-0.1512*IF(D870="S",1,0)+0.1600*IF(E870="L",1,0)+0.0091*H870+0.0124*I870+0.0017*J870+T870+U870,-0.8294+0.1849*S870+0.1750*Q870-0.2969*R870+0.6924*IF(D870="S",1,0)+0.0457*IF(E870="L",1,0)+T870+U870)</f>
        <v/>
      </c>
      <c r="W870">
        <f>MAX(0,MIN(16,ROUND(V870,0)))</f>
        <v/>
      </c>
      <c r="X870">
        <f>IFNA(VLOOKUP(W870,Grade_Scale!$A:$B,2,FALSE),"F")</f>
        <v/>
      </c>
      <c r="Z870">
        <f>IF(Y870="","",W870-IFNA(VLOOKUP(Y870,Grade_Scale!$D:$E,2,FALSE),""))</f>
        <v/>
      </c>
    </row>
    <row r="871">
      <c r="P871">
        <f>IF(OR(B871="SP",B871="RP",B871="CP",B871="SP/RP"),"P","H")</f>
        <v/>
      </c>
      <c r="Q871">
        <f>IF(F871="",0,IFNA(VLOOKUP(F871,Trait_Polarity!$A:$C,2,FALSE),0))+IF(G871="",0,IFNA(VLOOKUP(G871,Trait_Polarity!$A:$C,2,FALSE),0))</f>
        <v/>
      </c>
      <c r="R871">
        <f>IF(F871="",0,IFNA(VLOOKUP(F871,Trait_Polarity!$A:$C,3,FALSE),0))+IF(G871="",0,IFNA(VLOOKUP(G871,Trait_Polarity!$A:$C,3,FALSE),0))</f>
        <v/>
      </c>
      <c r="S871">
        <f>IF(P871="P",(M871+N871+O871)/3,0.3*H871+0.3*I871+0.2*J871+0.1*K871+0.1*L871)</f>
        <v/>
      </c>
      <c r="T871">
        <f>IF(P871="P",IFNA(VLOOKUP(B871,Pitcher_RoleAdj!$A:$B,2,FALSE),0),IFNA(VLOOKUP(B871,Hitter_PrimaryAdj!$A:$B,2,FALSE),0))</f>
        <v/>
      </c>
      <c r="U871">
        <f>IFNA(VLOOKUP(IF(C871="","(none)",C871),SecondaryAdj!$A:$B,2,FALSE),0)</f>
        <v/>
      </c>
      <c r="V871">
        <f>IF(P871="P",0.7780+0.1628*S871+0.2957*Q871-0.1912*R871-0.1512*IF(D871="S",1,0)+0.1600*IF(E871="L",1,0)+0.0091*H871+0.0124*I871+0.0017*J871+T871+U871,-0.8294+0.1849*S871+0.1750*Q871-0.2969*R871+0.6924*IF(D871="S",1,0)+0.0457*IF(E871="L",1,0)+T871+U871)</f>
        <v/>
      </c>
      <c r="W871">
        <f>MAX(0,MIN(16,ROUND(V871,0)))</f>
        <v/>
      </c>
      <c r="X871">
        <f>IFNA(VLOOKUP(W871,Grade_Scale!$A:$B,2,FALSE),"F")</f>
        <v/>
      </c>
      <c r="Z871">
        <f>IF(Y871="","",W871-IFNA(VLOOKUP(Y871,Grade_Scale!$D:$E,2,FALSE),""))</f>
        <v/>
      </c>
    </row>
    <row r="872">
      <c r="P872">
        <f>IF(OR(B872="SP",B872="RP",B872="CP",B872="SP/RP"),"P","H")</f>
        <v/>
      </c>
      <c r="Q872">
        <f>IF(F872="",0,IFNA(VLOOKUP(F872,Trait_Polarity!$A:$C,2,FALSE),0))+IF(G872="",0,IFNA(VLOOKUP(G872,Trait_Polarity!$A:$C,2,FALSE),0))</f>
        <v/>
      </c>
      <c r="R872">
        <f>IF(F872="",0,IFNA(VLOOKUP(F872,Trait_Polarity!$A:$C,3,FALSE),0))+IF(G872="",0,IFNA(VLOOKUP(G872,Trait_Polarity!$A:$C,3,FALSE),0))</f>
        <v/>
      </c>
      <c r="S872">
        <f>IF(P872="P",(M872+N872+O872)/3,0.3*H872+0.3*I872+0.2*J872+0.1*K872+0.1*L872)</f>
        <v/>
      </c>
      <c r="T872">
        <f>IF(P872="P",IFNA(VLOOKUP(B872,Pitcher_RoleAdj!$A:$B,2,FALSE),0),IFNA(VLOOKUP(B872,Hitter_PrimaryAdj!$A:$B,2,FALSE),0))</f>
        <v/>
      </c>
      <c r="U872">
        <f>IFNA(VLOOKUP(IF(C872="","(none)",C872),SecondaryAdj!$A:$B,2,FALSE),0)</f>
        <v/>
      </c>
      <c r="V872">
        <f>IF(P872="P",0.7780+0.1628*S872+0.2957*Q872-0.1912*R872-0.1512*IF(D872="S",1,0)+0.1600*IF(E872="L",1,0)+0.0091*H872+0.0124*I872+0.0017*J872+T872+U872,-0.8294+0.1849*S872+0.1750*Q872-0.2969*R872+0.6924*IF(D872="S",1,0)+0.0457*IF(E872="L",1,0)+T872+U872)</f>
        <v/>
      </c>
      <c r="W872">
        <f>MAX(0,MIN(16,ROUND(V872,0)))</f>
        <v/>
      </c>
      <c r="X872">
        <f>IFNA(VLOOKUP(W872,Grade_Scale!$A:$B,2,FALSE),"F")</f>
        <v/>
      </c>
      <c r="Z872">
        <f>IF(Y872="","",W872-IFNA(VLOOKUP(Y872,Grade_Scale!$D:$E,2,FALSE),""))</f>
        <v/>
      </c>
    </row>
    <row r="873">
      <c r="P873">
        <f>IF(OR(B873="SP",B873="RP",B873="CP",B873="SP/RP"),"P","H")</f>
        <v/>
      </c>
      <c r="Q873">
        <f>IF(F873="",0,IFNA(VLOOKUP(F873,Trait_Polarity!$A:$C,2,FALSE),0))+IF(G873="",0,IFNA(VLOOKUP(G873,Trait_Polarity!$A:$C,2,FALSE),0))</f>
        <v/>
      </c>
      <c r="R873">
        <f>IF(F873="",0,IFNA(VLOOKUP(F873,Trait_Polarity!$A:$C,3,FALSE),0))+IF(G873="",0,IFNA(VLOOKUP(G873,Trait_Polarity!$A:$C,3,FALSE),0))</f>
        <v/>
      </c>
      <c r="S873">
        <f>IF(P873="P",(M873+N873+O873)/3,0.3*H873+0.3*I873+0.2*J873+0.1*K873+0.1*L873)</f>
        <v/>
      </c>
      <c r="T873">
        <f>IF(P873="P",IFNA(VLOOKUP(B873,Pitcher_RoleAdj!$A:$B,2,FALSE),0),IFNA(VLOOKUP(B873,Hitter_PrimaryAdj!$A:$B,2,FALSE),0))</f>
        <v/>
      </c>
      <c r="U873">
        <f>IFNA(VLOOKUP(IF(C873="","(none)",C873),SecondaryAdj!$A:$B,2,FALSE),0)</f>
        <v/>
      </c>
      <c r="V873">
        <f>IF(P873="P",0.7780+0.1628*S873+0.2957*Q873-0.1912*R873-0.1512*IF(D873="S",1,0)+0.1600*IF(E873="L",1,0)+0.0091*H873+0.0124*I873+0.0017*J873+T873+U873,-0.8294+0.1849*S873+0.1750*Q873-0.2969*R873+0.6924*IF(D873="S",1,0)+0.0457*IF(E873="L",1,0)+T873+U873)</f>
        <v/>
      </c>
      <c r="W873">
        <f>MAX(0,MIN(16,ROUND(V873,0)))</f>
        <v/>
      </c>
      <c r="X873">
        <f>IFNA(VLOOKUP(W873,Grade_Scale!$A:$B,2,FALSE),"F")</f>
        <v/>
      </c>
      <c r="Z873">
        <f>IF(Y873="","",W873-IFNA(VLOOKUP(Y873,Grade_Scale!$D:$E,2,FALSE),""))</f>
        <v/>
      </c>
    </row>
    <row r="874">
      <c r="P874">
        <f>IF(OR(B874="SP",B874="RP",B874="CP",B874="SP/RP"),"P","H")</f>
        <v/>
      </c>
      <c r="Q874">
        <f>IF(F874="",0,IFNA(VLOOKUP(F874,Trait_Polarity!$A:$C,2,FALSE),0))+IF(G874="",0,IFNA(VLOOKUP(G874,Trait_Polarity!$A:$C,2,FALSE),0))</f>
        <v/>
      </c>
      <c r="R874">
        <f>IF(F874="",0,IFNA(VLOOKUP(F874,Trait_Polarity!$A:$C,3,FALSE),0))+IF(G874="",0,IFNA(VLOOKUP(G874,Trait_Polarity!$A:$C,3,FALSE),0))</f>
        <v/>
      </c>
      <c r="S874">
        <f>IF(P874="P",(M874+N874+O874)/3,0.3*H874+0.3*I874+0.2*J874+0.1*K874+0.1*L874)</f>
        <v/>
      </c>
      <c r="T874">
        <f>IF(P874="P",IFNA(VLOOKUP(B874,Pitcher_RoleAdj!$A:$B,2,FALSE),0),IFNA(VLOOKUP(B874,Hitter_PrimaryAdj!$A:$B,2,FALSE),0))</f>
        <v/>
      </c>
      <c r="U874">
        <f>IFNA(VLOOKUP(IF(C874="","(none)",C874),SecondaryAdj!$A:$B,2,FALSE),0)</f>
        <v/>
      </c>
      <c r="V874">
        <f>IF(P874="P",0.7780+0.1628*S874+0.2957*Q874-0.1912*R874-0.1512*IF(D874="S",1,0)+0.1600*IF(E874="L",1,0)+0.0091*H874+0.0124*I874+0.0017*J874+T874+U874,-0.8294+0.1849*S874+0.1750*Q874-0.2969*R874+0.6924*IF(D874="S",1,0)+0.0457*IF(E874="L",1,0)+T874+U874)</f>
        <v/>
      </c>
      <c r="W874">
        <f>MAX(0,MIN(16,ROUND(V874,0)))</f>
        <v/>
      </c>
      <c r="X874">
        <f>IFNA(VLOOKUP(W874,Grade_Scale!$A:$B,2,FALSE),"F")</f>
        <v/>
      </c>
      <c r="Z874">
        <f>IF(Y874="","",W874-IFNA(VLOOKUP(Y874,Grade_Scale!$D:$E,2,FALSE),""))</f>
        <v/>
      </c>
    </row>
    <row r="875">
      <c r="P875">
        <f>IF(OR(B875="SP",B875="RP",B875="CP",B875="SP/RP"),"P","H")</f>
        <v/>
      </c>
      <c r="Q875">
        <f>IF(F875="",0,IFNA(VLOOKUP(F875,Trait_Polarity!$A:$C,2,FALSE),0))+IF(G875="",0,IFNA(VLOOKUP(G875,Trait_Polarity!$A:$C,2,FALSE),0))</f>
        <v/>
      </c>
      <c r="R875">
        <f>IF(F875="",0,IFNA(VLOOKUP(F875,Trait_Polarity!$A:$C,3,FALSE),0))+IF(G875="",0,IFNA(VLOOKUP(G875,Trait_Polarity!$A:$C,3,FALSE),0))</f>
        <v/>
      </c>
      <c r="S875">
        <f>IF(P875="P",(M875+N875+O875)/3,0.3*H875+0.3*I875+0.2*J875+0.1*K875+0.1*L875)</f>
        <v/>
      </c>
      <c r="T875">
        <f>IF(P875="P",IFNA(VLOOKUP(B875,Pitcher_RoleAdj!$A:$B,2,FALSE),0),IFNA(VLOOKUP(B875,Hitter_PrimaryAdj!$A:$B,2,FALSE),0))</f>
        <v/>
      </c>
      <c r="U875">
        <f>IFNA(VLOOKUP(IF(C875="","(none)",C875),SecondaryAdj!$A:$B,2,FALSE),0)</f>
        <v/>
      </c>
      <c r="V875">
        <f>IF(P875="P",0.7780+0.1628*S875+0.2957*Q875-0.1912*R875-0.1512*IF(D875="S",1,0)+0.1600*IF(E875="L",1,0)+0.0091*H875+0.0124*I875+0.0017*J875+T875+U875,-0.8294+0.1849*S875+0.1750*Q875-0.2969*R875+0.6924*IF(D875="S",1,0)+0.0457*IF(E875="L",1,0)+T875+U875)</f>
        <v/>
      </c>
      <c r="W875">
        <f>MAX(0,MIN(16,ROUND(V875,0)))</f>
        <v/>
      </c>
      <c r="X875">
        <f>IFNA(VLOOKUP(W875,Grade_Scale!$A:$B,2,FALSE),"F")</f>
        <v/>
      </c>
      <c r="Z875">
        <f>IF(Y875="","",W875-IFNA(VLOOKUP(Y875,Grade_Scale!$D:$E,2,FALSE),""))</f>
        <v/>
      </c>
    </row>
    <row r="876">
      <c r="P876">
        <f>IF(OR(B876="SP",B876="RP",B876="CP",B876="SP/RP"),"P","H")</f>
        <v/>
      </c>
      <c r="Q876">
        <f>IF(F876="",0,IFNA(VLOOKUP(F876,Trait_Polarity!$A:$C,2,FALSE),0))+IF(G876="",0,IFNA(VLOOKUP(G876,Trait_Polarity!$A:$C,2,FALSE),0))</f>
        <v/>
      </c>
      <c r="R876">
        <f>IF(F876="",0,IFNA(VLOOKUP(F876,Trait_Polarity!$A:$C,3,FALSE),0))+IF(G876="",0,IFNA(VLOOKUP(G876,Trait_Polarity!$A:$C,3,FALSE),0))</f>
        <v/>
      </c>
      <c r="S876">
        <f>IF(P876="P",(M876+N876+O876)/3,0.3*H876+0.3*I876+0.2*J876+0.1*K876+0.1*L876)</f>
        <v/>
      </c>
      <c r="T876">
        <f>IF(P876="P",IFNA(VLOOKUP(B876,Pitcher_RoleAdj!$A:$B,2,FALSE),0),IFNA(VLOOKUP(B876,Hitter_PrimaryAdj!$A:$B,2,FALSE),0))</f>
        <v/>
      </c>
      <c r="U876">
        <f>IFNA(VLOOKUP(IF(C876="","(none)",C876),SecondaryAdj!$A:$B,2,FALSE),0)</f>
        <v/>
      </c>
      <c r="V876">
        <f>IF(P876="P",0.7780+0.1628*S876+0.2957*Q876-0.1912*R876-0.1512*IF(D876="S",1,0)+0.1600*IF(E876="L",1,0)+0.0091*H876+0.0124*I876+0.0017*J876+T876+U876,-0.8294+0.1849*S876+0.1750*Q876-0.2969*R876+0.6924*IF(D876="S",1,0)+0.0457*IF(E876="L",1,0)+T876+U876)</f>
        <v/>
      </c>
      <c r="W876">
        <f>MAX(0,MIN(16,ROUND(V876,0)))</f>
        <v/>
      </c>
      <c r="X876">
        <f>IFNA(VLOOKUP(W876,Grade_Scale!$A:$B,2,FALSE),"F")</f>
        <v/>
      </c>
      <c r="Z876">
        <f>IF(Y876="","",W876-IFNA(VLOOKUP(Y876,Grade_Scale!$D:$E,2,FALSE),""))</f>
        <v/>
      </c>
    </row>
    <row r="877">
      <c r="P877">
        <f>IF(OR(B877="SP",B877="RP",B877="CP",B877="SP/RP"),"P","H")</f>
        <v/>
      </c>
      <c r="Q877">
        <f>IF(F877="",0,IFNA(VLOOKUP(F877,Trait_Polarity!$A:$C,2,FALSE),0))+IF(G877="",0,IFNA(VLOOKUP(G877,Trait_Polarity!$A:$C,2,FALSE),0))</f>
        <v/>
      </c>
      <c r="R877">
        <f>IF(F877="",0,IFNA(VLOOKUP(F877,Trait_Polarity!$A:$C,3,FALSE),0))+IF(G877="",0,IFNA(VLOOKUP(G877,Trait_Polarity!$A:$C,3,FALSE),0))</f>
        <v/>
      </c>
      <c r="S877">
        <f>IF(P877="P",(M877+N877+O877)/3,0.3*H877+0.3*I877+0.2*J877+0.1*K877+0.1*L877)</f>
        <v/>
      </c>
      <c r="T877">
        <f>IF(P877="P",IFNA(VLOOKUP(B877,Pitcher_RoleAdj!$A:$B,2,FALSE),0),IFNA(VLOOKUP(B877,Hitter_PrimaryAdj!$A:$B,2,FALSE),0))</f>
        <v/>
      </c>
      <c r="U877">
        <f>IFNA(VLOOKUP(IF(C877="","(none)",C877),SecondaryAdj!$A:$B,2,FALSE),0)</f>
        <v/>
      </c>
      <c r="V877">
        <f>IF(P877="P",0.7780+0.1628*S877+0.2957*Q877-0.1912*R877-0.1512*IF(D877="S",1,0)+0.1600*IF(E877="L",1,0)+0.0091*H877+0.0124*I877+0.0017*J877+T877+U877,-0.8294+0.1849*S877+0.1750*Q877-0.2969*R877+0.6924*IF(D877="S",1,0)+0.0457*IF(E877="L",1,0)+T877+U877)</f>
        <v/>
      </c>
      <c r="W877">
        <f>MAX(0,MIN(16,ROUND(V877,0)))</f>
        <v/>
      </c>
      <c r="X877">
        <f>IFNA(VLOOKUP(W877,Grade_Scale!$A:$B,2,FALSE),"F")</f>
        <v/>
      </c>
      <c r="Z877">
        <f>IF(Y877="","",W877-IFNA(VLOOKUP(Y877,Grade_Scale!$D:$E,2,FALSE),""))</f>
        <v/>
      </c>
    </row>
    <row r="878">
      <c r="P878">
        <f>IF(OR(B878="SP",B878="RP",B878="CP",B878="SP/RP"),"P","H")</f>
        <v/>
      </c>
      <c r="Q878">
        <f>IF(F878="",0,IFNA(VLOOKUP(F878,Trait_Polarity!$A:$C,2,FALSE),0))+IF(G878="",0,IFNA(VLOOKUP(G878,Trait_Polarity!$A:$C,2,FALSE),0))</f>
        <v/>
      </c>
      <c r="R878">
        <f>IF(F878="",0,IFNA(VLOOKUP(F878,Trait_Polarity!$A:$C,3,FALSE),0))+IF(G878="",0,IFNA(VLOOKUP(G878,Trait_Polarity!$A:$C,3,FALSE),0))</f>
        <v/>
      </c>
      <c r="S878">
        <f>IF(P878="P",(M878+N878+O878)/3,0.3*H878+0.3*I878+0.2*J878+0.1*K878+0.1*L878)</f>
        <v/>
      </c>
      <c r="T878">
        <f>IF(P878="P",IFNA(VLOOKUP(B878,Pitcher_RoleAdj!$A:$B,2,FALSE),0),IFNA(VLOOKUP(B878,Hitter_PrimaryAdj!$A:$B,2,FALSE),0))</f>
        <v/>
      </c>
      <c r="U878">
        <f>IFNA(VLOOKUP(IF(C878="","(none)",C878),SecondaryAdj!$A:$B,2,FALSE),0)</f>
        <v/>
      </c>
      <c r="V878">
        <f>IF(P878="P",0.7780+0.1628*S878+0.2957*Q878-0.1912*R878-0.1512*IF(D878="S",1,0)+0.1600*IF(E878="L",1,0)+0.0091*H878+0.0124*I878+0.0017*J878+T878+U878,-0.8294+0.1849*S878+0.1750*Q878-0.2969*R878+0.6924*IF(D878="S",1,0)+0.0457*IF(E878="L",1,0)+T878+U878)</f>
        <v/>
      </c>
      <c r="W878">
        <f>MAX(0,MIN(16,ROUND(V878,0)))</f>
        <v/>
      </c>
      <c r="X878">
        <f>IFNA(VLOOKUP(W878,Grade_Scale!$A:$B,2,FALSE),"F")</f>
        <v/>
      </c>
      <c r="Z878">
        <f>IF(Y878="","",W878-IFNA(VLOOKUP(Y878,Grade_Scale!$D:$E,2,FALSE),""))</f>
        <v/>
      </c>
    </row>
    <row r="879">
      <c r="P879">
        <f>IF(OR(B879="SP",B879="RP",B879="CP",B879="SP/RP"),"P","H")</f>
        <v/>
      </c>
      <c r="Q879">
        <f>IF(F879="",0,IFNA(VLOOKUP(F879,Trait_Polarity!$A:$C,2,FALSE),0))+IF(G879="",0,IFNA(VLOOKUP(G879,Trait_Polarity!$A:$C,2,FALSE),0))</f>
        <v/>
      </c>
      <c r="R879">
        <f>IF(F879="",0,IFNA(VLOOKUP(F879,Trait_Polarity!$A:$C,3,FALSE),0))+IF(G879="",0,IFNA(VLOOKUP(G879,Trait_Polarity!$A:$C,3,FALSE),0))</f>
        <v/>
      </c>
      <c r="S879">
        <f>IF(P879="P",(M879+N879+O879)/3,0.3*H879+0.3*I879+0.2*J879+0.1*K879+0.1*L879)</f>
        <v/>
      </c>
      <c r="T879">
        <f>IF(P879="P",IFNA(VLOOKUP(B879,Pitcher_RoleAdj!$A:$B,2,FALSE),0),IFNA(VLOOKUP(B879,Hitter_PrimaryAdj!$A:$B,2,FALSE),0))</f>
        <v/>
      </c>
      <c r="U879">
        <f>IFNA(VLOOKUP(IF(C879="","(none)",C879),SecondaryAdj!$A:$B,2,FALSE),0)</f>
        <v/>
      </c>
      <c r="V879">
        <f>IF(P879="P",0.7780+0.1628*S879+0.2957*Q879-0.1912*R879-0.1512*IF(D879="S",1,0)+0.1600*IF(E879="L",1,0)+0.0091*H879+0.0124*I879+0.0017*J879+T879+U879,-0.8294+0.1849*S879+0.1750*Q879-0.2969*R879+0.6924*IF(D879="S",1,0)+0.0457*IF(E879="L",1,0)+T879+U879)</f>
        <v/>
      </c>
      <c r="W879">
        <f>MAX(0,MIN(16,ROUND(V879,0)))</f>
        <v/>
      </c>
      <c r="X879">
        <f>IFNA(VLOOKUP(W879,Grade_Scale!$A:$B,2,FALSE),"F")</f>
        <v/>
      </c>
      <c r="Z879">
        <f>IF(Y879="","",W879-IFNA(VLOOKUP(Y879,Grade_Scale!$D:$E,2,FALSE),""))</f>
        <v/>
      </c>
    </row>
    <row r="880">
      <c r="P880">
        <f>IF(OR(B880="SP",B880="RP",B880="CP",B880="SP/RP"),"P","H")</f>
        <v/>
      </c>
      <c r="Q880">
        <f>IF(F880="",0,IFNA(VLOOKUP(F880,Trait_Polarity!$A:$C,2,FALSE),0))+IF(G880="",0,IFNA(VLOOKUP(G880,Trait_Polarity!$A:$C,2,FALSE),0))</f>
        <v/>
      </c>
      <c r="R880">
        <f>IF(F880="",0,IFNA(VLOOKUP(F880,Trait_Polarity!$A:$C,3,FALSE),0))+IF(G880="",0,IFNA(VLOOKUP(G880,Trait_Polarity!$A:$C,3,FALSE),0))</f>
        <v/>
      </c>
      <c r="S880">
        <f>IF(P880="P",(M880+N880+O880)/3,0.3*H880+0.3*I880+0.2*J880+0.1*K880+0.1*L880)</f>
        <v/>
      </c>
      <c r="T880">
        <f>IF(P880="P",IFNA(VLOOKUP(B880,Pitcher_RoleAdj!$A:$B,2,FALSE),0),IFNA(VLOOKUP(B880,Hitter_PrimaryAdj!$A:$B,2,FALSE),0))</f>
        <v/>
      </c>
      <c r="U880">
        <f>IFNA(VLOOKUP(IF(C880="","(none)",C880),SecondaryAdj!$A:$B,2,FALSE),0)</f>
        <v/>
      </c>
      <c r="V880">
        <f>IF(P880="P",0.7780+0.1628*S880+0.2957*Q880-0.1912*R880-0.1512*IF(D880="S",1,0)+0.1600*IF(E880="L",1,0)+0.0091*H880+0.0124*I880+0.0017*J880+T880+U880,-0.8294+0.1849*S880+0.1750*Q880-0.2969*R880+0.6924*IF(D880="S",1,0)+0.0457*IF(E880="L",1,0)+T880+U880)</f>
        <v/>
      </c>
      <c r="W880">
        <f>MAX(0,MIN(16,ROUND(V880,0)))</f>
        <v/>
      </c>
      <c r="X880">
        <f>IFNA(VLOOKUP(W880,Grade_Scale!$A:$B,2,FALSE),"F")</f>
        <v/>
      </c>
      <c r="Z880">
        <f>IF(Y880="","",W880-IFNA(VLOOKUP(Y880,Grade_Scale!$D:$E,2,FALSE),""))</f>
        <v/>
      </c>
    </row>
    <row r="881">
      <c r="P881">
        <f>IF(OR(B881="SP",B881="RP",B881="CP",B881="SP/RP"),"P","H")</f>
        <v/>
      </c>
      <c r="Q881">
        <f>IF(F881="",0,IFNA(VLOOKUP(F881,Trait_Polarity!$A:$C,2,FALSE),0))+IF(G881="",0,IFNA(VLOOKUP(G881,Trait_Polarity!$A:$C,2,FALSE),0))</f>
        <v/>
      </c>
      <c r="R881">
        <f>IF(F881="",0,IFNA(VLOOKUP(F881,Trait_Polarity!$A:$C,3,FALSE),0))+IF(G881="",0,IFNA(VLOOKUP(G881,Trait_Polarity!$A:$C,3,FALSE),0))</f>
        <v/>
      </c>
      <c r="S881">
        <f>IF(P881="P",(M881+N881+O881)/3,0.3*H881+0.3*I881+0.2*J881+0.1*K881+0.1*L881)</f>
        <v/>
      </c>
      <c r="T881">
        <f>IF(P881="P",IFNA(VLOOKUP(B881,Pitcher_RoleAdj!$A:$B,2,FALSE),0),IFNA(VLOOKUP(B881,Hitter_PrimaryAdj!$A:$B,2,FALSE),0))</f>
        <v/>
      </c>
      <c r="U881">
        <f>IFNA(VLOOKUP(IF(C881="","(none)",C881),SecondaryAdj!$A:$B,2,FALSE),0)</f>
        <v/>
      </c>
      <c r="V881">
        <f>IF(P881="P",0.7780+0.1628*S881+0.2957*Q881-0.1912*R881-0.1512*IF(D881="S",1,0)+0.1600*IF(E881="L",1,0)+0.0091*H881+0.0124*I881+0.0017*J881+T881+U881,-0.8294+0.1849*S881+0.1750*Q881-0.2969*R881+0.6924*IF(D881="S",1,0)+0.0457*IF(E881="L",1,0)+T881+U881)</f>
        <v/>
      </c>
      <c r="W881">
        <f>MAX(0,MIN(16,ROUND(V881,0)))</f>
        <v/>
      </c>
      <c r="X881">
        <f>IFNA(VLOOKUP(W881,Grade_Scale!$A:$B,2,FALSE),"F")</f>
        <v/>
      </c>
      <c r="Z881">
        <f>IF(Y881="","",W881-IFNA(VLOOKUP(Y881,Grade_Scale!$D:$E,2,FALSE),""))</f>
        <v/>
      </c>
    </row>
    <row r="882">
      <c r="P882">
        <f>IF(OR(B882="SP",B882="RP",B882="CP",B882="SP/RP"),"P","H")</f>
        <v/>
      </c>
      <c r="Q882">
        <f>IF(F882="",0,IFNA(VLOOKUP(F882,Trait_Polarity!$A:$C,2,FALSE),0))+IF(G882="",0,IFNA(VLOOKUP(G882,Trait_Polarity!$A:$C,2,FALSE),0))</f>
        <v/>
      </c>
      <c r="R882">
        <f>IF(F882="",0,IFNA(VLOOKUP(F882,Trait_Polarity!$A:$C,3,FALSE),0))+IF(G882="",0,IFNA(VLOOKUP(G882,Trait_Polarity!$A:$C,3,FALSE),0))</f>
        <v/>
      </c>
      <c r="S882">
        <f>IF(P882="P",(M882+N882+O882)/3,0.3*H882+0.3*I882+0.2*J882+0.1*K882+0.1*L882)</f>
        <v/>
      </c>
      <c r="T882">
        <f>IF(P882="P",IFNA(VLOOKUP(B882,Pitcher_RoleAdj!$A:$B,2,FALSE),0),IFNA(VLOOKUP(B882,Hitter_PrimaryAdj!$A:$B,2,FALSE),0))</f>
        <v/>
      </c>
      <c r="U882">
        <f>IFNA(VLOOKUP(IF(C882="","(none)",C882),SecondaryAdj!$A:$B,2,FALSE),0)</f>
        <v/>
      </c>
      <c r="V882">
        <f>IF(P882="P",0.7780+0.1628*S882+0.2957*Q882-0.1912*R882-0.1512*IF(D882="S",1,0)+0.1600*IF(E882="L",1,0)+0.0091*H882+0.0124*I882+0.0017*J882+T882+U882,-0.8294+0.1849*S882+0.1750*Q882-0.2969*R882+0.6924*IF(D882="S",1,0)+0.0457*IF(E882="L",1,0)+T882+U882)</f>
        <v/>
      </c>
      <c r="W882">
        <f>MAX(0,MIN(16,ROUND(V882,0)))</f>
        <v/>
      </c>
      <c r="X882">
        <f>IFNA(VLOOKUP(W882,Grade_Scale!$A:$B,2,FALSE),"F")</f>
        <v/>
      </c>
      <c r="Z882">
        <f>IF(Y882="","",W882-IFNA(VLOOKUP(Y882,Grade_Scale!$D:$E,2,FALSE),""))</f>
        <v/>
      </c>
    </row>
    <row r="883">
      <c r="P883">
        <f>IF(OR(B883="SP",B883="RP",B883="CP",B883="SP/RP"),"P","H")</f>
        <v/>
      </c>
      <c r="Q883">
        <f>IF(F883="",0,IFNA(VLOOKUP(F883,Trait_Polarity!$A:$C,2,FALSE),0))+IF(G883="",0,IFNA(VLOOKUP(G883,Trait_Polarity!$A:$C,2,FALSE),0))</f>
        <v/>
      </c>
      <c r="R883">
        <f>IF(F883="",0,IFNA(VLOOKUP(F883,Trait_Polarity!$A:$C,3,FALSE),0))+IF(G883="",0,IFNA(VLOOKUP(G883,Trait_Polarity!$A:$C,3,FALSE),0))</f>
        <v/>
      </c>
      <c r="S883">
        <f>IF(P883="P",(M883+N883+O883)/3,0.3*H883+0.3*I883+0.2*J883+0.1*K883+0.1*L883)</f>
        <v/>
      </c>
      <c r="T883">
        <f>IF(P883="P",IFNA(VLOOKUP(B883,Pitcher_RoleAdj!$A:$B,2,FALSE),0),IFNA(VLOOKUP(B883,Hitter_PrimaryAdj!$A:$B,2,FALSE),0))</f>
        <v/>
      </c>
      <c r="U883">
        <f>IFNA(VLOOKUP(IF(C883="","(none)",C883),SecondaryAdj!$A:$B,2,FALSE),0)</f>
        <v/>
      </c>
      <c r="V883">
        <f>IF(P883="P",0.7780+0.1628*S883+0.2957*Q883-0.1912*R883-0.1512*IF(D883="S",1,0)+0.1600*IF(E883="L",1,0)+0.0091*H883+0.0124*I883+0.0017*J883+T883+U883,-0.8294+0.1849*S883+0.1750*Q883-0.2969*R883+0.6924*IF(D883="S",1,0)+0.0457*IF(E883="L",1,0)+T883+U883)</f>
        <v/>
      </c>
      <c r="W883">
        <f>MAX(0,MIN(16,ROUND(V883,0)))</f>
        <v/>
      </c>
      <c r="X883">
        <f>IFNA(VLOOKUP(W883,Grade_Scale!$A:$B,2,FALSE),"F")</f>
        <v/>
      </c>
      <c r="Z883">
        <f>IF(Y883="","",W883-IFNA(VLOOKUP(Y883,Grade_Scale!$D:$E,2,FALSE),""))</f>
        <v/>
      </c>
    </row>
    <row r="884">
      <c r="P884">
        <f>IF(OR(B884="SP",B884="RP",B884="CP",B884="SP/RP"),"P","H")</f>
        <v/>
      </c>
      <c r="Q884">
        <f>IF(F884="",0,IFNA(VLOOKUP(F884,Trait_Polarity!$A:$C,2,FALSE),0))+IF(G884="",0,IFNA(VLOOKUP(G884,Trait_Polarity!$A:$C,2,FALSE),0))</f>
        <v/>
      </c>
      <c r="R884">
        <f>IF(F884="",0,IFNA(VLOOKUP(F884,Trait_Polarity!$A:$C,3,FALSE),0))+IF(G884="",0,IFNA(VLOOKUP(G884,Trait_Polarity!$A:$C,3,FALSE),0))</f>
        <v/>
      </c>
      <c r="S884">
        <f>IF(P884="P",(M884+N884+O884)/3,0.3*H884+0.3*I884+0.2*J884+0.1*K884+0.1*L884)</f>
        <v/>
      </c>
      <c r="T884">
        <f>IF(P884="P",IFNA(VLOOKUP(B884,Pitcher_RoleAdj!$A:$B,2,FALSE),0),IFNA(VLOOKUP(B884,Hitter_PrimaryAdj!$A:$B,2,FALSE),0))</f>
        <v/>
      </c>
      <c r="U884">
        <f>IFNA(VLOOKUP(IF(C884="","(none)",C884),SecondaryAdj!$A:$B,2,FALSE),0)</f>
        <v/>
      </c>
      <c r="V884">
        <f>IF(P884="P",0.7780+0.1628*S884+0.2957*Q884-0.1912*R884-0.1512*IF(D884="S",1,0)+0.1600*IF(E884="L",1,0)+0.0091*H884+0.0124*I884+0.0017*J884+T884+U884,-0.8294+0.1849*S884+0.1750*Q884-0.2969*R884+0.6924*IF(D884="S",1,0)+0.0457*IF(E884="L",1,0)+T884+U884)</f>
        <v/>
      </c>
      <c r="W884">
        <f>MAX(0,MIN(16,ROUND(V884,0)))</f>
        <v/>
      </c>
      <c r="X884">
        <f>IFNA(VLOOKUP(W884,Grade_Scale!$A:$B,2,FALSE),"F")</f>
        <v/>
      </c>
      <c r="Z884">
        <f>IF(Y884="","",W884-IFNA(VLOOKUP(Y884,Grade_Scale!$D:$E,2,FALSE),""))</f>
        <v/>
      </c>
    </row>
    <row r="885">
      <c r="P885">
        <f>IF(OR(B885="SP",B885="RP",B885="CP",B885="SP/RP"),"P","H")</f>
        <v/>
      </c>
      <c r="Q885">
        <f>IF(F885="",0,IFNA(VLOOKUP(F885,Trait_Polarity!$A:$C,2,FALSE),0))+IF(G885="",0,IFNA(VLOOKUP(G885,Trait_Polarity!$A:$C,2,FALSE),0))</f>
        <v/>
      </c>
      <c r="R885">
        <f>IF(F885="",0,IFNA(VLOOKUP(F885,Trait_Polarity!$A:$C,3,FALSE),0))+IF(G885="",0,IFNA(VLOOKUP(G885,Trait_Polarity!$A:$C,3,FALSE),0))</f>
        <v/>
      </c>
      <c r="S885">
        <f>IF(P885="P",(M885+N885+O885)/3,0.3*H885+0.3*I885+0.2*J885+0.1*K885+0.1*L885)</f>
        <v/>
      </c>
      <c r="T885">
        <f>IF(P885="P",IFNA(VLOOKUP(B885,Pitcher_RoleAdj!$A:$B,2,FALSE),0),IFNA(VLOOKUP(B885,Hitter_PrimaryAdj!$A:$B,2,FALSE),0))</f>
        <v/>
      </c>
      <c r="U885">
        <f>IFNA(VLOOKUP(IF(C885="","(none)",C885),SecondaryAdj!$A:$B,2,FALSE),0)</f>
        <v/>
      </c>
      <c r="V885">
        <f>IF(P885="P",0.7780+0.1628*S885+0.2957*Q885-0.1912*R885-0.1512*IF(D885="S",1,0)+0.1600*IF(E885="L",1,0)+0.0091*H885+0.0124*I885+0.0017*J885+T885+U885,-0.8294+0.1849*S885+0.1750*Q885-0.2969*R885+0.6924*IF(D885="S",1,0)+0.0457*IF(E885="L",1,0)+T885+U885)</f>
        <v/>
      </c>
      <c r="W885">
        <f>MAX(0,MIN(16,ROUND(V885,0)))</f>
        <v/>
      </c>
      <c r="X885">
        <f>IFNA(VLOOKUP(W885,Grade_Scale!$A:$B,2,FALSE),"F")</f>
        <v/>
      </c>
      <c r="Z885">
        <f>IF(Y885="","",W885-IFNA(VLOOKUP(Y885,Grade_Scale!$D:$E,2,FALSE),""))</f>
        <v/>
      </c>
    </row>
    <row r="886">
      <c r="P886">
        <f>IF(OR(B886="SP",B886="RP",B886="CP",B886="SP/RP"),"P","H")</f>
        <v/>
      </c>
      <c r="Q886">
        <f>IF(F886="",0,IFNA(VLOOKUP(F886,Trait_Polarity!$A:$C,2,FALSE),0))+IF(G886="",0,IFNA(VLOOKUP(G886,Trait_Polarity!$A:$C,2,FALSE),0))</f>
        <v/>
      </c>
      <c r="R886">
        <f>IF(F886="",0,IFNA(VLOOKUP(F886,Trait_Polarity!$A:$C,3,FALSE),0))+IF(G886="",0,IFNA(VLOOKUP(G886,Trait_Polarity!$A:$C,3,FALSE),0))</f>
        <v/>
      </c>
      <c r="S886">
        <f>IF(P886="P",(M886+N886+O886)/3,0.3*H886+0.3*I886+0.2*J886+0.1*K886+0.1*L886)</f>
        <v/>
      </c>
      <c r="T886">
        <f>IF(P886="P",IFNA(VLOOKUP(B886,Pitcher_RoleAdj!$A:$B,2,FALSE),0),IFNA(VLOOKUP(B886,Hitter_PrimaryAdj!$A:$B,2,FALSE),0))</f>
        <v/>
      </c>
      <c r="U886">
        <f>IFNA(VLOOKUP(IF(C886="","(none)",C886),SecondaryAdj!$A:$B,2,FALSE),0)</f>
        <v/>
      </c>
      <c r="V886">
        <f>IF(P886="P",0.7780+0.1628*S886+0.2957*Q886-0.1912*R886-0.1512*IF(D886="S",1,0)+0.1600*IF(E886="L",1,0)+0.0091*H886+0.0124*I886+0.0017*J886+T886+U886,-0.8294+0.1849*S886+0.1750*Q886-0.2969*R886+0.6924*IF(D886="S",1,0)+0.0457*IF(E886="L",1,0)+T886+U886)</f>
        <v/>
      </c>
      <c r="W886">
        <f>MAX(0,MIN(16,ROUND(V886,0)))</f>
        <v/>
      </c>
      <c r="X886">
        <f>IFNA(VLOOKUP(W886,Grade_Scale!$A:$B,2,FALSE),"F")</f>
        <v/>
      </c>
      <c r="Z886">
        <f>IF(Y886="","",W886-IFNA(VLOOKUP(Y886,Grade_Scale!$D:$E,2,FALSE),""))</f>
        <v/>
      </c>
    </row>
    <row r="887">
      <c r="P887">
        <f>IF(OR(B887="SP",B887="RP",B887="CP",B887="SP/RP"),"P","H")</f>
        <v/>
      </c>
      <c r="Q887">
        <f>IF(F887="",0,IFNA(VLOOKUP(F887,Trait_Polarity!$A:$C,2,FALSE),0))+IF(G887="",0,IFNA(VLOOKUP(G887,Trait_Polarity!$A:$C,2,FALSE),0))</f>
        <v/>
      </c>
      <c r="R887">
        <f>IF(F887="",0,IFNA(VLOOKUP(F887,Trait_Polarity!$A:$C,3,FALSE),0))+IF(G887="",0,IFNA(VLOOKUP(G887,Trait_Polarity!$A:$C,3,FALSE),0))</f>
        <v/>
      </c>
      <c r="S887">
        <f>IF(P887="P",(M887+N887+O887)/3,0.3*H887+0.3*I887+0.2*J887+0.1*K887+0.1*L887)</f>
        <v/>
      </c>
      <c r="T887">
        <f>IF(P887="P",IFNA(VLOOKUP(B887,Pitcher_RoleAdj!$A:$B,2,FALSE),0),IFNA(VLOOKUP(B887,Hitter_PrimaryAdj!$A:$B,2,FALSE),0))</f>
        <v/>
      </c>
      <c r="U887">
        <f>IFNA(VLOOKUP(IF(C887="","(none)",C887),SecondaryAdj!$A:$B,2,FALSE),0)</f>
        <v/>
      </c>
      <c r="V887">
        <f>IF(P887="P",0.7780+0.1628*S887+0.2957*Q887-0.1912*R887-0.1512*IF(D887="S",1,0)+0.1600*IF(E887="L",1,0)+0.0091*H887+0.0124*I887+0.0017*J887+T887+U887,-0.8294+0.1849*S887+0.1750*Q887-0.2969*R887+0.6924*IF(D887="S",1,0)+0.0457*IF(E887="L",1,0)+T887+U887)</f>
        <v/>
      </c>
      <c r="W887">
        <f>MAX(0,MIN(16,ROUND(V887,0)))</f>
        <v/>
      </c>
      <c r="X887">
        <f>IFNA(VLOOKUP(W887,Grade_Scale!$A:$B,2,FALSE),"F")</f>
        <v/>
      </c>
      <c r="Z887">
        <f>IF(Y887="","",W887-IFNA(VLOOKUP(Y887,Grade_Scale!$D:$E,2,FALSE),""))</f>
        <v/>
      </c>
    </row>
    <row r="888">
      <c r="P888">
        <f>IF(OR(B888="SP",B888="RP",B888="CP",B888="SP/RP"),"P","H")</f>
        <v/>
      </c>
      <c r="Q888">
        <f>IF(F888="",0,IFNA(VLOOKUP(F888,Trait_Polarity!$A:$C,2,FALSE),0))+IF(G888="",0,IFNA(VLOOKUP(G888,Trait_Polarity!$A:$C,2,FALSE),0))</f>
        <v/>
      </c>
      <c r="R888">
        <f>IF(F888="",0,IFNA(VLOOKUP(F888,Trait_Polarity!$A:$C,3,FALSE),0))+IF(G888="",0,IFNA(VLOOKUP(G888,Trait_Polarity!$A:$C,3,FALSE),0))</f>
        <v/>
      </c>
      <c r="S888">
        <f>IF(P888="P",(M888+N888+O888)/3,0.3*H888+0.3*I888+0.2*J888+0.1*K888+0.1*L888)</f>
        <v/>
      </c>
      <c r="T888">
        <f>IF(P888="P",IFNA(VLOOKUP(B888,Pitcher_RoleAdj!$A:$B,2,FALSE),0),IFNA(VLOOKUP(B888,Hitter_PrimaryAdj!$A:$B,2,FALSE),0))</f>
        <v/>
      </c>
      <c r="U888">
        <f>IFNA(VLOOKUP(IF(C888="","(none)",C888),SecondaryAdj!$A:$B,2,FALSE),0)</f>
        <v/>
      </c>
      <c r="V888">
        <f>IF(P888="P",0.7780+0.1628*S888+0.2957*Q888-0.1912*R888-0.1512*IF(D888="S",1,0)+0.1600*IF(E888="L",1,0)+0.0091*H888+0.0124*I888+0.0017*J888+T888+U888,-0.8294+0.1849*S888+0.1750*Q888-0.2969*R888+0.6924*IF(D888="S",1,0)+0.0457*IF(E888="L",1,0)+T888+U888)</f>
        <v/>
      </c>
      <c r="W888">
        <f>MAX(0,MIN(16,ROUND(V888,0)))</f>
        <v/>
      </c>
      <c r="X888">
        <f>IFNA(VLOOKUP(W888,Grade_Scale!$A:$B,2,FALSE),"F")</f>
        <v/>
      </c>
      <c r="Z888">
        <f>IF(Y888="","",W888-IFNA(VLOOKUP(Y888,Grade_Scale!$D:$E,2,FALSE),""))</f>
        <v/>
      </c>
    </row>
    <row r="889">
      <c r="P889">
        <f>IF(OR(B889="SP",B889="RP",B889="CP",B889="SP/RP"),"P","H")</f>
        <v/>
      </c>
      <c r="Q889">
        <f>IF(F889="",0,IFNA(VLOOKUP(F889,Trait_Polarity!$A:$C,2,FALSE),0))+IF(G889="",0,IFNA(VLOOKUP(G889,Trait_Polarity!$A:$C,2,FALSE),0))</f>
        <v/>
      </c>
      <c r="R889">
        <f>IF(F889="",0,IFNA(VLOOKUP(F889,Trait_Polarity!$A:$C,3,FALSE),0))+IF(G889="",0,IFNA(VLOOKUP(G889,Trait_Polarity!$A:$C,3,FALSE),0))</f>
        <v/>
      </c>
      <c r="S889">
        <f>IF(P889="P",(M889+N889+O889)/3,0.3*H889+0.3*I889+0.2*J889+0.1*K889+0.1*L889)</f>
        <v/>
      </c>
      <c r="T889">
        <f>IF(P889="P",IFNA(VLOOKUP(B889,Pitcher_RoleAdj!$A:$B,2,FALSE),0),IFNA(VLOOKUP(B889,Hitter_PrimaryAdj!$A:$B,2,FALSE),0))</f>
        <v/>
      </c>
      <c r="U889">
        <f>IFNA(VLOOKUP(IF(C889="","(none)",C889),SecondaryAdj!$A:$B,2,FALSE),0)</f>
        <v/>
      </c>
      <c r="V889">
        <f>IF(P889="P",0.7780+0.1628*S889+0.2957*Q889-0.1912*R889-0.1512*IF(D889="S",1,0)+0.1600*IF(E889="L",1,0)+0.0091*H889+0.0124*I889+0.0017*J889+T889+U889,-0.8294+0.1849*S889+0.1750*Q889-0.2969*R889+0.6924*IF(D889="S",1,0)+0.0457*IF(E889="L",1,0)+T889+U889)</f>
        <v/>
      </c>
      <c r="W889">
        <f>MAX(0,MIN(16,ROUND(V889,0)))</f>
        <v/>
      </c>
      <c r="X889">
        <f>IFNA(VLOOKUP(W889,Grade_Scale!$A:$B,2,FALSE),"F")</f>
        <v/>
      </c>
      <c r="Z889">
        <f>IF(Y889="","",W889-IFNA(VLOOKUP(Y889,Grade_Scale!$D:$E,2,FALSE),""))</f>
        <v/>
      </c>
    </row>
    <row r="890">
      <c r="P890">
        <f>IF(OR(B890="SP",B890="RP",B890="CP",B890="SP/RP"),"P","H")</f>
        <v/>
      </c>
      <c r="Q890">
        <f>IF(F890="",0,IFNA(VLOOKUP(F890,Trait_Polarity!$A:$C,2,FALSE),0))+IF(G890="",0,IFNA(VLOOKUP(G890,Trait_Polarity!$A:$C,2,FALSE),0))</f>
        <v/>
      </c>
      <c r="R890">
        <f>IF(F890="",0,IFNA(VLOOKUP(F890,Trait_Polarity!$A:$C,3,FALSE),0))+IF(G890="",0,IFNA(VLOOKUP(G890,Trait_Polarity!$A:$C,3,FALSE),0))</f>
        <v/>
      </c>
      <c r="S890">
        <f>IF(P890="P",(M890+N890+O890)/3,0.3*H890+0.3*I890+0.2*J890+0.1*K890+0.1*L890)</f>
        <v/>
      </c>
      <c r="T890">
        <f>IF(P890="P",IFNA(VLOOKUP(B890,Pitcher_RoleAdj!$A:$B,2,FALSE),0),IFNA(VLOOKUP(B890,Hitter_PrimaryAdj!$A:$B,2,FALSE),0))</f>
        <v/>
      </c>
      <c r="U890">
        <f>IFNA(VLOOKUP(IF(C890="","(none)",C890),SecondaryAdj!$A:$B,2,FALSE),0)</f>
        <v/>
      </c>
      <c r="V890">
        <f>IF(P890="P",0.7780+0.1628*S890+0.2957*Q890-0.1912*R890-0.1512*IF(D890="S",1,0)+0.1600*IF(E890="L",1,0)+0.0091*H890+0.0124*I890+0.0017*J890+T890+U890,-0.8294+0.1849*S890+0.1750*Q890-0.2969*R890+0.6924*IF(D890="S",1,0)+0.0457*IF(E890="L",1,0)+T890+U890)</f>
        <v/>
      </c>
      <c r="W890">
        <f>MAX(0,MIN(16,ROUND(V890,0)))</f>
        <v/>
      </c>
      <c r="X890">
        <f>IFNA(VLOOKUP(W890,Grade_Scale!$A:$B,2,FALSE),"F")</f>
        <v/>
      </c>
      <c r="Z890">
        <f>IF(Y890="","",W890-IFNA(VLOOKUP(Y890,Grade_Scale!$D:$E,2,FALSE),""))</f>
        <v/>
      </c>
    </row>
    <row r="891">
      <c r="P891">
        <f>IF(OR(B891="SP",B891="RP",B891="CP",B891="SP/RP"),"P","H")</f>
        <v/>
      </c>
      <c r="Q891">
        <f>IF(F891="",0,IFNA(VLOOKUP(F891,Trait_Polarity!$A:$C,2,FALSE),0))+IF(G891="",0,IFNA(VLOOKUP(G891,Trait_Polarity!$A:$C,2,FALSE),0))</f>
        <v/>
      </c>
      <c r="R891">
        <f>IF(F891="",0,IFNA(VLOOKUP(F891,Trait_Polarity!$A:$C,3,FALSE),0))+IF(G891="",0,IFNA(VLOOKUP(G891,Trait_Polarity!$A:$C,3,FALSE),0))</f>
        <v/>
      </c>
      <c r="S891">
        <f>IF(P891="P",(M891+N891+O891)/3,0.3*H891+0.3*I891+0.2*J891+0.1*K891+0.1*L891)</f>
        <v/>
      </c>
      <c r="T891">
        <f>IF(P891="P",IFNA(VLOOKUP(B891,Pitcher_RoleAdj!$A:$B,2,FALSE),0),IFNA(VLOOKUP(B891,Hitter_PrimaryAdj!$A:$B,2,FALSE),0))</f>
        <v/>
      </c>
      <c r="U891">
        <f>IFNA(VLOOKUP(IF(C891="","(none)",C891),SecondaryAdj!$A:$B,2,FALSE),0)</f>
        <v/>
      </c>
      <c r="V891">
        <f>IF(P891="P",0.7780+0.1628*S891+0.2957*Q891-0.1912*R891-0.1512*IF(D891="S",1,0)+0.1600*IF(E891="L",1,0)+0.0091*H891+0.0124*I891+0.0017*J891+T891+U891,-0.8294+0.1849*S891+0.1750*Q891-0.2969*R891+0.6924*IF(D891="S",1,0)+0.0457*IF(E891="L",1,0)+T891+U891)</f>
        <v/>
      </c>
      <c r="W891">
        <f>MAX(0,MIN(16,ROUND(V891,0)))</f>
        <v/>
      </c>
      <c r="X891">
        <f>IFNA(VLOOKUP(W891,Grade_Scale!$A:$B,2,FALSE),"F")</f>
        <v/>
      </c>
      <c r="Z891">
        <f>IF(Y891="","",W891-IFNA(VLOOKUP(Y891,Grade_Scale!$D:$E,2,FALSE),""))</f>
        <v/>
      </c>
    </row>
    <row r="892">
      <c r="P892">
        <f>IF(OR(B892="SP",B892="RP",B892="CP",B892="SP/RP"),"P","H")</f>
        <v/>
      </c>
      <c r="Q892">
        <f>IF(F892="",0,IFNA(VLOOKUP(F892,Trait_Polarity!$A:$C,2,FALSE),0))+IF(G892="",0,IFNA(VLOOKUP(G892,Trait_Polarity!$A:$C,2,FALSE),0))</f>
        <v/>
      </c>
      <c r="R892">
        <f>IF(F892="",0,IFNA(VLOOKUP(F892,Trait_Polarity!$A:$C,3,FALSE),0))+IF(G892="",0,IFNA(VLOOKUP(G892,Trait_Polarity!$A:$C,3,FALSE),0))</f>
        <v/>
      </c>
      <c r="S892">
        <f>IF(P892="P",(M892+N892+O892)/3,0.3*H892+0.3*I892+0.2*J892+0.1*K892+0.1*L892)</f>
        <v/>
      </c>
      <c r="T892">
        <f>IF(P892="P",IFNA(VLOOKUP(B892,Pitcher_RoleAdj!$A:$B,2,FALSE),0),IFNA(VLOOKUP(B892,Hitter_PrimaryAdj!$A:$B,2,FALSE),0))</f>
        <v/>
      </c>
      <c r="U892">
        <f>IFNA(VLOOKUP(IF(C892="","(none)",C892),SecondaryAdj!$A:$B,2,FALSE),0)</f>
        <v/>
      </c>
      <c r="V892">
        <f>IF(P892="P",0.7780+0.1628*S892+0.2957*Q892-0.1912*R892-0.1512*IF(D892="S",1,0)+0.1600*IF(E892="L",1,0)+0.0091*H892+0.0124*I892+0.0017*J892+T892+U892,-0.8294+0.1849*S892+0.1750*Q892-0.2969*R892+0.6924*IF(D892="S",1,0)+0.0457*IF(E892="L",1,0)+T892+U892)</f>
        <v/>
      </c>
      <c r="W892">
        <f>MAX(0,MIN(16,ROUND(V892,0)))</f>
        <v/>
      </c>
      <c r="X892">
        <f>IFNA(VLOOKUP(W892,Grade_Scale!$A:$B,2,FALSE),"F")</f>
        <v/>
      </c>
      <c r="Z892">
        <f>IF(Y892="","",W892-IFNA(VLOOKUP(Y892,Grade_Scale!$D:$E,2,FALSE),""))</f>
        <v/>
      </c>
    </row>
    <row r="893">
      <c r="P893">
        <f>IF(OR(B893="SP",B893="RP",B893="CP",B893="SP/RP"),"P","H")</f>
        <v/>
      </c>
      <c r="Q893">
        <f>IF(F893="",0,IFNA(VLOOKUP(F893,Trait_Polarity!$A:$C,2,FALSE),0))+IF(G893="",0,IFNA(VLOOKUP(G893,Trait_Polarity!$A:$C,2,FALSE),0))</f>
        <v/>
      </c>
      <c r="R893">
        <f>IF(F893="",0,IFNA(VLOOKUP(F893,Trait_Polarity!$A:$C,3,FALSE),0))+IF(G893="",0,IFNA(VLOOKUP(G893,Trait_Polarity!$A:$C,3,FALSE),0))</f>
        <v/>
      </c>
      <c r="S893">
        <f>IF(P893="P",(M893+N893+O893)/3,0.3*H893+0.3*I893+0.2*J893+0.1*K893+0.1*L893)</f>
        <v/>
      </c>
      <c r="T893">
        <f>IF(P893="P",IFNA(VLOOKUP(B893,Pitcher_RoleAdj!$A:$B,2,FALSE),0),IFNA(VLOOKUP(B893,Hitter_PrimaryAdj!$A:$B,2,FALSE),0))</f>
        <v/>
      </c>
      <c r="U893">
        <f>IFNA(VLOOKUP(IF(C893="","(none)",C893),SecondaryAdj!$A:$B,2,FALSE),0)</f>
        <v/>
      </c>
      <c r="V893">
        <f>IF(P893="P",0.7780+0.1628*S893+0.2957*Q893-0.1912*R893-0.1512*IF(D893="S",1,0)+0.1600*IF(E893="L",1,0)+0.0091*H893+0.0124*I893+0.0017*J893+T893+U893,-0.8294+0.1849*S893+0.1750*Q893-0.2969*R893+0.6924*IF(D893="S",1,0)+0.0457*IF(E893="L",1,0)+T893+U893)</f>
        <v/>
      </c>
      <c r="W893">
        <f>MAX(0,MIN(16,ROUND(V893,0)))</f>
        <v/>
      </c>
      <c r="X893">
        <f>IFNA(VLOOKUP(W893,Grade_Scale!$A:$B,2,FALSE),"F")</f>
        <v/>
      </c>
      <c r="Z893">
        <f>IF(Y893="","",W893-IFNA(VLOOKUP(Y893,Grade_Scale!$D:$E,2,FALSE),""))</f>
        <v/>
      </c>
    </row>
    <row r="894">
      <c r="P894">
        <f>IF(OR(B894="SP",B894="RP",B894="CP",B894="SP/RP"),"P","H")</f>
        <v/>
      </c>
      <c r="Q894">
        <f>IF(F894="",0,IFNA(VLOOKUP(F894,Trait_Polarity!$A:$C,2,FALSE),0))+IF(G894="",0,IFNA(VLOOKUP(G894,Trait_Polarity!$A:$C,2,FALSE),0))</f>
        <v/>
      </c>
      <c r="R894">
        <f>IF(F894="",0,IFNA(VLOOKUP(F894,Trait_Polarity!$A:$C,3,FALSE),0))+IF(G894="",0,IFNA(VLOOKUP(G894,Trait_Polarity!$A:$C,3,FALSE),0))</f>
        <v/>
      </c>
      <c r="S894">
        <f>IF(P894="P",(M894+N894+O894)/3,0.3*H894+0.3*I894+0.2*J894+0.1*K894+0.1*L894)</f>
        <v/>
      </c>
      <c r="T894">
        <f>IF(P894="P",IFNA(VLOOKUP(B894,Pitcher_RoleAdj!$A:$B,2,FALSE),0),IFNA(VLOOKUP(B894,Hitter_PrimaryAdj!$A:$B,2,FALSE),0))</f>
        <v/>
      </c>
      <c r="U894">
        <f>IFNA(VLOOKUP(IF(C894="","(none)",C894),SecondaryAdj!$A:$B,2,FALSE),0)</f>
        <v/>
      </c>
      <c r="V894">
        <f>IF(P894="P",0.7780+0.1628*S894+0.2957*Q894-0.1912*R894-0.1512*IF(D894="S",1,0)+0.1600*IF(E894="L",1,0)+0.0091*H894+0.0124*I894+0.0017*J894+T894+U894,-0.8294+0.1849*S894+0.1750*Q894-0.2969*R894+0.6924*IF(D894="S",1,0)+0.0457*IF(E894="L",1,0)+T894+U894)</f>
        <v/>
      </c>
      <c r="W894">
        <f>MAX(0,MIN(16,ROUND(V894,0)))</f>
        <v/>
      </c>
      <c r="X894">
        <f>IFNA(VLOOKUP(W894,Grade_Scale!$A:$B,2,FALSE),"F")</f>
        <v/>
      </c>
      <c r="Z894">
        <f>IF(Y894="","",W894-IFNA(VLOOKUP(Y894,Grade_Scale!$D:$E,2,FALSE),""))</f>
        <v/>
      </c>
    </row>
    <row r="895">
      <c r="P895">
        <f>IF(OR(B895="SP",B895="RP",B895="CP",B895="SP/RP"),"P","H")</f>
        <v/>
      </c>
      <c r="Q895">
        <f>IF(F895="",0,IFNA(VLOOKUP(F895,Trait_Polarity!$A:$C,2,FALSE),0))+IF(G895="",0,IFNA(VLOOKUP(G895,Trait_Polarity!$A:$C,2,FALSE),0))</f>
        <v/>
      </c>
      <c r="R895">
        <f>IF(F895="",0,IFNA(VLOOKUP(F895,Trait_Polarity!$A:$C,3,FALSE),0))+IF(G895="",0,IFNA(VLOOKUP(G895,Trait_Polarity!$A:$C,3,FALSE),0))</f>
        <v/>
      </c>
      <c r="S895">
        <f>IF(P895="P",(M895+N895+O895)/3,0.3*H895+0.3*I895+0.2*J895+0.1*K895+0.1*L895)</f>
        <v/>
      </c>
      <c r="T895">
        <f>IF(P895="P",IFNA(VLOOKUP(B895,Pitcher_RoleAdj!$A:$B,2,FALSE),0),IFNA(VLOOKUP(B895,Hitter_PrimaryAdj!$A:$B,2,FALSE),0))</f>
        <v/>
      </c>
      <c r="U895">
        <f>IFNA(VLOOKUP(IF(C895="","(none)",C895),SecondaryAdj!$A:$B,2,FALSE),0)</f>
        <v/>
      </c>
      <c r="V895">
        <f>IF(P895="P",0.7780+0.1628*S895+0.2957*Q895-0.1912*R895-0.1512*IF(D895="S",1,0)+0.1600*IF(E895="L",1,0)+0.0091*H895+0.0124*I895+0.0017*J895+T895+U895,-0.8294+0.1849*S895+0.1750*Q895-0.2969*R895+0.6924*IF(D895="S",1,0)+0.0457*IF(E895="L",1,0)+T895+U895)</f>
        <v/>
      </c>
      <c r="W895">
        <f>MAX(0,MIN(16,ROUND(V895,0)))</f>
        <v/>
      </c>
      <c r="X895">
        <f>IFNA(VLOOKUP(W895,Grade_Scale!$A:$B,2,FALSE),"F")</f>
        <v/>
      </c>
      <c r="Z895">
        <f>IF(Y895="","",W895-IFNA(VLOOKUP(Y895,Grade_Scale!$D:$E,2,FALSE),""))</f>
        <v/>
      </c>
    </row>
    <row r="896">
      <c r="P896">
        <f>IF(OR(B896="SP",B896="RP",B896="CP",B896="SP/RP"),"P","H")</f>
        <v/>
      </c>
      <c r="Q896">
        <f>IF(F896="",0,IFNA(VLOOKUP(F896,Trait_Polarity!$A:$C,2,FALSE),0))+IF(G896="",0,IFNA(VLOOKUP(G896,Trait_Polarity!$A:$C,2,FALSE),0))</f>
        <v/>
      </c>
      <c r="R896">
        <f>IF(F896="",0,IFNA(VLOOKUP(F896,Trait_Polarity!$A:$C,3,FALSE),0))+IF(G896="",0,IFNA(VLOOKUP(G896,Trait_Polarity!$A:$C,3,FALSE),0))</f>
        <v/>
      </c>
      <c r="S896">
        <f>IF(P896="P",(M896+N896+O896)/3,0.3*H896+0.3*I896+0.2*J896+0.1*K896+0.1*L896)</f>
        <v/>
      </c>
      <c r="T896">
        <f>IF(P896="P",IFNA(VLOOKUP(B896,Pitcher_RoleAdj!$A:$B,2,FALSE),0),IFNA(VLOOKUP(B896,Hitter_PrimaryAdj!$A:$B,2,FALSE),0))</f>
        <v/>
      </c>
      <c r="U896">
        <f>IFNA(VLOOKUP(IF(C896="","(none)",C896),SecondaryAdj!$A:$B,2,FALSE),0)</f>
        <v/>
      </c>
      <c r="V896">
        <f>IF(P896="P",0.7780+0.1628*S896+0.2957*Q896-0.1912*R896-0.1512*IF(D896="S",1,0)+0.1600*IF(E896="L",1,0)+0.0091*H896+0.0124*I896+0.0017*J896+T896+U896,-0.8294+0.1849*S896+0.1750*Q896-0.2969*R896+0.6924*IF(D896="S",1,0)+0.0457*IF(E896="L",1,0)+T896+U896)</f>
        <v/>
      </c>
      <c r="W896">
        <f>MAX(0,MIN(16,ROUND(V896,0)))</f>
        <v/>
      </c>
      <c r="X896">
        <f>IFNA(VLOOKUP(W896,Grade_Scale!$A:$B,2,FALSE),"F")</f>
        <v/>
      </c>
      <c r="Z896">
        <f>IF(Y896="","",W896-IFNA(VLOOKUP(Y896,Grade_Scale!$D:$E,2,FALSE),""))</f>
        <v/>
      </c>
    </row>
    <row r="897">
      <c r="P897">
        <f>IF(OR(B897="SP",B897="RP",B897="CP",B897="SP/RP"),"P","H")</f>
        <v/>
      </c>
      <c r="Q897">
        <f>IF(F897="",0,IFNA(VLOOKUP(F897,Trait_Polarity!$A:$C,2,FALSE),0))+IF(G897="",0,IFNA(VLOOKUP(G897,Trait_Polarity!$A:$C,2,FALSE),0))</f>
        <v/>
      </c>
      <c r="R897">
        <f>IF(F897="",0,IFNA(VLOOKUP(F897,Trait_Polarity!$A:$C,3,FALSE),0))+IF(G897="",0,IFNA(VLOOKUP(G897,Trait_Polarity!$A:$C,3,FALSE),0))</f>
        <v/>
      </c>
      <c r="S897">
        <f>IF(P897="P",(M897+N897+O897)/3,0.3*H897+0.3*I897+0.2*J897+0.1*K897+0.1*L897)</f>
        <v/>
      </c>
      <c r="T897">
        <f>IF(P897="P",IFNA(VLOOKUP(B897,Pitcher_RoleAdj!$A:$B,2,FALSE),0),IFNA(VLOOKUP(B897,Hitter_PrimaryAdj!$A:$B,2,FALSE),0))</f>
        <v/>
      </c>
      <c r="U897">
        <f>IFNA(VLOOKUP(IF(C897="","(none)",C897),SecondaryAdj!$A:$B,2,FALSE),0)</f>
        <v/>
      </c>
      <c r="V897">
        <f>IF(P897="P",0.7780+0.1628*S897+0.2957*Q897-0.1912*R897-0.1512*IF(D897="S",1,0)+0.1600*IF(E897="L",1,0)+0.0091*H897+0.0124*I897+0.0017*J897+T897+U897,-0.8294+0.1849*S897+0.1750*Q897-0.2969*R897+0.6924*IF(D897="S",1,0)+0.0457*IF(E897="L",1,0)+T897+U897)</f>
        <v/>
      </c>
      <c r="W897">
        <f>MAX(0,MIN(16,ROUND(V897,0)))</f>
        <v/>
      </c>
      <c r="X897">
        <f>IFNA(VLOOKUP(W897,Grade_Scale!$A:$B,2,FALSE),"F")</f>
        <v/>
      </c>
      <c r="Z897">
        <f>IF(Y897="","",W897-IFNA(VLOOKUP(Y897,Grade_Scale!$D:$E,2,FALSE),""))</f>
        <v/>
      </c>
    </row>
    <row r="898">
      <c r="P898">
        <f>IF(OR(B898="SP",B898="RP",B898="CP",B898="SP/RP"),"P","H")</f>
        <v/>
      </c>
      <c r="Q898">
        <f>IF(F898="",0,IFNA(VLOOKUP(F898,Trait_Polarity!$A:$C,2,FALSE),0))+IF(G898="",0,IFNA(VLOOKUP(G898,Trait_Polarity!$A:$C,2,FALSE),0))</f>
        <v/>
      </c>
      <c r="R898">
        <f>IF(F898="",0,IFNA(VLOOKUP(F898,Trait_Polarity!$A:$C,3,FALSE),0))+IF(G898="",0,IFNA(VLOOKUP(G898,Trait_Polarity!$A:$C,3,FALSE),0))</f>
        <v/>
      </c>
      <c r="S898">
        <f>IF(P898="P",(M898+N898+O898)/3,0.3*H898+0.3*I898+0.2*J898+0.1*K898+0.1*L898)</f>
        <v/>
      </c>
      <c r="T898">
        <f>IF(P898="P",IFNA(VLOOKUP(B898,Pitcher_RoleAdj!$A:$B,2,FALSE),0),IFNA(VLOOKUP(B898,Hitter_PrimaryAdj!$A:$B,2,FALSE),0))</f>
        <v/>
      </c>
      <c r="U898">
        <f>IFNA(VLOOKUP(IF(C898="","(none)",C898),SecondaryAdj!$A:$B,2,FALSE),0)</f>
        <v/>
      </c>
      <c r="V898">
        <f>IF(P898="P",0.7780+0.1628*S898+0.2957*Q898-0.1912*R898-0.1512*IF(D898="S",1,0)+0.1600*IF(E898="L",1,0)+0.0091*H898+0.0124*I898+0.0017*J898+T898+U898,-0.8294+0.1849*S898+0.1750*Q898-0.2969*R898+0.6924*IF(D898="S",1,0)+0.0457*IF(E898="L",1,0)+T898+U898)</f>
        <v/>
      </c>
      <c r="W898">
        <f>MAX(0,MIN(16,ROUND(V898,0)))</f>
        <v/>
      </c>
      <c r="X898">
        <f>IFNA(VLOOKUP(W898,Grade_Scale!$A:$B,2,FALSE),"F")</f>
        <v/>
      </c>
      <c r="Z898">
        <f>IF(Y898="","",W898-IFNA(VLOOKUP(Y898,Grade_Scale!$D:$E,2,FALSE),""))</f>
        <v/>
      </c>
    </row>
    <row r="899">
      <c r="P899">
        <f>IF(OR(B899="SP",B899="RP",B899="CP",B899="SP/RP"),"P","H")</f>
        <v/>
      </c>
      <c r="Q899">
        <f>IF(F899="",0,IFNA(VLOOKUP(F899,Trait_Polarity!$A:$C,2,FALSE),0))+IF(G899="",0,IFNA(VLOOKUP(G899,Trait_Polarity!$A:$C,2,FALSE),0))</f>
        <v/>
      </c>
      <c r="R899">
        <f>IF(F899="",0,IFNA(VLOOKUP(F899,Trait_Polarity!$A:$C,3,FALSE),0))+IF(G899="",0,IFNA(VLOOKUP(G899,Trait_Polarity!$A:$C,3,FALSE),0))</f>
        <v/>
      </c>
      <c r="S899">
        <f>IF(P899="P",(M899+N899+O899)/3,0.3*H899+0.3*I899+0.2*J899+0.1*K899+0.1*L899)</f>
        <v/>
      </c>
      <c r="T899">
        <f>IF(P899="P",IFNA(VLOOKUP(B899,Pitcher_RoleAdj!$A:$B,2,FALSE),0),IFNA(VLOOKUP(B899,Hitter_PrimaryAdj!$A:$B,2,FALSE),0))</f>
        <v/>
      </c>
      <c r="U899">
        <f>IFNA(VLOOKUP(IF(C899="","(none)",C899),SecondaryAdj!$A:$B,2,FALSE),0)</f>
        <v/>
      </c>
      <c r="V899">
        <f>IF(P899="P",0.7780+0.1628*S899+0.2957*Q899-0.1912*R899-0.1512*IF(D899="S",1,0)+0.1600*IF(E899="L",1,0)+0.0091*H899+0.0124*I899+0.0017*J899+T899+U899,-0.8294+0.1849*S899+0.1750*Q899-0.2969*R899+0.6924*IF(D899="S",1,0)+0.0457*IF(E899="L",1,0)+T899+U899)</f>
        <v/>
      </c>
      <c r="W899">
        <f>MAX(0,MIN(16,ROUND(V899,0)))</f>
        <v/>
      </c>
      <c r="X899">
        <f>IFNA(VLOOKUP(W899,Grade_Scale!$A:$B,2,FALSE),"F")</f>
        <v/>
      </c>
      <c r="Z899">
        <f>IF(Y899="","",W899-IFNA(VLOOKUP(Y899,Grade_Scale!$D:$E,2,FALSE),""))</f>
        <v/>
      </c>
    </row>
    <row r="900">
      <c r="P900">
        <f>IF(OR(B900="SP",B900="RP",B900="CP",B900="SP/RP"),"P","H")</f>
        <v/>
      </c>
      <c r="Q900">
        <f>IF(F900="",0,IFNA(VLOOKUP(F900,Trait_Polarity!$A:$C,2,FALSE),0))+IF(G900="",0,IFNA(VLOOKUP(G900,Trait_Polarity!$A:$C,2,FALSE),0))</f>
        <v/>
      </c>
      <c r="R900">
        <f>IF(F900="",0,IFNA(VLOOKUP(F900,Trait_Polarity!$A:$C,3,FALSE),0))+IF(G900="",0,IFNA(VLOOKUP(G900,Trait_Polarity!$A:$C,3,FALSE),0))</f>
        <v/>
      </c>
      <c r="S900">
        <f>IF(P900="P",(M900+N900+O900)/3,0.3*H900+0.3*I900+0.2*J900+0.1*K900+0.1*L900)</f>
        <v/>
      </c>
      <c r="T900">
        <f>IF(P900="P",IFNA(VLOOKUP(B900,Pitcher_RoleAdj!$A:$B,2,FALSE),0),IFNA(VLOOKUP(B900,Hitter_PrimaryAdj!$A:$B,2,FALSE),0))</f>
        <v/>
      </c>
      <c r="U900">
        <f>IFNA(VLOOKUP(IF(C900="","(none)",C900),SecondaryAdj!$A:$B,2,FALSE),0)</f>
        <v/>
      </c>
      <c r="V900">
        <f>IF(P900="P",0.7780+0.1628*S900+0.2957*Q900-0.1912*R900-0.1512*IF(D900="S",1,0)+0.1600*IF(E900="L",1,0)+0.0091*H900+0.0124*I900+0.0017*J900+T900+U900,-0.8294+0.1849*S900+0.1750*Q900-0.2969*R900+0.6924*IF(D900="S",1,0)+0.0457*IF(E900="L",1,0)+T900+U900)</f>
        <v/>
      </c>
      <c r="W900">
        <f>MAX(0,MIN(16,ROUND(V900,0)))</f>
        <v/>
      </c>
      <c r="X900">
        <f>IFNA(VLOOKUP(W900,Grade_Scale!$A:$B,2,FALSE),"F")</f>
        <v/>
      </c>
      <c r="Z900">
        <f>IF(Y900="","",W900-IFNA(VLOOKUP(Y900,Grade_Scale!$D:$E,2,FALSE),""))</f>
        <v/>
      </c>
    </row>
    <row r="901">
      <c r="P901">
        <f>IF(OR(B901="SP",B901="RP",B901="CP",B901="SP/RP"),"P","H")</f>
        <v/>
      </c>
      <c r="Q901">
        <f>IF(F901="",0,IFNA(VLOOKUP(F901,Trait_Polarity!$A:$C,2,FALSE),0))+IF(G901="",0,IFNA(VLOOKUP(G901,Trait_Polarity!$A:$C,2,FALSE),0))</f>
        <v/>
      </c>
      <c r="R901">
        <f>IF(F901="",0,IFNA(VLOOKUP(F901,Trait_Polarity!$A:$C,3,FALSE),0))+IF(G901="",0,IFNA(VLOOKUP(G901,Trait_Polarity!$A:$C,3,FALSE),0))</f>
        <v/>
      </c>
      <c r="S901">
        <f>IF(P901="P",(M901+N901+O901)/3,0.3*H901+0.3*I901+0.2*J901+0.1*K901+0.1*L901)</f>
        <v/>
      </c>
      <c r="T901">
        <f>IF(P901="P",IFNA(VLOOKUP(B901,Pitcher_RoleAdj!$A:$B,2,FALSE),0),IFNA(VLOOKUP(B901,Hitter_PrimaryAdj!$A:$B,2,FALSE),0))</f>
        <v/>
      </c>
      <c r="U901">
        <f>IFNA(VLOOKUP(IF(C901="","(none)",C901),SecondaryAdj!$A:$B,2,FALSE),0)</f>
        <v/>
      </c>
      <c r="V901">
        <f>IF(P901="P",0.7780+0.1628*S901+0.2957*Q901-0.1912*R901-0.1512*IF(D901="S",1,0)+0.1600*IF(E901="L",1,0)+0.0091*H901+0.0124*I901+0.0017*J901+T901+U901,-0.8294+0.1849*S901+0.1750*Q901-0.2969*R901+0.6924*IF(D901="S",1,0)+0.0457*IF(E901="L",1,0)+T901+U901)</f>
        <v/>
      </c>
      <c r="W901">
        <f>MAX(0,MIN(16,ROUND(V901,0)))</f>
        <v/>
      </c>
      <c r="X901">
        <f>IFNA(VLOOKUP(W901,Grade_Scale!$A:$B,2,FALSE),"F")</f>
        <v/>
      </c>
      <c r="Z901">
        <f>IF(Y901="","",W901-IFNA(VLOOKUP(Y901,Grade_Scale!$D:$E,2,FALSE),""))</f>
        <v/>
      </c>
    </row>
    <row r="902">
      <c r="P902">
        <f>IF(OR(B902="SP",B902="RP",B902="CP",B902="SP/RP"),"P","H")</f>
        <v/>
      </c>
      <c r="Q902">
        <f>IF(F902="",0,IFNA(VLOOKUP(F902,Trait_Polarity!$A:$C,2,FALSE),0))+IF(G902="",0,IFNA(VLOOKUP(G902,Trait_Polarity!$A:$C,2,FALSE),0))</f>
        <v/>
      </c>
      <c r="R902">
        <f>IF(F902="",0,IFNA(VLOOKUP(F902,Trait_Polarity!$A:$C,3,FALSE),0))+IF(G902="",0,IFNA(VLOOKUP(G902,Trait_Polarity!$A:$C,3,FALSE),0))</f>
        <v/>
      </c>
      <c r="S902">
        <f>IF(P902="P",(M902+N902+O902)/3,0.3*H902+0.3*I902+0.2*J902+0.1*K902+0.1*L902)</f>
        <v/>
      </c>
      <c r="T902">
        <f>IF(P902="P",IFNA(VLOOKUP(B902,Pitcher_RoleAdj!$A:$B,2,FALSE),0),IFNA(VLOOKUP(B902,Hitter_PrimaryAdj!$A:$B,2,FALSE),0))</f>
        <v/>
      </c>
      <c r="U902">
        <f>IFNA(VLOOKUP(IF(C902="","(none)",C902),SecondaryAdj!$A:$B,2,FALSE),0)</f>
        <v/>
      </c>
      <c r="V902">
        <f>IF(P902="P",0.7780+0.1628*S902+0.2957*Q902-0.1912*R902-0.1512*IF(D902="S",1,0)+0.1600*IF(E902="L",1,0)+0.0091*H902+0.0124*I902+0.0017*J902+T902+U902,-0.8294+0.1849*S902+0.1750*Q902-0.2969*R902+0.6924*IF(D902="S",1,0)+0.0457*IF(E902="L",1,0)+T902+U902)</f>
        <v/>
      </c>
      <c r="W902">
        <f>MAX(0,MIN(16,ROUND(V902,0)))</f>
        <v/>
      </c>
      <c r="X902">
        <f>IFNA(VLOOKUP(W902,Grade_Scale!$A:$B,2,FALSE),"F")</f>
        <v/>
      </c>
      <c r="Z902">
        <f>IF(Y902="","",W902-IFNA(VLOOKUP(Y902,Grade_Scale!$D:$E,2,FALSE),""))</f>
        <v/>
      </c>
    </row>
    <row r="903">
      <c r="P903">
        <f>IF(OR(B903="SP",B903="RP",B903="CP",B903="SP/RP"),"P","H")</f>
        <v/>
      </c>
      <c r="Q903">
        <f>IF(F903="",0,IFNA(VLOOKUP(F903,Trait_Polarity!$A:$C,2,FALSE),0))+IF(G903="",0,IFNA(VLOOKUP(G903,Trait_Polarity!$A:$C,2,FALSE),0))</f>
        <v/>
      </c>
      <c r="R903">
        <f>IF(F903="",0,IFNA(VLOOKUP(F903,Trait_Polarity!$A:$C,3,FALSE),0))+IF(G903="",0,IFNA(VLOOKUP(G903,Trait_Polarity!$A:$C,3,FALSE),0))</f>
        <v/>
      </c>
      <c r="S903">
        <f>IF(P903="P",(M903+N903+O903)/3,0.3*H903+0.3*I903+0.2*J903+0.1*K903+0.1*L903)</f>
        <v/>
      </c>
      <c r="T903">
        <f>IF(P903="P",IFNA(VLOOKUP(B903,Pitcher_RoleAdj!$A:$B,2,FALSE),0),IFNA(VLOOKUP(B903,Hitter_PrimaryAdj!$A:$B,2,FALSE),0))</f>
        <v/>
      </c>
      <c r="U903">
        <f>IFNA(VLOOKUP(IF(C903="","(none)",C903),SecondaryAdj!$A:$B,2,FALSE),0)</f>
        <v/>
      </c>
      <c r="V903">
        <f>IF(P903="P",0.7780+0.1628*S903+0.2957*Q903-0.1912*R903-0.1512*IF(D903="S",1,0)+0.1600*IF(E903="L",1,0)+0.0091*H903+0.0124*I903+0.0017*J903+T903+U903,-0.8294+0.1849*S903+0.1750*Q903-0.2969*R903+0.6924*IF(D903="S",1,0)+0.0457*IF(E903="L",1,0)+T903+U903)</f>
        <v/>
      </c>
      <c r="W903">
        <f>MAX(0,MIN(16,ROUND(V903,0)))</f>
        <v/>
      </c>
      <c r="X903">
        <f>IFNA(VLOOKUP(W903,Grade_Scale!$A:$B,2,FALSE),"F")</f>
        <v/>
      </c>
      <c r="Z903">
        <f>IF(Y903="","",W903-IFNA(VLOOKUP(Y903,Grade_Scale!$D:$E,2,FALSE),""))</f>
        <v/>
      </c>
    </row>
    <row r="904">
      <c r="P904">
        <f>IF(OR(B904="SP",B904="RP",B904="CP",B904="SP/RP"),"P","H")</f>
        <v/>
      </c>
      <c r="Q904">
        <f>IF(F904="",0,IFNA(VLOOKUP(F904,Trait_Polarity!$A:$C,2,FALSE),0))+IF(G904="",0,IFNA(VLOOKUP(G904,Trait_Polarity!$A:$C,2,FALSE),0))</f>
        <v/>
      </c>
      <c r="R904">
        <f>IF(F904="",0,IFNA(VLOOKUP(F904,Trait_Polarity!$A:$C,3,FALSE),0))+IF(G904="",0,IFNA(VLOOKUP(G904,Trait_Polarity!$A:$C,3,FALSE),0))</f>
        <v/>
      </c>
      <c r="S904">
        <f>IF(P904="P",(M904+N904+O904)/3,0.3*H904+0.3*I904+0.2*J904+0.1*K904+0.1*L904)</f>
        <v/>
      </c>
      <c r="T904">
        <f>IF(P904="P",IFNA(VLOOKUP(B904,Pitcher_RoleAdj!$A:$B,2,FALSE),0),IFNA(VLOOKUP(B904,Hitter_PrimaryAdj!$A:$B,2,FALSE),0))</f>
        <v/>
      </c>
      <c r="U904">
        <f>IFNA(VLOOKUP(IF(C904="","(none)",C904),SecondaryAdj!$A:$B,2,FALSE),0)</f>
        <v/>
      </c>
      <c r="V904">
        <f>IF(P904="P",0.7780+0.1628*S904+0.2957*Q904-0.1912*R904-0.1512*IF(D904="S",1,0)+0.1600*IF(E904="L",1,0)+0.0091*H904+0.0124*I904+0.0017*J904+T904+U904,-0.8294+0.1849*S904+0.1750*Q904-0.2969*R904+0.6924*IF(D904="S",1,0)+0.0457*IF(E904="L",1,0)+T904+U904)</f>
        <v/>
      </c>
      <c r="W904">
        <f>MAX(0,MIN(16,ROUND(V904,0)))</f>
        <v/>
      </c>
      <c r="X904">
        <f>IFNA(VLOOKUP(W904,Grade_Scale!$A:$B,2,FALSE),"F")</f>
        <v/>
      </c>
      <c r="Z904">
        <f>IF(Y904="","",W904-IFNA(VLOOKUP(Y904,Grade_Scale!$D:$E,2,FALSE),""))</f>
        <v/>
      </c>
    </row>
    <row r="905">
      <c r="P905">
        <f>IF(OR(B905="SP",B905="RP",B905="CP",B905="SP/RP"),"P","H")</f>
        <v/>
      </c>
      <c r="Q905">
        <f>IF(F905="",0,IFNA(VLOOKUP(F905,Trait_Polarity!$A:$C,2,FALSE),0))+IF(G905="",0,IFNA(VLOOKUP(G905,Trait_Polarity!$A:$C,2,FALSE),0))</f>
        <v/>
      </c>
      <c r="R905">
        <f>IF(F905="",0,IFNA(VLOOKUP(F905,Trait_Polarity!$A:$C,3,FALSE),0))+IF(G905="",0,IFNA(VLOOKUP(G905,Trait_Polarity!$A:$C,3,FALSE),0))</f>
        <v/>
      </c>
      <c r="S905">
        <f>IF(P905="P",(M905+N905+O905)/3,0.3*H905+0.3*I905+0.2*J905+0.1*K905+0.1*L905)</f>
        <v/>
      </c>
      <c r="T905">
        <f>IF(P905="P",IFNA(VLOOKUP(B905,Pitcher_RoleAdj!$A:$B,2,FALSE),0),IFNA(VLOOKUP(B905,Hitter_PrimaryAdj!$A:$B,2,FALSE),0))</f>
        <v/>
      </c>
      <c r="U905">
        <f>IFNA(VLOOKUP(IF(C905="","(none)",C905),SecondaryAdj!$A:$B,2,FALSE),0)</f>
        <v/>
      </c>
      <c r="V905">
        <f>IF(P905="P",0.7780+0.1628*S905+0.2957*Q905-0.1912*R905-0.1512*IF(D905="S",1,0)+0.1600*IF(E905="L",1,0)+0.0091*H905+0.0124*I905+0.0017*J905+T905+U905,-0.8294+0.1849*S905+0.1750*Q905-0.2969*R905+0.6924*IF(D905="S",1,0)+0.0457*IF(E905="L",1,0)+T905+U905)</f>
        <v/>
      </c>
      <c r="W905">
        <f>MAX(0,MIN(16,ROUND(V905,0)))</f>
        <v/>
      </c>
      <c r="X905">
        <f>IFNA(VLOOKUP(W905,Grade_Scale!$A:$B,2,FALSE),"F")</f>
        <v/>
      </c>
      <c r="Z905">
        <f>IF(Y905="","",W905-IFNA(VLOOKUP(Y905,Grade_Scale!$D:$E,2,FALSE),""))</f>
        <v/>
      </c>
    </row>
    <row r="906">
      <c r="P906">
        <f>IF(OR(B906="SP",B906="RP",B906="CP",B906="SP/RP"),"P","H")</f>
        <v/>
      </c>
      <c r="Q906">
        <f>IF(F906="",0,IFNA(VLOOKUP(F906,Trait_Polarity!$A:$C,2,FALSE),0))+IF(G906="",0,IFNA(VLOOKUP(G906,Trait_Polarity!$A:$C,2,FALSE),0))</f>
        <v/>
      </c>
      <c r="R906">
        <f>IF(F906="",0,IFNA(VLOOKUP(F906,Trait_Polarity!$A:$C,3,FALSE),0))+IF(G906="",0,IFNA(VLOOKUP(G906,Trait_Polarity!$A:$C,3,FALSE),0))</f>
        <v/>
      </c>
      <c r="S906">
        <f>IF(P906="P",(M906+N906+O906)/3,0.3*H906+0.3*I906+0.2*J906+0.1*K906+0.1*L906)</f>
        <v/>
      </c>
      <c r="T906">
        <f>IF(P906="P",IFNA(VLOOKUP(B906,Pitcher_RoleAdj!$A:$B,2,FALSE),0),IFNA(VLOOKUP(B906,Hitter_PrimaryAdj!$A:$B,2,FALSE),0))</f>
        <v/>
      </c>
      <c r="U906">
        <f>IFNA(VLOOKUP(IF(C906="","(none)",C906),SecondaryAdj!$A:$B,2,FALSE),0)</f>
        <v/>
      </c>
      <c r="V906">
        <f>IF(P906="P",0.7780+0.1628*S906+0.2957*Q906-0.1912*R906-0.1512*IF(D906="S",1,0)+0.1600*IF(E906="L",1,0)+0.0091*H906+0.0124*I906+0.0017*J906+T906+U906,-0.8294+0.1849*S906+0.1750*Q906-0.2969*R906+0.6924*IF(D906="S",1,0)+0.0457*IF(E906="L",1,0)+T906+U906)</f>
        <v/>
      </c>
      <c r="W906">
        <f>MAX(0,MIN(16,ROUND(V906,0)))</f>
        <v/>
      </c>
      <c r="X906">
        <f>IFNA(VLOOKUP(W906,Grade_Scale!$A:$B,2,FALSE),"F")</f>
        <v/>
      </c>
      <c r="Z906">
        <f>IF(Y906="","",W906-IFNA(VLOOKUP(Y906,Grade_Scale!$D:$E,2,FALSE),""))</f>
        <v/>
      </c>
    </row>
    <row r="907">
      <c r="P907">
        <f>IF(OR(B907="SP",B907="RP",B907="CP",B907="SP/RP"),"P","H")</f>
        <v/>
      </c>
      <c r="Q907">
        <f>IF(F907="",0,IFNA(VLOOKUP(F907,Trait_Polarity!$A:$C,2,FALSE),0))+IF(G907="",0,IFNA(VLOOKUP(G907,Trait_Polarity!$A:$C,2,FALSE),0))</f>
        <v/>
      </c>
      <c r="R907">
        <f>IF(F907="",0,IFNA(VLOOKUP(F907,Trait_Polarity!$A:$C,3,FALSE),0))+IF(G907="",0,IFNA(VLOOKUP(G907,Trait_Polarity!$A:$C,3,FALSE),0))</f>
        <v/>
      </c>
      <c r="S907">
        <f>IF(P907="P",(M907+N907+O907)/3,0.3*H907+0.3*I907+0.2*J907+0.1*K907+0.1*L907)</f>
        <v/>
      </c>
      <c r="T907">
        <f>IF(P907="P",IFNA(VLOOKUP(B907,Pitcher_RoleAdj!$A:$B,2,FALSE),0),IFNA(VLOOKUP(B907,Hitter_PrimaryAdj!$A:$B,2,FALSE),0))</f>
        <v/>
      </c>
      <c r="U907">
        <f>IFNA(VLOOKUP(IF(C907="","(none)",C907),SecondaryAdj!$A:$B,2,FALSE),0)</f>
        <v/>
      </c>
      <c r="V907">
        <f>IF(P907="P",0.7780+0.1628*S907+0.2957*Q907-0.1912*R907-0.1512*IF(D907="S",1,0)+0.1600*IF(E907="L",1,0)+0.0091*H907+0.0124*I907+0.0017*J907+T907+U907,-0.8294+0.1849*S907+0.1750*Q907-0.2969*R907+0.6924*IF(D907="S",1,0)+0.0457*IF(E907="L",1,0)+T907+U907)</f>
        <v/>
      </c>
      <c r="W907">
        <f>MAX(0,MIN(16,ROUND(V907,0)))</f>
        <v/>
      </c>
      <c r="X907">
        <f>IFNA(VLOOKUP(W907,Grade_Scale!$A:$B,2,FALSE),"F")</f>
        <v/>
      </c>
      <c r="Z907">
        <f>IF(Y907="","",W907-IFNA(VLOOKUP(Y907,Grade_Scale!$D:$E,2,FALSE),""))</f>
        <v/>
      </c>
    </row>
    <row r="908">
      <c r="P908">
        <f>IF(OR(B908="SP",B908="RP",B908="CP",B908="SP/RP"),"P","H")</f>
        <v/>
      </c>
      <c r="Q908">
        <f>IF(F908="",0,IFNA(VLOOKUP(F908,Trait_Polarity!$A:$C,2,FALSE),0))+IF(G908="",0,IFNA(VLOOKUP(G908,Trait_Polarity!$A:$C,2,FALSE),0))</f>
        <v/>
      </c>
      <c r="R908">
        <f>IF(F908="",0,IFNA(VLOOKUP(F908,Trait_Polarity!$A:$C,3,FALSE),0))+IF(G908="",0,IFNA(VLOOKUP(G908,Trait_Polarity!$A:$C,3,FALSE),0))</f>
        <v/>
      </c>
      <c r="S908">
        <f>IF(P908="P",(M908+N908+O908)/3,0.3*H908+0.3*I908+0.2*J908+0.1*K908+0.1*L908)</f>
        <v/>
      </c>
      <c r="T908">
        <f>IF(P908="P",IFNA(VLOOKUP(B908,Pitcher_RoleAdj!$A:$B,2,FALSE),0),IFNA(VLOOKUP(B908,Hitter_PrimaryAdj!$A:$B,2,FALSE),0))</f>
        <v/>
      </c>
      <c r="U908">
        <f>IFNA(VLOOKUP(IF(C908="","(none)",C908),SecondaryAdj!$A:$B,2,FALSE),0)</f>
        <v/>
      </c>
      <c r="V908">
        <f>IF(P908="P",0.7780+0.1628*S908+0.2957*Q908-0.1912*R908-0.1512*IF(D908="S",1,0)+0.1600*IF(E908="L",1,0)+0.0091*H908+0.0124*I908+0.0017*J908+T908+U908,-0.8294+0.1849*S908+0.1750*Q908-0.2969*R908+0.6924*IF(D908="S",1,0)+0.0457*IF(E908="L",1,0)+T908+U908)</f>
        <v/>
      </c>
      <c r="W908">
        <f>MAX(0,MIN(16,ROUND(V908,0)))</f>
        <v/>
      </c>
      <c r="X908">
        <f>IFNA(VLOOKUP(W908,Grade_Scale!$A:$B,2,FALSE),"F")</f>
        <v/>
      </c>
      <c r="Z908">
        <f>IF(Y908="","",W908-IFNA(VLOOKUP(Y908,Grade_Scale!$D:$E,2,FALSE),""))</f>
        <v/>
      </c>
    </row>
    <row r="909">
      <c r="P909">
        <f>IF(OR(B909="SP",B909="RP",B909="CP",B909="SP/RP"),"P","H")</f>
        <v/>
      </c>
      <c r="Q909">
        <f>IF(F909="",0,IFNA(VLOOKUP(F909,Trait_Polarity!$A:$C,2,FALSE),0))+IF(G909="",0,IFNA(VLOOKUP(G909,Trait_Polarity!$A:$C,2,FALSE),0))</f>
        <v/>
      </c>
      <c r="R909">
        <f>IF(F909="",0,IFNA(VLOOKUP(F909,Trait_Polarity!$A:$C,3,FALSE),0))+IF(G909="",0,IFNA(VLOOKUP(G909,Trait_Polarity!$A:$C,3,FALSE),0))</f>
        <v/>
      </c>
      <c r="S909">
        <f>IF(P909="P",(M909+N909+O909)/3,0.3*H909+0.3*I909+0.2*J909+0.1*K909+0.1*L909)</f>
        <v/>
      </c>
      <c r="T909">
        <f>IF(P909="P",IFNA(VLOOKUP(B909,Pitcher_RoleAdj!$A:$B,2,FALSE),0),IFNA(VLOOKUP(B909,Hitter_PrimaryAdj!$A:$B,2,FALSE),0))</f>
        <v/>
      </c>
      <c r="U909">
        <f>IFNA(VLOOKUP(IF(C909="","(none)",C909),SecondaryAdj!$A:$B,2,FALSE),0)</f>
        <v/>
      </c>
      <c r="V909">
        <f>IF(P909="P",0.7780+0.1628*S909+0.2957*Q909-0.1912*R909-0.1512*IF(D909="S",1,0)+0.1600*IF(E909="L",1,0)+0.0091*H909+0.0124*I909+0.0017*J909+T909+U909,-0.8294+0.1849*S909+0.1750*Q909-0.2969*R909+0.6924*IF(D909="S",1,0)+0.0457*IF(E909="L",1,0)+T909+U909)</f>
        <v/>
      </c>
      <c r="W909">
        <f>MAX(0,MIN(16,ROUND(V909,0)))</f>
        <v/>
      </c>
      <c r="X909">
        <f>IFNA(VLOOKUP(W909,Grade_Scale!$A:$B,2,FALSE),"F")</f>
        <v/>
      </c>
      <c r="Z909">
        <f>IF(Y909="","",W909-IFNA(VLOOKUP(Y909,Grade_Scale!$D:$E,2,FALSE),""))</f>
        <v/>
      </c>
    </row>
    <row r="910">
      <c r="P910">
        <f>IF(OR(B910="SP",B910="RP",B910="CP",B910="SP/RP"),"P","H")</f>
        <v/>
      </c>
      <c r="Q910">
        <f>IF(F910="",0,IFNA(VLOOKUP(F910,Trait_Polarity!$A:$C,2,FALSE),0))+IF(G910="",0,IFNA(VLOOKUP(G910,Trait_Polarity!$A:$C,2,FALSE),0))</f>
        <v/>
      </c>
      <c r="R910">
        <f>IF(F910="",0,IFNA(VLOOKUP(F910,Trait_Polarity!$A:$C,3,FALSE),0))+IF(G910="",0,IFNA(VLOOKUP(G910,Trait_Polarity!$A:$C,3,FALSE),0))</f>
        <v/>
      </c>
      <c r="S910">
        <f>IF(P910="P",(M910+N910+O910)/3,0.3*H910+0.3*I910+0.2*J910+0.1*K910+0.1*L910)</f>
        <v/>
      </c>
      <c r="T910">
        <f>IF(P910="P",IFNA(VLOOKUP(B910,Pitcher_RoleAdj!$A:$B,2,FALSE),0),IFNA(VLOOKUP(B910,Hitter_PrimaryAdj!$A:$B,2,FALSE),0))</f>
        <v/>
      </c>
      <c r="U910">
        <f>IFNA(VLOOKUP(IF(C910="","(none)",C910),SecondaryAdj!$A:$B,2,FALSE),0)</f>
        <v/>
      </c>
      <c r="V910">
        <f>IF(P910="P",0.7780+0.1628*S910+0.2957*Q910-0.1912*R910-0.1512*IF(D910="S",1,0)+0.1600*IF(E910="L",1,0)+0.0091*H910+0.0124*I910+0.0017*J910+T910+U910,-0.8294+0.1849*S910+0.1750*Q910-0.2969*R910+0.6924*IF(D910="S",1,0)+0.0457*IF(E910="L",1,0)+T910+U910)</f>
        <v/>
      </c>
      <c r="W910">
        <f>MAX(0,MIN(16,ROUND(V910,0)))</f>
        <v/>
      </c>
      <c r="X910">
        <f>IFNA(VLOOKUP(W910,Grade_Scale!$A:$B,2,FALSE),"F")</f>
        <v/>
      </c>
      <c r="Z910">
        <f>IF(Y910="","",W910-IFNA(VLOOKUP(Y910,Grade_Scale!$D:$E,2,FALSE),""))</f>
        <v/>
      </c>
    </row>
    <row r="911">
      <c r="P911">
        <f>IF(OR(B911="SP",B911="RP",B911="CP",B911="SP/RP"),"P","H")</f>
        <v/>
      </c>
      <c r="Q911">
        <f>IF(F911="",0,IFNA(VLOOKUP(F911,Trait_Polarity!$A:$C,2,FALSE),0))+IF(G911="",0,IFNA(VLOOKUP(G911,Trait_Polarity!$A:$C,2,FALSE),0))</f>
        <v/>
      </c>
      <c r="R911">
        <f>IF(F911="",0,IFNA(VLOOKUP(F911,Trait_Polarity!$A:$C,3,FALSE),0))+IF(G911="",0,IFNA(VLOOKUP(G911,Trait_Polarity!$A:$C,3,FALSE),0))</f>
        <v/>
      </c>
      <c r="S911">
        <f>IF(P911="P",(M911+N911+O911)/3,0.3*H911+0.3*I911+0.2*J911+0.1*K911+0.1*L911)</f>
        <v/>
      </c>
      <c r="T911">
        <f>IF(P911="P",IFNA(VLOOKUP(B911,Pitcher_RoleAdj!$A:$B,2,FALSE),0),IFNA(VLOOKUP(B911,Hitter_PrimaryAdj!$A:$B,2,FALSE),0))</f>
        <v/>
      </c>
      <c r="U911">
        <f>IFNA(VLOOKUP(IF(C911="","(none)",C911),SecondaryAdj!$A:$B,2,FALSE),0)</f>
        <v/>
      </c>
      <c r="V911">
        <f>IF(P911="P",0.7780+0.1628*S911+0.2957*Q911-0.1912*R911-0.1512*IF(D911="S",1,0)+0.1600*IF(E911="L",1,0)+0.0091*H911+0.0124*I911+0.0017*J911+T911+U911,-0.8294+0.1849*S911+0.1750*Q911-0.2969*R911+0.6924*IF(D911="S",1,0)+0.0457*IF(E911="L",1,0)+T911+U911)</f>
        <v/>
      </c>
      <c r="W911">
        <f>MAX(0,MIN(16,ROUND(V911,0)))</f>
        <v/>
      </c>
      <c r="X911">
        <f>IFNA(VLOOKUP(W911,Grade_Scale!$A:$B,2,FALSE),"F")</f>
        <v/>
      </c>
      <c r="Z911">
        <f>IF(Y911="","",W911-IFNA(VLOOKUP(Y911,Grade_Scale!$D:$E,2,FALSE),""))</f>
        <v/>
      </c>
    </row>
    <row r="912">
      <c r="P912">
        <f>IF(OR(B912="SP",B912="RP",B912="CP",B912="SP/RP"),"P","H")</f>
        <v/>
      </c>
      <c r="Q912">
        <f>IF(F912="",0,IFNA(VLOOKUP(F912,Trait_Polarity!$A:$C,2,FALSE),0))+IF(G912="",0,IFNA(VLOOKUP(G912,Trait_Polarity!$A:$C,2,FALSE),0))</f>
        <v/>
      </c>
      <c r="R912">
        <f>IF(F912="",0,IFNA(VLOOKUP(F912,Trait_Polarity!$A:$C,3,FALSE),0))+IF(G912="",0,IFNA(VLOOKUP(G912,Trait_Polarity!$A:$C,3,FALSE),0))</f>
        <v/>
      </c>
      <c r="S912">
        <f>IF(P912="P",(M912+N912+O912)/3,0.3*H912+0.3*I912+0.2*J912+0.1*K912+0.1*L912)</f>
        <v/>
      </c>
      <c r="T912">
        <f>IF(P912="P",IFNA(VLOOKUP(B912,Pitcher_RoleAdj!$A:$B,2,FALSE),0),IFNA(VLOOKUP(B912,Hitter_PrimaryAdj!$A:$B,2,FALSE),0))</f>
        <v/>
      </c>
      <c r="U912">
        <f>IFNA(VLOOKUP(IF(C912="","(none)",C912),SecondaryAdj!$A:$B,2,FALSE),0)</f>
        <v/>
      </c>
      <c r="V912">
        <f>IF(P912="P",0.7780+0.1628*S912+0.2957*Q912-0.1912*R912-0.1512*IF(D912="S",1,0)+0.1600*IF(E912="L",1,0)+0.0091*H912+0.0124*I912+0.0017*J912+T912+U912,-0.8294+0.1849*S912+0.1750*Q912-0.2969*R912+0.6924*IF(D912="S",1,0)+0.0457*IF(E912="L",1,0)+T912+U912)</f>
        <v/>
      </c>
      <c r="W912">
        <f>MAX(0,MIN(16,ROUND(V912,0)))</f>
        <v/>
      </c>
      <c r="X912">
        <f>IFNA(VLOOKUP(W912,Grade_Scale!$A:$B,2,FALSE),"F")</f>
        <v/>
      </c>
      <c r="Z912">
        <f>IF(Y912="","",W912-IFNA(VLOOKUP(Y912,Grade_Scale!$D:$E,2,FALSE),""))</f>
        <v/>
      </c>
    </row>
    <row r="913">
      <c r="P913">
        <f>IF(OR(B913="SP",B913="RP",B913="CP",B913="SP/RP"),"P","H")</f>
        <v/>
      </c>
      <c r="Q913">
        <f>IF(F913="",0,IFNA(VLOOKUP(F913,Trait_Polarity!$A:$C,2,FALSE),0))+IF(G913="",0,IFNA(VLOOKUP(G913,Trait_Polarity!$A:$C,2,FALSE),0))</f>
        <v/>
      </c>
      <c r="R913">
        <f>IF(F913="",0,IFNA(VLOOKUP(F913,Trait_Polarity!$A:$C,3,FALSE),0))+IF(G913="",0,IFNA(VLOOKUP(G913,Trait_Polarity!$A:$C,3,FALSE),0))</f>
        <v/>
      </c>
      <c r="S913">
        <f>IF(P913="P",(M913+N913+O913)/3,0.3*H913+0.3*I913+0.2*J913+0.1*K913+0.1*L913)</f>
        <v/>
      </c>
      <c r="T913">
        <f>IF(P913="P",IFNA(VLOOKUP(B913,Pitcher_RoleAdj!$A:$B,2,FALSE),0),IFNA(VLOOKUP(B913,Hitter_PrimaryAdj!$A:$B,2,FALSE),0))</f>
        <v/>
      </c>
      <c r="U913">
        <f>IFNA(VLOOKUP(IF(C913="","(none)",C913),SecondaryAdj!$A:$B,2,FALSE),0)</f>
        <v/>
      </c>
      <c r="V913">
        <f>IF(P913="P",0.7780+0.1628*S913+0.2957*Q913-0.1912*R913-0.1512*IF(D913="S",1,0)+0.1600*IF(E913="L",1,0)+0.0091*H913+0.0124*I913+0.0017*J913+T913+U913,-0.8294+0.1849*S913+0.1750*Q913-0.2969*R913+0.6924*IF(D913="S",1,0)+0.0457*IF(E913="L",1,0)+T913+U913)</f>
        <v/>
      </c>
      <c r="W913">
        <f>MAX(0,MIN(16,ROUND(V913,0)))</f>
        <v/>
      </c>
      <c r="X913">
        <f>IFNA(VLOOKUP(W913,Grade_Scale!$A:$B,2,FALSE),"F")</f>
        <v/>
      </c>
      <c r="Z913">
        <f>IF(Y913="","",W913-IFNA(VLOOKUP(Y913,Grade_Scale!$D:$E,2,FALSE),""))</f>
        <v/>
      </c>
    </row>
    <row r="914">
      <c r="P914">
        <f>IF(OR(B914="SP",B914="RP",B914="CP",B914="SP/RP"),"P","H")</f>
        <v/>
      </c>
      <c r="Q914">
        <f>IF(F914="",0,IFNA(VLOOKUP(F914,Trait_Polarity!$A:$C,2,FALSE),0))+IF(G914="",0,IFNA(VLOOKUP(G914,Trait_Polarity!$A:$C,2,FALSE),0))</f>
        <v/>
      </c>
      <c r="R914">
        <f>IF(F914="",0,IFNA(VLOOKUP(F914,Trait_Polarity!$A:$C,3,FALSE),0))+IF(G914="",0,IFNA(VLOOKUP(G914,Trait_Polarity!$A:$C,3,FALSE),0))</f>
        <v/>
      </c>
      <c r="S914">
        <f>IF(P914="P",(M914+N914+O914)/3,0.3*H914+0.3*I914+0.2*J914+0.1*K914+0.1*L914)</f>
        <v/>
      </c>
      <c r="T914">
        <f>IF(P914="P",IFNA(VLOOKUP(B914,Pitcher_RoleAdj!$A:$B,2,FALSE),0),IFNA(VLOOKUP(B914,Hitter_PrimaryAdj!$A:$B,2,FALSE),0))</f>
        <v/>
      </c>
      <c r="U914">
        <f>IFNA(VLOOKUP(IF(C914="","(none)",C914),SecondaryAdj!$A:$B,2,FALSE),0)</f>
        <v/>
      </c>
      <c r="V914">
        <f>IF(P914="P",0.7780+0.1628*S914+0.2957*Q914-0.1912*R914-0.1512*IF(D914="S",1,0)+0.1600*IF(E914="L",1,0)+0.0091*H914+0.0124*I914+0.0017*J914+T914+U914,-0.8294+0.1849*S914+0.1750*Q914-0.2969*R914+0.6924*IF(D914="S",1,0)+0.0457*IF(E914="L",1,0)+T914+U914)</f>
        <v/>
      </c>
      <c r="W914">
        <f>MAX(0,MIN(16,ROUND(V914,0)))</f>
        <v/>
      </c>
      <c r="X914">
        <f>IFNA(VLOOKUP(W914,Grade_Scale!$A:$B,2,FALSE),"F")</f>
        <v/>
      </c>
      <c r="Z914">
        <f>IF(Y914="","",W914-IFNA(VLOOKUP(Y914,Grade_Scale!$D:$E,2,FALSE),""))</f>
        <v/>
      </c>
    </row>
    <row r="915">
      <c r="P915">
        <f>IF(OR(B915="SP",B915="RP",B915="CP",B915="SP/RP"),"P","H")</f>
        <v/>
      </c>
      <c r="Q915">
        <f>IF(F915="",0,IFNA(VLOOKUP(F915,Trait_Polarity!$A:$C,2,FALSE),0))+IF(G915="",0,IFNA(VLOOKUP(G915,Trait_Polarity!$A:$C,2,FALSE),0))</f>
        <v/>
      </c>
      <c r="R915">
        <f>IF(F915="",0,IFNA(VLOOKUP(F915,Trait_Polarity!$A:$C,3,FALSE),0))+IF(G915="",0,IFNA(VLOOKUP(G915,Trait_Polarity!$A:$C,3,FALSE),0))</f>
        <v/>
      </c>
      <c r="S915">
        <f>IF(P915="P",(M915+N915+O915)/3,0.3*H915+0.3*I915+0.2*J915+0.1*K915+0.1*L915)</f>
        <v/>
      </c>
      <c r="T915">
        <f>IF(P915="P",IFNA(VLOOKUP(B915,Pitcher_RoleAdj!$A:$B,2,FALSE),0),IFNA(VLOOKUP(B915,Hitter_PrimaryAdj!$A:$B,2,FALSE),0))</f>
        <v/>
      </c>
      <c r="U915">
        <f>IFNA(VLOOKUP(IF(C915="","(none)",C915),SecondaryAdj!$A:$B,2,FALSE),0)</f>
        <v/>
      </c>
      <c r="V915">
        <f>IF(P915="P",0.7780+0.1628*S915+0.2957*Q915-0.1912*R915-0.1512*IF(D915="S",1,0)+0.1600*IF(E915="L",1,0)+0.0091*H915+0.0124*I915+0.0017*J915+T915+U915,-0.8294+0.1849*S915+0.1750*Q915-0.2969*R915+0.6924*IF(D915="S",1,0)+0.0457*IF(E915="L",1,0)+T915+U915)</f>
        <v/>
      </c>
      <c r="W915">
        <f>MAX(0,MIN(16,ROUND(V915,0)))</f>
        <v/>
      </c>
      <c r="X915">
        <f>IFNA(VLOOKUP(W915,Grade_Scale!$A:$B,2,FALSE),"F")</f>
        <v/>
      </c>
      <c r="Z915">
        <f>IF(Y915="","",W915-IFNA(VLOOKUP(Y915,Grade_Scale!$D:$E,2,FALSE),""))</f>
        <v/>
      </c>
    </row>
    <row r="916">
      <c r="P916">
        <f>IF(OR(B916="SP",B916="RP",B916="CP",B916="SP/RP"),"P","H")</f>
        <v/>
      </c>
      <c r="Q916">
        <f>IF(F916="",0,IFNA(VLOOKUP(F916,Trait_Polarity!$A:$C,2,FALSE),0))+IF(G916="",0,IFNA(VLOOKUP(G916,Trait_Polarity!$A:$C,2,FALSE),0))</f>
        <v/>
      </c>
      <c r="R916">
        <f>IF(F916="",0,IFNA(VLOOKUP(F916,Trait_Polarity!$A:$C,3,FALSE),0))+IF(G916="",0,IFNA(VLOOKUP(G916,Trait_Polarity!$A:$C,3,FALSE),0))</f>
        <v/>
      </c>
      <c r="S916">
        <f>IF(P916="P",(M916+N916+O916)/3,0.3*H916+0.3*I916+0.2*J916+0.1*K916+0.1*L916)</f>
        <v/>
      </c>
      <c r="T916">
        <f>IF(P916="P",IFNA(VLOOKUP(B916,Pitcher_RoleAdj!$A:$B,2,FALSE),0),IFNA(VLOOKUP(B916,Hitter_PrimaryAdj!$A:$B,2,FALSE),0))</f>
        <v/>
      </c>
      <c r="U916">
        <f>IFNA(VLOOKUP(IF(C916="","(none)",C916),SecondaryAdj!$A:$B,2,FALSE),0)</f>
        <v/>
      </c>
      <c r="V916">
        <f>IF(P916="P",0.7780+0.1628*S916+0.2957*Q916-0.1912*R916-0.1512*IF(D916="S",1,0)+0.1600*IF(E916="L",1,0)+0.0091*H916+0.0124*I916+0.0017*J916+T916+U916,-0.8294+0.1849*S916+0.1750*Q916-0.2969*R916+0.6924*IF(D916="S",1,0)+0.0457*IF(E916="L",1,0)+T916+U916)</f>
        <v/>
      </c>
      <c r="W916">
        <f>MAX(0,MIN(16,ROUND(V916,0)))</f>
        <v/>
      </c>
      <c r="X916">
        <f>IFNA(VLOOKUP(W916,Grade_Scale!$A:$B,2,FALSE),"F")</f>
        <v/>
      </c>
      <c r="Z916">
        <f>IF(Y916="","",W916-IFNA(VLOOKUP(Y916,Grade_Scale!$D:$E,2,FALSE),""))</f>
        <v/>
      </c>
    </row>
    <row r="917">
      <c r="P917">
        <f>IF(OR(B917="SP",B917="RP",B917="CP",B917="SP/RP"),"P","H")</f>
        <v/>
      </c>
      <c r="Q917">
        <f>IF(F917="",0,IFNA(VLOOKUP(F917,Trait_Polarity!$A:$C,2,FALSE),0))+IF(G917="",0,IFNA(VLOOKUP(G917,Trait_Polarity!$A:$C,2,FALSE),0))</f>
        <v/>
      </c>
      <c r="R917">
        <f>IF(F917="",0,IFNA(VLOOKUP(F917,Trait_Polarity!$A:$C,3,FALSE),0))+IF(G917="",0,IFNA(VLOOKUP(G917,Trait_Polarity!$A:$C,3,FALSE),0))</f>
        <v/>
      </c>
      <c r="S917">
        <f>IF(P917="P",(M917+N917+O917)/3,0.3*H917+0.3*I917+0.2*J917+0.1*K917+0.1*L917)</f>
        <v/>
      </c>
      <c r="T917">
        <f>IF(P917="P",IFNA(VLOOKUP(B917,Pitcher_RoleAdj!$A:$B,2,FALSE),0),IFNA(VLOOKUP(B917,Hitter_PrimaryAdj!$A:$B,2,FALSE),0))</f>
        <v/>
      </c>
      <c r="U917">
        <f>IFNA(VLOOKUP(IF(C917="","(none)",C917),SecondaryAdj!$A:$B,2,FALSE),0)</f>
        <v/>
      </c>
      <c r="V917">
        <f>IF(P917="P",0.7780+0.1628*S917+0.2957*Q917-0.1912*R917-0.1512*IF(D917="S",1,0)+0.1600*IF(E917="L",1,0)+0.0091*H917+0.0124*I917+0.0017*J917+T917+U917,-0.8294+0.1849*S917+0.1750*Q917-0.2969*R917+0.6924*IF(D917="S",1,0)+0.0457*IF(E917="L",1,0)+T917+U917)</f>
        <v/>
      </c>
      <c r="W917">
        <f>MAX(0,MIN(16,ROUND(V917,0)))</f>
        <v/>
      </c>
      <c r="X917">
        <f>IFNA(VLOOKUP(W917,Grade_Scale!$A:$B,2,FALSE),"F")</f>
        <v/>
      </c>
      <c r="Z917">
        <f>IF(Y917="","",W917-IFNA(VLOOKUP(Y917,Grade_Scale!$D:$E,2,FALSE),""))</f>
        <v/>
      </c>
    </row>
    <row r="918">
      <c r="P918">
        <f>IF(OR(B918="SP",B918="RP",B918="CP",B918="SP/RP"),"P","H")</f>
        <v/>
      </c>
      <c r="Q918">
        <f>IF(F918="",0,IFNA(VLOOKUP(F918,Trait_Polarity!$A:$C,2,FALSE),0))+IF(G918="",0,IFNA(VLOOKUP(G918,Trait_Polarity!$A:$C,2,FALSE),0))</f>
        <v/>
      </c>
      <c r="R918">
        <f>IF(F918="",0,IFNA(VLOOKUP(F918,Trait_Polarity!$A:$C,3,FALSE),0))+IF(G918="",0,IFNA(VLOOKUP(G918,Trait_Polarity!$A:$C,3,FALSE),0))</f>
        <v/>
      </c>
      <c r="S918">
        <f>IF(P918="P",(M918+N918+O918)/3,0.3*H918+0.3*I918+0.2*J918+0.1*K918+0.1*L918)</f>
        <v/>
      </c>
      <c r="T918">
        <f>IF(P918="P",IFNA(VLOOKUP(B918,Pitcher_RoleAdj!$A:$B,2,FALSE),0),IFNA(VLOOKUP(B918,Hitter_PrimaryAdj!$A:$B,2,FALSE),0))</f>
        <v/>
      </c>
      <c r="U918">
        <f>IFNA(VLOOKUP(IF(C918="","(none)",C918),SecondaryAdj!$A:$B,2,FALSE),0)</f>
        <v/>
      </c>
      <c r="V918">
        <f>IF(P918="P",0.7780+0.1628*S918+0.2957*Q918-0.1912*R918-0.1512*IF(D918="S",1,0)+0.1600*IF(E918="L",1,0)+0.0091*H918+0.0124*I918+0.0017*J918+T918+U918,-0.8294+0.1849*S918+0.1750*Q918-0.2969*R918+0.6924*IF(D918="S",1,0)+0.0457*IF(E918="L",1,0)+T918+U918)</f>
        <v/>
      </c>
      <c r="W918">
        <f>MAX(0,MIN(16,ROUND(V918,0)))</f>
        <v/>
      </c>
      <c r="X918">
        <f>IFNA(VLOOKUP(W918,Grade_Scale!$A:$B,2,FALSE),"F")</f>
        <v/>
      </c>
      <c r="Z918">
        <f>IF(Y918="","",W918-IFNA(VLOOKUP(Y918,Grade_Scale!$D:$E,2,FALSE),""))</f>
        <v/>
      </c>
    </row>
    <row r="919">
      <c r="P919">
        <f>IF(OR(B919="SP",B919="RP",B919="CP",B919="SP/RP"),"P","H")</f>
        <v/>
      </c>
      <c r="Q919">
        <f>IF(F919="",0,IFNA(VLOOKUP(F919,Trait_Polarity!$A:$C,2,FALSE),0))+IF(G919="",0,IFNA(VLOOKUP(G919,Trait_Polarity!$A:$C,2,FALSE),0))</f>
        <v/>
      </c>
      <c r="R919">
        <f>IF(F919="",0,IFNA(VLOOKUP(F919,Trait_Polarity!$A:$C,3,FALSE),0))+IF(G919="",0,IFNA(VLOOKUP(G919,Trait_Polarity!$A:$C,3,FALSE),0))</f>
        <v/>
      </c>
      <c r="S919">
        <f>IF(P919="P",(M919+N919+O919)/3,0.3*H919+0.3*I919+0.2*J919+0.1*K919+0.1*L919)</f>
        <v/>
      </c>
      <c r="T919">
        <f>IF(P919="P",IFNA(VLOOKUP(B919,Pitcher_RoleAdj!$A:$B,2,FALSE),0),IFNA(VLOOKUP(B919,Hitter_PrimaryAdj!$A:$B,2,FALSE),0))</f>
        <v/>
      </c>
      <c r="U919">
        <f>IFNA(VLOOKUP(IF(C919="","(none)",C919),SecondaryAdj!$A:$B,2,FALSE),0)</f>
        <v/>
      </c>
      <c r="V919">
        <f>IF(P919="P",0.7780+0.1628*S919+0.2957*Q919-0.1912*R919-0.1512*IF(D919="S",1,0)+0.1600*IF(E919="L",1,0)+0.0091*H919+0.0124*I919+0.0017*J919+T919+U919,-0.8294+0.1849*S919+0.1750*Q919-0.2969*R919+0.6924*IF(D919="S",1,0)+0.0457*IF(E919="L",1,0)+T919+U919)</f>
        <v/>
      </c>
      <c r="W919">
        <f>MAX(0,MIN(16,ROUND(V919,0)))</f>
        <v/>
      </c>
      <c r="X919">
        <f>IFNA(VLOOKUP(W919,Grade_Scale!$A:$B,2,FALSE),"F")</f>
        <v/>
      </c>
      <c r="Z919">
        <f>IF(Y919="","",W919-IFNA(VLOOKUP(Y919,Grade_Scale!$D:$E,2,FALSE),""))</f>
        <v/>
      </c>
    </row>
    <row r="920">
      <c r="P920">
        <f>IF(OR(B920="SP",B920="RP",B920="CP",B920="SP/RP"),"P","H")</f>
        <v/>
      </c>
      <c r="Q920">
        <f>IF(F920="",0,IFNA(VLOOKUP(F920,Trait_Polarity!$A:$C,2,FALSE),0))+IF(G920="",0,IFNA(VLOOKUP(G920,Trait_Polarity!$A:$C,2,FALSE),0))</f>
        <v/>
      </c>
      <c r="R920">
        <f>IF(F920="",0,IFNA(VLOOKUP(F920,Trait_Polarity!$A:$C,3,FALSE),0))+IF(G920="",0,IFNA(VLOOKUP(G920,Trait_Polarity!$A:$C,3,FALSE),0))</f>
        <v/>
      </c>
      <c r="S920">
        <f>IF(P920="P",(M920+N920+O920)/3,0.3*H920+0.3*I920+0.2*J920+0.1*K920+0.1*L920)</f>
        <v/>
      </c>
      <c r="T920">
        <f>IF(P920="P",IFNA(VLOOKUP(B920,Pitcher_RoleAdj!$A:$B,2,FALSE),0),IFNA(VLOOKUP(B920,Hitter_PrimaryAdj!$A:$B,2,FALSE),0))</f>
        <v/>
      </c>
      <c r="U920">
        <f>IFNA(VLOOKUP(IF(C920="","(none)",C920),SecondaryAdj!$A:$B,2,FALSE),0)</f>
        <v/>
      </c>
      <c r="V920">
        <f>IF(P920="P",0.7780+0.1628*S920+0.2957*Q920-0.1912*R920-0.1512*IF(D920="S",1,0)+0.1600*IF(E920="L",1,0)+0.0091*H920+0.0124*I920+0.0017*J920+T920+U920,-0.8294+0.1849*S920+0.1750*Q920-0.2969*R920+0.6924*IF(D920="S",1,0)+0.0457*IF(E920="L",1,0)+T920+U920)</f>
        <v/>
      </c>
      <c r="W920">
        <f>MAX(0,MIN(16,ROUND(V920,0)))</f>
        <v/>
      </c>
      <c r="X920">
        <f>IFNA(VLOOKUP(W920,Grade_Scale!$A:$B,2,FALSE),"F")</f>
        <v/>
      </c>
      <c r="Z920">
        <f>IF(Y920="","",W920-IFNA(VLOOKUP(Y920,Grade_Scale!$D:$E,2,FALSE),""))</f>
        <v/>
      </c>
    </row>
    <row r="921">
      <c r="P921">
        <f>IF(OR(B921="SP",B921="RP",B921="CP",B921="SP/RP"),"P","H")</f>
        <v/>
      </c>
      <c r="Q921">
        <f>IF(F921="",0,IFNA(VLOOKUP(F921,Trait_Polarity!$A:$C,2,FALSE),0))+IF(G921="",0,IFNA(VLOOKUP(G921,Trait_Polarity!$A:$C,2,FALSE),0))</f>
        <v/>
      </c>
      <c r="R921">
        <f>IF(F921="",0,IFNA(VLOOKUP(F921,Trait_Polarity!$A:$C,3,FALSE),0))+IF(G921="",0,IFNA(VLOOKUP(G921,Trait_Polarity!$A:$C,3,FALSE),0))</f>
        <v/>
      </c>
      <c r="S921">
        <f>IF(P921="P",(M921+N921+O921)/3,0.3*H921+0.3*I921+0.2*J921+0.1*K921+0.1*L921)</f>
        <v/>
      </c>
      <c r="T921">
        <f>IF(P921="P",IFNA(VLOOKUP(B921,Pitcher_RoleAdj!$A:$B,2,FALSE),0),IFNA(VLOOKUP(B921,Hitter_PrimaryAdj!$A:$B,2,FALSE),0))</f>
        <v/>
      </c>
      <c r="U921">
        <f>IFNA(VLOOKUP(IF(C921="","(none)",C921),SecondaryAdj!$A:$B,2,FALSE),0)</f>
        <v/>
      </c>
      <c r="V921">
        <f>IF(P921="P",0.7780+0.1628*S921+0.2957*Q921-0.1912*R921-0.1512*IF(D921="S",1,0)+0.1600*IF(E921="L",1,0)+0.0091*H921+0.0124*I921+0.0017*J921+T921+U921,-0.8294+0.1849*S921+0.1750*Q921-0.2969*R921+0.6924*IF(D921="S",1,0)+0.0457*IF(E921="L",1,0)+T921+U921)</f>
        <v/>
      </c>
      <c r="W921">
        <f>MAX(0,MIN(16,ROUND(V921,0)))</f>
        <v/>
      </c>
      <c r="X921">
        <f>IFNA(VLOOKUP(W921,Grade_Scale!$A:$B,2,FALSE),"F")</f>
        <v/>
      </c>
      <c r="Z921">
        <f>IF(Y921="","",W921-IFNA(VLOOKUP(Y921,Grade_Scale!$D:$E,2,FALSE),""))</f>
        <v/>
      </c>
    </row>
    <row r="922">
      <c r="P922">
        <f>IF(OR(B922="SP",B922="RP",B922="CP",B922="SP/RP"),"P","H")</f>
        <v/>
      </c>
      <c r="Q922">
        <f>IF(F922="",0,IFNA(VLOOKUP(F922,Trait_Polarity!$A:$C,2,FALSE),0))+IF(G922="",0,IFNA(VLOOKUP(G922,Trait_Polarity!$A:$C,2,FALSE),0))</f>
        <v/>
      </c>
      <c r="R922">
        <f>IF(F922="",0,IFNA(VLOOKUP(F922,Trait_Polarity!$A:$C,3,FALSE),0))+IF(G922="",0,IFNA(VLOOKUP(G922,Trait_Polarity!$A:$C,3,FALSE),0))</f>
        <v/>
      </c>
      <c r="S922">
        <f>IF(P922="P",(M922+N922+O922)/3,0.3*H922+0.3*I922+0.2*J922+0.1*K922+0.1*L922)</f>
        <v/>
      </c>
      <c r="T922">
        <f>IF(P922="P",IFNA(VLOOKUP(B922,Pitcher_RoleAdj!$A:$B,2,FALSE),0),IFNA(VLOOKUP(B922,Hitter_PrimaryAdj!$A:$B,2,FALSE),0))</f>
        <v/>
      </c>
      <c r="U922">
        <f>IFNA(VLOOKUP(IF(C922="","(none)",C922),SecondaryAdj!$A:$B,2,FALSE),0)</f>
        <v/>
      </c>
      <c r="V922">
        <f>IF(P922="P",0.7780+0.1628*S922+0.2957*Q922-0.1912*R922-0.1512*IF(D922="S",1,0)+0.1600*IF(E922="L",1,0)+0.0091*H922+0.0124*I922+0.0017*J922+T922+U922,-0.8294+0.1849*S922+0.1750*Q922-0.2969*R922+0.6924*IF(D922="S",1,0)+0.0457*IF(E922="L",1,0)+T922+U922)</f>
        <v/>
      </c>
      <c r="W922">
        <f>MAX(0,MIN(16,ROUND(V922,0)))</f>
        <v/>
      </c>
      <c r="X922">
        <f>IFNA(VLOOKUP(W922,Grade_Scale!$A:$B,2,FALSE),"F")</f>
        <v/>
      </c>
      <c r="Z922">
        <f>IF(Y922="","",W922-IFNA(VLOOKUP(Y922,Grade_Scale!$D:$E,2,FALSE),""))</f>
        <v/>
      </c>
    </row>
    <row r="923">
      <c r="P923">
        <f>IF(OR(B923="SP",B923="RP",B923="CP",B923="SP/RP"),"P","H")</f>
        <v/>
      </c>
      <c r="Q923">
        <f>IF(F923="",0,IFNA(VLOOKUP(F923,Trait_Polarity!$A:$C,2,FALSE),0))+IF(G923="",0,IFNA(VLOOKUP(G923,Trait_Polarity!$A:$C,2,FALSE),0))</f>
        <v/>
      </c>
      <c r="R923">
        <f>IF(F923="",0,IFNA(VLOOKUP(F923,Trait_Polarity!$A:$C,3,FALSE),0))+IF(G923="",0,IFNA(VLOOKUP(G923,Trait_Polarity!$A:$C,3,FALSE),0))</f>
        <v/>
      </c>
      <c r="S923">
        <f>IF(P923="P",(M923+N923+O923)/3,0.3*H923+0.3*I923+0.2*J923+0.1*K923+0.1*L923)</f>
        <v/>
      </c>
      <c r="T923">
        <f>IF(P923="P",IFNA(VLOOKUP(B923,Pitcher_RoleAdj!$A:$B,2,FALSE),0),IFNA(VLOOKUP(B923,Hitter_PrimaryAdj!$A:$B,2,FALSE),0))</f>
        <v/>
      </c>
      <c r="U923">
        <f>IFNA(VLOOKUP(IF(C923="","(none)",C923),SecondaryAdj!$A:$B,2,FALSE),0)</f>
        <v/>
      </c>
      <c r="V923">
        <f>IF(P923="P",0.7780+0.1628*S923+0.2957*Q923-0.1912*R923-0.1512*IF(D923="S",1,0)+0.1600*IF(E923="L",1,0)+0.0091*H923+0.0124*I923+0.0017*J923+T923+U923,-0.8294+0.1849*S923+0.1750*Q923-0.2969*R923+0.6924*IF(D923="S",1,0)+0.0457*IF(E923="L",1,0)+T923+U923)</f>
        <v/>
      </c>
      <c r="W923">
        <f>MAX(0,MIN(16,ROUND(V923,0)))</f>
        <v/>
      </c>
      <c r="X923">
        <f>IFNA(VLOOKUP(W923,Grade_Scale!$A:$B,2,FALSE),"F")</f>
        <v/>
      </c>
      <c r="Z923">
        <f>IF(Y923="","",W923-IFNA(VLOOKUP(Y923,Grade_Scale!$D:$E,2,FALSE),""))</f>
        <v/>
      </c>
    </row>
    <row r="924">
      <c r="P924">
        <f>IF(OR(B924="SP",B924="RP",B924="CP",B924="SP/RP"),"P","H")</f>
        <v/>
      </c>
      <c r="Q924">
        <f>IF(F924="",0,IFNA(VLOOKUP(F924,Trait_Polarity!$A:$C,2,FALSE),0))+IF(G924="",0,IFNA(VLOOKUP(G924,Trait_Polarity!$A:$C,2,FALSE),0))</f>
        <v/>
      </c>
      <c r="R924">
        <f>IF(F924="",0,IFNA(VLOOKUP(F924,Trait_Polarity!$A:$C,3,FALSE),0))+IF(G924="",0,IFNA(VLOOKUP(G924,Trait_Polarity!$A:$C,3,FALSE),0))</f>
        <v/>
      </c>
      <c r="S924">
        <f>IF(P924="P",(M924+N924+O924)/3,0.3*H924+0.3*I924+0.2*J924+0.1*K924+0.1*L924)</f>
        <v/>
      </c>
      <c r="T924">
        <f>IF(P924="P",IFNA(VLOOKUP(B924,Pitcher_RoleAdj!$A:$B,2,FALSE),0),IFNA(VLOOKUP(B924,Hitter_PrimaryAdj!$A:$B,2,FALSE),0))</f>
        <v/>
      </c>
      <c r="U924">
        <f>IFNA(VLOOKUP(IF(C924="","(none)",C924),SecondaryAdj!$A:$B,2,FALSE),0)</f>
        <v/>
      </c>
      <c r="V924">
        <f>IF(P924="P",0.7780+0.1628*S924+0.2957*Q924-0.1912*R924-0.1512*IF(D924="S",1,0)+0.1600*IF(E924="L",1,0)+0.0091*H924+0.0124*I924+0.0017*J924+T924+U924,-0.8294+0.1849*S924+0.1750*Q924-0.2969*R924+0.6924*IF(D924="S",1,0)+0.0457*IF(E924="L",1,0)+T924+U924)</f>
        <v/>
      </c>
      <c r="W924">
        <f>MAX(0,MIN(16,ROUND(V924,0)))</f>
        <v/>
      </c>
      <c r="X924">
        <f>IFNA(VLOOKUP(W924,Grade_Scale!$A:$B,2,FALSE),"F")</f>
        <v/>
      </c>
      <c r="Z924">
        <f>IF(Y924="","",W924-IFNA(VLOOKUP(Y924,Grade_Scale!$D:$E,2,FALSE),""))</f>
        <v/>
      </c>
    </row>
    <row r="925">
      <c r="P925">
        <f>IF(OR(B925="SP",B925="RP",B925="CP",B925="SP/RP"),"P","H")</f>
        <v/>
      </c>
      <c r="Q925">
        <f>IF(F925="",0,IFNA(VLOOKUP(F925,Trait_Polarity!$A:$C,2,FALSE),0))+IF(G925="",0,IFNA(VLOOKUP(G925,Trait_Polarity!$A:$C,2,FALSE),0))</f>
        <v/>
      </c>
      <c r="R925">
        <f>IF(F925="",0,IFNA(VLOOKUP(F925,Trait_Polarity!$A:$C,3,FALSE),0))+IF(G925="",0,IFNA(VLOOKUP(G925,Trait_Polarity!$A:$C,3,FALSE),0))</f>
        <v/>
      </c>
      <c r="S925">
        <f>IF(P925="P",(M925+N925+O925)/3,0.3*H925+0.3*I925+0.2*J925+0.1*K925+0.1*L925)</f>
        <v/>
      </c>
      <c r="T925">
        <f>IF(P925="P",IFNA(VLOOKUP(B925,Pitcher_RoleAdj!$A:$B,2,FALSE),0),IFNA(VLOOKUP(B925,Hitter_PrimaryAdj!$A:$B,2,FALSE),0))</f>
        <v/>
      </c>
      <c r="U925">
        <f>IFNA(VLOOKUP(IF(C925="","(none)",C925),SecondaryAdj!$A:$B,2,FALSE),0)</f>
        <v/>
      </c>
      <c r="V925">
        <f>IF(P925="P",0.7780+0.1628*S925+0.2957*Q925-0.1912*R925-0.1512*IF(D925="S",1,0)+0.1600*IF(E925="L",1,0)+0.0091*H925+0.0124*I925+0.0017*J925+T925+U925,-0.8294+0.1849*S925+0.1750*Q925-0.2969*R925+0.6924*IF(D925="S",1,0)+0.0457*IF(E925="L",1,0)+T925+U925)</f>
        <v/>
      </c>
      <c r="W925">
        <f>MAX(0,MIN(16,ROUND(V925,0)))</f>
        <v/>
      </c>
      <c r="X925">
        <f>IFNA(VLOOKUP(W925,Grade_Scale!$A:$B,2,FALSE),"F")</f>
        <v/>
      </c>
      <c r="Z925">
        <f>IF(Y925="","",W925-IFNA(VLOOKUP(Y925,Grade_Scale!$D:$E,2,FALSE),""))</f>
        <v/>
      </c>
    </row>
    <row r="926">
      <c r="P926">
        <f>IF(OR(B926="SP",B926="RP",B926="CP",B926="SP/RP"),"P","H")</f>
        <v/>
      </c>
      <c r="Q926">
        <f>IF(F926="",0,IFNA(VLOOKUP(F926,Trait_Polarity!$A:$C,2,FALSE),0))+IF(G926="",0,IFNA(VLOOKUP(G926,Trait_Polarity!$A:$C,2,FALSE),0))</f>
        <v/>
      </c>
      <c r="R926">
        <f>IF(F926="",0,IFNA(VLOOKUP(F926,Trait_Polarity!$A:$C,3,FALSE),0))+IF(G926="",0,IFNA(VLOOKUP(G926,Trait_Polarity!$A:$C,3,FALSE),0))</f>
        <v/>
      </c>
      <c r="S926">
        <f>IF(P926="P",(M926+N926+O926)/3,0.3*H926+0.3*I926+0.2*J926+0.1*K926+0.1*L926)</f>
        <v/>
      </c>
      <c r="T926">
        <f>IF(P926="P",IFNA(VLOOKUP(B926,Pitcher_RoleAdj!$A:$B,2,FALSE),0),IFNA(VLOOKUP(B926,Hitter_PrimaryAdj!$A:$B,2,FALSE),0))</f>
        <v/>
      </c>
      <c r="U926">
        <f>IFNA(VLOOKUP(IF(C926="","(none)",C926),SecondaryAdj!$A:$B,2,FALSE),0)</f>
        <v/>
      </c>
      <c r="V926">
        <f>IF(P926="P",0.7780+0.1628*S926+0.2957*Q926-0.1912*R926-0.1512*IF(D926="S",1,0)+0.1600*IF(E926="L",1,0)+0.0091*H926+0.0124*I926+0.0017*J926+T926+U926,-0.8294+0.1849*S926+0.1750*Q926-0.2969*R926+0.6924*IF(D926="S",1,0)+0.0457*IF(E926="L",1,0)+T926+U926)</f>
        <v/>
      </c>
      <c r="W926">
        <f>MAX(0,MIN(16,ROUND(V926,0)))</f>
        <v/>
      </c>
      <c r="X926">
        <f>IFNA(VLOOKUP(W926,Grade_Scale!$A:$B,2,FALSE),"F")</f>
        <v/>
      </c>
      <c r="Z926">
        <f>IF(Y926="","",W926-IFNA(VLOOKUP(Y926,Grade_Scale!$D:$E,2,FALSE),""))</f>
        <v/>
      </c>
    </row>
    <row r="927">
      <c r="P927">
        <f>IF(OR(B927="SP",B927="RP",B927="CP",B927="SP/RP"),"P","H")</f>
        <v/>
      </c>
      <c r="Q927">
        <f>IF(F927="",0,IFNA(VLOOKUP(F927,Trait_Polarity!$A:$C,2,FALSE),0))+IF(G927="",0,IFNA(VLOOKUP(G927,Trait_Polarity!$A:$C,2,FALSE),0))</f>
        <v/>
      </c>
      <c r="R927">
        <f>IF(F927="",0,IFNA(VLOOKUP(F927,Trait_Polarity!$A:$C,3,FALSE),0))+IF(G927="",0,IFNA(VLOOKUP(G927,Trait_Polarity!$A:$C,3,FALSE),0))</f>
        <v/>
      </c>
      <c r="S927">
        <f>IF(P927="P",(M927+N927+O927)/3,0.3*H927+0.3*I927+0.2*J927+0.1*K927+0.1*L927)</f>
        <v/>
      </c>
      <c r="T927">
        <f>IF(P927="P",IFNA(VLOOKUP(B927,Pitcher_RoleAdj!$A:$B,2,FALSE),0),IFNA(VLOOKUP(B927,Hitter_PrimaryAdj!$A:$B,2,FALSE),0))</f>
        <v/>
      </c>
      <c r="U927">
        <f>IFNA(VLOOKUP(IF(C927="","(none)",C927),SecondaryAdj!$A:$B,2,FALSE),0)</f>
        <v/>
      </c>
      <c r="V927">
        <f>IF(P927="P",0.7780+0.1628*S927+0.2957*Q927-0.1912*R927-0.1512*IF(D927="S",1,0)+0.1600*IF(E927="L",1,0)+0.0091*H927+0.0124*I927+0.0017*J927+T927+U927,-0.8294+0.1849*S927+0.1750*Q927-0.2969*R927+0.6924*IF(D927="S",1,0)+0.0457*IF(E927="L",1,0)+T927+U927)</f>
        <v/>
      </c>
      <c r="W927">
        <f>MAX(0,MIN(16,ROUND(V927,0)))</f>
        <v/>
      </c>
      <c r="X927">
        <f>IFNA(VLOOKUP(W927,Grade_Scale!$A:$B,2,FALSE),"F")</f>
        <v/>
      </c>
      <c r="Z927">
        <f>IF(Y927="","",W927-IFNA(VLOOKUP(Y927,Grade_Scale!$D:$E,2,FALSE),""))</f>
        <v/>
      </c>
    </row>
    <row r="928">
      <c r="P928">
        <f>IF(OR(B928="SP",B928="RP",B928="CP",B928="SP/RP"),"P","H")</f>
        <v/>
      </c>
      <c r="Q928">
        <f>IF(F928="",0,IFNA(VLOOKUP(F928,Trait_Polarity!$A:$C,2,FALSE),0))+IF(G928="",0,IFNA(VLOOKUP(G928,Trait_Polarity!$A:$C,2,FALSE),0))</f>
        <v/>
      </c>
      <c r="R928">
        <f>IF(F928="",0,IFNA(VLOOKUP(F928,Trait_Polarity!$A:$C,3,FALSE),0))+IF(G928="",0,IFNA(VLOOKUP(G928,Trait_Polarity!$A:$C,3,FALSE),0))</f>
        <v/>
      </c>
      <c r="S928">
        <f>IF(P928="P",(M928+N928+O928)/3,0.3*H928+0.3*I928+0.2*J928+0.1*K928+0.1*L928)</f>
        <v/>
      </c>
      <c r="T928">
        <f>IF(P928="P",IFNA(VLOOKUP(B928,Pitcher_RoleAdj!$A:$B,2,FALSE),0),IFNA(VLOOKUP(B928,Hitter_PrimaryAdj!$A:$B,2,FALSE),0))</f>
        <v/>
      </c>
      <c r="U928">
        <f>IFNA(VLOOKUP(IF(C928="","(none)",C928),SecondaryAdj!$A:$B,2,FALSE),0)</f>
        <v/>
      </c>
      <c r="V928">
        <f>IF(P928="P",0.7780+0.1628*S928+0.2957*Q928-0.1912*R928-0.1512*IF(D928="S",1,0)+0.1600*IF(E928="L",1,0)+0.0091*H928+0.0124*I928+0.0017*J928+T928+U928,-0.8294+0.1849*S928+0.1750*Q928-0.2969*R928+0.6924*IF(D928="S",1,0)+0.0457*IF(E928="L",1,0)+T928+U928)</f>
        <v/>
      </c>
      <c r="W928">
        <f>MAX(0,MIN(16,ROUND(V928,0)))</f>
        <v/>
      </c>
      <c r="X928">
        <f>IFNA(VLOOKUP(W928,Grade_Scale!$A:$B,2,FALSE),"F")</f>
        <v/>
      </c>
      <c r="Z928">
        <f>IF(Y928="","",W928-IFNA(VLOOKUP(Y928,Grade_Scale!$D:$E,2,FALSE),""))</f>
        <v/>
      </c>
    </row>
    <row r="929">
      <c r="P929">
        <f>IF(OR(B929="SP",B929="RP",B929="CP",B929="SP/RP"),"P","H")</f>
        <v/>
      </c>
      <c r="Q929">
        <f>IF(F929="",0,IFNA(VLOOKUP(F929,Trait_Polarity!$A:$C,2,FALSE),0))+IF(G929="",0,IFNA(VLOOKUP(G929,Trait_Polarity!$A:$C,2,FALSE),0))</f>
        <v/>
      </c>
      <c r="R929">
        <f>IF(F929="",0,IFNA(VLOOKUP(F929,Trait_Polarity!$A:$C,3,FALSE),0))+IF(G929="",0,IFNA(VLOOKUP(G929,Trait_Polarity!$A:$C,3,FALSE),0))</f>
        <v/>
      </c>
      <c r="S929">
        <f>IF(P929="P",(M929+N929+O929)/3,0.3*H929+0.3*I929+0.2*J929+0.1*K929+0.1*L929)</f>
        <v/>
      </c>
      <c r="T929">
        <f>IF(P929="P",IFNA(VLOOKUP(B929,Pitcher_RoleAdj!$A:$B,2,FALSE),0),IFNA(VLOOKUP(B929,Hitter_PrimaryAdj!$A:$B,2,FALSE),0))</f>
        <v/>
      </c>
      <c r="U929">
        <f>IFNA(VLOOKUP(IF(C929="","(none)",C929),SecondaryAdj!$A:$B,2,FALSE),0)</f>
        <v/>
      </c>
      <c r="V929">
        <f>IF(P929="P",0.7780+0.1628*S929+0.2957*Q929-0.1912*R929-0.1512*IF(D929="S",1,0)+0.1600*IF(E929="L",1,0)+0.0091*H929+0.0124*I929+0.0017*J929+T929+U929,-0.8294+0.1849*S929+0.1750*Q929-0.2969*R929+0.6924*IF(D929="S",1,0)+0.0457*IF(E929="L",1,0)+T929+U929)</f>
        <v/>
      </c>
      <c r="W929">
        <f>MAX(0,MIN(16,ROUND(V929,0)))</f>
        <v/>
      </c>
      <c r="X929">
        <f>IFNA(VLOOKUP(W929,Grade_Scale!$A:$B,2,FALSE),"F")</f>
        <v/>
      </c>
      <c r="Z929">
        <f>IF(Y929="","",W929-IFNA(VLOOKUP(Y929,Grade_Scale!$D:$E,2,FALSE),""))</f>
        <v/>
      </c>
    </row>
    <row r="930">
      <c r="P930">
        <f>IF(OR(B930="SP",B930="RP",B930="CP",B930="SP/RP"),"P","H")</f>
        <v/>
      </c>
      <c r="Q930">
        <f>IF(F930="",0,IFNA(VLOOKUP(F930,Trait_Polarity!$A:$C,2,FALSE),0))+IF(G930="",0,IFNA(VLOOKUP(G930,Trait_Polarity!$A:$C,2,FALSE),0))</f>
        <v/>
      </c>
      <c r="R930">
        <f>IF(F930="",0,IFNA(VLOOKUP(F930,Trait_Polarity!$A:$C,3,FALSE),0))+IF(G930="",0,IFNA(VLOOKUP(G930,Trait_Polarity!$A:$C,3,FALSE),0))</f>
        <v/>
      </c>
      <c r="S930">
        <f>IF(P930="P",(M930+N930+O930)/3,0.3*H930+0.3*I930+0.2*J930+0.1*K930+0.1*L930)</f>
        <v/>
      </c>
      <c r="T930">
        <f>IF(P930="P",IFNA(VLOOKUP(B930,Pitcher_RoleAdj!$A:$B,2,FALSE),0),IFNA(VLOOKUP(B930,Hitter_PrimaryAdj!$A:$B,2,FALSE),0))</f>
        <v/>
      </c>
      <c r="U930">
        <f>IFNA(VLOOKUP(IF(C930="","(none)",C930),SecondaryAdj!$A:$B,2,FALSE),0)</f>
        <v/>
      </c>
      <c r="V930">
        <f>IF(P930="P",0.7780+0.1628*S930+0.2957*Q930-0.1912*R930-0.1512*IF(D930="S",1,0)+0.1600*IF(E930="L",1,0)+0.0091*H930+0.0124*I930+0.0017*J930+T930+U930,-0.8294+0.1849*S930+0.1750*Q930-0.2969*R930+0.6924*IF(D930="S",1,0)+0.0457*IF(E930="L",1,0)+T930+U930)</f>
        <v/>
      </c>
      <c r="W930">
        <f>MAX(0,MIN(16,ROUND(V930,0)))</f>
        <v/>
      </c>
      <c r="X930">
        <f>IFNA(VLOOKUP(W930,Grade_Scale!$A:$B,2,FALSE),"F")</f>
        <v/>
      </c>
      <c r="Z930">
        <f>IF(Y930="","",W930-IFNA(VLOOKUP(Y930,Grade_Scale!$D:$E,2,FALSE),""))</f>
        <v/>
      </c>
    </row>
    <row r="931">
      <c r="P931">
        <f>IF(OR(B931="SP",B931="RP",B931="CP",B931="SP/RP"),"P","H")</f>
        <v/>
      </c>
      <c r="Q931">
        <f>IF(F931="",0,IFNA(VLOOKUP(F931,Trait_Polarity!$A:$C,2,FALSE),0))+IF(G931="",0,IFNA(VLOOKUP(G931,Trait_Polarity!$A:$C,2,FALSE),0))</f>
        <v/>
      </c>
      <c r="R931">
        <f>IF(F931="",0,IFNA(VLOOKUP(F931,Trait_Polarity!$A:$C,3,FALSE),0))+IF(G931="",0,IFNA(VLOOKUP(G931,Trait_Polarity!$A:$C,3,FALSE),0))</f>
        <v/>
      </c>
      <c r="S931">
        <f>IF(P931="P",(M931+N931+O931)/3,0.3*H931+0.3*I931+0.2*J931+0.1*K931+0.1*L931)</f>
        <v/>
      </c>
      <c r="T931">
        <f>IF(P931="P",IFNA(VLOOKUP(B931,Pitcher_RoleAdj!$A:$B,2,FALSE),0),IFNA(VLOOKUP(B931,Hitter_PrimaryAdj!$A:$B,2,FALSE),0))</f>
        <v/>
      </c>
      <c r="U931">
        <f>IFNA(VLOOKUP(IF(C931="","(none)",C931),SecondaryAdj!$A:$B,2,FALSE),0)</f>
        <v/>
      </c>
      <c r="V931">
        <f>IF(P931="P",0.7780+0.1628*S931+0.2957*Q931-0.1912*R931-0.1512*IF(D931="S",1,0)+0.1600*IF(E931="L",1,0)+0.0091*H931+0.0124*I931+0.0017*J931+T931+U931,-0.8294+0.1849*S931+0.1750*Q931-0.2969*R931+0.6924*IF(D931="S",1,0)+0.0457*IF(E931="L",1,0)+T931+U931)</f>
        <v/>
      </c>
      <c r="W931">
        <f>MAX(0,MIN(16,ROUND(V931,0)))</f>
        <v/>
      </c>
      <c r="X931">
        <f>IFNA(VLOOKUP(W931,Grade_Scale!$A:$B,2,FALSE),"F")</f>
        <v/>
      </c>
      <c r="Z931">
        <f>IF(Y931="","",W931-IFNA(VLOOKUP(Y931,Grade_Scale!$D:$E,2,FALSE),""))</f>
        <v/>
      </c>
    </row>
    <row r="932">
      <c r="P932">
        <f>IF(OR(B932="SP",B932="RP",B932="CP",B932="SP/RP"),"P","H")</f>
        <v/>
      </c>
      <c r="Q932">
        <f>IF(F932="",0,IFNA(VLOOKUP(F932,Trait_Polarity!$A:$C,2,FALSE),0))+IF(G932="",0,IFNA(VLOOKUP(G932,Trait_Polarity!$A:$C,2,FALSE),0))</f>
        <v/>
      </c>
      <c r="R932">
        <f>IF(F932="",0,IFNA(VLOOKUP(F932,Trait_Polarity!$A:$C,3,FALSE),0))+IF(G932="",0,IFNA(VLOOKUP(G932,Trait_Polarity!$A:$C,3,FALSE),0))</f>
        <v/>
      </c>
      <c r="S932">
        <f>IF(P932="P",(M932+N932+O932)/3,0.3*H932+0.3*I932+0.2*J932+0.1*K932+0.1*L932)</f>
        <v/>
      </c>
      <c r="T932">
        <f>IF(P932="P",IFNA(VLOOKUP(B932,Pitcher_RoleAdj!$A:$B,2,FALSE),0),IFNA(VLOOKUP(B932,Hitter_PrimaryAdj!$A:$B,2,FALSE),0))</f>
        <v/>
      </c>
      <c r="U932">
        <f>IFNA(VLOOKUP(IF(C932="","(none)",C932),SecondaryAdj!$A:$B,2,FALSE),0)</f>
        <v/>
      </c>
      <c r="V932">
        <f>IF(P932="P",0.7780+0.1628*S932+0.2957*Q932-0.1912*R932-0.1512*IF(D932="S",1,0)+0.1600*IF(E932="L",1,0)+0.0091*H932+0.0124*I932+0.0017*J932+T932+U932,-0.8294+0.1849*S932+0.1750*Q932-0.2969*R932+0.6924*IF(D932="S",1,0)+0.0457*IF(E932="L",1,0)+T932+U932)</f>
        <v/>
      </c>
      <c r="W932">
        <f>MAX(0,MIN(16,ROUND(V932,0)))</f>
        <v/>
      </c>
      <c r="X932">
        <f>IFNA(VLOOKUP(W932,Grade_Scale!$A:$B,2,FALSE),"F")</f>
        <v/>
      </c>
      <c r="Z932">
        <f>IF(Y932="","",W932-IFNA(VLOOKUP(Y932,Grade_Scale!$D:$E,2,FALSE),""))</f>
        <v/>
      </c>
    </row>
    <row r="933">
      <c r="P933">
        <f>IF(OR(B933="SP",B933="RP",B933="CP",B933="SP/RP"),"P","H")</f>
        <v/>
      </c>
      <c r="Q933">
        <f>IF(F933="",0,IFNA(VLOOKUP(F933,Trait_Polarity!$A:$C,2,FALSE),0))+IF(G933="",0,IFNA(VLOOKUP(G933,Trait_Polarity!$A:$C,2,FALSE),0))</f>
        <v/>
      </c>
      <c r="R933">
        <f>IF(F933="",0,IFNA(VLOOKUP(F933,Trait_Polarity!$A:$C,3,FALSE),0))+IF(G933="",0,IFNA(VLOOKUP(G933,Trait_Polarity!$A:$C,3,FALSE),0))</f>
        <v/>
      </c>
      <c r="S933">
        <f>IF(P933="P",(M933+N933+O933)/3,0.3*H933+0.3*I933+0.2*J933+0.1*K933+0.1*L933)</f>
        <v/>
      </c>
      <c r="T933">
        <f>IF(P933="P",IFNA(VLOOKUP(B933,Pitcher_RoleAdj!$A:$B,2,FALSE),0),IFNA(VLOOKUP(B933,Hitter_PrimaryAdj!$A:$B,2,FALSE),0))</f>
        <v/>
      </c>
      <c r="U933">
        <f>IFNA(VLOOKUP(IF(C933="","(none)",C933),SecondaryAdj!$A:$B,2,FALSE),0)</f>
        <v/>
      </c>
      <c r="V933">
        <f>IF(P933="P",0.7780+0.1628*S933+0.2957*Q933-0.1912*R933-0.1512*IF(D933="S",1,0)+0.1600*IF(E933="L",1,0)+0.0091*H933+0.0124*I933+0.0017*J933+T933+U933,-0.8294+0.1849*S933+0.1750*Q933-0.2969*R933+0.6924*IF(D933="S",1,0)+0.0457*IF(E933="L",1,0)+T933+U933)</f>
        <v/>
      </c>
      <c r="W933">
        <f>MAX(0,MIN(16,ROUND(V933,0)))</f>
        <v/>
      </c>
      <c r="X933">
        <f>IFNA(VLOOKUP(W933,Grade_Scale!$A:$B,2,FALSE),"F")</f>
        <v/>
      </c>
      <c r="Z933">
        <f>IF(Y933="","",W933-IFNA(VLOOKUP(Y933,Grade_Scale!$D:$E,2,FALSE),""))</f>
        <v/>
      </c>
    </row>
    <row r="934">
      <c r="P934">
        <f>IF(OR(B934="SP",B934="RP",B934="CP",B934="SP/RP"),"P","H")</f>
        <v/>
      </c>
      <c r="Q934">
        <f>IF(F934="",0,IFNA(VLOOKUP(F934,Trait_Polarity!$A:$C,2,FALSE),0))+IF(G934="",0,IFNA(VLOOKUP(G934,Trait_Polarity!$A:$C,2,FALSE),0))</f>
        <v/>
      </c>
      <c r="R934">
        <f>IF(F934="",0,IFNA(VLOOKUP(F934,Trait_Polarity!$A:$C,3,FALSE),0))+IF(G934="",0,IFNA(VLOOKUP(G934,Trait_Polarity!$A:$C,3,FALSE),0))</f>
        <v/>
      </c>
      <c r="S934">
        <f>IF(P934="P",(M934+N934+O934)/3,0.3*H934+0.3*I934+0.2*J934+0.1*K934+0.1*L934)</f>
        <v/>
      </c>
      <c r="T934">
        <f>IF(P934="P",IFNA(VLOOKUP(B934,Pitcher_RoleAdj!$A:$B,2,FALSE),0),IFNA(VLOOKUP(B934,Hitter_PrimaryAdj!$A:$B,2,FALSE),0))</f>
        <v/>
      </c>
      <c r="U934">
        <f>IFNA(VLOOKUP(IF(C934="","(none)",C934),SecondaryAdj!$A:$B,2,FALSE),0)</f>
        <v/>
      </c>
      <c r="V934">
        <f>IF(P934="P",0.7780+0.1628*S934+0.2957*Q934-0.1912*R934-0.1512*IF(D934="S",1,0)+0.1600*IF(E934="L",1,0)+0.0091*H934+0.0124*I934+0.0017*J934+T934+U934,-0.8294+0.1849*S934+0.1750*Q934-0.2969*R934+0.6924*IF(D934="S",1,0)+0.0457*IF(E934="L",1,0)+T934+U934)</f>
        <v/>
      </c>
      <c r="W934">
        <f>MAX(0,MIN(16,ROUND(V934,0)))</f>
        <v/>
      </c>
      <c r="X934">
        <f>IFNA(VLOOKUP(W934,Grade_Scale!$A:$B,2,FALSE),"F")</f>
        <v/>
      </c>
      <c r="Z934">
        <f>IF(Y934="","",W934-IFNA(VLOOKUP(Y934,Grade_Scale!$D:$E,2,FALSE),""))</f>
        <v/>
      </c>
    </row>
    <row r="935">
      <c r="P935">
        <f>IF(OR(B935="SP",B935="RP",B935="CP",B935="SP/RP"),"P","H")</f>
        <v/>
      </c>
      <c r="Q935">
        <f>IF(F935="",0,IFNA(VLOOKUP(F935,Trait_Polarity!$A:$C,2,FALSE),0))+IF(G935="",0,IFNA(VLOOKUP(G935,Trait_Polarity!$A:$C,2,FALSE),0))</f>
        <v/>
      </c>
      <c r="R935">
        <f>IF(F935="",0,IFNA(VLOOKUP(F935,Trait_Polarity!$A:$C,3,FALSE),0))+IF(G935="",0,IFNA(VLOOKUP(G935,Trait_Polarity!$A:$C,3,FALSE),0))</f>
        <v/>
      </c>
      <c r="S935">
        <f>IF(P935="P",(M935+N935+O935)/3,0.3*H935+0.3*I935+0.2*J935+0.1*K935+0.1*L935)</f>
        <v/>
      </c>
      <c r="T935">
        <f>IF(P935="P",IFNA(VLOOKUP(B935,Pitcher_RoleAdj!$A:$B,2,FALSE),0),IFNA(VLOOKUP(B935,Hitter_PrimaryAdj!$A:$B,2,FALSE),0))</f>
        <v/>
      </c>
      <c r="U935">
        <f>IFNA(VLOOKUP(IF(C935="","(none)",C935),SecondaryAdj!$A:$B,2,FALSE),0)</f>
        <v/>
      </c>
      <c r="V935">
        <f>IF(P935="P",0.7780+0.1628*S935+0.2957*Q935-0.1912*R935-0.1512*IF(D935="S",1,0)+0.1600*IF(E935="L",1,0)+0.0091*H935+0.0124*I935+0.0017*J935+T935+U935,-0.8294+0.1849*S935+0.1750*Q935-0.2969*R935+0.6924*IF(D935="S",1,0)+0.0457*IF(E935="L",1,0)+T935+U935)</f>
        <v/>
      </c>
      <c r="W935">
        <f>MAX(0,MIN(16,ROUND(V935,0)))</f>
        <v/>
      </c>
      <c r="X935">
        <f>IFNA(VLOOKUP(W935,Grade_Scale!$A:$B,2,FALSE),"F")</f>
        <v/>
      </c>
      <c r="Z935">
        <f>IF(Y935="","",W935-IFNA(VLOOKUP(Y935,Grade_Scale!$D:$E,2,FALSE),""))</f>
        <v/>
      </c>
    </row>
    <row r="936">
      <c r="P936">
        <f>IF(OR(B936="SP",B936="RP",B936="CP",B936="SP/RP"),"P","H")</f>
        <v/>
      </c>
      <c r="Q936">
        <f>IF(F936="",0,IFNA(VLOOKUP(F936,Trait_Polarity!$A:$C,2,FALSE),0))+IF(G936="",0,IFNA(VLOOKUP(G936,Trait_Polarity!$A:$C,2,FALSE),0))</f>
        <v/>
      </c>
      <c r="R936">
        <f>IF(F936="",0,IFNA(VLOOKUP(F936,Trait_Polarity!$A:$C,3,FALSE),0))+IF(G936="",0,IFNA(VLOOKUP(G936,Trait_Polarity!$A:$C,3,FALSE),0))</f>
        <v/>
      </c>
      <c r="S936">
        <f>IF(P936="P",(M936+N936+O936)/3,0.3*H936+0.3*I936+0.2*J936+0.1*K936+0.1*L936)</f>
        <v/>
      </c>
      <c r="T936">
        <f>IF(P936="P",IFNA(VLOOKUP(B936,Pitcher_RoleAdj!$A:$B,2,FALSE),0),IFNA(VLOOKUP(B936,Hitter_PrimaryAdj!$A:$B,2,FALSE),0))</f>
        <v/>
      </c>
      <c r="U936">
        <f>IFNA(VLOOKUP(IF(C936="","(none)",C936),SecondaryAdj!$A:$B,2,FALSE),0)</f>
        <v/>
      </c>
      <c r="V936">
        <f>IF(P936="P",0.7780+0.1628*S936+0.2957*Q936-0.1912*R936-0.1512*IF(D936="S",1,0)+0.1600*IF(E936="L",1,0)+0.0091*H936+0.0124*I936+0.0017*J936+T936+U936,-0.8294+0.1849*S936+0.1750*Q936-0.2969*R936+0.6924*IF(D936="S",1,0)+0.0457*IF(E936="L",1,0)+T936+U936)</f>
        <v/>
      </c>
      <c r="W936">
        <f>MAX(0,MIN(16,ROUND(V936,0)))</f>
        <v/>
      </c>
      <c r="X936">
        <f>IFNA(VLOOKUP(W936,Grade_Scale!$A:$B,2,FALSE),"F")</f>
        <v/>
      </c>
      <c r="Z936">
        <f>IF(Y936="","",W936-IFNA(VLOOKUP(Y936,Grade_Scale!$D:$E,2,FALSE),""))</f>
        <v/>
      </c>
    </row>
    <row r="937">
      <c r="P937">
        <f>IF(OR(B937="SP",B937="RP",B937="CP",B937="SP/RP"),"P","H")</f>
        <v/>
      </c>
      <c r="Q937">
        <f>IF(F937="",0,IFNA(VLOOKUP(F937,Trait_Polarity!$A:$C,2,FALSE),0))+IF(G937="",0,IFNA(VLOOKUP(G937,Trait_Polarity!$A:$C,2,FALSE),0))</f>
        <v/>
      </c>
      <c r="R937">
        <f>IF(F937="",0,IFNA(VLOOKUP(F937,Trait_Polarity!$A:$C,3,FALSE),0))+IF(G937="",0,IFNA(VLOOKUP(G937,Trait_Polarity!$A:$C,3,FALSE),0))</f>
        <v/>
      </c>
      <c r="S937">
        <f>IF(P937="P",(M937+N937+O937)/3,0.3*H937+0.3*I937+0.2*J937+0.1*K937+0.1*L937)</f>
        <v/>
      </c>
      <c r="T937">
        <f>IF(P937="P",IFNA(VLOOKUP(B937,Pitcher_RoleAdj!$A:$B,2,FALSE),0),IFNA(VLOOKUP(B937,Hitter_PrimaryAdj!$A:$B,2,FALSE),0))</f>
        <v/>
      </c>
      <c r="U937">
        <f>IFNA(VLOOKUP(IF(C937="","(none)",C937),SecondaryAdj!$A:$B,2,FALSE),0)</f>
        <v/>
      </c>
      <c r="V937">
        <f>IF(P937="P",0.7780+0.1628*S937+0.2957*Q937-0.1912*R937-0.1512*IF(D937="S",1,0)+0.1600*IF(E937="L",1,0)+0.0091*H937+0.0124*I937+0.0017*J937+T937+U937,-0.8294+0.1849*S937+0.1750*Q937-0.2969*R937+0.6924*IF(D937="S",1,0)+0.0457*IF(E937="L",1,0)+T937+U937)</f>
        <v/>
      </c>
      <c r="W937">
        <f>MAX(0,MIN(16,ROUND(V937,0)))</f>
        <v/>
      </c>
      <c r="X937">
        <f>IFNA(VLOOKUP(W937,Grade_Scale!$A:$B,2,FALSE),"F")</f>
        <v/>
      </c>
      <c r="Z937">
        <f>IF(Y937="","",W937-IFNA(VLOOKUP(Y937,Grade_Scale!$D:$E,2,FALSE),""))</f>
        <v/>
      </c>
    </row>
    <row r="938">
      <c r="P938">
        <f>IF(OR(B938="SP",B938="RP",B938="CP",B938="SP/RP"),"P","H")</f>
        <v/>
      </c>
      <c r="Q938">
        <f>IF(F938="",0,IFNA(VLOOKUP(F938,Trait_Polarity!$A:$C,2,FALSE),0))+IF(G938="",0,IFNA(VLOOKUP(G938,Trait_Polarity!$A:$C,2,FALSE),0))</f>
        <v/>
      </c>
      <c r="R938">
        <f>IF(F938="",0,IFNA(VLOOKUP(F938,Trait_Polarity!$A:$C,3,FALSE),0))+IF(G938="",0,IFNA(VLOOKUP(G938,Trait_Polarity!$A:$C,3,FALSE),0))</f>
        <v/>
      </c>
      <c r="S938">
        <f>IF(P938="P",(M938+N938+O938)/3,0.3*H938+0.3*I938+0.2*J938+0.1*K938+0.1*L938)</f>
        <v/>
      </c>
      <c r="T938">
        <f>IF(P938="P",IFNA(VLOOKUP(B938,Pitcher_RoleAdj!$A:$B,2,FALSE),0),IFNA(VLOOKUP(B938,Hitter_PrimaryAdj!$A:$B,2,FALSE),0))</f>
        <v/>
      </c>
      <c r="U938">
        <f>IFNA(VLOOKUP(IF(C938="","(none)",C938),SecondaryAdj!$A:$B,2,FALSE),0)</f>
        <v/>
      </c>
      <c r="V938">
        <f>IF(P938="P",0.7780+0.1628*S938+0.2957*Q938-0.1912*R938-0.1512*IF(D938="S",1,0)+0.1600*IF(E938="L",1,0)+0.0091*H938+0.0124*I938+0.0017*J938+T938+U938,-0.8294+0.1849*S938+0.1750*Q938-0.2969*R938+0.6924*IF(D938="S",1,0)+0.0457*IF(E938="L",1,0)+T938+U938)</f>
        <v/>
      </c>
      <c r="W938">
        <f>MAX(0,MIN(16,ROUND(V938,0)))</f>
        <v/>
      </c>
      <c r="X938">
        <f>IFNA(VLOOKUP(W938,Grade_Scale!$A:$B,2,FALSE),"F")</f>
        <v/>
      </c>
      <c r="Z938">
        <f>IF(Y938="","",W938-IFNA(VLOOKUP(Y938,Grade_Scale!$D:$E,2,FALSE),""))</f>
        <v/>
      </c>
    </row>
    <row r="939">
      <c r="P939">
        <f>IF(OR(B939="SP",B939="RP",B939="CP",B939="SP/RP"),"P","H")</f>
        <v/>
      </c>
      <c r="Q939">
        <f>IF(F939="",0,IFNA(VLOOKUP(F939,Trait_Polarity!$A:$C,2,FALSE),0))+IF(G939="",0,IFNA(VLOOKUP(G939,Trait_Polarity!$A:$C,2,FALSE),0))</f>
        <v/>
      </c>
      <c r="R939">
        <f>IF(F939="",0,IFNA(VLOOKUP(F939,Trait_Polarity!$A:$C,3,FALSE),0))+IF(G939="",0,IFNA(VLOOKUP(G939,Trait_Polarity!$A:$C,3,FALSE),0))</f>
        <v/>
      </c>
      <c r="S939">
        <f>IF(P939="P",(M939+N939+O939)/3,0.3*H939+0.3*I939+0.2*J939+0.1*K939+0.1*L939)</f>
        <v/>
      </c>
      <c r="T939">
        <f>IF(P939="P",IFNA(VLOOKUP(B939,Pitcher_RoleAdj!$A:$B,2,FALSE),0),IFNA(VLOOKUP(B939,Hitter_PrimaryAdj!$A:$B,2,FALSE),0))</f>
        <v/>
      </c>
      <c r="U939">
        <f>IFNA(VLOOKUP(IF(C939="","(none)",C939),SecondaryAdj!$A:$B,2,FALSE),0)</f>
        <v/>
      </c>
      <c r="V939">
        <f>IF(P939="P",0.7780+0.1628*S939+0.2957*Q939-0.1912*R939-0.1512*IF(D939="S",1,0)+0.1600*IF(E939="L",1,0)+0.0091*H939+0.0124*I939+0.0017*J939+T939+U939,-0.8294+0.1849*S939+0.1750*Q939-0.2969*R939+0.6924*IF(D939="S",1,0)+0.0457*IF(E939="L",1,0)+T939+U939)</f>
        <v/>
      </c>
      <c r="W939">
        <f>MAX(0,MIN(16,ROUND(V939,0)))</f>
        <v/>
      </c>
      <c r="X939">
        <f>IFNA(VLOOKUP(W939,Grade_Scale!$A:$B,2,FALSE),"F")</f>
        <v/>
      </c>
      <c r="Z939">
        <f>IF(Y939="","",W939-IFNA(VLOOKUP(Y939,Grade_Scale!$D:$E,2,FALSE),""))</f>
        <v/>
      </c>
    </row>
    <row r="940">
      <c r="P940">
        <f>IF(OR(B940="SP",B940="RP",B940="CP",B940="SP/RP"),"P","H")</f>
        <v/>
      </c>
      <c r="Q940">
        <f>IF(F940="",0,IFNA(VLOOKUP(F940,Trait_Polarity!$A:$C,2,FALSE),0))+IF(G940="",0,IFNA(VLOOKUP(G940,Trait_Polarity!$A:$C,2,FALSE),0))</f>
        <v/>
      </c>
      <c r="R940">
        <f>IF(F940="",0,IFNA(VLOOKUP(F940,Trait_Polarity!$A:$C,3,FALSE),0))+IF(G940="",0,IFNA(VLOOKUP(G940,Trait_Polarity!$A:$C,3,FALSE),0))</f>
        <v/>
      </c>
      <c r="S940">
        <f>IF(P940="P",(M940+N940+O940)/3,0.3*H940+0.3*I940+0.2*J940+0.1*K940+0.1*L940)</f>
        <v/>
      </c>
      <c r="T940">
        <f>IF(P940="P",IFNA(VLOOKUP(B940,Pitcher_RoleAdj!$A:$B,2,FALSE),0),IFNA(VLOOKUP(B940,Hitter_PrimaryAdj!$A:$B,2,FALSE),0))</f>
        <v/>
      </c>
      <c r="U940">
        <f>IFNA(VLOOKUP(IF(C940="","(none)",C940),SecondaryAdj!$A:$B,2,FALSE),0)</f>
        <v/>
      </c>
      <c r="V940">
        <f>IF(P940="P",0.7780+0.1628*S940+0.2957*Q940-0.1912*R940-0.1512*IF(D940="S",1,0)+0.1600*IF(E940="L",1,0)+0.0091*H940+0.0124*I940+0.0017*J940+T940+U940,-0.8294+0.1849*S940+0.1750*Q940-0.2969*R940+0.6924*IF(D940="S",1,0)+0.0457*IF(E940="L",1,0)+T940+U940)</f>
        <v/>
      </c>
      <c r="W940">
        <f>MAX(0,MIN(16,ROUND(V940,0)))</f>
        <v/>
      </c>
      <c r="X940">
        <f>IFNA(VLOOKUP(W940,Grade_Scale!$A:$B,2,FALSE),"F")</f>
        <v/>
      </c>
      <c r="Z940">
        <f>IF(Y940="","",W940-IFNA(VLOOKUP(Y940,Grade_Scale!$D:$E,2,FALSE),""))</f>
        <v/>
      </c>
    </row>
    <row r="941">
      <c r="P941">
        <f>IF(OR(B941="SP",B941="RP",B941="CP",B941="SP/RP"),"P","H")</f>
        <v/>
      </c>
      <c r="Q941">
        <f>IF(F941="",0,IFNA(VLOOKUP(F941,Trait_Polarity!$A:$C,2,FALSE),0))+IF(G941="",0,IFNA(VLOOKUP(G941,Trait_Polarity!$A:$C,2,FALSE),0))</f>
        <v/>
      </c>
      <c r="R941">
        <f>IF(F941="",0,IFNA(VLOOKUP(F941,Trait_Polarity!$A:$C,3,FALSE),0))+IF(G941="",0,IFNA(VLOOKUP(G941,Trait_Polarity!$A:$C,3,FALSE),0))</f>
        <v/>
      </c>
      <c r="S941">
        <f>IF(P941="P",(M941+N941+O941)/3,0.3*H941+0.3*I941+0.2*J941+0.1*K941+0.1*L941)</f>
        <v/>
      </c>
      <c r="T941">
        <f>IF(P941="P",IFNA(VLOOKUP(B941,Pitcher_RoleAdj!$A:$B,2,FALSE),0),IFNA(VLOOKUP(B941,Hitter_PrimaryAdj!$A:$B,2,FALSE),0))</f>
        <v/>
      </c>
      <c r="U941">
        <f>IFNA(VLOOKUP(IF(C941="","(none)",C941),SecondaryAdj!$A:$B,2,FALSE),0)</f>
        <v/>
      </c>
      <c r="V941">
        <f>IF(P941="P",0.7780+0.1628*S941+0.2957*Q941-0.1912*R941-0.1512*IF(D941="S",1,0)+0.1600*IF(E941="L",1,0)+0.0091*H941+0.0124*I941+0.0017*J941+T941+U941,-0.8294+0.1849*S941+0.1750*Q941-0.2969*R941+0.6924*IF(D941="S",1,0)+0.0457*IF(E941="L",1,0)+T941+U941)</f>
        <v/>
      </c>
      <c r="W941">
        <f>MAX(0,MIN(16,ROUND(V941,0)))</f>
        <v/>
      </c>
      <c r="X941">
        <f>IFNA(VLOOKUP(W941,Grade_Scale!$A:$B,2,FALSE),"F")</f>
        <v/>
      </c>
      <c r="Z941">
        <f>IF(Y941="","",W941-IFNA(VLOOKUP(Y941,Grade_Scale!$D:$E,2,FALSE),""))</f>
        <v/>
      </c>
    </row>
    <row r="942">
      <c r="P942">
        <f>IF(OR(B942="SP",B942="RP",B942="CP",B942="SP/RP"),"P","H")</f>
        <v/>
      </c>
      <c r="Q942">
        <f>IF(F942="",0,IFNA(VLOOKUP(F942,Trait_Polarity!$A:$C,2,FALSE),0))+IF(G942="",0,IFNA(VLOOKUP(G942,Trait_Polarity!$A:$C,2,FALSE),0))</f>
        <v/>
      </c>
      <c r="R942">
        <f>IF(F942="",0,IFNA(VLOOKUP(F942,Trait_Polarity!$A:$C,3,FALSE),0))+IF(G942="",0,IFNA(VLOOKUP(G942,Trait_Polarity!$A:$C,3,FALSE),0))</f>
        <v/>
      </c>
      <c r="S942">
        <f>IF(P942="P",(M942+N942+O942)/3,0.3*H942+0.3*I942+0.2*J942+0.1*K942+0.1*L942)</f>
        <v/>
      </c>
      <c r="T942">
        <f>IF(P942="P",IFNA(VLOOKUP(B942,Pitcher_RoleAdj!$A:$B,2,FALSE),0),IFNA(VLOOKUP(B942,Hitter_PrimaryAdj!$A:$B,2,FALSE),0))</f>
        <v/>
      </c>
      <c r="U942">
        <f>IFNA(VLOOKUP(IF(C942="","(none)",C942),SecondaryAdj!$A:$B,2,FALSE),0)</f>
        <v/>
      </c>
      <c r="V942">
        <f>IF(P942="P",0.7780+0.1628*S942+0.2957*Q942-0.1912*R942-0.1512*IF(D942="S",1,0)+0.1600*IF(E942="L",1,0)+0.0091*H942+0.0124*I942+0.0017*J942+T942+U942,-0.8294+0.1849*S942+0.1750*Q942-0.2969*R942+0.6924*IF(D942="S",1,0)+0.0457*IF(E942="L",1,0)+T942+U942)</f>
        <v/>
      </c>
      <c r="W942">
        <f>MAX(0,MIN(16,ROUND(V942,0)))</f>
        <v/>
      </c>
      <c r="X942">
        <f>IFNA(VLOOKUP(W942,Grade_Scale!$A:$B,2,FALSE),"F")</f>
        <v/>
      </c>
      <c r="Z942">
        <f>IF(Y942="","",W942-IFNA(VLOOKUP(Y942,Grade_Scale!$D:$E,2,FALSE),""))</f>
        <v/>
      </c>
    </row>
    <row r="943">
      <c r="P943">
        <f>IF(OR(B943="SP",B943="RP",B943="CP",B943="SP/RP"),"P","H")</f>
        <v/>
      </c>
      <c r="Q943">
        <f>IF(F943="",0,IFNA(VLOOKUP(F943,Trait_Polarity!$A:$C,2,FALSE),0))+IF(G943="",0,IFNA(VLOOKUP(G943,Trait_Polarity!$A:$C,2,FALSE),0))</f>
        <v/>
      </c>
      <c r="R943">
        <f>IF(F943="",0,IFNA(VLOOKUP(F943,Trait_Polarity!$A:$C,3,FALSE),0))+IF(G943="",0,IFNA(VLOOKUP(G943,Trait_Polarity!$A:$C,3,FALSE),0))</f>
        <v/>
      </c>
      <c r="S943">
        <f>IF(P943="P",(M943+N943+O943)/3,0.3*H943+0.3*I943+0.2*J943+0.1*K943+0.1*L943)</f>
        <v/>
      </c>
      <c r="T943">
        <f>IF(P943="P",IFNA(VLOOKUP(B943,Pitcher_RoleAdj!$A:$B,2,FALSE),0),IFNA(VLOOKUP(B943,Hitter_PrimaryAdj!$A:$B,2,FALSE),0))</f>
        <v/>
      </c>
      <c r="U943">
        <f>IFNA(VLOOKUP(IF(C943="","(none)",C943),SecondaryAdj!$A:$B,2,FALSE),0)</f>
        <v/>
      </c>
      <c r="V943">
        <f>IF(P943="P",0.7780+0.1628*S943+0.2957*Q943-0.1912*R943-0.1512*IF(D943="S",1,0)+0.1600*IF(E943="L",1,0)+0.0091*H943+0.0124*I943+0.0017*J943+T943+U943,-0.8294+0.1849*S943+0.1750*Q943-0.2969*R943+0.6924*IF(D943="S",1,0)+0.0457*IF(E943="L",1,0)+T943+U943)</f>
        <v/>
      </c>
      <c r="W943">
        <f>MAX(0,MIN(16,ROUND(V943,0)))</f>
        <v/>
      </c>
      <c r="X943">
        <f>IFNA(VLOOKUP(W943,Grade_Scale!$A:$B,2,FALSE),"F")</f>
        <v/>
      </c>
      <c r="Z943">
        <f>IF(Y943="","",W943-IFNA(VLOOKUP(Y943,Grade_Scale!$D:$E,2,FALSE),""))</f>
        <v/>
      </c>
    </row>
    <row r="944">
      <c r="P944">
        <f>IF(OR(B944="SP",B944="RP",B944="CP",B944="SP/RP"),"P","H")</f>
        <v/>
      </c>
      <c r="Q944">
        <f>IF(F944="",0,IFNA(VLOOKUP(F944,Trait_Polarity!$A:$C,2,FALSE),0))+IF(G944="",0,IFNA(VLOOKUP(G944,Trait_Polarity!$A:$C,2,FALSE),0))</f>
        <v/>
      </c>
      <c r="R944">
        <f>IF(F944="",0,IFNA(VLOOKUP(F944,Trait_Polarity!$A:$C,3,FALSE),0))+IF(G944="",0,IFNA(VLOOKUP(G944,Trait_Polarity!$A:$C,3,FALSE),0))</f>
        <v/>
      </c>
      <c r="S944">
        <f>IF(P944="P",(M944+N944+O944)/3,0.3*H944+0.3*I944+0.2*J944+0.1*K944+0.1*L944)</f>
        <v/>
      </c>
      <c r="T944">
        <f>IF(P944="P",IFNA(VLOOKUP(B944,Pitcher_RoleAdj!$A:$B,2,FALSE),0),IFNA(VLOOKUP(B944,Hitter_PrimaryAdj!$A:$B,2,FALSE),0))</f>
        <v/>
      </c>
      <c r="U944">
        <f>IFNA(VLOOKUP(IF(C944="","(none)",C944),SecondaryAdj!$A:$B,2,FALSE),0)</f>
        <v/>
      </c>
      <c r="V944">
        <f>IF(P944="P",0.7780+0.1628*S944+0.2957*Q944-0.1912*R944-0.1512*IF(D944="S",1,0)+0.1600*IF(E944="L",1,0)+0.0091*H944+0.0124*I944+0.0017*J944+T944+U944,-0.8294+0.1849*S944+0.1750*Q944-0.2969*R944+0.6924*IF(D944="S",1,0)+0.0457*IF(E944="L",1,0)+T944+U944)</f>
        <v/>
      </c>
      <c r="W944">
        <f>MAX(0,MIN(16,ROUND(V944,0)))</f>
        <v/>
      </c>
      <c r="X944">
        <f>IFNA(VLOOKUP(W944,Grade_Scale!$A:$B,2,FALSE),"F")</f>
        <v/>
      </c>
      <c r="Z944">
        <f>IF(Y944="","",W944-IFNA(VLOOKUP(Y944,Grade_Scale!$D:$E,2,FALSE),""))</f>
        <v/>
      </c>
    </row>
    <row r="945">
      <c r="P945">
        <f>IF(OR(B945="SP",B945="RP",B945="CP",B945="SP/RP"),"P","H")</f>
        <v/>
      </c>
      <c r="Q945">
        <f>IF(F945="",0,IFNA(VLOOKUP(F945,Trait_Polarity!$A:$C,2,FALSE),0))+IF(G945="",0,IFNA(VLOOKUP(G945,Trait_Polarity!$A:$C,2,FALSE),0))</f>
        <v/>
      </c>
      <c r="R945">
        <f>IF(F945="",0,IFNA(VLOOKUP(F945,Trait_Polarity!$A:$C,3,FALSE),0))+IF(G945="",0,IFNA(VLOOKUP(G945,Trait_Polarity!$A:$C,3,FALSE),0))</f>
        <v/>
      </c>
      <c r="S945">
        <f>IF(P945="P",(M945+N945+O945)/3,0.3*H945+0.3*I945+0.2*J945+0.1*K945+0.1*L945)</f>
        <v/>
      </c>
      <c r="T945">
        <f>IF(P945="P",IFNA(VLOOKUP(B945,Pitcher_RoleAdj!$A:$B,2,FALSE),0),IFNA(VLOOKUP(B945,Hitter_PrimaryAdj!$A:$B,2,FALSE),0))</f>
        <v/>
      </c>
      <c r="U945">
        <f>IFNA(VLOOKUP(IF(C945="","(none)",C945),SecondaryAdj!$A:$B,2,FALSE),0)</f>
        <v/>
      </c>
      <c r="V945">
        <f>IF(P945="P",0.7780+0.1628*S945+0.2957*Q945-0.1912*R945-0.1512*IF(D945="S",1,0)+0.1600*IF(E945="L",1,0)+0.0091*H945+0.0124*I945+0.0017*J945+T945+U945,-0.8294+0.1849*S945+0.1750*Q945-0.2969*R945+0.6924*IF(D945="S",1,0)+0.0457*IF(E945="L",1,0)+T945+U945)</f>
        <v/>
      </c>
      <c r="W945">
        <f>MAX(0,MIN(16,ROUND(V945,0)))</f>
        <v/>
      </c>
      <c r="X945">
        <f>IFNA(VLOOKUP(W945,Grade_Scale!$A:$B,2,FALSE),"F")</f>
        <v/>
      </c>
      <c r="Z945">
        <f>IF(Y945="","",W945-IFNA(VLOOKUP(Y945,Grade_Scale!$D:$E,2,FALSE),""))</f>
        <v/>
      </c>
    </row>
    <row r="946">
      <c r="P946">
        <f>IF(OR(B946="SP",B946="RP",B946="CP",B946="SP/RP"),"P","H")</f>
        <v/>
      </c>
      <c r="Q946">
        <f>IF(F946="",0,IFNA(VLOOKUP(F946,Trait_Polarity!$A:$C,2,FALSE),0))+IF(G946="",0,IFNA(VLOOKUP(G946,Trait_Polarity!$A:$C,2,FALSE),0))</f>
        <v/>
      </c>
      <c r="R946">
        <f>IF(F946="",0,IFNA(VLOOKUP(F946,Trait_Polarity!$A:$C,3,FALSE),0))+IF(G946="",0,IFNA(VLOOKUP(G946,Trait_Polarity!$A:$C,3,FALSE),0))</f>
        <v/>
      </c>
      <c r="S946">
        <f>IF(P946="P",(M946+N946+O946)/3,0.3*H946+0.3*I946+0.2*J946+0.1*K946+0.1*L946)</f>
        <v/>
      </c>
      <c r="T946">
        <f>IF(P946="P",IFNA(VLOOKUP(B946,Pitcher_RoleAdj!$A:$B,2,FALSE),0),IFNA(VLOOKUP(B946,Hitter_PrimaryAdj!$A:$B,2,FALSE),0))</f>
        <v/>
      </c>
      <c r="U946">
        <f>IFNA(VLOOKUP(IF(C946="","(none)",C946),SecondaryAdj!$A:$B,2,FALSE),0)</f>
        <v/>
      </c>
      <c r="V946">
        <f>IF(P946="P",0.7780+0.1628*S946+0.2957*Q946-0.1912*R946-0.1512*IF(D946="S",1,0)+0.1600*IF(E946="L",1,0)+0.0091*H946+0.0124*I946+0.0017*J946+T946+U946,-0.8294+0.1849*S946+0.1750*Q946-0.2969*R946+0.6924*IF(D946="S",1,0)+0.0457*IF(E946="L",1,0)+T946+U946)</f>
        <v/>
      </c>
      <c r="W946">
        <f>MAX(0,MIN(16,ROUND(V946,0)))</f>
        <v/>
      </c>
      <c r="X946">
        <f>IFNA(VLOOKUP(W946,Grade_Scale!$A:$B,2,FALSE),"F")</f>
        <v/>
      </c>
      <c r="Z946">
        <f>IF(Y946="","",W946-IFNA(VLOOKUP(Y946,Grade_Scale!$D:$E,2,FALSE),""))</f>
        <v/>
      </c>
    </row>
    <row r="947">
      <c r="P947">
        <f>IF(OR(B947="SP",B947="RP",B947="CP",B947="SP/RP"),"P","H")</f>
        <v/>
      </c>
      <c r="Q947">
        <f>IF(F947="",0,IFNA(VLOOKUP(F947,Trait_Polarity!$A:$C,2,FALSE),0))+IF(G947="",0,IFNA(VLOOKUP(G947,Trait_Polarity!$A:$C,2,FALSE),0))</f>
        <v/>
      </c>
      <c r="R947">
        <f>IF(F947="",0,IFNA(VLOOKUP(F947,Trait_Polarity!$A:$C,3,FALSE),0))+IF(G947="",0,IFNA(VLOOKUP(G947,Trait_Polarity!$A:$C,3,FALSE),0))</f>
        <v/>
      </c>
      <c r="S947">
        <f>IF(P947="P",(M947+N947+O947)/3,0.3*H947+0.3*I947+0.2*J947+0.1*K947+0.1*L947)</f>
        <v/>
      </c>
      <c r="T947">
        <f>IF(P947="P",IFNA(VLOOKUP(B947,Pitcher_RoleAdj!$A:$B,2,FALSE),0),IFNA(VLOOKUP(B947,Hitter_PrimaryAdj!$A:$B,2,FALSE),0))</f>
        <v/>
      </c>
      <c r="U947">
        <f>IFNA(VLOOKUP(IF(C947="","(none)",C947),SecondaryAdj!$A:$B,2,FALSE),0)</f>
        <v/>
      </c>
      <c r="V947">
        <f>IF(P947="P",0.7780+0.1628*S947+0.2957*Q947-0.1912*R947-0.1512*IF(D947="S",1,0)+0.1600*IF(E947="L",1,0)+0.0091*H947+0.0124*I947+0.0017*J947+T947+U947,-0.8294+0.1849*S947+0.1750*Q947-0.2969*R947+0.6924*IF(D947="S",1,0)+0.0457*IF(E947="L",1,0)+T947+U947)</f>
        <v/>
      </c>
      <c r="W947">
        <f>MAX(0,MIN(16,ROUND(V947,0)))</f>
        <v/>
      </c>
      <c r="X947">
        <f>IFNA(VLOOKUP(W947,Grade_Scale!$A:$B,2,FALSE),"F")</f>
        <v/>
      </c>
      <c r="Z947">
        <f>IF(Y947="","",W947-IFNA(VLOOKUP(Y947,Grade_Scale!$D:$E,2,FALSE),""))</f>
        <v/>
      </c>
    </row>
    <row r="948">
      <c r="P948">
        <f>IF(OR(B948="SP",B948="RP",B948="CP",B948="SP/RP"),"P","H")</f>
        <v/>
      </c>
      <c r="Q948">
        <f>IF(F948="",0,IFNA(VLOOKUP(F948,Trait_Polarity!$A:$C,2,FALSE),0))+IF(G948="",0,IFNA(VLOOKUP(G948,Trait_Polarity!$A:$C,2,FALSE),0))</f>
        <v/>
      </c>
      <c r="R948">
        <f>IF(F948="",0,IFNA(VLOOKUP(F948,Trait_Polarity!$A:$C,3,FALSE),0))+IF(G948="",0,IFNA(VLOOKUP(G948,Trait_Polarity!$A:$C,3,FALSE),0))</f>
        <v/>
      </c>
      <c r="S948">
        <f>IF(P948="P",(M948+N948+O948)/3,0.3*H948+0.3*I948+0.2*J948+0.1*K948+0.1*L948)</f>
        <v/>
      </c>
      <c r="T948">
        <f>IF(P948="P",IFNA(VLOOKUP(B948,Pitcher_RoleAdj!$A:$B,2,FALSE),0),IFNA(VLOOKUP(B948,Hitter_PrimaryAdj!$A:$B,2,FALSE),0))</f>
        <v/>
      </c>
      <c r="U948">
        <f>IFNA(VLOOKUP(IF(C948="","(none)",C948),SecondaryAdj!$A:$B,2,FALSE),0)</f>
        <v/>
      </c>
      <c r="V948">
        <f>IF(P948="P",0.7780+0.1628*S948+0.2957*Q948-0.1912*R948-0.1512*IF(D948="S",1,0)+0.1600*IF(E948="L",1,0)+0.0091*H948+0.0124*I948+0.0017*J948+T948+U948,-0.8294+0.1849*S948+0.1750*Q948-0.2969*R948+0.6924*IF(D948="S",1,0)+0.0457*IF(E948="L",1,0)+T948+U948)</f>
        <v/>
      </c>
      <c r="W948">
        <f>MAX(0,MIN(16,ROUND(V948,0)))</f>
        <v/>
      </c>
      <c r="X948">
        <f>IFNA(VLOOKUP(W948,Grade_Scale!$A:$B,2,FALSE),"F")</f>
        <v/>
      </c>
      <c r="Z948">
        <f>IF(Y948="","",W948-IFNA(VLOOKUP(Y948,Grade_Scale!$D:$E,2,FALSE),""))</f>
        <v/>
      </c>
    </row>
    <row r="949">
      <c r="P949">
        <f>IF(OR(B949="SP",B949="RP",B949="CP",B949="SP/RP"),"P","H")</f>
        <v/>
      </c>
      <c r="Q949">
        <f>IF(F949="",0,IFNA(VLOOKUP(F949,Trait_Polarity!$A:$C,2,FALSE),0))+IF(G949="",0,IFNA(VLOOKUP(G949,Trait_Polarity!$A:$C,2,FALSE),0))</f>
        <v/>
      </c>
      <c r="R949">
        <f>IF(F949="",0,IFNA(VLOOKUP(F949,Trait_Polarity!$A:$C,3,FALSE),0))+IF(G949="",0,IFNA(VLOOKUP(G949,Trait_Polarity!$A:$C,3,FALSE),0))</f>
        <v/>
      </c>
      <c r="S949">
        <f>IF(P949="P",(M949+N949+O949)/3,0.3*H949+0.3*I949+0.2*J949+0.1*K949+0.1*L949)</f>
        <v/>
      </c>
      <c r="T949">
        <f>IF(P949="P",IFNA(VLOOKUP(B949,Pitcher_RoleAdj!$A:$B,2,FALSE),0),IFNA(VLOOKUP(B949,Hitter_PrimaryAdj!$A:$B,2,FALSE),0))</f>
        <v/>
      </c>
      <c r="U949">
        <f>IFNA(VLOOKUP(IF(C949="","(none)",C949),SecondaryAdj!$A:$B,2,FALSE),0)</f>
        <v/>
      </c>
      <c r="V949">
        <f>IF(P949="P",0.7780+0.1628*S949+0.2957*Q949-0.1912*R949-0.1512*IF(D949="S",1,0)+0.1600*IF(E949="L",1,0)+0.0091*H949+0.0124*I949+0.0017*J949+T949+U949,-0.8294+0.1849*S949+0.1750*Q949-0.2969*R949+0.6924*IF(D949="S",1,0)+0.0457*IF(E949="L",1,0)+T949+U949)</f>
        <v/>
      </c>
      <c r="W949">
        <f>MAX(0,MIN(16,ROUND(V949,0)))</f>
        <v/>
      </c>
      <c r="X949">
        <f>IFNA(VLOOKUP(W949,Grade_Scale!$A:$B,2,FALSE),"F")</f>
        <v/>
      </c>
      <c r="Z949">
        <f>IF(Y949="","",W949-IFNA(VLOOKUP(Y949,Grade_Scale!$D:$E,2,FALSE),""))</f>
        <v/>
      </c>
    </row>
    <row r="950">
      <c r="P950">
        <f>IF(OR(B950="SP",B950="RP",B950="CP",B950="SP/RP"),"P","H")</f>
        <v/>
      </c>
      <c r="Q950">
        <f>IF(F950="",0,IFNA(VLOOKUP(F950,Trait_Polarity!$A:$C,2,FALSE),0))+IF(G950="",0,IFNA(VLOOKUP(G950,Trait_Polarity!$A:$C,2,FALSE),0))</f>
        <v/>
      </c>
      <c r="R950">
        <f>IF(F950="",0,IFNA(VLOOKUP(F950,Trait_Polarity!$A:$C,3,FALSE),0))+IF(G950="",0,IFNA(VLOOKUP(G950,Trait_Polarity!$A:$C,3,FALSE),0))</f>
        <v/>
      </c>
      <c r="S950">
        <f>IF(P950="P",(M950+N950+O950)/3,0.3*H950+0.3*I950+0.2*J950+0.1*K950+0.1*L950)</f>
        <v/>
      </c>
      <c r="T950">
        <f>IF(P950="P",IFNA(VLOOKUP(B950,Pitcher_RoleAdj!$A:$B,2,FALSE),0),IFNA(VLOOKUP(B950,Hitter_PrimaryAdj!$A:$B,2,FALSE),0))</f>
        <v/>
      </c>
      <c r="U950">
        <f>IFNA(VLOOKUP(IF(C950="","(none)",C950),SecondaryAdj!$A:$B,2,FALSE),0)</f>
        <v/>
      </c>
      <c r="V950">
        <f>IF(P950="P",0.7780+0.1628*S950+0.2957*Q950-0.1912*R950-0.1512*IF(D950="S",1,0)+0.1600*IF(E950="L",1,0)+0.0091*H950+0.0124*I950+0.0017*J950+T950+U950,-0.8294+0.1849*S950+0.1750*Q950-0.2969*R950+0.6924*IF(D950="S",1,0)+0.0457*IF(E950="L",1,0)+T950+U950)</f>
        <v/>
      </c>
      <c r="W950">
        <f>MAX(0,MIN(16,ROUND(V950,0)))</f>
        <v/>
      </c>
      <c r="X950">
        <f>IFNA(VLOOKUP(W950,Grade_Scale!$A:$B,2,FALSE),"F")</f>
        <v/>
      </c>
      <c r="Z950">
        <f>IF(Y950="","",W950-IFNA(VLOOKUP(Y950,Grade_Scale!$D:$E,2,FALSE),""))</f>
        <v/>
      </c>
    </row>
    <row r="951">
      <c r="P951">
        <f>IF(OR(B951="SP",B951="RP",B951="CP",B951="SP/RP"),"P","H")</f>
        <v/>
      </c>
      <c r="Q951">
        <f>IF(F951="",0,IFNA(VLOOKUP(F951,Trait_Polarity!$A:$C,2,FALSE),0))+IF(G951="",0,IFNA(VLOOKUP(G951,Trait_Polarity!$A:$C,2,FALSE),0))</f>
        <v/>
      </c>
      <c r="R951">
        <f>IF(F951="",0,IFNA(VLOOKUP(F951,Trait_Polarity!$A:$C,3,FALSE),0))+IF(G951="",0,IFNA(VLOOKUP(G951,Trait_Polarity!$A:$C,3,FALSE),0))</f>
        <v/>
      </c>
      <c r="S951">
        <f>IF(P951="P",(M951+N951+O951)/3,0.3*H951+0.3*I951+0.2*J951+0.1*K951+0.1*L951)</f>
        <v/>
      </c>
      <c r="T951">
        <f>IF(P951="P",IFNA(VLOOKUP(B951,Pitcher_RoleAdj!$A:$B,2,FALSE),0),IFNA(VLOOKUP(B951,Hitter_PrimaryAdj!$A:$B,2,FALSE),0))</f>
        <v/>
      </c>
      <c r="U951">
        <f>IFNA(VLOOKUP(IF(C951="","(none)",C951),SecondaryAdj!$A:$B,2,FALSE),0)</f>
        <v/>
      </c>
      <c r="V951">
        <f>IF(P951="P",0.7780+0.1628*S951+0.2957*Q951-0.1912*R951-0.1512*IF(D951="S",1,0)+0.1600*IF(E951="L",1,0)+0.0091*H951+0.0124*I951+0.0017*J951+T951+U951,-0.8294+0.1849*S951+0.1750*Q951-0.2969*R951+0.6924*IF(D951="S",1,0)+0.0457*IF(E951="L",1,0)+T951+U951)</f>
        <v/>
      </c>
      <c r="W951">
        <f>MAX(0,MIN(16,ROUND(V951,0)))</f>
        <v/>
      </c>
      <c r="X951">
        <f>IFNA(VLOOKUP(W951,Grade_Scale!$A:$B,2,FALSE),"F")</f>
        <v/>
      </c>
      <c r="Z951">
        <f>IF(Y951="","",W951-IFNA(VLOOKUP(Y951,Grade_Scale!$D:$E,2,FALSE),""))</f>
        <v/>
      </c>
    </row>
    <row r="952">
      <c r="P952">
        <f>IF(OR(B952="SP",B952="RP",B952="CP",B952="SP/RP"),"P","H")</f>
        <v/>
      </c>
      <c r="Q952">
        <f>IF(F952="",0,IFNA(VLOOKUP(F952,Trait_Polarity!$A:$C,2,FALSE),0))+IF(G952="",0,IFNA(VLOOKUP(G952,Trait_Polarity!$A:$C,2,FALSE),0))</f>
        <v/>
      </c>
      <c r="R952">
        <f>IF(F952="",0,IFNA(VLOOKUP(F952,Trait_Polarity!$A:$C,3,FALSE),0))+IF(G952="",0,IFNA(VLOOKUP(G952,Trait_Polarity!$A:$C,3,FALSE),0))</f>
        <v/>
      </c>
      <c r="S952">
        <f>IF(P952="P",(M952+N952+O952)/3,0.3*H952+0.3*I952+0.2*J952+0.1*K952+0.1*L952)</f>
        <v/>
      </c>
      <c r="T952">
        <f>IF(P952="P",IFNA(VLOOKUP(B952,Pitcher_RoleAdj!$A:$B,2,FALSE),0),IFNA(VLOOKUP(B952,Hitter_PrimaryAdj!$A:$B,2,FALSE),0))</f>
        <v/>
      </c>
      <c r="U952">
        <f>IFNA(VLOOKUP(IF(C952="","(none)",C952),SecondaryAdj!$A:$B,2,FALSE),0)</f>
        <v/>
      </c>
      <c r="V952">
        <f>IF(P952="P",0.7780+0.1628*S952+0.2957*Q952-0.1912*R952-0.1512*IF(D952="S",1,0)+0.1600*IF(E952="L",1,0)+0.0091*H952+0.0124*I952+0.0017*J952+T952+U952,-0.8294+0.1849*S952+0.1750*Q952-0.2969*R952+0.6924*IF(D952="S",1,0)+0.0457*IF(E952="L",1,0)+T952+U952)</f>
        <v/>
      </c>
      <c r="W952">
        <f>MAX(0,MIN(16,ROUND(V952,0)))</f>
        <v/>
      </c>
      <c r="X952">
        <f>IFNA(VLOOKUP(W952,Grade_Scale!$A:$B,2,FALSE),"F")</f>
        <v/>
      </c>
      <c r="Z952">
        <f>IF(Y952="","",W952-IFNA(VLOOKUP(Y952,Grade_Scale!$D:$E,2,FALSE),""))</f>
        <v/>
      </c>
    </row>
    <row r="953">
      <c r="P953">
        <f>IF(OR(B953="SP",B953="RP",B953="CP",B953="SP/RP"),"P","H")</f>
        <v/>
      </c>
      <c r="Q953">
        <f>IF(F953="",0,IFNA(VLOOKUP(F953,Trait_Polarity!$A:$C,2,FALSE),0))+IF(G953="",0,IFNA(VLOOKUP(G953,Trait_Polarity!$A:$C,2,FALSE),0))</f>
        <v/>
      </c>
      <c r="R953">
        <f>IF(F953="",0,IFNA(VLOOKUP(F953,Trait_Polarity!$A:$C,3,FALSE),0))+IF(G953="",0,IFNA(VLOOKUP(G953,Trait_Polarity!$A:$C,3,FALSE),0))</f>
        <v/>
      </c>
      <c r="S953">
        <f>IF(P953="P",(M953+N953+O953)/3,0.3*H953+0.3*I953+0.2*J953+0.1*K953+0.1*L953)</f>
        <v/>
      </c>
      <c r="T953">
        <f>IF(P953="P",IFNA(VLOOKUP(B953,Pitcher_RoleAdj!$A:$B,2,FALSE),0),IFNA(VLOOKUP(B953,Hitter_PrimaryAdj!$A:$B,2,FALSE),0))</f>
        <v/>
      </c>
      <c r="U953">
        <f>IFNA(VLOOKUP(IF(C953="","(none)",C953),SecondaryAdj!$A:$B,2,FALSE),0)</f>
        <v/>
      </c>
      <c r="V953">
        <f>IF(P953="P",0.7780+0.1628*S953+0.2957*Q953-0.1912*R953-0.1512*IF(D953="S",1,0)+0.1600*IF(E953="L",1,0)+0.0091*H953+0.0124*I953+0.0017*J953+T953+U953,-0.8294+0.1849*S953+0.1750*Q953-0.2969*R953+0.6924*IF(D953="S",1,0)+0.0457*IF(E953="L",1,0)+T953+U953)</f>
        <v/>
      </c>
      <c r="W953">
        <f>MAX(0,MIN(16,ROUND(V953,0)))</f>
        <v/>
      </c>
      <c r="X953">
        <f>IFNA(VLOOKUP(W953,Grade_Scale!$A:$B,2,FALSE),"F")</f>
        <v/>
      </c>
      <c r="Z953">
        <f>IF(Y953="","",W953-IFNA(VLOOKUP(Y953,Grade_Scale!$D:$E,2,FALSE),""))</f>
        <v/>
      </c>
    </row>
    <row r="954">
      <c r="P954">
        <f>IF(OR(B954="SP",B954="RP",B954="CP",B954="SP/RP"),"P","H")</f>
        <v/>
      </c>
      <c r="Q954">
        <f>IF(F954="",0,IFNA(VLOOKUP(F954,Trait_Polarity!$A:$C,2,FALSE),0))+IF(G954="",0,IFNA(VLOOKUP(G954,Trait_Polarity!$A:$C,2,FALSE),0))</f>
        <v/>
      </c>
      <c r="R954">
        <f>IF(F954="",0,IFNA(VLOOKUP(F954,Trait_Polarity!$A:$C,3,FALSE),0))+IF(G954="",0,IFNA(VLOOKUP(G954,Trait_Polarity!$A:$C,3,FALSE),0))</f>
        <v/>
      </c>
      <c r="S954">
        <f>IF(P954="P",(M954+N954+O954)/3,0.3*H954+0.3*I954+0.2*J954+0.1*K954+0.1*L954)</f>
        <v/>
      </c>
      <c r="T954">
        <f>IF(P954="P",IFNA(VLOOKUP(B954,Pitcher_RoleAdj!$A:$B,2,FALSE),0),IFNA(VLOOKUP(B954,Hitter_PrimaryAdj!$A:$B,2,FALSE),0))</f>
        <v/>
      </c>
      <c r="U954">
        <f>IFNA(VLOOKUP(IF(C954="","(none)",C954),SecondaryAdj!$A:$B,2,FALSE),0)</f>
        <v/>
      </c>
      <c r="V954">
        <f>IF(P954="P",0.7780+0.1628*S954+0.2957*Q954-0.1912*R954-0.1512*IF(D954="S",1,0)+0.1600*IF(E954="L",1,0)+0.0091*H954+0.0124*I954+0.0017*J954+T954+U954,-0.8294+0.1849*S954+0.1750*Q954-0.2969*R954+0.6924*IF(D954="S",1,0)+0.0457*IF(E954="L",1,0)+T954+U954)</f>
        <v/>
      </c>
      <c r="W954">
        <f>MAX(0,MIN(16,ROUND(V954,0)))</f>
        <v/>
      </c>
      <c r="X954">
        <f>IFNA(VLOOKUP(W954,Grade_Scale!$A:$B,2,FALSE),"F")</f>
        <v/>
      </c>
      <c r="Z954">
        <f>IF(Y954="","",W954-IFNA(VLOOKUP(Y954,Grade_Scale!$D:$E,2,FALSE),""))</f>
        <v/>
      </c>
    </row>
    <row r="955">
      <c r="P955">
        <f>IF(OR(B955="SP",B955="RP",B955="CP",B955="SP/RP"),"P","H")</f>
        <v/>
      </c>
      <c r="Q955">
        <f>IF(F955="",0,IFNA(VLOOKUP(F955,Trait_Polarity!$A:$C,2,FALSE),0))+IF(G955="",0,IFNA(VLOOKUP(G955,Trait_Polarity!$A:$C,2,FALSE),0))</f>
        <v/>
      </c>
      <c r="R955">
        <f>IF(F955="",0,IFNA(VLOOKUP(F955,Trait_Polarity!$A:$C,3,FALSE),0))+IF(G955="",0,IFNA(VLOOKUP(G955,Trait_Polarity!$A:$C,3,FALSE),0))</f>
        <v/>
      </c>
      <c r="S955">
        <f>IF(P955="P",(M955+N955+O955)/3,0.3*H955+0.3*I955+0.2*J955+0.1*K955+0.1*L955)</f>
        <v/>
      </c>
      <c r="T955">
        <f>IF(P955="P",IFNA(VLOOKUP(B955,Pitcher_RoleAdj!$A:$B,2,FALSE),0),IFNA(VLOOKUP(B955,Hitter_PrimaryAdj!$A:$B,2,FALSE),0))</f>
        <v/>
      </c>
      <c r="U955">
        <f>IFNA(VLOOKUP(IF(C955="","(none)",C955),SecondaryAdj!$A:$B,2,FALSE),0)</f>
        <v/>
      </c>
      <c r="V955">
        <f>IF(P955="P",0.7780+0.1628*S955+0.2957*Q955-0.1912*R955-0.1512*IF(D955="S",1,0)+0.1600*IF(E955="L",1,0)+0.0091*H955+0.0124*I955+0.0017*J955+T955+U955,-0.8294+0.1849*S955+0.1750*Q955-0.2969*R955+0.6924*IF(D955="S",1,0)+0.0457*IF(E955="L",1,0)+T955+U955)</f>
        <v/>
      </c>
      <c r="W955">
        <f>MAX(0,MIN(16,ROUND(V955,0)))</f>
        <v/>
      </c>
      <c r="X955">
        <f>IFNA(VLOOKUP(W955,Grade_Scale!$A:$B,2,FALSE),"F")</f>
        <v/>
      </c>
      <c r="Z955">
        <f>IF(Y955="","",W955-IFNA(VLOOKUP(Y955,Grade_Scale!$D:$E,2,FALSE),""))</f>
        <v/>
      </c>
    </row>
    <row r="956">
      <c r="P956">
        <f>IF(OR(B956="SP",B956="RP",B956="CP",B956="SP/RP"),"P","H")</f>
        <v/>
      </c>
      <c r="Q956">
        <f>IF(F956="",0,IFNA(VLOOKUP(F956,Trait_Polarity!$A:$C,2,FALSE),0))+IF(G956="",0,IFNA(VLOOKUP(G956,Trait_Polarity!$A:$C,2,FALSE),0))</f>
        <v/>
      </c>
      <c r="R956">
        <f>IF(F956="",0,IFNA(VLOOKUP(F956,Trait_Polarity!$A:$C,3,FALSE),0))+IF(G956="",0,IFNA(VLOOKUP(G956,Trait_Polarity!$A:$C,3,FALSE),0))</f>
        <v/>
      </c>
      <c r="S956">
        <f>IF(P956="P",(M956+N956+O956)/3,0.3*H956+0.3*I956+0.2*J956+0.1*K956+0.1*L956)</f>
        <v/>
      </c>
      <c r="T956">
        <f>IF(P956="P",IFNA(VLOOKUP(B956,Pitcher_RoleAdj!$A:$B,2,FALSE),0),IFNA(VLOOKUP(B956,Hitter_PrimaryAdj!$A:$B,2,FALSE),0))</f>
        <v/>
      </c>
      <c r="U956">
        <f>IFNA(VLOOKUP(IF(C956="","(none)",C956),SecondaryAdj!$A:$B,2,FALSE),0)</f>
        <v/>
      </c>
      <c r="V956">
        <f>IF(P956="P",0.7780+0.1628*S956+0.2957*Q956-0.1912*R956-0.1512*IF(D956="S",1,0)+0.1600*IF(E956="L",1,0)+0.0091*H956+0.0124*I956+0.0017*J956+T956+U956,-0.8294+0.1849*S956+0.1750*Q956-0.2969*R956+0.6924*IF(D956="S",1,0)+0.0457*IF(E956="L",1,0)+T956+U956)</f>
        <v/>
      </c>
      <c r="W956">
        <f>MAX(0,MIN(16,ROUND(V956,0)))</f>
        <v/>
      </c>
      <c r="X956">
        <f>IFNA(VLOOKUP(W956,Grade_Scale!$A:$B,2,FALSE),"F")</f>
        <v/>
      </c>
      <c r="Z956">
        <f>IF(Y956="","",W956-IFNA(VLOOKUP(Y956,Grade_Scale!$D:$E,2,FALSE),""))</f>
        <v/>
      </c>
    </row>
    <row r="957">
      <c r="P957">
        <f>IF(OR(B957="SP",B957="RP",B957="CP",B957="SP/RP"),"P","H")</f>
        <v/>
      </c>
      <c r="Q957">
        <f>IF(F957="",0,IFNA(VLOOKUP(F957,Trait_Polarity!$A:$C,2,FALSE),0))+IF(G957="",0,IFNA(VLOOKUP(G957,Trait_Polarity!$A:$C,2,FALSE),0))</f>
        <v/>
      </c>
      <c r="R957">
        <f>IF(F957="",0,IFNA(VLOOKUP(F957,Trait_Polarity!$A:$C,3,FALSE),0))+IF(G957="",0,IFNA(VLOOKUP(G957,Trait_Polarity!$A:$C,3,FALSE),0))</f>
        <v/>
      </c>
      <c r="S957">
        <f>IF(P957="P",(M957+N957+O957)/3,0.3*H957+0.3*I957+0.2*J957+0.1*K957+0.1*L957)</f>
        <v/>
      </c>
      <c r="T957">
        <f>IF(P957="P",IFNA(VLOOKUP(B957,Pitcher_RoleAdj!$A:$B,2,FALSE),0),IFNA(VLOOKUP(B957,Hitter_PrimaryAdj!$A:$B,2,FALSE),0))</f>
        <v/>
      </c>
      <c r="U957">
        <f>IFNA(VLOOKUP(IF(C957="","(none)",C957),SecondaryAdj!$A:$B,2,FALSE),0)</f>
        <v/>
      </c>
      <c r="V957">
        <f>IF(P957="P",0.7780+0.1628*S957+0.2957*Q957-0.1912*R957-0.1512*IF(D957="S",1,0)+0.1600*IF(E957="L",1,0)+0.0091*H957+0.0124*I957+0.0017*J957+T957+U957,-0.8294+0.1849*S957+0.1750*Q957-0.2969*R957+0.6924*IF(D957="S",1,0)+0.0457*IF(E957="L",1,0)+T957+U957)</f>
        <v/>
      </c>
      <c r="W957">
        <f>MAX(0,MIN(16,ROUND(V957,0)))</f>
        <v/>
      </c>
      <c r="X957">
        <f>IFNA(VLOOKUP(W957,Grade_Scale!$A:$B,2,FALSE),"F")</f>
        <v/>
      </c>
      <c r="Z957">
        <f>IF(Y957="","",W957-IFNA(VLOOKUP(Y957,Grade_Scale!$D:$E,2,FALSE),""))</f>
        <v/>
      </c>
    </row>
    <row r="958">
      <c r="P958">
        <f>IF(OR(B958="SP",B958="RP",B958="CP",B958="SP/RP"),"P","H")</f>
        <v/>
      </c>
      <c r="Q958">
        <f>IF(F958="",0,IFNA(VLOOKUP(F958,Trait_Polarity!$A:$C,2,FALSE),0))+IF(G958="",0,IFNA(VLOOKUP(G958,Trait_Polarity!$A:$C,2,FALSE),0))</f>
        <v/>
      </c>
      <c r="R958">
        <f>IF(F958="",0,IFNA(VLOOKUP(F958,Trait_Polarity!$A:$C,3,FALSE),0))+IF(G958="",0,IFNA(VLOOKUP(G958,Trait_Polarity!$A:$C,3,FALSE),0))</f>
        <v/>
      </c>
      <c r="S958">
        <f>IF(P958="P",(M958+N958+O958)/3,0.3*H958+0.3*I958+0.2*J958+0.1*K958+0.1*L958)</f>
        <v/>
      </c>
      <c r="T958">
        <f>IF(P958="P",IFNA(VLOOKUP(B958,Pitcher_RoleAdj!$A:$B,2,FALSE),0),IFNA(VLOOKUP(B958,Hitter_PrimaryAdj!$A:$B,2,FALSE),0))</f>
        <v/>
      </c>
      <c r="U958">
        <f>IFNA(VLOOKUP(IF(C958="","(none)",C958),SecondaryAdj!$A:$B,2,FALSE),0)</f>
        <v/>
      </c>
      <c r="V958">
        <f>IF(P958="P",0.7780+0.1628*S958+0.2957*Q958-0.1912*R958-0.1512*IF(D958="S",1,0)+0.1600*IF(E958="L",1,0)+0.0091*H958+0.0124*I958+0.0017*J958+T958+U958,-0.8294+0.1849*S958+0.1750*Q958-0.2969*R958+0.6924*IF(D958="S",1,0)+0.0457*IF(E958="L",1,0)+T958+U958)</f>
        <v/>
      </c>
      <c r="W958">
        <f>MAX(0,MIN(16,ROUND(V958,0)))</f>
        <v/>
      </c>
      <c r="X958">
        <f>IFNA(VLOOKUP(W958,Grade_Scale!$A:$B,2,FALSE),"F")</f>
        <v/>
      </c>
      <c r="Z958">
        <f>IF(Y958="","",W958-IFNA(VLOOKUP(Y958,Grade_Scale!$D:$E,2,FALSE),""))</f>
        <v/>
      </c>
    </row>
    <row r="959">
      <c r="P959">
        <f>IF(OR(B959="SP",B959="RP",B959="CP",B959="SP/RP"),"P","H")</f>
        <v/>
      </c>
      <c r="Q959">
        <f>IF(F959="",0,IFNA(VLOOKUP(F959,Trait_Polarity!$A:$C,2,FALSE),0))+IF(G959="",0,IFNA(VLOOKUP(G959,Trait_Polarity!$A:$C,2,FALSE),0))</f>
        <v/>
      </c>
      <c r="R959">
        <f>IF(F959="",0,IFNA(VLOOKUP(F959,Trait_Polarity!$A:$C,3,FALSE),0))+IF(G959="",0,IFNA(VLOOKUP(G959,Trait_Polarity!$A:$C,3,FALSE),0))</f>
        <v/>
      </c>
      <c r="S959">
        <f>IF(P959="P",(M959+N959+O959)/3,0.3*H959+0.3*I959+0.2*J959+0.1*K959+0.1*L959)</f>
        <v/>
      </c>
      <c r="T959">
        <f>IF(P959="P",IFNA(VLOOKUP(B959,Pitcher_RoleAdj!$A:$B,2,FALSE),0),IFNA(VLOOKUP(B959,Hitter_PrimaryAdj!$A:$B,2,FALSE),0))</f>
        <v/>
      </c>
      <c r="U959">
        <f>IFNA(VLOOKUP(IF(C959="","(none)",C959),SecondaryAdj!$A:$B,2,FALSE),0)</f>
        <v/>
      </c>
      <c r="V959">
        <f>IF(P959="P",0.7780+0.1628*S959+0.2957*Q959-0.1912*R959-0.1512*IF(D959="S",1,0)+0.1600*IF(E959="L",1,0)+0.0091*H959+0.0124*I959+0.0017*J959+T959+U959,-0.8294+0.1849*S959+0.1750*Q959-0.2969*R959+0.6924*IF(D959="S",1,0)+0.0457*IF(E959="L",1,0)+T959+U959)</f>
        <v/>
      </c>
      <c r="W959">
        <f>MAX(0,MIN(16,ROUND(V959,0)))</f>
        <v/>
      </c>
      <c r="X959">
        <f>IFNA(VLOOKUP(W959,Grade_Scale!$A:$B,2,FALSE),"F")</f>
        <v/>
      </c>
      <c r="Z959">
        <f>IF(Y959="","",W959-IFNA(VLOOKUP(Y959,Grade_Scale!$D:$E,2,FALSE),""))</f>
        <v/>
      </c>
    </row>
    <row r="960">
      <c r="P960">
        <f>IF(OR(B960="SP",B960="RP",B960="CP",B960="SP/RP"),"P","H")</f>
        <v/>
      </c>
      <c r="Q960">
        <f>IF(F960="",0,IFNA(VLOOKUP(F960,Trait_Polarity!$A:$C,2,FALSE),0))+IF(G960="",0,IFNA(VLOOKUP(G960,Trait_Polarity!$A:$C,2,FALSE),0))</f>
        <v/>
      </c>
      <c r="R960">
        <f>IF(F960="",0,IFNA(VLOOKUP(F960,Trait_Polarity!$A:$C,3,FALSE),0))+IF(G960="",0,IFNA(VLOOKUP(G960,Trait_Polarity!$A:$C,3,FALSE),0))</f>
        <v/>
      </c>
      <c r="S960">
        <f>IF(P960="P",(M960+N960+O960)/3,0.3*H960+0.3*I960+0.2*J960+0.1*K960+0.1*L960)</f>
        <v/>
      </c>
      <c r="T960">
        <f>IF(P960="P",IFNA(VLOOKUP(B960,Pitcher_RoleAdj!$A:$B,2,FALSE),0),IFNA(VLOOKUP(B960,Hitter_PrimaryAdj!$A:$B,2,FALSE),0))</f>
        <v/>
      </c>
      <c r="U960">
        <f>IFNA(VLOOKUP(IF(C960="","(none)",C960),SecondaryAdj!$A:$B,2,FALSE),0)</f>
        <v/>
      </c>
      <c r="V960">
        <f>IF(P960="P",0.7780+0.1628*S960+0.2957*Q960-0.1912*R960-0.1512*IF(D960="S",1,0)+0.1600*IF(E960="L",1,0)+0.0091*H960+0.0124*I960+0.0017*J960+T960+U960,-0.8294+0.1849*S960+0.1750*Q960-0.2969*R960+0.6924*IF(D960="S",1,0)+0.0457*IF(E960="L",1,0)+T960+U960)</f>
        <v/>
      </c>
      <c r="W960">
        <f>MAX(0,MIN(16,ROUND(V960,0)))</f>
        <v/>
      </c>
      <c r="X960">
        <f>IFNA(VLOOKUP(W960,Grade_Scale!$A:$B,2,FALSE),"F")</f>
        <v/>
      </c>
      <c r="Z960">
        <f>IF(Y960="","",W960-IFNA(VLOOKUP(Y960,Grade_Scale!$D:$E,2,FALSE),""))</f>
        <v/>
      </c>
    </row>
    <row r="961">
      <c r="P961">
        <f>IF(OR(B961="SP",B961="RP",B961="CP",B961="SP/RP"),"P","H")</f>
        <v/>
      </c>
      <c r="Q961">
        <f>IF(F961="",0,IFNA(VLOOKUP(F961,Trait_Polarity!$A:$C,2,FALSE),0))+IF(G961="",0,IFNA(VLOOKUP(G961,Trait_Polarity!$A:$C,2,FALSE),0))</f>
        <v/>
      </c>
      <c r="R961">
        <f>IF(F961="",0,IFNA(VLOOKUP(F961,Trait_Polarity!$A:$C,3,FALSE),0))+IF(G961="",0,IFNA(VLOOKUP(G961,Trait_Polarity!$A:$C,3,FALSE),0))</f>
        <v/>
      </c>
      <c r="S961">
        <f>IF(P961="P",(M961+N961+O961)/3,0.3*H961+0.3*I961+0.2*J961+0.1*K961+0.1*L961)</f>
        <v/>
      </c>
      <c r="T961">
        <f>IF(P961="P",IFNA(VLOOKUP(B961,Pitcher_RoleAdj!$A:$B,2,FALSE),0),IFNA(VLOOKUP(B961,Hitter_PrimaryAdj!$A:$B,2,FALSE),0))</f>
        <v/>
      </c>
      <c r="U961">
        <f>IFNA(VLOOKUP(IF(C961="","(none)",C961),SecondaryAdj!$A:$B,2,FALSE),0)</f>
        <v/>
      </c>
      <c r="V961">
        <f>IF(P961="P",0.7780+0.1628*S961+0.2957*Q961-0.1912*R961-0.1512*IF(D961="S",1,0)+0.1600*IF(E961="L",1,0)+0.0091*H961+0.0124*I961+0.0017*J961+T961+U961,-0.8294+0.1849*S961+0.1750*Q961-0.2969*R961+0.6924*IF(D961="S",1,0)+0.0457*IF(E961="L",1,0)+T961+U961)</f>
        <v/>
      </c>
      <c r="W961">
        <f>MAX(0,MIN(16,ROUND(V961,0)))</f>
        <v/>
      </c>
      <c r="X961">
        <f>IFNA(VLOOKUP(W961,Grade_Scale!$A:$B,2,FALSE),"F")</f>
        <v/>
      </c>
      <c r="Z961">
        <f>IF(Y961="","",W961-IFNA(VLOOKUP(Y961,Grade_Scale!$D:$E,2,FALSE),""))</f>
        <v/>
      </c>
    </row>
    <row r="962">
      <c r="P962">
        <f>IF(OR(B962="SP",B962="RP",B962="CP",B962="SP/RP"),"P","H")</f>
        <v/>
      </c>
      <c r="Q962">
        <f>IF(F962="",0,IFNA(VLOOKUP(F962,Trait_Polarity!$A:$C,2,FALSE),0))+IF(G962="",0,IFNA(VLOOKUP(G962,Trait_Polarity!$A:$C,2,FALSE),0))</f>
        <v/>
      </c>
      <c r="R962">
        <f>IF(F962="",0,IFNA(VLOOKUP(F962,Trait_Polarity!$A:$C,3,FALSE),0))+IF(G962="",0,IFNA(VLOOKUP(G962,Trait_Polarity!$A:$C,3,FALSE),0))</f>
        <v/>
      </c>
      <c r="S962">
        <f>IF(P962="P",(M962+N962+O962)/3,0.3*H962+0.3*I962+0.2*J962+0.1*K962+0.1*L962)</f>
        <v/>
      </c>
      <c r="T962">
        <f>IF(P962="P",IFNA(VLOOKUP(B962,Pitcher_RoleAdj!$A:$B,2,FALSE),0),IFNA(VLOOKUP(B962,Hitter_PrimaryAdj!$A:$B,2,FALSE),0))</f>
        <v/>
      </c>
      <c r="U962">
        <f>IFNA(VLOOKUP(IF(C962="","(none)",C962),SecondaryAdj!$A:$B,2,FALSE),0)</f>
        <v/>
      </c>
      <c r="V962">
        <f>IF(P962="P",0.7780+0.1628*S962+0.2957*Q962-0.1912*R962-0.1512*IF(D962="S",1,0)+0.1600*IF(E962="L",1,0)+0.0091*H962+0.0124*I962+0.0017*J962+T962+U962,-0.8294+0.1849*S962+0.1750*Q962-0.2969*R962+0.6924*IF(D962="S",1,0)+0.0457*IF(E962="L",1,0)+T962+U962)</f>
        <v/>
      </c>
      <c r="W962">
        <f>MAX(0,MIN(16,ROUND(V962,0)))</f>
        <v/>
      </c>
      <c r="X962">
        <f>IFNA(VLOOKUP(W962,Grade_Scale!$A:$B,2,FALSE),"F")</f>
        <v/>
      </c>
      <c r="Z962">
        <f>IF(Y962="","",W962-IFNA(VLOOKUP(Y962,Grade_Scale!$D:$E,2,FALSE),""))</f>
        <v/>
      </c>
    </row>
    <row r="963">
      <c r="P963">
        <f>IF(OR(B963="SP",B963="RP",B963="CP",B963="SP/RP"),"P","H")</f>
        <v/>
      </c>
      <c r="Q963">
        <f>IF(F963="",0,IFNA(VLOOKUP(F963,Trait_Polarity!$A:$C,2,FALSE),0))+IF(G963="",0,IFNA(VLOOKUP(G963,Trait_Polarity!$A:$C,2,FALSE),0))</f>
        <v/>
      </c>
      <c r="R963">
        <f>IF(F963="",0,IFNA(VLOOKUP(F963,Trait_Polarity!$A:$C,3,FALSE),0))+IF(G963="",0,IFNA(VLOOKUP(G963,Trait_Polarity!$A:$C,3,FALSE),0))</f>
        <v/>
      </c>
      <c r="S963">
        <f>IF(P963="P",(M963+N963+O963)/3,0.3*H963+0.3*I963+0.2*J963+0.1*K963+0.1*L963)</f>
        <v/>
      </c>
      <c r="T963">
        <f>IF(P963="P",IFNA(VLOOKUP(B963,Pitcher_RoleAdj!$A:$B,2,FALSE),0),IFNA(VLOOKUP(B963,Hitter_PrimaryAdj!$A:$B,2,FALSE),0))</f>
        <v/>
      </c>
      <c r="U963">
        <f>IFNA(VLOOKUP(IF(C963="","(none)",C963),SecondaryAdj!$A:$B,2,FALSE),0)</f>
        <v/>
      </c>
      <c r="V963">
        <f>IF(P963="P",0.7780+0.1628*S963+0.2957*Q963-0.1912*R963-0.1512*IF(D963="S",1,0)+0.1600*IF(E963="L",1,0)+0.0091*H963+0.0124*I963+0.0017*J963+T963+U963,-0.8294+0.1849*S963+0.1750*Q963-0.2969*R963+0.6924*IF(D963="S",1,0)+0.0457*IF(E963="L",1,0)+T963+U963)</f>
        <v/>
      </c>
      <c r="W963">
        <f>MAX(0,MIN(16,ROUND(V963,0)))</f>
        <v/>
      </c>
      <c r="X963">
        <f>IFNA(VLOOKUP(W963,Grade_Scale!$A:$B,2,FALSE),"F")</f>
        <v/>
      </c>
      <c r="Z963">
        <f>IF(Y963="","",W963-IFNA(VLOOKUP(Y963,Grade_Scale!$D:$E,2,FALSE),""))</f>
        <v/>
      </c>
    </row>
    <row r="964">
      <c r="P964">
        <f>IF(OR(B964="SP",B964="RP",B964="CP",B964="SP/RP"),"P","H")</f>
        <v/>
      </c>
      <c r="Q964">
        <f>IF(F964="",0,IFNA(VLOOKUP(F964,Trait_Polarity!$A:$C,2,FALSE),0))+IF(G964="",0,IFNA(VLOOKUP(G964,Trait_Polarity!$A:$C,2,FALSE),0))</f>
        <v/>
      </c>
      <c r="R964">
        <f>IF(F964="",0,IFNA(VLOOKUP(F964,Trait_Polarity!$A:$C,3,FALSE),0))+IF(G964="",0,IFNA(VLOOKUP(G964,Trait_Polarity!$A:$C,3,FALSE),0))</f>
        <v/>
      </c>
      <c r="S964">
        <f>IF(P964="P",(M964+N964+O964)/3,0.3*H964+0.3*I964+0.2*J964+0.1*K964+0.1*L964)</f>
        <v/>
      </c>
      <c r="T964">
        <f>IF(P964="P",IFNA(VLOOKUP(B964,Pitcher_RoleAdj!$A:$B,2,FALSE),0),IFNA(VLOOKUP(B964,Hitter_PrimaryAdj!$A:$B,2,FALSE),0))</f>
        <v/>
      </c>
      <c r="U964">
        <f>IFNA(VLOOKUP(IF(C964="","(none)",C964),SecondaryAdj!$A:$B,2,FALSE),0)</f>
        <v/>
      </c>
      <c r="V964">
        <f>IF(P964="P",0.7780+0.1628*S964+0.2957*Q964-0.1912*R964-0.1512*IF(D964="S",1,0)+0.1600*IF(E964="L",1,0)+0.0091*H964+0.0124*I964+0.0017*J964+T964+U964,-0.8294+0.1849*S964+0.1750*Q964-0.2969*R964+0.6924*IF(D964="S",1,0)+0.0457*IF(E964="L",1,0)+T964+U964)</f>
        <v/>
      </c>
      <c r="W964">
        <f>MAX(0,MIN(16,ROUND(V964,0)))</f>
        <v/>
      </c>
      <c r="X964">
        <f>IFNA(VLOOKUP(W964,Grade_Scale!$A:$B,2,FALSE),"F")</f>
        <v/>
      </c>
      <c r="Z964">
        <f>IF(Y964="","",W964-IFNA(VLOOKUP(Y964,Grade_Scale!$D:$E,2,FALSE),""))</f>
        <v/>
      </c>
    </row>
    <row r="965">
      <c r="P965">
        <f>IF(OR(B965="SP",B965="RP",B965="CP",B965="SP/RP"),"P","H")</f>
        <v/>
      </c>
      <c r="Q965">
        <f>IF(F965="",0,IFNA(VLOOKUP(F965,Trait_Polarity!$A:$C,2,FALSE),0))+IF(G965="",0,IFNA(VLOOKUP(G965,Trait_Polarity!$A:$C,2,FALSE),0))</f>
        <v/>
      </c>
      <c r="R965">
        <f>IF(F965="",0,IFNA(VLOOKUP(F965,Trait_Polarity!$A:$C,3,FALSE),0))+IF(G965="",0,IFNA(VLOOKUP(G965,Trait_Polarity!$A:$C,3,FALSE),0))</f>
        <v/>
      </c>
      <c r="S965">
        <f>IF(P965="P",(M965+N965+O965)/3,0.3*H965+0.3*I965+0.2*J965+0.1*K965+0.1*L965)</f>
        <v/>
      </c>
      <c r="T965">
        <f>IF(P965="P",IFNA(VLOOKUP(B965,Pitcher_RoleAdj!$A:$B,2,FALSE),0),IFNA(VLOOKUP(B965,Hitter_PrimaryAdj!$A:$B,2,FALSE),0))</f>
        <v/>
      </c>
      <c r="U965">
        <f>IFNA(VLOOKUP(IF(C965="","(none)",C965),SecondaryAdj!$A:$B,2,FALSE),0)</f>
        <v/>
      </c>
      <c r="V965">
        <f>IF(P965="P",0.7780+0.1628*S965+0.2957*Q965-0.1912*R965-0.1512*IF(D965="S",1,0)+0.1600*IF(E965="L",1,0)+0.0091*H965+0.0124*I965+0.0017*J965+T965+U965,-0.8294+0.1849*S965+0.1750*Q965-0.2969*R965+0.6924*IF(D965="S",1,0)+0.0457*IF(E965="L",1,0)+T965+U965)</f>
        <v/>
      </c>
      <c r="W965">
        <f>MAX(0,MIN(16,ROUND(V965,0)))</f>
        <v/>
      </c>
      <c r="X965">
        <f>IFNA(VLOOKUP(W965,Grade_Scale!$A:$B,2,FALSE),"F")</f>
        <v/>
      </c>
      <c r="Z965">
        <f>IF(Y965="","",W965-IFNA(VLOOKUP(Y965,Grade_Scale!$D:$E,2,FALSE),""))</f>
        <v/>
      </c>
    </row>
    <row r="966">
      <c r="P966">
        <f>IF(OR(B966="SP",B966="RP",B966="CP",B966="SP/RP"),"P","H")</f>
        <v/>
      </c>
      <c r="Q966">
        <f>IF(F966="",0,IFNA(VLOOKUP(F966,Trait_Polarity!$A:$C,2,FALSE),0))+IF(G966="",0,IFNA(VLOOKUP(G966,Trait_Polarity!$A:$C,2,FALSE),0))</f>
        <v/>
      </c>
      <c r="R966">
        <f>IF(F966="",0,IFNA(VLOOKUP(F966,Trait_Polarity!$A:$C,3,FALSE),0))+IF(G966="",0,IFNA(VLOOKUP(G966,Trait_Polarity!$A:$C,3,FALSE),0))</f>
        <v/>
      </c>
      <c r="S966">
        <f>IF(P966="P",(M966+N966+O966)/3,0.3*H966+0.3*I966+0.2*J966+0.1*K966+0.1*L966)</f>
        <v/>
      </c>
      <c r="T966">
        <f>IF(P966="P",IFNA(VLOOKUP(B966,Pitcher_RoleAdj!$A:$B,2,FALSE),0),IFNA(VLOOKUP(B966,Hitter_PrimaryAdj!$A:$B,2,FALSE),0))</f>
        <v/>
      </c>
      <c r="U966">
        <f>IFNA(VLOOKUP(IF(C966="","(none)",C966),SecondaryAdj!$A:$B,2,FALSE),0)</f>
        <v/>
      </c>
      <c r="V966">
        <f>IF(P966="P",0.7780+0.1628*S966+0.2957*Q966-0.1912*R966-0.1512*IF(D966="S",1,0)+0.1600*IF(E966="L",1,0)+0.0091*H966+0.0124*I966+0.0017*J966+T966+U966,-0.8294+0.1849*S966+0.1750*Q966-0.2969*R966+0.6924*IF(D966="S",1,0)+0.0457*IF(E966="L",1,0)+T966+U966)</f>
        <v/>
      </c>
      <c r="W966">
        <f>MAX(0,MIN(16,ROUND(V966,0)))</f>
        <v/>
      </c>
      <c r="X966">
        <f>IFNA(VLOOKUP(W966,Grade_Scale!$A:$B,2,FALSE),"F")</f>
        <v/>
      </c>
      <c r="Z966">
        <f>IF(Y966="","",W966-IFNA(VLOOKUP(Y966,Grade_Scale!$D:$E,2,FALSE),""))</f>
        <v/>
      </c>
    </row>
    <row r="967">
      <c r="P967">
        <f>IF(OR(B967="SP",B967="RP",B967="CP",B967="SP/RP"),"P","H")</f>
        <v/>
      </c>
      <c r="Q967">
        <f>IF(F967="",0,IFNA(VLOOKUP(F967,Trait_Polarity!$A:$C,2,FALSE),0))+IF(G967="",0,IFNA(VLOOKUP(G967,Trait_Polarity!$A:$C,2,FALSE),0))</f>
        <v/>
      </c>
      <c r="R967">
        <f>IF(F967="",0,IFNA(VLOOKUP(F967,Trait_Polarity!$A:$C,3,FALSE),0))+IF(G967="",0,IFNA(VLOOKUP(G967,Trait_Polarity!$A:$C,3,FALSE),0))</f>
        <v/>
      </c>
      <c r="S967">
        <f>IF(P967="P",(M967+N967+O967)/3,0.3*H967+0.3*I967+0.2*J967+0.1*K967+0.1*L967)</f>
        <v/>
      </c>
      <c r="T967">
        <f>IF(P967="P",IFNA(VLOOKUP(B967,Pitcher_RoleAdj!$A:$B,2,FALSE),0),IFNA(VLOOKUP(B967,Hitter_PrimaryAdj!$A:$B,2,FALSE),0))</f>
        <v/>
      </c>
      <c r="U967">
        <f>IFNA(VLOOKUP(IF(C967="","(none)",C967),SecondaryAdj!$A:$B,2,FALSE),0)</f>
        <v/>
      </c>
      <c r="V967">
        <f>IF(P967="P",0.7780+0.1628*S967+0.2957*Q967-0.1912*R967-0.1512*IF(D967="S",1,0)+0.1600*IF(E967="L",1,0)+0.0091*H967+0.0124*I967+0.0017*J967+T967+U967,-0.8294+0.1849*S967+0.1750*Q967-0.2969*R967+0.6924*IF(D967="S",1,0)+0.0457*IF(E967="L",1,0)+T967+U967)</f>
        <v/>
      </c>
      <c r="W967">
        <f>MAX(0,MIN(16,ROUND(V967,0)))</f>
        <v/>
      </c>
      <c r="X967">
        <f>IFNA(VLOOKUP(W967,Grade_Scale!$A:$B,2,FALSE),"F")</f>
        <v/>
      </c>
      <c r="Z967">
        <f>IF(Y967="","",W967-IFNA(VLOOKUP(Y967,Grade_Scale!$D:$E,2,FALSE),""))</f>
        <v/>
      </c>
    </row>
    <row r="968">
      <c r="P968">
        <f>IF(OR(B968="SP",B968="RP",B968="CP",B968="SP/RP"),"P","H")</f>
        <v/>
      </c>
      <c r="Q968">
        <f>IF(F968="",0,IFNA(VLOOKUP(F968,Trait_Polarity!$A:$C,2,FALSE),0))+IF(G968="",0,IFNA(VLOOKUP(G968,Trait_Polarity!$A:$C,2,FALSE),0))</f>
        <v/>
      </c>
      <c r="R968">
        <f>IF(F968="",0,IFNA(VLOOKUP(F968,Trait_Polarity!$A:$C,3,FALSE),0))+IF(G968="",0,IFNA(VLOOKUP(G968,Trait_Polarity!$A:$C,3,FALSE),0))</f>
        <v/>
      </c>
      <c r="S968">
        <f>IF(P968="P",(M968+N968+O968)/3,0.3*H968+0.3*I968+0.2*J968+0.1*K968+0.1*L968)</f>
        <v/>
      </c>
      <c r="T968">
        <f>IF(P968="P",IFNA(VLOOKUP(B968,Pitcher_RoleAdj!$A:$B,2,FALSE),0),IFNA(VLOOKUP(B968,Hitter_PrimaryAdj!$A:$B,2,FALSE),0))</f>
        <v/>
      </c>
      <c r="U968">
        <f>IFNA(VLOOKUP(IF(C968="","(none)",C968),SecondaryAdj!$A:$B,2,FALSE),0)</f>
        <v/>
      </c>
      <c r="V968">
        <f>IF(P968="P",0.7780+0.1628*S968+0.2957*Q968-0.1912*R968-0.1512*IF(D968="S",1,0)+0.1600*IF(E968="L",1,0)+0.0091*H968+0.0124*I968+0.0017*J968+T968+U968,-0.8294+0.1849*S968+0.1750*Q968-0.2969*R968+0.6924*IF(D968="S",1,0)+0.0457*IF(E968="L",1,0)+T968+U968)</f>
        <v/>
      </c>
      <c r="W968">
        <f>MAX(0,MIN(16,ROUND(V968,0)))</f>
        <v/>
      </c>
      <c r="X968">
        <f>IFNA(VLOOKUP(W968,Grade_Scale!$A:$B,2,FALSE),"F")</f>
        <v/>
      </c>
      <c r="Z968">
        <f>IF(Y968="","",W968-IFNA(VLOOKUP(Y968,Grade_Scale!$D:$E,2,FALSE),""))</f>
        <v/>
      </c>
    </row>
    <row r="969">
      <c r="P969">
        <f>IF(OR(B969="SP",B969="RP",B969="CP",B969="SP/RP"),"P","H")</f>
        <v/>
      </c>
      <c r="Q969">
        <f>IF(F969="",0,IFNA(VLOOKUP(F969,Trait_Polarity!$A:$C,2,FALSE),0))+IF(G969="",0,IFNA(VLOOKUP(G969,Trait_Polarity!$A:$C,2,FALSE),0))</f>
        <v/>
      </c>
      <c r="R969">
        <f>IF(F969="",0,IFNA(VLOOKUP(F969,Trait_Polarity!$A:$C,3,FALSE),0))+IF(G969="",0,IFNA(VLOOKUP(G969,Trait_Polarity!$A:$C,3,FALSE),0))</f>
        <v/>
      </c>
      <c r="S969">
        <f>IF(P969="P",(M969+N969+O969)/3,0.3*H969+0.3*I969+0.2*J969+0.1*K969+0.1*L969)</f>
        <v/>
      </c>
      <c r="T969">
        <f>IF(P969="P",IFNA(VLOOKUP(B969,Pitcher_RoleAdj!$A:$B,2,FALSE),0),IFNA(VLOOKUP(B969,Hitter_PrimaryAdj!$A:$B,2,FALSE),0))</f>
        <v/>
      </c>
      <c r="U969">
        <f>IFNA(VLOOKUP(IF(C969="","(none)",C969),SecondaryAdj!$A:$B,2,FALSE),0)</f>
        <v/>
      </c>
      <c r="V969">
        <f>IF(P969="P",0.7780+0.1628*S969+0.2957*Q969-0.1912*R969-0.1512*IF(D969="S",1,0)+0.1600*IF(E969="L",1,0)+0.0091*H969+0.0124*I969+0.0017*J969+T969+U969,-0.8294+0.1849*S969+0.1750*Q969-0.2969*R969+0.6924*IF(D969="S",1,0)+0.0457*IF(E969="L",1,0)+T969+U969)</f>
        <v/>
      </c>
      <c r="W969">
        <f>MAX(0,MIN(16,ROUND(V969,0)))</f>
        <v/>
      </c>
      <c r="X969">
        <f>IFNA(VLOOKUP(W969,Grade_Scale!$A:$B,2,FALSE),"F")</f>
        <v/>
      </c>
      <c r="Z969">
        <f>IF(Y969="","",W969-IFNA(VLOOKUP(Y969,Grade_Scale!$D:$E,2,FALSE),""))</f>
        <v/>
      </c>
    </row>
    <row r="970">
      <c r="P970">
        <f>IF(OR(B970="SP",B970="RP",B970="CP",B970="SP/RP"),"P","H")</f>
        <v/>
      </c>
      <c r="Q970">
        <f>IF(F970="",0,IFNA(VLOOKUP(F970,Trait_Polarity!$A:$C,2,FALSE),0))+IF(G970="",0,IFNA(VLOOKUP(G970,Trait_Polarity!$A:$C,2,FALSE),0))</f>
        <v/>
      </c>
      <c r="R970">
        <f>IF(F970="",0,IFNA(VLOOKUP(F970,Trait_Polarity!$A:$C,3,FALSE),0))+IF(G970="",0,IFNA(VLOOKUP(G970,Trait_Polarity!$A:$C,3,FALSE),0))</f>
        <v/>
      </c>
      <c r="S970">
        <f>IF(P970="P",(M970+N970+O970)/3,0.3*H970+0.3*I970+0.2*J970+0.1*K970+0.1*L970)</f>
        <v/>
      </c>
      <c r="T970">
        <f>IF(P970="P",IFNA(VLOOKUP(B970,Pitcher_RoleAdj!$A:$B,2,FALSE),0),IFNA(VLOOKUP(B970,Hitter_PrimaryAdj!$A:$B,2,FALSE),0))</f>
        <v/>
      </c>
      <c r="U970">
        <f>IFNA(VLOOKUP(IF(C970="","(none)",C970),SecondaryAdj!$A:$B,2,FALSE),0)</f>
        <v/>
      </c>
      <c r="V970">
        <f>IF(P970="P",0.7780+0.1628*S970+0.2957*Q970-0.1912*R970-0.1512*IF(D970="S",1,0)+0.1600*IF(E970="L",1,0)+0.0091*H970+0.0124*I970+0.0017*J970+T970+U970,-0.8294+0.1849*S970+0.1750*Q970-0.2969*R970+0.6924*IF(D970="S",1,0)+0.0457*IF(E970="L",1,0)+T970+U970)</f>
        <v/>
      </c>
      <c r="W970">
        <f>MAX(0,MIN(16,ROUND(V970,0)))</f>
        <v/>
      </c>
      <c r="X970">
        <f>IFNA(VLOOKUP(W970,Grade_Scale!$A:$B,2,FALSE),"F")</f>
        <v/>
      </c>
      <c r="Z970">
        <f>IF(Y970="","",W970-IFNA(VLOOKUP(Y970,Grade_Scale!$D:$E,2,FALSE),""))</f>
        <v/>
      </c>
    </row>
    <row r="971">
      <c r="P971">
        <f>IF(OR(B971="SP",B971="RP",B971="CP",B971="SP/RP"),"P","H")</f>
        <v/>
      </c>
      <c r="Q971">
        <f>IF(F971="",0,IFNA(VLOOKUP(F971,Trait_Polarity!$A:$C,2,FALSE),0))+IF(G971="",0,IFNA(VLOOKUP(G971,Trait_Polarity!$A:$C,2,FALSE),0))</f>
        <v/>
      </c>
      <c r="R971">
        <f>IF(F971="",0,IFNA(VLOOKUP(F971,Trait_Polarity!$A:$C,3,FALSE),0))+IF(G971="",0,IFNA(VLOOKUP(G971,Trait_Polarity!$A:$C,3,FALSE),0))</f>
        <v/>
      </c>
      <c r="S971">
        <f>IF(P971="P",(M971+N971+O971)/3,0.3*H971+0.3*I971+0.2*J971+0.1*K971+0.1*L971)</f>
        <v/>
      </c>
      <c r="T971">
        <f>IF(P971="P",IFNA(VLOOKUP(B971,Pitcher_RoleAdj!$A:$B,2,FALSE),0),IFNA(VLOOKUP(B971,Hitter_PrimaryAdj!$A:$B,2,FALSE),0))</f>
        <v/>
      </c>
      <c r="U971">
        <f>IFNA(VLOOKUP(IF(C971="","(none)",C971),SecondaryAdj!$A:$B,2,FALSE),0)</f>
        <v/>
      </c>
      <c r="V971">
        <f>IF(P971="P",0.7780+0.1628*S971+0.2957*Q971-0.1912*R971-0.1512*IF(D971="S",1,0)+0.1600*IF(E971="L",1,0)+0.0091*H971+0.0124*I971+0.0017*J971+T971+U971,-0.8294+0.1849*S971+0.1750*Q971-0.2969*R971+0.6924*IF(D971="S",1,0)+0.0457*IF(E971="L",1,0)+T971+U971)</f>
        <v/>
      </c>
      <c r="W971">
        <f>MAX(0,MIN(16,ROUND(V971,0)))</f>
        <v/>
      </c>
      <c r="X971">
        <f>IFNA(VLOOKUP(W971,Grade_Scale!$A:$B,2,FALSE),"F")</f>
        <v/>
      </c>
      <c r="Z971">
        <f>IF(Y971="","",W971-IFNA(VLOOKUP(Y971,Grade_Scale!$D:$E,2,FALSE),""))</f>
        <v/>
      </c>
    </row>
    <row r="972">
      <c r="P972">
        <f>IF(OR(B972="SP",B972="RP",B972="CP",B972="SP/RP"),"P","H")</f>
        <v/>
      </c>
      <c r="Q972">
        <f>IF(F972="",0,IFNA(VLOOKUP(F972,Trait_Polarity!$A:$C,2,FALSE),0))+IF(G972="",0,IFNA(VLOOKUP(G972,Trait_Polarity!$A:$C,2,FALSE),0))</f>
        <v/>
      </c>
      <c r="R972">
        <f>IF(F972="",0,IFNA(VLOOKUP(F972,Trait_Polarity!$A:$C,3,FALSE),0))+IF(G972="",0,IFNA(VLOOKUP(G972,Trait_Polarity!$A:$C,3,FALSE),0))</f>
        <v/>
      </c>
      <c r="S972">
        <f>IF(P972="P",(M972+N972+O972)/3,0.3*H972+0.3*I972+0.2*J972+0.1*K972+0.1*L972)</f>
        <v/>
      </c>
      <c r="T972">
        <f>IF(P972="P",IFNA(VLOOKUP(B972,Pitcher_RoleAdj!$A:$B,2,FALSE),0),IFNA(VLOOKUP(B972,Hitter_PrimaryAdj!$A:$B,2,FALSE),0))</f>
        <v/>
      </c>
      <c r="U972">
        <f>IFNA(VLOOKUP(IF(C972="","(none)",C972),SecondaryAdj!$A:$B,2,FALSE),0)</f>
        <v/>
      </c>
      <c r="V972">
        <f>IF(P972="P",0.7780+0.1628*S972+0.2957*Q972-0.1912*R972-0.1512*IF(D972="S",1,0)+0.1600*IF(E972="L",1,0)+0.0091*H972+0.0124*I972+0.0017*J972+T972+U972,-0.8294+0.1849*S972+0.1750*Q972-0.2969*R972+0.6924*IF(D972="S",1,0)+0.0457*IF(E972="L",1,0)+T972+U972)</f>
        <v/>
      </c>
      <c r="W972">
        <f>MAX(0,MIN(16,ROUND(V972,0)))</f>
        <v/>
      </c>
      <c r="X972">
        <f>IFNA(VLOOKUP(W972,Grade_Scale!$A:$B,2,FALSE),"F")</f>
        <v/>
      </c>
      <c r="Z972">
        <f>IF(Y972="","",W972-IFNA(VLOOKUP(Y972,Grade_Scale!$D:$E,2,FALSE),""))</f>
        <v/>
      </c>
    </row>
    <row r="973">
      <c r="P973">
        <f>IF(OR(B973="SP",B973="RP",B973="CP",B973="SP/RP"),"P","H")</f>
        <v/>
      </c>
      <c r="Q973">
        <f>IF(F973="",0,IFNA(VLOOKUP(F973,Trait_Polarity!$A:$C,2,FALSE),0))+IF(G973="",0,IFNA(VLOOKUP(G973,Trait_Polarity!$A:$C,2,FALSE),0))</f>
        <v/>
      </c>
      <c r="R973">
        <f>IF(F973="",0,IFNA(VLOOKUP(F973,Trait_Polarity!$A:$C,3,FALSE),0))+IF(G973="",0,IFNA(VLOOKUP(G973,Trait_Polarity!$A:$C,3,FALSE),0))</f>
        <v/>
      </c>
      <c r="S973">
        <f>IF(P973="P",(M973+N973+O973)/3,0.3*H973+0.3*I973+0.2*J973+0.1*K973+0.1*L973)</f>
        <v/>
      </c>
      <c r="T973">
        <f>IF(P973="P",IFNA(VLOOKUP(B973,Pitcher_RoleAdj!$A:$B,2,FALSE),0),IFNA(VLOOKUP(B973,Hitter_PrimaryAdj!$A:$B,2,FALSE),0))</f>
        <v/>
      </c>
      <c r="U973">
        <f>IFNA(VLOOKUP(IF(C973="","(none)",C973),SecondaryAdj!$A:$B,2,FALSE),0)</f>
        <v/>
      </c>
      <c r="V973">
        <f>IF(P973="P",0.7780+0.1628*S973+0.2957*Q973-0.1912*R973-0.1512*IF(D973="S",1,0)+0.1600*IF(E973="L",1,0)+0.0091*H973+0.0124*I973+0.0017*J973+T973+U973,-0.8294+0.1849*S973+0.1750*Q973-0.2969*R973+0.6924*IF(D973="S",1,0)+0.0457*IF(E973="L",1,0)+T973+U973)</f>
        <v/>
      </c>
      <c r="W973">
        <f>MAX(0,MIN(16,ROUND(V973,0)))</f>
        <v/>
      </c>
      <c r="X973">
        <f>IFNA(VLOOKUP(W973,Grade_Scale!$A:$B,2,FALSE),"F")</f>
        <v/>
      </c>
      <c r="Z973">
        <f>IF(Y973="","",W973-IFNA(VLOOKUP(Y973,Grade_Scale!$D:$E,2,FALSE),""))</f>
        <v/>
      </c>
    </row>
    <row r="974">
      <c r="P974">
        <f>IF(OR(B974="SP",B974="RP",B974="CP",B974="SP/RP"),"P","H")</f>
        <v/>
      </c>
      <c r="Q974">
        <f>IF(F974="",0,IFNA(VLOOKUP(F974,Trait_Polarity!$A:$C,2,FALSE),0))+IF(G974="",0,IFNA(VLOOKUP(G974,Trait_Polarity!$A:$C,2,FALSE),0))</f>
        <v/>
      </c>
      <c r="R974">
        <f>IF(F974="",0,IFNA(VLOOKUP(F974,Trait_Polarity!$A:$C,3,FALSE),0))+IF(G974="",0,IFNA(VLOOKUP(G974,Trait_Polarity!$A:$C,3,FALSE),0))</f>
        <v/>
      </c>
      <c r="S974">
        <f>IF(P974="P",(M974+N974+O974)/3,0.3*H974+0.3*I974+0.2*J974+0.1*K974+0.1*L974)</f>
        <v/>
      </c>
      <c r="T974">
        <f>IF(P974="P",IFNA(VLOOKUP(B974,Pitcher_RoleAdj!$A:$B,2,FALSE),0),IFNA(VLOOKUP(B974,Hitter_PrimaryAdj!$A:$B,2,FALSE),0))</f>
        <v/>
      </c>
      <c r="U974">
        <f>IFNA(VLOOKUP(IF(C974="","(none)",C974),SecondaryAdj!$A:$B,2,FALSE),0)</f>
        <v/>
      </c>
      <c r="V974">
        <f>IF(P974="P",0.7780+0.1628*S974+0.2957*Q974-0.1912*R974-0.1512*IF(D974="S",1,0)+0.1600*IF(E974="L",1,0)+0.0091*H974+0.0124*I974+0.0017*J974+T974+U974,-0.8294+0.1849*S974+0.1750*Q974-0.2969*R974+0.6924*IF(D974="S",1,0)+0.0457*IF(E974="L",1,0)+T974+U974)</f>
        <v/>
      </c>
      <c r="W974">
        <f>MAX(0,MIN(16,ROUND(V974,0)))</f>
        <v/>
      </c>
      <c r="X974">
        <f>IFNA(VLOOKUP(W974,Grade_Scale!$A:$B,2,FALSE),"F")</f>
        <v/>
      </c>
      <c r="Z974">
        <f>IF(Y974="","",W974-IFNA(VLOOKUP(Y974,Grade_Scale!$D:$E,2,FALSE),""))</f>
        <v/>
      </c>
    </row>
    <row r="975">
      <c r="P975">
        <f>IF(OR(B975="SP",B975="RP",B975="CP",B975="SP/RP"),"P","H")</f>
        <v/>
      </c>
      <c r="Q975">
        <f>IF(F975="",0,IFNA(VLOOKUP(F975,Trait_Polarity!$A:$C,2,FALSE),0))+IF(G975="",0,IFNA(VLOOKUP(G975,Trait_Polarity!$A:$C,2,FALSE),0))</f>
        <v/>
      </c>
      <c r="R975">
        <f>IF(F975="",0,IFNA(VLOOKUP(F975,Trait_Polarity!$A:$C,3,FALSE),0))+IF(G975="",0,IFNA(VLOOKUP(G975,Trait_Polarity!$A:$C,3,FALSE),0))</f>
        <v/>
      </c>
      <c r="S975">
        <f>IF(P975="P",(M975+N975+O975)/3,0.3*H975+0.3*I975+0.2*J975+0.1*K975+0.1*L975)</f>
        <v/>
      </c>
      <c r="T975">
        <f>IF(P975="P",IFNA(VLOOKUP(B975,Pitcher_RoleAdj!$A:$B,2,FALSE),0),IFNA(VLOOKUP(B975,Hitter_PrimaryAdj!$A:$B,2,FALSE),0))</f>
        <v/>
      </c>
      <c r="U975">
        <f>IFNA(VLOOKUP(IF(C975="","(none)",C975),SecondaryAdj!$A:$B,2,FALSE),0)</f>
        <v/>
      </c>
      <c r="V975">
        <f>IF(P975="P",0.7780+0.1628*S975+0.2957*Q975-0.1912*R975-0.1512*IF(D975="S",1,0)+0.1600*IF(E975="L",1,0)+0.0091*H975+0.0124*I975+0.0017*J975+T975+U975,-0.8294+0.1849*S975+0.1750*Q975-0.2969*R975+0.6924*IF(D975="S",1,0)+0.0457*IF(E975="L",1,0)+T975+U975)</f>
        <v/>
      </c>
      <c r="W975">
        <f>MAX(0,MIN(16,ROUND(V975,0)))</f>
        <v/>
      </c>
      <c r="X975">
        <f>IFNA(VLOOKUP(W975,Grade_Scale!$A:$B,2,FALSE),"F")</f>
        <v/>
      </c>
      <c r="Z975">
        <f>IF(Y975="","",W975-IFNA(VLOOKUP(Y975,Grade_Scale!$D:$E,2,FALSE),""))</f>
        <v/>
      </c>
    </row>
    <row r="976">
      <c r="P976">
        <f>IF(OR(B976="SP",B976="RP",B976="CP",B976="SP/RP"),"P","H")</f>
        <v/>
      </c>
      <c r="Q976">
        <f>IF(F976="",0,IFNA(VLOOKUP(F976,Trait_Polarity!$A:$C,2,FALSE),0))+IF(G976="",0,IFNA(VLOOKUP(G976,Trait_Polarity!$A:$C,2,FALSE),0))</f>
        <v/>
      </c>
      <c r="R976">
        <f>IF(F976="",0,IFNA(VLOOKUP(F976,Trait_Polarity!$A:$C,3,FALSE),0))+IF(G976="",0,IFNA(VLOOKUP(G976,Trait_Polarity!$A:$C,3,FALSE),0))</f>
        <v/>
      </c>
      <c r="S976">
        <f>IF(P976="P",(M976+N976+O976)/3,0.3*H976+0.3*I976+0.2*J976+0.1*K976+0.1*L976)</f>
        <v/>
      </c>
      <c r="T976">
        <f>IF(P976="P",IFNA(VLOOKUP(B976,Pitcher_RoleAdj!$A:$B,2,FALSE),0),IFNA(VLOOKUP(B976,Hitter_PrimaryAdj!$A:$B,2,FALSE),0))</f>
        <v/>
      </c>
      <c r="U976">
        <f>IFNA(VLOOKUP(IF(C976="","(none)",C976),SecondaryAdj!$A:$B,2,FALSE),0)</f>
        <v/>
      </c>
      <c r="V976">
        <f>IF(P976="P",0.7780+0.1628*S976+0.2957*Q976-0.1912*R976-0.1512*IF(D976="S",1,0)+0.1600*IF(E976="L",1,0)+0.0091*H976+0.0124*I976+0.0017*J976+T976+U976,-0.8294+0.1849*S976+0.1750*Q976-0.2969*R976+0.6924*IF(D976="S",1,0)+0.0457*IF(E976="L",1,0)+T976+U976)</f>
        <v/>
      </c>
      <c r="W976">
        <f>MAX(0,MIN(16,ROUND(V976,0)))</f>
        <v/>
      </c>
      <c r="X976">
        <f>IFNA(VLOOKUP(W976,Grade_Scale!$A:$B,2,FALSE),"F")</f>
        <v/>
      </c>
      <c r="Z976">
        <f>IF(Y976="","",W976-IFNA(VLOOKUP(Y976,Grade_Scale!$D:$E,2,FALSE),""))</f>
        <v/>
      </c>
    </row>
    <row r="977">
      <c r="P977">
        <f>IF(OR(B977="SP",B977="RP",B977="CP",B977="SP/RP"),"P","H")</f>
        <v/>
      </c>
      <c r="Q977">
        <f>IF(F977="",0,IFNA(VLOOKUP(F977,Trait_Polarity!$A:$C,2,FALSE),0))+IF(G977="",0,IFNA(VLOOKUP(G977,Trait_Polarity!$A:$C,2,FALSE),0))</f>
        <v/>
      </c>
      <c r="R977">
        <f>IF(F977="",0,IFNA(VLOOKUP(F977,Trait_Polarity!$A:$C,3,FALSE),0))+IF(G977="",0,IFNA(VLOOKUP(G977,Trait_Polarity!$A:$C,3,FALSE),0))</f>
        <v/>
      </c>
      <c r="S977">
        <f>IF(P977="P",(M977+N977+O977)/3,0.3*H977+0.3*I977+0.2*J977+0.1*K977+0.1*L977)</f>
        <v/>
      </c>
      <c r="T977">
        <f>IF(P977="P",IFNA(VLOOKUP(B977,Pitcher_RoleAdj!$A:$B,2,FALSE),0),IFNA(VLOOKUP(B977,Hitter_PrimaryAdj!$A:$B,2,FALSE),0))</f>
        <v/>
      </c>
      <c r="U977">
        <f>IFNA(VLOOKUP(IF(C977="","(none)",C977),SecondaryAdj!$A:$B,2,FALSE),0)</f>
        <v/>
      </c>
      <c r="V977">
        <f>IF(P977="P",0.7780+0.1628*S977+0.2957*Q977-0.1912*R977-0.1512*IF(D977="S",1,0)+0.1600*IF(E977="L",1,0)+0.0091*H977+0.0124*I977+0.0017*J977+T977+U977,-0.8294+0.1849*S977+0.1750*Q977-0.2969*R977+0.6924*IF(D977="S",1,0)+0.0457*IF(E977="L",1,0)+T977+U977)</f>
        <v/>
      </c>
      <c r="W977">
        <f>MAX(0,MIN(16,ROUND(V977,0)))</f>
        <v/>
      </c>
      <c r="X977">
        <f>IFNA(VLOOKUP(W977,Grade_Scale!$A:$B,2,FALSE),"F")</f>
        <v/>
      </c>
      <c r="Z977">
        <f>IF(Y977="","",W977-IFNA(VLOOKUP(Y977,Grade_Scale!$D:$E,2,FALSE),""))</f>
        <v/>
      </c>
    </row>
    <row r="978">
      <c r="P978">
        <f>IF(OR(B978="SP",B978="RP",B978="CP",B978="SP/RP"),"P","H")</f>
        <v/>
      </c>
      <c r="Q978">
        <f>IF(F978="",0,IFNA(VLOOKUP(F978,Trait_Polarity!$A:$C,2,FALSE),0))+IF(G978="",0,IFNA(VLOOKUP(G978,Trait_Polarity!$A:$C,2,FALSE),0))</f>
        <v/>
      </c>
      <c r="R978">
        <f>IF(F978="",0,IFNA(VLOOKUP(F978,Trait_Polarity!$A:$C,3,FALSE),0))+IF(G978="",0,IFNA(VLOOKUP(G978,Trait_Polarity!$A:$C,3,FALSE),0))</f>
        <v/>
      </c>
      <c r="S978">
        <f>IF(P978="P",(M978+N978+O978)/3,0.3*H978+0.3*I978+0.2*J978+0.1*K978+0.1*L978)</f>
        <v/>
      </c>
      <c r="T978">
        <f>IF(P978="P",IFNA(VLOOKUP(B978,Pitcher_RoleAdj!$A:$B,2,FALSE),0),IFNA(VLOOKUP(B978,Hitter_PrimaryAdj!$A:$B,2,FALSE),0))</f>
        <v/>
      </c>
      <c r="U978">
        <f>IFNA(VLOOKUP(IF(C978="","(none)",C978),SecondaryAdj!$A:$B,2,FALSE),0)</f>
        <v/>
      </c>
      <c r="V978">
        <f>IF(P978="P",0.7780+0.1628*S978+0.2957*Q978-0.1912*R978-0.1512*IF(D978="S",1,0)+0.1600*IF(E978="L",1,0)+0.0091*H978+0.0124*I978+0.0017*J978+T978+U978,-0.8294+0.1849*S978+0.1750*Q978-0.2969*R978+0.6924*IF(D978="S",1,0)+0.0457*IF(E978="L",1,0)+T978+U978)</f>
        <v/>
      </c>
      <c r="W978">
        <f>MAX(0,MIN(16,ROUND(V978,0)))</f>
        <v/>
      </c>
      <c r="X978">
        <f>IFNA(VLOOKUP(W978,Grade_Scale!$A:$B,2,FALSE),"F")</f>
        <v/>
      </c>
      <c r="Z978">
        <f>IF(Y978="","",W978-IFNA(VLOOKUP(Y978,Grade_Scale!$D:$E,2,FALSE),""))</f>
        <v/>
      </c>
    </row>
    <row r="979">
      <c r="P979">
        <f>IF(OR(B979="SP",B979="RP",B979="CP",B979="SP/RP"),"P","H")</f>
        <v/>
      </c>
      <c r="Q979">
        <f>IF(F979="",0,IFNA(VLOOKUP(F979,Trait_Polarity!$A:$C,2,FALSE),0))+IF(G979="",0,IFNA(VLOOKUP(G979,Trait_Polarity!$A:$C,2,FALSE),0))</f>
        <v/>
      </c>
      <c r="R979">
        <f>IF(F979="",0,IFNA(VLOOKUP(F979,Trait_Polarity!$A:$C,3,FALSE),0))+IF(G979="",0,IFNA(VLOOKUP(G979,Trait_Polarity!$A:$C,3,FALSE),0))</f>
        <v/>
      </c>
      <c r="S979">
        <f>IF(P979="P",(M979+N979+O979)/3,0.3*H979+0.3*I979+0.2*J979+0.1*K979+0.1*L979)</f>
        <v/>
      </c>
      <c r="T979">
        <f>IF(P979="P",IFNA(VLOOKUP(B979,Pitcher_RoleAdj!$A:$B,2,FALSE),0),IFNA(VLOOKUP(B979,Hitter_PrimaryAdj!$A:$B,2,FALSE),0))</f>
        <v/>
      </c>
      <c r="U979">
        <f>IFNA(VLOOKUP(IF(C979="","(none)",C979),SecondaryAdj!$A:$B,2,FALSE),0)</f>
        <v/>
      </c>
      <c r="V979">
        <f>IF(P979="P",0.7780+0.1628*S979+0.2957*Q979-0.1912*R979-0.1512*IF(D979="S",1,0)+0.1600*IF(E979="L",1,0)+0.0091*H979+0.0124*I979+0.0017*J979+T979+U979,-0.8294+0.1849*S979+0.1750*Q979-0.2969*R979+0.6924*IF(D979="S",1,0)+0.0457*IF(E979="L",1,0)+T979+U979)</f>
        <v/>
      </c>
      <c r="W979">
        <f>MAX(0,MIN(16,ROUND(V979,0)))</f>
        <v/>
      </c>
      <c r="X979">
        <f>IFNA(VLOOKUP(W979,Grade_Scale!$A:$B,2,FALSE),"F")</f>
        <v/>
      </c>
      <c r="Z979">
        <f>IF(Y979="","",W979-IFNA(VLOOKUP(Y979,Grade_Scale!$D:$E,2,FALSE),""))</f>
        <v/>
      </c>
    </row>
    <row r="980">
      <c r="P980">
        <f>IF(OR(B980="SP",B980="RP",B980="CP",B980="SP/RP"),"P","H")</f>
        <v/>
      </c>
      <c r="Q980">
        <f>IF(F980="",0,IFNA(VLOOKUP(F980,Trait_Polarity!$A:$C,2,FALSE),0))+IF(G980="",0,IFNA(VLOOKUP(G980,Trait_Polarity!$A:$C,2,FALSE),0))</f>
        <v/>
      </c>
      <c r="R980">
        <f>IF(F980="",0,IFNA(VLOOKUP(F980,Trait_Polarity!$A:$C,3,FALSE),0))+IF(G980="",0,IFNA(VLOOKUP(G980,Trait_Polarity!$A:$C,3,FALSE),0))</f>
        <v/>
      </c>
      <c r="S980">
        <f>IF(P980="P",(M980+N980+O980)/3,0.3*H980+0.3*I980+0.2*J980+0.1*K980+0.1*L980)</f>
        <v/>
      </c>
      <c r="T980">
        <f>IF(P980="P",IFNA(VLOOKUP(B980,Pitcher_RoleAdj!$A:$B,2,FALSE),0),IFNA(VLOOKUP(B980,Hitter_PrimaryAdj!$A:$B,2,FALSE),0))</f>
        <v/>
      </c>
      <c r="U980">
        <f>IFNA(VLOOKUP(IF(C980="","(none)",C980),SecondaryAdj!$A:$B,2,FALSE),0)</f>
        <v/>
      </c>
      <c r="V980">
        <f>IF(P980="P",0.7780+0.1628*S980+0.2957*Q980-0.1912*R980-0.1512*IF(D980="S",1,0)+0.1600*IF(E980="L",1,0)+0.0091*H980+0.0124*I980+0.0017*J980+T980+U980,-0.8294+0.1849*S980+0.1750*Q980-0.2969*R980+0.6924*IF(D980="S",1,0)+0.0457*IF(E980="L",1,0)+T980+U980)</f>
        <v/>
      </c>
      <c r="W980">
        <f>MAX(0,MIN(16,ROUND(V980,0)))</f>
        <v/>
      </c>
      <c r="X980">
        <f>IFNA(VLOOKUP(W980,Grade_Scale!$A:$B,2,FALSE),"F")</f>
        <v/>
      </c>
      <c r="Z980">
        <f>IF(Y980="","",W980-IFNA(VLOOKUP(Y980,Grade_Scale!$D:$E,2,FALSE),""))</f>
        <v/>
      </c>
    </row>
    <row r="981">
      <c r="P981">
        <f>IF(OR(B981="SP",B981="RP",B981="CP",B981="SP/RP"),"P","H")</f>
        <v/>
      </c>
      <c r="Q981">
        <f>IF(F981="",0,IFNA(VLOOKUP(F981,Trait_Polarity!$A:$C,2,FALSE),0))+IF(G981="",0,IFNA(VLOOKUP(G981,Trait_Polarity!$A:$C,2,FALSE),0))</f>
        <v/>
      </c>
      <c r="R981">
        <f>IF(F981="",0,IFNA(VLOOKUP(F981,Trait_Polarity!$A:$C,3,FALSE),0))+IF(G981="",0,IFNA(VLOOKUP(G981,Trait_Polarity!$A:$C,3,FALSE),0))</f>
        <v/>
      </c>
      <c r="S981">
        <f>IF(P981="P",(M981+N981+O981)/3,0.3*H981+0.3*I981+0.2*J981+0.1*K981+0.1*L981)</f>
        <v/>
      </c>
      <c r="T981">
        <f>IF(P981="P",IFNA(VLOOKUP(B981,Pitcher_RoleAdj!$A:$B,2,FALSE),0),IFNA(VLOOKUP(B981,Hitter_PrimaryAdj!$A:$B,2,FALSE),0))</f>
        <v/>
      </c>
      <c r="U981">
        <f>IFNA(VLOOKUP(IF(C981="","(none)",C981),SecondaryAdj!$A:$B,2,FALSE),0)</f>
        <v/>
      </c>
      <c r="V981">
        <f>IF(P981="P",0.7780+0.1628*S981+0.2957*Q981-0.1912*R981-0.1512*IF(D981="S",1,0)+0.1600*IF(E981="L",1,0)+0.0091*H981+0.0124*I981+0.0017*J981+T981+U981,-0.8294+0.1849*S981+0.1750*Q981-0.2969*R981+0.6924*IF(D981="S",1,0)+0.0457*IF(E981="L",1,0)+T981+U981)</f>
        <v/>
      </c>
      <c r="W981">
        <f>MAX(0,MIN(16,ROUND(V981,0)))</f>
        <v/>
      </c>
      <c r="X981">
        <f>IFNA(VLOOKUP(W981,Grade_Scale!$A:$B,2,FALSE),"F")</f>
        <v/>
      </c>
      <c r="Z981">
        <f>IF(Y981="","",W981-IFNA(VLOOKUP(Y981,Grade_Scale!$D:$E,2,FALSE),""))</f>
        <v/>
      </c>
    </row>
    <row r="982">
      <c r="P982">
        <f>IF(OR(B982="SP",B982="RP",B982="CP",B982="SP/RP"),"P","H")</f>
        <v/>
      </c>
      <c r="Q982">
        <f>IF(F982="",0,IFNA(VLOOKUP(F982,Trait_Polarity!$A:$C,2,FALSE),0))+IF(G982="",0,IFNA(VLOOKUP(G982,Trait_Polarity!$A:$C,2,FALSE),0))</f>
        <v/>
      </c>
      <c r="R982">
        <f>IF(F982="",0,IFNA(VLOOKUP(F982,Trait_Polarity!$A:$C,3,FALSE),0))+IF(G982="",0,IFNA(VLOOKUP(G982,Trait_Polarity!$A:$C,3,FALSE),0))</f>
        <v/>
      </c>
      <c r="S982">
        <f>IF(P982="P",(M982+N982+O982)/3,0.3*H982+0.3*I982+0.2*J982+0.1*K982+0.1*L982)</f>
        <v/>
      </c>
      <c r="T982">
        <f>IF(P982="P",IFNA(VLOOKUP(B982,Pitcher_RoleAdj!$A:$B,2,FALSE),0),IFNA(VLOOKUP(B982,Hitter_PrimaryAdj!$A:$B,2,FALSE),0))</f>
        <v/>
      </c>
      <c r="U982">
        <f>IFNA(VLOOKUP(IF(C982="","(none)",C982),SecondaryAdj!$A:$B,2,FALSE),0)</f>
        <v/>
      </c>
      <c r="V982">
        <f>IF(P982="P",0.7780+0.1628*S982+0.2957*Q982-0.1912*R982-0.1512*IF(D982="S",1,0)+0.1600*IF(E982="L",1,0)+0.0091*H982+0.0124*I982+0.0017*J982+T982+U982,-0.8294+0.1849*S982+0.1750*Q982-0.2969*R982+0.6924*IF(D982="S",1,0)+0.0457*IF(E982="L",1,0)+T982+U982)</f>
        <v/>
      </c>
      <c r="W982">
        <f>MAX(0,MIN(16,ROUND(V982,0)))</f>
        <v/>
      </c>
      <c r="X982">
        <f>IFNA(VLOOKUP(W982,Grade_Scale!$A:$B,2,FALSE),"F")</f>
        <v/>
      </c>
      <c r="Z982">
        <f>IF(Y982="","",W982-IFNA(VLOOKUP(Y982,Grade_Scale!$D:$E,2,FALSE),""))</f>
        <v/>
      </c>
    </row>
    <row r="983">
      <c r="P983">
        <f>IF(OR(B983="SP",B983="RP",B983="CP",B983="SP/RP"),"P","H")</f>
        <v/>
      </c>
      <c r="Q983">
        <f>IF(F983="",0,IFNA(VLOOKUP(F983,Trait_Polarity!$A:$C,2,FALSE),0))+IF(G983="",0,IFNA(VLOOKUP(G983,Trait_Polarity!$A:$C,2,FALSE),0))</f>
        <v/>
      </c>
      <c r="R983">
        <f>IF(F983="",0,IFNA(VLOOKUP(F983,Trait_Polarity!$A:$C,3,FALSE),0))+IF(G983="",0,IFNA(VLOOKUP(G983,Trait_Polarity!$A:$C,3,FALSE),0))</f>
        <v/>
      </c>
      <c r="S983">
        <f>IF(P983="P",(M983+N983+O983)/3,0.3*H983+0.3*I983+0.2*J983+0.1*K983+0.1*L983)</f>
        <v/>
      </c>
      <c r="T983">
        <f>IF(P983="P",IFNA(VLOOKUP(B983,Pitcher_RoleAdj!$A:$B,2,FALSE),0),IFNA(VLOOKUP(B983,Hitter_PrimaryAdj!$A:$B,2,FALSE),0))</f>
        <v/>
      </c>
      <c r="U983">
        <f>IFNA(VLOOKUP(IF(C983="","(none)",C983),SecondaryAdj!$A:$B,2,FALSE),0)</f>
        <v/>
      </c>
      <c r="V983">
        <f>IF(P983="P",0.7780+0.1628*S983+0.2957*Q983-0.1912*R983-0.1512*IF(D983="S",1,0)+0.1600*IF(E983="L",1,0)+0.0091*H983+0.0124*I983+0.0017*J983+T983+U983,-0.8294+0.1849*S983+0.1750*Q983-0.2969*R983+0.6924*IF(D983="S",1,0)+0.0457*IF(E983="L",1,0)+T983+U983)</f>
        <v/>
      </c>
      <c r="W983">
        <f>MAX(0,MIN(16,ROUND(V983,0)))</f>
        <v/>
      </c>
      <c r="X983">
        <f>IFNA(VLOOKUP(W983,Grade_Scale!$A:$B,2,FALSE),"F")</f>
        <v/>
      </c>
      <c r="Z983">
        <f>IF(Y983="","",W983-IFNA(VLOOKUP(Y983,Grade_Scale!$D:$E,2,FALSE),""))</f>
        <v/>
      </c>
    </row>
    <row r="984">
      <c r="P984">
        <f>IF(OR(B984="SP",B984="RP",B984="CP",B984="SP/RP"),"P","H")</f>
        <v/>
      </c>
      <c r="Q984">
        <f>IF(F984="",0,IFNA(VLOOKUP(F984,Trait_Polarity!$A:$C,2,FALSE),0))+IF(G984="",0,IFNA(VLOOKUP(G984,Trait_Polarity!$A:$C,2,FALSE),0))</f>
        <v/>
      </c>
      <c r="R984">
        <f>IF(F984="",0,IFNA(VLOOKUP(F984,Trait_Polarity!$A:$C,3,FALSE),0))+IF(G984="",0,IFNA(VLOOKUP(G984,Trait_Polarity!$A:$C,3,FALSE),0))</f>
        <v/>
      </c>
      <c r="S984">
        <f>IF(P984="P",(M984+N984+O984)/3,0.3*H984+0.3*I984+0.2*J984+0.1*K984+0.1*L984)</f>
        <v/>
      </c>
      <c r="T984">
        <f>IF(P984="P",IFNA(VLOOKUP(B984,Pitcher_RoleAdj!$A:$B,2,FALSE),0),IFNA(VLOOKUP(B984,Hitter_PrimaryAdj!$A:$B,2,FALSE),0))</f>
        <v/>
      </c>
      <c r="U984">
        <f>IFNA(VLOOKUP(IF(C984="","(none)",C984),SecondaryAdj!$A:$B,2,FALSE),0)</f>
        <v/>
      </c>
      <c r="V984">
        <f>IF(P984="P",0.7780+0.1628*S984+0.2957*Q984-0.1912*R984-0.1512*IF(D984="S",1,0)+0.1600*IF(E984="L",1,0)+0.0091*H984+0.0124*I984+0.0017*J984+T984+U984,-0.8294+0.1849*S984+0.1750*Q984-0.2969*R984+0.6924*IF(D984="S",1,0)+0.0457*IF(E984="L",1,0)+T984+U984)</f>
        <v/>
      </c>
      <c r="W984">
        <f>MAX(0,MIN(16,ROUND(V984,0)))</f>
        <v/>
      </c>
      <c r="X984">
        <f>IFNA(VLOOKUP(W984,Grade_Scale!$A:$B,2,FALSE),"F")</f>
        <v/>
      </c>
      <c r="Z984">
        <f>IF(Y984="","",W984-IFNA(VLOOKUP(Y984,Grade_Scale!$D:$E,2,FALSE),""))</f>
        <v/>
      </c>
    </row>
    <row r="985">
      <c r="P985">
        <f>IF(OR(B985="SP",B985="RP",B985="CP",B985="SP/RP"),"P","H")</f>
        <v/>
      </c>
      <c r="Q985">
        <f>IF(F985="",0,IFNA(VLOOKUP(F985,Trait_Polarity!$A:$C,2,FALSE),0))+IF(G985="",0,IFNA(VLOOKUP(G985,Trait_Polarity!$A:$C,2,FALSE),0))</f>
        <v/>
      </c>
      <c r="R985">
        <f>IF(F985="",0,IFNA(VLOOKUP(F985,Trait_Polarity!$A:$C,3,FALSE),0))+IF(G985="",0,IFNA(VLOOKUP(G985,Trait_Polarity!$A:$C,3,FALSE),0))</f>
        <v/>
      </c>
      <c r="S985">
        <f>IF(P985="P",(M985+N985+O985)/3,0.3*H985+0.3*I985+0.2*J985+0.1*K985+0.1*L985)</f>
        <v/>
      </c>
      <c r="T985">
        <f>IF(P985="P",IFNA(VLOOKUP(B985,Pitcher_RoleAdj!$A:$B,2,FALSE),0),IFNA(VLOOKUP(B985,Hitter_PrimaryAdj!$A:$B,2,FALSE),0))</f>
        <v/>
      </c>
      <c r="U985">
        <f>IFNA(VLOOKUP(IF(C985="","(none)",C985),SecondaryAdj!$A:$B,2,FALSE),0)</f>
        <v/>
      </c>
      <c r="V985">
        <f>IF(P985="P",0.7780+0.1628*S985+0.2957*Q985-0.1912*R985-0.1512*IF(D985="S",1,0)+0.1600*IF(E985="L",1,0)+0.0091*H985+0.0124*I985+0.0017*J985+T985+U985,-0.8294+0.1849*S985+0.1750*Q985-0.2969*R985+0.6924*IF(D985="S",1,0)+0.0457*IF(E985="L",1,0)+T985+U985)</f>
        <v/>
      </c>
      <c r="W985">
        <f>MAX(0,MIN(16,ROUND(V985,0)))</f>
        <v/>
      </c>
      <c r="X985">
        <f>IFNA(VLOOKUP(W985,Grade_Scale!$A:$B,2,FALSE),"F")</f>
        <v/>
      </c>
      <c r="Z985">
        <f>IF(Y985="","",W985-IFNA(VLOOKUP(Y985,Grade_Scale!$D:$E,2,FALSE),""))</f>
        <v/>
      </c>
    </row>
    <row r="986">
      <c r="P986">
        <f>IF(OR(B986="SP",B986="RP",B986="CP",B986="SP/RP"),"P","H")</f>
        <v/>
      </c>
      <c r="Q986">
        <f>IF(F986="",0,IFNA(VLOOKUP(F986,Trait_Polarity!$A:$C,2,FALSE),0))+IF(G986="",0,IFNA(VLOOKUP(G986,Trait_Polarity!$A:$C,2,FALSE),0))</f>
        <v/>
      </c>
      <c r="R986">
        <f>IF(F986="",0,IFNA(VLOOKUP(F986,Trait_Polarity!$A:$C,3,FALSE),0))+IF(G986="",0,IFNA(VLOOKUP(G986,Trait_Polarity!$A:$C,3,FALSE),0))</f>
        <v/>
      </c>
      <c r="S986">
        <f>IF(P986="P",(M986+N986+O986)/3,0.3*H986+0.3*I986+0.2*J986+0.1*K986+0.1*L986)</f>
        <v/>
      </c>
      <c r="T986">
        <f>IF(P986="P",IFNA(VLOOKUP(B986,Pitcher_RoleAdj!$A:$B,2,FALSE),0),IFNA(VLOOKUP(B986,Hitter_PrimaryAdj!$A:$B,2,FALSE),0))</f>
        <v/>
      </c>
      <c r="U986">
        <f>IFNA(VLOOKUP(IF(C986="","(none)",C986),SecondaryAdj!$A:$B,2,FALSE),0)</f>
        <v/>
      </c>
      <c r="V986">
        <f>IF(P986="P",0.7780+0.1628*S986+0.2957*Q986-0.1912*R986-0.1512*IF(D986="S",1,0)+0.1600*IF(E986="L",1,0)+0.0091*H986+0.0124*I986+0.0017*J986+T986+U986,-0.8294+0.1849*S986+0.1750*Q986-0.2969*R986+0.6924*IF(D986="S",1,0)+0.0457*IF(E986="L",1,0)+T986+U986)</f>
        <v/>
      </c>
      <c r="W986">
        <f>MAX(0,MIN(16,ROUND(V986,0)))</f>
        <v/>
      </c>
      <c r="X986">
        <f>IFNA(VLOOKUP(W986,Grade_Scale!$A:$B,2,FALSE),"F")</f>
        <v/>
      </c>
      <c r="Z986">
        <f>IF(Y986="","",W986-IFNA(VLOOKUP(Y986,Grade_Scale!$D:$E,2,FALSE),""))</f>
        <v/>
      </c>
    </row>
    <row r="987">
      <c r="P987">
        <f>IF(OR(B987="SP",B987="RP",B987="CP",B987="SP/RP"),"P","H")</f>
        <v/>
      </c>
      <c r="Q987">
        <f>IF(F987="",0,IFNA(VLOOKUP(F987,Trait_Polarity!$A:$C,2,FALSE),0))+IF(G987="",0,IFNA(VLOOKUP(G987,Trait_Polarity!$A:$C,2,FALSE),0))</f>
        <v/>
      </c>
      <c r="R987">
        <f>IF(F987="",0,IFNA(VLOOKUP(F987,Trait_Polarity!$A:$C,3,FALSE),0))+IF(G987="",0,IFNA(VLOOKUP(G987,Trait_Polarity!$A:$C,3,FALSE),0))</f>
        <v/>
      </c>
      <c r="S987">
        <f>IF(P987="P",(M987+N987+O987)/3,0.3*H987+0.3*I987+0.2*J987+0.1*K987+0.1*L987)</f>
        <v/>
      </c>
      <c r="T987">
        <f>IF(P987="P",IFNA(VLOOKUP(B987,Pitcher_RoleAdj!$A:$B,2,FALSE),0),IFNA(VLOOKUP(B987,Hitter_PrimaryAdj!$A:$B,2,FALSE),0))</f>
        <v/>
      </c>
      <c r="U987">
        <f>IFNA(VLOOKUP(IF(C987="","(none)",C987),SecondaryAdj!$A:$B,2,FALSE),0)</f>
        <v/>
      </c>
      <c r="V987">
        <f>IF(P987="P",0.7780+0.1628*S987+0.2957*Q987-0.1912*R987-0.1512*IF(D987="S",1,0)+0.1600*IF(E987="L",1,0)+0.0091*H987+0.0124*I987+0.0017*J987+T987+U987,-0.8294+0.1849*S987+0.1750*Q987-0.2969*R987+0.6924*IF(D987="S",1,0)+0.0457*IF(E987="L",1,0)+T987+U987)</f>
        <v/>
      </c>
      <c r="W987">
        <f>MAX(0,MIN(16,ROUND(V987,0)))</f>
        <v/>
      </c>
      <c r="X987">
        <f>IFNA(VLOOKUP(W987,Grade_Scale!$A:$B,2,FALSE),"F")</f>
        <v/>
      </c>
      <c r="Z987">
        <f>IF(Y987="","",W987-IFNA(VLOOKUP(Y987,Grade_Scale!$D:$E,2,FALSE),""))</f>
        <v/>
      </c>
    </row>
    <row r="988">
      <c r="P988">
        <f>IF(OR(B988="SP",B988="RP",B988="CP",B988="SP/RP"),"P","H")</f>
        <v/>
      </c>
      <c r="Q988">
        <f>IF(F988="",0,IFNA(VLOOKUP(F988,Trait_Polarity!$A:$C,2,FALSE),0))+IF(G988="",0,IFNA(VLOOKUP(G988,Trait_Polarity!$A:$C,2,FALSE),0))</f>
        <v/>
      </c>
      <c r="R988">
        <f>IF(F988="",0,IFNA(VLOOKUP(F988,Trait_Polarity!$A:$C,3,FALSE),0))+IF(G988="",0,IFNA(VLOOKUP(G988,Trait_Polarity!$A:$C,3,FALSE),0))</f>
        <v/>
      </c>
      <c r="S988">
        <f>IF(P988="P",(M988+N988+O988)/3,0.3*H988+0.3*I988+0.2*J988+0.1*K988+0.1*L988)</f>
        <v/>
      </c>
      <c r="T988">
        <f>IF(P988="P",IFNA(VLOOKUP(B988,Pitcher_RoleAdj!$A:$B,2,FALSE),0),IFNA(VLOOKUP(B988,Hitter_PrimaryAdj!$A:$B,2,FALSE),0))</f>
        <v/>
      </c>
      <c r="U988">
        <f>IFNA(VLOOKUP(IF(C988="","(none)",C988),SecondaryAdj!$A:$B,2,FALSE),0)</f>
        <v/>
      </c>
      <c r="V988">
        <f>IF(P988="P",0.7780+0.1628*S988+0.2957*Q988-0.1912*R988-0.1512*IF(D988="S",1,0)+0.1600*IF(E988="L",1,0)+0.0091*H988+0.0124*I988+0.0017*J988+T988+U988,-0.8294+0.1849*S988+0.1750*Q988-0.2969*R988+0.6924*IF(D988="S",1,0)+0.0457*IF(E988="L",1,0)+T988+U988)</f>
        <v/>
      </c>
      <c r="W988">
        <f>MAX(0,MIN(16,ROUND(V988,0)))</f>
        <v/>
      </c>
      <c r="X988">
        <f>IFNA(VLOOKUP(W988,Grade_Scale!$A:$B,2,FALSE),"F")</f>
        <v/>
      </c>
      <c r="Z988">
        <f>IF(Y988="","",W988-IFNA(VLOOKUP(Y988,Grade_Scale!$D:$E,2,FALSE),""))</f>
        <v/>
      </c>
    </row>
    <row r="989">
      <c r="P989">
        <f>IF(OR(B989="SP",B989="RP",B989="CP",B989="SP/RP"),"P","H")</f>
        <v/>
      </c>
      <c r="Q989">
        <f>IF(F989="",0,IFNA(VLOOKUP(F989,Trait_Polarity!$A:$C,2,FALSE),0))+IF(G989="",0,IFNA(VLOOKUP(G989,Trait_Polarity!$A:$C,2,FALSE),0))</f>
        <v/>
      </c>
      <c r="R989">
        <f>IF(F989="",0,IFNA(VLOOKUP(F989,Trait_Polarity!$A:$C,3,FALSE),0))+IF(G989="",0,IFNA(VLOOKUP(G989,Trait_Polarity!$A:$C,3,FALSE),0))</f>
        <v/>
      </c>
      <c r="S989">
        <f>IF(P989="P",(M989+N989+O989)/3,0.3*H989+0.3*I989+0.2*J989+0.1*K989+0.1*L989)</f>
        <v/>
      </c>
      <c r="T989">
        <f>IF(P989="P",IFNA(VLOOKUP(B989,Pitcher_RoleAdj!$A:$B,2,FALSE),0),IFNA(VLOOKUP(B989,Hitter_PrimaryAdj!$A:$B,2,FALSE),0))</f>
        <v/>
      </c>
      <c r="U989">
        <f>IFNA(VLOOKUP(IF(C989="","(none)",C989),SecondaryAdj!$A:$B,2,FALSE),0)</f>
        <v/>
      </c>
      <c r="V989">
        <f>IF(P989="P",0.7780+0.1628*S989+0.2957*Q989-0.1912*R989-0.1512*IF(D989="S",1,0)+0.1600*IF(E989="L",1,0)+0.0091*H989+0.0124*I989+0.0017*J989+T989+U989,-0.8294+0.1849*S989+0.1750*Q989-0.2969*R989+0.6924*IF(D989="S",1,0)+0.0457*IF(E989="L",1,0)+T989+U989)</f>
        <v/>
      </c>
      <c r="W989">
        <f>MAX(0,MIN(16,ROUND(V989,0)))</f>
        <v/>
      </c>
      <c r="X989">
        <f>IFNA(VLOOKUP(W989,Grade_Scale!$A:$B,2,FALSE),"F")</f>
        <v/>
      </c>
      <c r="Z989">
        <f>IF(Y989="","",W989-IFNA(VLOOKUP(Y989,Grade_Scale!$D:$E,2,FALSE),""))</f>
        <v/>
      </c>
    </row>
    <row r="990">
      <c r="P990">
        <f>IF(OR(B990="SP",B990="RP",B990="CP",B990="SP/RP"),"P","H")</f>
        <v/>
      </c>
      <c r="Q990">
        <f>IF(F990="",0,IFNA(VLOOKUP(F990,Trait_Polarity!$A:$C,2,FALSE),0))+IF(G990="",0,IFNA(VLOOKUP(G990,Trait_Polarity!$A:$C,2,FALSE),0))</f>
        <v/>
      </c>
      <c r="R990">
        <f>IF(F990="",0,IFNA(VLOOKUP(F990,Trait_Polarity!$A:$C,3,FALSE),0))+IF(G990="",0,IFNA(VLOOKUP(G990,Trait_Polarity!$A:$C,3,FALSE),0))</f>
        <v/>
      </c>
      <c r="S990">
        <f>IF(P990="P",(M990+N990+O990)/3,0.3*H990+0.3*I990+0.2*J990+0.1*K990+0.1*L990)</f>
        <v/>
      </c>
      <c r="T990">
        <f>IF(P990="P",IFNA(VLOOKUP(B990,Pitcher_RoleAdj!$A:$B,2,FALSE),0),IFNA(VLOOKUP(B990,Hitter_PrimaryAdj!$A:$B,2,FALSE),0))</f>
        <v/>
      </c>
      <c r="U990">
        <f>IFNA(VLOOKUP(IF(C990="","(none)",C990),SecondaryAdj!$A:$B,2,FALSE),0)</f>
        <v/>
      </c>
      <c r="V990">
        <f>IF(P990="P",0.7780+0.1628*S990+0.2957*Q990-0.1912*R990-0.1512*IF(D990="S",1,0)+0.1600*IF(E990="L",1,0)+0.0091*H990+0.0124*I990+0.0017*J990+T990+U990,-0.8294+0.1849*S990+0.1750*Q990-0.2969*R990+0.6924*IF(D990="S",1,0)+0.0457*IF(E990="L",1,0)+T990+U990)</f>
        <v/>
      </c>
      <c r="W990">
        <f>MAX(0,MIN(16,ROUND(V990,0)))</f>
        <v/>
      </c>
      <c r="X990">
        <f>IFNA(VLOOKUP(W990,Grade_Scale!$A:$B,2,FALSE),"F")</f>
        <v/>
      </c>
      <c r="Z990">
        <f>IF(Y990="","",W990-IFNA(VLOOKUP(Y990,Grade_Scale!$D:$E,2,FALSE),""))</f>
        <v/>
      </c>
    </row>
    <row r="991">
      <c r="P991">
        <f>IF(OR(B991="SP",B991="RP",B991="CP",B991="SP/RP"),"P","H")</f>
        <v/>
      </c>
      <c r="Q991">
        <f>IF(F991="",0,IFNA(VLOOKUP(F991,Trait_Polarity!$A:$C,2,FALSE),0))+IF(G991="",0,IFNA(VLOOKUP(G991,Trait_Polarity!$A:$C,2,FALSE),0))</f>
        <v/>
      </c>
      <c r="R991">
        <f>IF(F991="",0,IFNA(VLOOKUP(F991,Trait_Polarity!$A:$C,3,FALSE),0))+IF(G991="",0,IFNA(VLOOKUP(G991,Trait_Polarity!$A:$C,3,FALSE),0))</f>
        <v/>
      </c>
      <c r="S991">
        <f>IF(P991="P",(M991+N991+O991)/3,0.3*H991+0.3*I991+0.2*J991+0.1*K991+0.1*L991)</f>
        <v/>
      </c>
      <c r="T991">
        <f>IF(P991="P",IFNA(VLOOKUP(B991,Pitcher_RoleAdj!$A:$B,2,FALSE),0),IFNA(VLOOKUP(B991,Hitter_PrimaryAdj!$A:$B,2,FALSE),0))</f>
        <v/>
      </c>
      <c r="U991">
        <f>IFNA(VLOOKUP(IF(C991="","(none)",C991),SecondaryAdj!$A:$B,2,FALSE),0)</f>
        <v/>
      </c>
      <c r="V991">
        <f>IF(P991="P",0.7780+0.1628*S991+0.2957*Q991-0.1912*R991-0.1512*IF(D991="S",1,0)+0.1600*IF(E991="L",1,0)+0.0091*H991+0.0124*I991+0.0017*J991+T991+U991,-0.8294+0.1849*S991+0.1750*Q991-0.2969*R991+0.6924*IF(D991="S",1,0)+0.0457*IF(E991="L",1,0)+T991+U991)</f>
        <v/>
      </c>
      <c r="W991">
        <f>MAX(0,MIN(16,ROUND(V991,0)))</f>
        <v/>
      </c>
      <c r="X991">
        <f>IFNA(VLOOKUP(W991,Grade_Scale!$A:$B,2,FALSE),"F")</f>
        <v/>
      </c>
      <c r="Z991">
        <f>IF(Y991="","",W991-IFNA(VLOOKUP(Y991,Grade_Scale!$D:$E,2,FALSE),""))</f>
        <v/>
      </c>
    </row>
    <row r="992">
      <c r="P992">
        <f>IF(OR(B992="SP",B992="RP",B992="CP",B992="SP/RP"),"P","H")</f>
        <v/>
      </c>
      <c r="Q992">
        <f>IF(F992="",0,IFNA(VLOOKUP(F992,Trait_Polarity!$A:$C,2,FALSE),0))+IF(G992="",0,IFNA(VLOOKUP(G992,Trait_Polarity!$A:$C,2,FALSE),0))</f>
        <v/>
      </c>
      <c r="R992">
        <f>IF(F992="",0,IFNA(VLOOKUP(F992,Trait_Polarity!$A:$C,3,FALSE),0))+IF(G992="",0,IFNA(VLOOKUP(G992,Trait_Polarity!$A:$C,3,FALSE),0))</f>
        <v/>
      </c>
      <c r="S992">
        <f>IF(P992="P",(M992+N992+O992)/3,0.3*H992+0.3*I992+0.2*J992+0.1*K992+0.1*L992)</f>
        <v/>
      </c>
      <c r="T992">
        <f>IF(P992="P",IFNA(VLOOKUP(B992,Pitcher_RoleAdj!$A:$B,2,FALSE),0),IFNA(VLOOKUP(B992,Hitter_PrimaryAdj!$A:$B,2,FALSE),0))</f>
        <v/>
      </c>
      <c r="U992">
        <f>IFNA(VLOOKUP(IF(C992="","(none)",C992),SecondaryAdj!$A:$B,2,FALSE),0)</f>
        <v/>
      </c>
      <c r="V992">
        <f>IF(P992="P",0.7780+0.1628*S992+0.2957*Q992-0.1912*R992-0.1512*IF(D992="S",1,0)+0.1600*IF(E992="L",1,0)+0.0091*H992+0.0124*I992+0.0017*J992+T992+U992,-0.8294+0.1849*S992+0.1750*Q992-0.2969*R992+0.6924*IF(D992="S",1,0)+0.0457*IF(E992="L",1,0)+T992+U992)</f>
        <v/>
      </c>
      <c r="W992">
        <f>MAX(0,MIN(16,ROUND(V992,0)))</f>
        <v/>
      </c>
      <c r="X992">
        <f>IFNA(VLOOKUP(W992,Grade_Scale!$A:$B,2,FALSE),"F")</f>
        <v/>
      </c>
      <c r="Z992">
        <f>IF(Y992="","",W992-IFNA(VLOOKUP(Y992,Grade_Scale!$D:$E,2,FALSE),""))</f>
        <v/>
      </c>
    </row>
    <row r="993">
      <c r="P993">
        <f>IF(OR(B993="SP",B993="RP",B993="CP",B993="SP/RP"),"P","H")</f>
        <v/>
      </c>
      <c r="Q993">
        <f>IF(F993="",0,IFNA(VLOOKUP(F993,Trait_Polarity!$A:$C,2,FALSE),0))+IF(G993="",0,IFNA(VLOOKUP(G993,Trait_Polarity!$A:$C,2,FALSE),0))</f>
        <v/>
      </c>
      <c r="R993">
        <f>IF(F993="",0,IFNA(VLOOKUP(F993,Trait_Polarity!$A:$C,3,FALSE),0))+IF(G993="",0,IFNA(VLOOKUP(G993,Trait_Polarity!$A:$C,3,FALSE),0))</f>
        <v/>
      </c>
      <c r="S993">
        <f>IF(P993="P",(M993+N993+O993)/3,0.3*H993+0.3*I993+0.2*J993+0.1*K993+0.1*L993)</f>
        <v/>
      </c>
      <c r="T993">
        <f>IF(P993="P",IFNA(VLOOKUP(B993,Pitcher_RoleAdj!$A:$B,2,FALSE),0),IFNA(VLOOKUP(B993,Hitter_PrimaryAdj!$A:$B,2,FALSE),0))</f>
        <v/>
      </c>
      <c r="U993">
        <f>IFNA(VLOOKUP(IF(C993="","(none)",C993),SecondaryAdj!$A:$B,2,FALSE),0)</f>
        <v/>
      </c>
      <c r="V993">
        <f>IF(P993="P",0.7780+0.1628*S993+0.2957*Q993-0.1912*R993-0.1512*IF(D993="S",1,0)+0.1600*IF(E993="L",1,0)+0.0091*H993+0.0124*I993+0.0017*J993+T993+U993,-0.8294+0.1849*S993+0.1750*Q993-0.2969*R993+0.6924*IF(D993="S",1,0)+0.0457*IF(E993="L",1,0)+T993+U993)</f>
        <v/>
      </c>
      <c r="W993">
        <f>MAX(0,MIN(16,ROUND(V993,0)))</f>
        <v/>
      </c>
      <c r="X993">
        <f>IFNA(VLOOKUP(W993,Grade_Scale!$A:$B,2,FALSE),"F")</f>
        <v/>
      </c>
      <c r="Z993">
        <f>IF(Y993="","",W993-IFNA(VLOOKUP(Y993,Grade_Scale!$D:$E,2,FALSE),""))</f>
        <v/>
      </c>
    </row>
    <row r="994">
      <c r="P994">
        <f>IF(OR(B994="SP",B994="RP",B994="CP",B994="SP/RP"),"P","H")</f>
        <v/>
      </c>
      <c r="Q994">
        <f>IF(F994="",0,IFNA(VLOOKUP(F994,Trait_Polarity!$A:$C,2,FALSE),0))+IF(G994="",0,IFNA(VLOOKUP(G994,Trait_Polarity!$A:$C,2,FALSE),0))</f>
        <v/>
      </c>
      <c r="R994">
        <f>IF(F994="",0,IFNA(VLOOKUP(F994,Trait_Polarity!$A:$C,3,FALSE),0))+IF(G994="",0,IFNA(VLOOKUP(G994,Trait_Polarity!$A:$C,3,FALSE),0))</f>
        <v/>
      </c>
      <c r="S994">
        <f>IF(P994="P",(M994+N994+O994)/3,0.3*H994+0.3*I994+0.2*J994+0.1*K994+0.1*L994)</f>
        <v/>
      </c>
      <c r="T994">
        <f>IF(P994="P",IFNA(VLOOKUP(B994,Pitcher_RoleAdj!$A:$B,2,FALSE),0),IFNA(VLOOKUP(B994,Hitter_PrimaryAdj!$A:$B,2,FALSE),0))</f>
        <v/>
      </c>
      <c r="U994">
        <f>IFNA(VLOOKUP(IF(C994="","(none)",C994),SecondaryAdj!$A:$B,2,FALSE),0)</f>
        <v/>
      </c>
      <c r="V994">
        <f>IF(P994="P",0.7780+0.1628*S994+0.2957*Q994-0.1912*R994-0.1512*IF(D994="S",1,0)+0.1600*IF(E994="L",1,0)+0.0091*H994+0.0124*I994+0.0017*J994+T994+U994,-0.8294+0.1849*S994+0.1750*Q994-0.2969*R994+0.6924*IF(D994="S",1,0)+0.0457*IF(E994="L",1,0)+T994+U994)</f>
        <v/>
      </c>
      <c r="W994">
        <f>MAX(0,MIN(16,ROUND(V994,0)))</f>
        <v/>
      </c>
      <c r="X994">
        <f>IFNA(VLOOKUP(W994,Grade_Scale!$A:$B,2,FALSE),"F")</f>
        <v/>
      </c>
      <c r="Z994">
        <f>IF(Y994="","",W994-IFNA(VLOOKUP(Y994,Grade_Scale!$D:$E,2,FALSE),""))</f>
        <v/>
      </c>
    </row>
    <row r="995">
      <c r="P995">
        <f>IF(OR(B995="SP",B995="RP",B995="CP",B995="SP/RP"),"P","H")</f>
        <v/>
      </c>
      <c r="Q995">
        <f>IF(F995="",0,IFNA(VLOOKUP(F995,Trait_Polarity!$A:$C,2,FALSE),0))+IF(G995="",0,IFNA(VLOOKUP(G995,Trait_Polarity!$A:$C,2,FALSE),0))</f>
        <v/>
      </c>
      <c r="R995">
        <f>IF(F995="",0,IFNA(VLOOKUP(F995,Trait_Polarity!$A:$C,3,FALSE),0))+IF(G995="",0,IFNA(VLOOKUP(G995,Trait_Polarity!$A:$C,3,FALSE),0))</f>
        <v/>
      </c>
      <c r="S995">
        <f>IF(P995="P",(M995+N995+O995)/3,0.3*H995+0.3*I995+0.2*J995+0.1*K995+0.1*L995)</f>
        <v/>
      </c>
      <c r="T995">
        <f>IF(P995="P",IFNA(VLOOKUP(B995,Pitcher_RoleAdj!$A:$B,2,FALSE),0),IFNA(VLOOKUP(B995,Hitter_PrimaryAdj!$A:$B,2,FALSE),0))</f>
        <v/>
      </c>
      <c r="U995">
        <f>IFNA(VLOOKUP(IF(C995="","(none)",C995),SecondaryAdj!$A:$B,2,FALSE),0)</f>
        <v/>
      </c>
      <c r="V995">
        <f>IF(P995="P",0.7780+0.1628*S995+0.2957*Q995-0.1912*R995-0.1512*IF(D995="S",1,0)+0.1600*IF(E995="L",1,0)+0.0091*H995+0.0124*I995+0.0017*J995+T995+U995,-0.8294+0.1849*S995+0.1750*Q995-0.2969*R995+0.6924*IF(D995="S",1,0)+0.0457*IF(E995="L",1,0)+T995+U995)</f>
        <v/>
      </c>
      <c r="W995">
        <f>MAX(0,MIN(16,ROUND(V995,0)))</f>
        <v/>
      </c>
      <c r="X995">
        <f>IFNA(VLOOKUP(W995,Grade_Scale!$A:$B,2,FALSE),"F")</f>
        <v/>
      </c>
      <c r="Z995">
        <f>IF(Y995="","",W995-IFNA(VLOOKUP(Y995,Grade_Scale!$D:$E,2,FALSE),""))</f>
        <v/>
      </c>
    </row>
    <row r="996">
      <c r="P996">
        <f>IF(OR(B996="SP",B996="RP",B996="CP",B996="SP/RP"),"P","H")</f>
        <v/>
      </c>
      <c r="Q996">
        <f>IF(F996="",0,IFNA(VLOOKUP(F996,Trait_Polarity!$A:$C,2,FALSE),0))+IF(G996="",0,IFNA(VLOOKUP(G996,Trait_Polarity!$A:$C,2,FALSE),0))</f>
        <v/>
      </c>
      <c r="R996">
        <f>IF(F996="",0,IFNA(VLOOKUP(F996,Trait_Polarity!$A:$C,3,FALSE),0))+IF(G996="",0,IFNA(VLOOKUP(G996,Trait_Polarity!$A:$C,3,FALSE),0))</f>
        <v/>
      </c>
      <c r="S996">
        <f>IF(P996="P",(M996+N996+O996)/3,0.3*H996+0.3*I996+0.2*J996+0.1*K996+0.1*L996)</f>
        <v/>
      </c>
      <c r="T996">
        <f>IF(P996="P",IFNA(VLOOKUP(B996,Pitcher_RoleAdj!$A:$B,2,FALSE),0),IFNA(VLOOKUP(B996,Hitter_PrimaryAdj!$A:$B,2,FALSE),0))</f>
        <v/>
      </c>
      <c r="U996">
        <f>IFNA(VLOOKUP(IF(C996="","(none)",C996),SecondaryAdj!$A:$B,2,FALSE),0)</f>
        <v/>
      </c>
      <c r="V996">
        <f>IF(P996="P",0.7780+0.1628*S996+0.2957*Q996-0.1912*R996-0.1512*IF(D996="S",1,0)+0.1600*IF(E996="L",1,0)+0.0091*H996+0.0124*I996+0.0017*J996+T996+U996,-0.8294+0.1849*S996+0.1750*Q996-0.2969*R996+0.6924*IF(D996="S",1,0)+0.0457*IF(E996="L",1,0)+T996+U996)</f>
        <v/>
      </c>
      <c r="W996">
        <f>MAX(0,MIN(16,ROUND(V996,0)))</f>
        <v/>
      </c>
      <c r="X996">
        <f>IFNA(VLOOKUP(W996,Grade_Scale!$A:$B,2,FALSE),"F")</f>
        <v/>
      </c>
      <c r="Z996">
        <f>IF(Y996="","",W996-IFNA(VLOOKUP(Y996,Grade_Scale!$D:$E,2,FALSE),""))</f>
        <v/>
      </c>
    </row>
    <row r="997">
      <c r="P997">
        <f>IF(OR(B997="SP",B997="RP",B997="CP",B997="SP/RP"),"P","H")</f>
        <v/>
      </c>
      <c r="Q997">
        <f>IF(F997="",0,IFNA(VLOOKUP(F997,Trait_Polarity!$A:$C,2,FALSE),0))+IF(G997="",0,IFNA(VLOOKUP(G997,Trait_Polarity!$A:$C,2,FALSE),0))</f>
        <v/>
      </c>
      <c r="R997">
        <f>IF(F997="",0,IFNA(VLOOKUP(F997,Trait_Polarity!$A:$C,3,FALSE),0))+IF(G997="",0,IFNA(VLOOKUP(G997,Trait_Polarity!$A:$C,3,FALSE),0))</f>
        <v/>
      </c>
      <c r="S997">
        <f>IF(P997="P",(M997+N997+O997)/3,0.3*H997+0.3*I997+0.2*J997+0.1*K997+0.1*L997)</f>
        <v/>
      </c>
      <c r="T997">
        <f>IF(P997="P",IFNA(VLOOKUP(B997,Pitcher_RoleAdj!$A:$B,2,FALSE),0),IFNA(VLOOKUP(B997,Hitter_PrimaryAdj!$A:$B,2,FALSE),0))</f>
        <v/>
      </c>
      <c r="U997">
        <f>IFNA(VLOOKUP(IF(C997="","(none)",C997),SecondaryAdj!$A:$B,2,FALSE),0)</f>
        <v/>
      </c>
      <c r="V997">
        <f>IF(P997="P",0.7780+0.1628*S997+0.2957*Q997-0.1912*R997-0.1512*IF(D997="S",1,0)+0.1600*IF(E997="L",1,0)+0.0091*H997+0.0124*I997+0.0017*J997+T997+U997,-0.8294+0.1849*S997+0.1750*Q997-0.2969*R997+0.6924*IF(D997="S",1,0)+0.0457*IF(E997="L",1,0)+T997+U997)</f>
        <v/>
      </c>
      <c r="W997">
        <f>MAX(0,MIN(16,ROUND(V997,0)))</f>
        <v/>
      </c>
      <c r="X997">
        <f>IFNA(VLOOKUP(W997,Grade_Scale!$A:$B,2,FALSE),"F")</f>
        <v/>
      </c>
      <c r="Z997">
        <f>IF(Y997="","",W997-IFNA(VLOOKUP(Y997,Grade_Scale!$D:$E,2,FALSE),""))</f>
        <v/>
      </c>
    </row>
    <row r="998">
      <c r="P998">
        <f>IF(OR(B998="SP",B998="RP",B998="CP",B998="SP/RP"),"P","H")</f>
        <v/>
      </c>
      <c r="Q998">
        <f>IF(F998="",0,IFNA(VLOOKUP(F998,Trait_Polarity!$A:$C,2,FALSE),0))+IF(G998="",0,IFNA(VLOOKUP(G998,Trait_Polarity!$A:$C,2,FALSE),0))</f>
        <v/>
      </c>
      <c r="R998">
        <f>IF(F998="",0,IFNA(VLOOKUP(F998,Trait_Polarity!$A:$C,3,FALSE),0))+IF(G998="",0,IFNA(VLOOKUP(G998,Trait_Polarity!$A:$C,3,FALSE),0))</f>
        <v/>
      </c>
      <c r="S998">
        <f>IF(P998="P",(M998+N998+O998)/3,0.3*H998+0.3*I998+0.2*J998+0.1*K998+0.1*L998)</f>
        <v/>
      </c>
      <c r="T998">
        <f>IF(P998="P",IFNA(VLOOKUP(B998,Pitcher_RoleAdj!$A:$B,2,FALSE),0),IFNA(VLOOKUP(B998,Hitter_PrimaryAdj!$A:$B,2,FALSE),0))</f>
        <v/>
      </c>
      <c r="U998">
        <f>IFNA(VLOOKUP(IF(C998="","(none)",C998),SecondaryAdj!$A:$B,2,FALSE),0)</f>
        <v/>
      </c>
      <c r="V998">
        <f>IF(P998="P",0.7780+0.1628*S998+0.2957*Q998-0.1912*R998-0.1512*IF(D998="S",1,0)+0.1600*IF(E998="L",1,0)+0.0091*H998+0.0124*I998+0.0017*J998+T998+U998,-0.8294+0.1849*S998+0.1750*Q998-0.2969*R998+0.6924*IF(D998="S",1,0)+0.0457*IF(E998="L",1,0)+T998+U998)</f>
        <v/>
      </c>
      <c r="W998">
        <f>MAX(0,MIN(16,ROUND(V998,0)))</f>
        <v/>
      </c>
      <c r="X998">
        <f>IFNA(VLOOKUP(W998,Grade_Scale!$A:$B,2,FALSE),"F")</f>
        <v/>
      </c>
      <c r="Z998">
        <f>IF(Y998="","",W998-IFNA(VLOOKUP(Y998,Grade_Scale!$D:$E,2,FALSE),""))</f>
        <v/>
      </c>
    </row>
    <row r="999">
      <c r="P999">
        <f>IF(OR(B999="SP",B999="RP",B999="CP",B999="SP/RP"),"P","H")</f>
        <v/>
      </c>
      <c r="Q999">
        <f>IF(F999="",0,IFNA(VLOOKUP(F999,Trait_Polarity!$A:$C,2,FALSE),0))+IF(G999="",0,IFNA(VLOOKUP(G999,Trait_Polarity!$A:$C,2,FALSE),0))</f>
        <v/>
      </c>
      <c r="R999">
        <f>IF(F999="",0,IFNA(VLOOKUP(F999,Trait_Polarity!$A:$C,3,FALSE),0))+IF(G999="",0,IFNA(VLOOKUP(G999,Trait_Polarity!$A:$C,3,FALSE),0))</f>
        <v/>
      </c>
      <c r="S999">
        <f>IF(P999="P",(M999+N999+O999)/3,0.3*H999+0.3*I999+0.2*J999+0.1*K999+0.1*L999)</f>
        <v/>
      </c>
      <c r="T999">
        <f>IF(P999="P",IFNA(VLOOKUP(B999,Pitcher_RoleAdj!$A:$B,2,FALSE),0),IFNA(VLOOKUP(B999,Hitter_PrimaryAdj!$A:$B,2,FALSE),0))</f>
        <v/>
      </c>
      <c r="U999">
        <f>IFNA(VLOOKUP(IF(C999="","(none)",C999),SecondaryAdj!$A:$B,2,FALSE),0)</f>
        <v/>
      </c>
      <c r="V999">
        <f>IF(P999="P",0.7780+0.1628*S999+0.2957*Q999-0.1912*R999-0.1512*IF(D999="S",1,0)+0.1600*IF(E999="L",1,0)+0.0091*H999+0.0124*I999+0.0017*J999+T999+U999,-0.8294+0.1849*S999+0.1750*Q999-0.2969*R999+0.6924*IF(D999="S",1,0)+0.0457*IF(E999="L",1,0)+T999+U999)</f>
        <v/>
      </c>
      <c r="W999">
        <f>MAX(0,MIN(16,ROUND(V999,0)))</f>
        <v/>
      </c>
      <c r="X999">
        <f>IFNA(VLOOKUP(W999,Grade_Scale!$A:$B,2,FALSE),"F")</f>
        <v/>
      </c>
      <c r="Z999">
        <f>IF(Y999="","",W999-IFNA(VLOOKUP(Y999,Grade_Scale!$D:$E,2,FALSE),""))</f>
        <v/>
      </c>
    </row>
    <row r="1000">
      <c r="P1000">
        <f>IF(OR(B1000="SP",B1000="RP",B1000="CP",B1000="SP/RP"),"P","H")</f>
        <v/>
      </c>
      <c r="Q1000">
        <f>IF(F1000="",0,IFNA(VLOOKUP(F1000,Trait_Polarity!$A:$C,2,FALSE),0))+IF(G1000="",0,IFNA(VLOOKUP(G1000,Trait_Polarity!$A:$C,2,FALSE),0))</f>
        <v/>
      </c>
      <c r="R1000">
        <f>IF(F1000="",0,IFNA(VLOOKUP(F1000,Trait_Polarity!$A:$C,3,FALSE),0))+IF(G1000="",0,IFNA(VLOOKUP(G1000,Trait_Polarity!$A:$C,3,FALSE),0))</f>
        <v/>
      </c>
      <c r="S1000">
        <f>IF(P1000="P",(M1000+N1000+O1000)/3,0.3*H1000+0.3*I1000+0.2*J1000+0.1*K1000+0.1*L1000)</f>
        <v/>
      </c>
      <c r="T1000">
        <f>IF(P1000="P",IFNA(VLOOKUP(B1000,Pitcher_RoleAdj!$A:$B,2,FALSE),0),IFNA(VLOOKUP(B1000,Hitter_PrimaryAdj!$A:$B,2,FALSE),0))</f>
        <v/>
      </c>
      <c r="U1000">
        <f>IFNA(VLOOKUP(IF(C1000="","(none)",C1000),SecondaryAdj!$A:$B,2,FALSE),0)</f>
        <v/>
      </c>
      <c r="V1000">
        <f>IF(P1000="P",0.7780+0.1628*S1000+0.2957*Q1000-0.1912*R1000-0.1512*IF(D1000="S",1,0)+0.1600*IF(E1000="L",1,0)+0.0091*H1000+0.0124*I1000+0.0017*J1000+T1000+U1000,-0.8294+0.1849*S1000+0.1750*Q1000-0.2969*R1000+0.6924*IF(D1000="S",1,0)+0.0457*IF(E1000="L",1,0)+T1000+U1000)</f>
        <v/>
      </c>
      <c r="W1000">
        <f>MAX(0,MIN(16,ROUND(V1000,0)))</f>
        <v/>
      </c>
      <c r="X1000">
        <f>IFNA(VLOOKUP(W1000,Grade_Scale!$A:$B,2,FALSE),"F")</f>
        <v/>
      </c>
      <c r="Z1000">
        <f>IF(Y1000="","",W1000-IFNA(VLOOKUP(Y1000,Grade_Scale!$D:$E,2,FALSE),""))</f>
        <v/>
      </c>
    </row>
    <row r="1001">
      <c r="P1001">
        <f>IF(OR(B1001="SP",B1001="RP",B1001="CP",B1001="SP/RP"),"P","H")</f>
        <v/>
      </c>
      <c r="Q1001">
        <f>IF(F1001="",0,IFNA(VLOOKUP(F1001,Trait_Polarity!$A:$C,2,FALSE),0))+IF(G1001="",0,IFNA(VLOOKUP(G1001,Trait_Polarity!$A:$C,2,FALSE),0))</f>
        <v/>
      </c>
      <c r="R1001">
        <f>IF(F1001="",0,IFNA(VLOOKUP(F1001,Trait_Polarity!$A:$C,3,FALSE),0))+IF(G1001="",0,IFNA(VLOOKUP(G1001,Trait_Polarity!$A:$C,3,FALSE),0))</f>
        <v/>
      </c>
      <c r="S1001">
        <f>IF(P1001="P",(M1001+N1001+O1001)/3,0.3*H1001+0.3*I1001+0.2*J1001+0.1*K1001+0.1*L1001)</f>
        <v/>
      </c>
      <c r="T1001">
        <f>IF(P1001="P",IFNA(VLOOKUP(B1001,Pitcher_RoleAdj!$A:$B,2,FALSE),0),IFNA(VLOOKUP(B1001,Hitter_PrimaryAdj!$A:$B,2,FALSE),0))</f>
        <v/>
      </c>
      <c r="U1001">
        <f>IFNA(VLOOKUP(IF(C1001="","(none)",C1001),SecondaryAdj!$A:$B,2,FALSE),0)</f>
        <v/>
      </c>
      <c r="V1001">
        <f>IF(P1001="P",0.7780+0.1628*S1001+0.2957*Q1001-0.1912*R1001-0.1512*IF(D1001="S",1,0)+0.1600*IF(E1001="L",1,0)+0.0091*H1001+0.0124*I1001+0.0017*J1001+T1001+U1001,-0.8294+0.1849*S1001+0.1750*Q1001-0.2969*R1001+0.6924*IF(D1001="S",1,0)+0.0457*IF(E1001="L",1,0)+T1001+U1001)</f>
        <v/>
      </c>
      <c r="W1001">
        <f>MAX(0,MIN(16,ROUND(V1001,0)))</f>
        <v/>
      </c>
      <c r="X1001">
        <f>IFNA(VLOOKUP(W1001,Grade_Scale!$A:$B,2,FALSE),"F")</f>
        <v/>
      </c>
      <c r="Z1001">
        <f>IF(Y1001="","",W1001-IFNA(VLOOKUP(Y1001,Grade_Scale!$D:$E,2,FALSE),""))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2" customWidth="1" min="3" max="3"/>
    <col width="80" customWidth="1" min="4" max="4"/>
  </cols>
  <sheetData>
    <row r="1">
      <c r="A1" s="3" t="inlineStr">
        <is>
          <t>Fictional Player Generator (same model as Calculator)</t>
        </is>
      </c>
    </row>
    <row r="3">
      <c r="A3" s="4" t="inlineStr">
        <is>
          <t>Mode (H or P)</t>
        </is>
      </c>
      <c r="B3" t="inlineStr">
        <is>
          <t>H</t>
        </is>
      </c>
    </row>
    <row r="4">
      <c r="A4" s="4" t="inlineStr">
        <is>
          <t>TargetGrade</t>
        </is>
      </c>
      <c r="B4" t="inlineStr">
        <is>
          <t>B</t>
        </is>
      </c>
    </row>
    <row r="5">
      <c r="A5" s="4" t="inlineStr">
        <is>
          <t>PrimaryPos</t>
        </is>
      </c>
      <c r="B5" t="inlineStr">
        <is>
          <t>SS</t>
        </is>
      </c>
    </row>
    <row r="6">
      <c r="A6" s="4" t="inlineStr">
        <is>
          <t>SecondaryPos</t>
        </is>
      </c>
      <c r="B6" t="inlineStr">
        <is>
          <t>2B</t>
        </is>
      </c>
    </row>
    <row r="7">
      <c r="A7" s="4" t="inlineStr">
        <is>
          <t>Bats</t>
        </is>
      </c>
      <c r="B7" t="inlineStr">
        <is>
          <t>R</t>
        </is>
      </c>
    </row>
    <row r="8">
      <c r="A8" s="4" t="inlineStr">
        <is>
          <t>Throws</t>
        </is>
      </c>
      <c r="B8" t="inlineStr">
        <is>
          <t>R</t>
        </is>
      </c>
    </row>
    <row r="9">
      <c r="A9" s="4" t="inlineStr">
        <is>
          <t>Trait1</t>
        </is>
      </c>
      <c r="B9" t="inlineStr"/>
    </row>
    <row r="10">
      <c r="A10" s="4" t="inlineStr">
        <is>
          <t>Trait2</t>
        </is>
      </c>
      <c r="B10" t="inlineStr"/>
    </row>
    <row r="11">
      <c r="A11" s="4" t="inlineStr">
        <is>
          <t>Pitcher BatPOW (optional)</t>
        </is>
      </c>
      <c r="B11" t="inlineStr"/>
    </row>
    <row r="12">
      <c r="A12" s="4" t="inlineStr">
        <is>
          <t>Pitcher BatCON (optional)</t>
        </is>
      </c>
      <c r="B12" t="inlineStr"/>
    </row>
    <row r="13">
      <c r="A13" s="4" t="inlineStr">
        <is>
          <t>Pitcher BatSPD (optional)</t>
        </is>
      </c>
      <c r="B13" t="inlineStr"/>
    </row>
    <row r="14">
      <c r="A14" s="4" t="n"/>
    </row>
    <row r="15">
      <c r="A15" s="4" t="inlineStr">
        <is>
          <t>TargetGradeIdx</t>
        </is>
      </c>
      <c r="B15">
        <f>IFNA(VLOOKUP(B4,Grade_Scale!$D:$E,2,FALSE),11)</f>
        <v/>
      </c>
    </row>
    <row r="16">
      <c r="A16" s="4" t="inlineStr">
        <is>
          <t>PosTraits</t>
        </is>
      </c>
      <c r="B16">
        <f>IF(B9="",0,IFNA(VLOOKUP(B9,Trait_Polarity!$A:$C,2,FALSE),0))+IF(B10="",0,IFNA(VLOOKUP(B10,Trait_Polarity!$A:$C,2,FALSE),0))</f>
        <v/>
      </c>
    </row>
    <row r="17">
      <c r="A17" s="4" t="inlineStr">
        <is>
          <t>NegTraits</t>
        </is>
      </c>
      <c r="B17">
        <f>IF(B9="",0,IFNA(VLOOKUP(B9,Trait_Polarity!$A:$C,3,FALSE),0))+IF(B10="",0,IFNA(VLOOKUP(B10,Trait_Polarity!$A:$C,3,FALSE),0))</f>
        <v/>
      </c>
    </row>
    <row r="18">
      <c r="A18" s="4" t="inlineStr">
        <is>
          <t>PrimaryAdj</t>
        </is>
      </c>
      <c r="B18">
        <f>IF(B3="P",IFNA(VLOOKUP(B5,Pitcher_RoleAdj!$A:$B,2,FALSE),0),IFNA(VLOOKUP(B5,Hitter_PrimaryAdj!$A:$B,2,FALSE),0))</f>
        <v/>
      </c>
    </row>
    <row r="19">
      <c r="A19" s="4" t="inlineStr">
        <is>
          <t>SecondaryAdj</t>
        </is>
      </c>
      <c r="B19">
        <f>IFNA(VLOOKUP(IF(B6="","(none)",B6),SecondaryAdj!$A:$B,2,FALSE),0)</f>
        <v/>
      </c>
    </row>
    <row r="20">
      <c r="A20" s="4" t="inlineStr">
        <is>
          <t>ConstantTerm</t>
        </is>
      </c>
      <c r="B20">
        <f>IF(B3="P",0.7780+0.2957*B16-0.1912*B17-0.1512*IF(B7="S",1,0)+0.1600*IF(B8="L",1,0)+0.0091*B11+0.0124*B12+0.0017*B13+B18+B19,-0.8294+0.1750*B16-0.2969*B17+0.6924*IF(B7="S",1,0)+0.0457*IF(B8="L",1,0)+B18+B19)</f>
        <v/>
      </c>
    </row>
    <row r="21">
      <c r="A21" s="4" t="inlineStr">
        <is>
          <t>RequiredBaseWeighted</t>
        </is>
      </c>
      <c r="B21">
        <f>IF(B3="P",(B15-B20)/0.1628,(B15-B20)/0.1849)</f>
        <v/>
      </c>
    </row>
    <row r="22">
      <c r="A22" s="4" t="n"/>
    </row>
    <row r="23">
      <c r="A23" s="4" t="inlineStr">
        <is>
          <t>HITTER random generator</t>
        </is>
      </c>
      <c r="D23" t="inlineStr">
        <is>
          <t>Edit any input in B3:B13, then recalc (or press Enter) to reroll RAND() outputs.</t>
        </is>
      </c>
    </row>
    <row r="24">
      <c r="A24" s="4" t="inlineStr">
        <is>
          <t>POW</t>
        </is>
      </c>
      <c r="B24">
        <f>MAX(0,MIN(99,ROUND($B$21+C24+(RAND()-0.5)*20,0)))</f>
        <v/>
      </c>
      <c r="C24">
        <f>IF($B$5="1B",15,IF($B$5="2B",-10,IF($B$5="SS",-10,IF($B$5="3B",10,IF($B$5="LF",10,IF($B$5="CF",-10,IF($B$5="RF",5,0)))))))</f>
        <v/>
      </c>
    </row>
    <row r="25">
      <c r="A25" s="4" t="inlineStr">
        <is>
          <t>CON</t>
        </is>
      </c>
      <c r="B25">
        <f>MAX(0,MIN(99,ROUND($B$21+C25+(RAND()-0.5)*20,0)))</f>
        <v/>
      </c>
      <c r="C25">
        <f>IF($B$5="2B",5,0)</f>
        <v/>
      </c>
    </row>
    <row r="26">
      <c r="A26" s="4" t="inlineStr">
        <is>
          <t>SPD</t>
        </is>
      </c>
      <c r="B26">
        <f>MAX(0,MIN(99,ROUND($B$21+C26+(RAND()-0.5)*20,0)))</f>
        <v/>
      </c>
      <c r="C26">
        <f>IF($B$5="C",-10,IF($B$5="1B",-10,IF($B$5="2B",5,IF($B$5="SS",5,IF($B$5="3B",-10,IF($B$5="CF",15,IF($B$5="RF",-5,0)))))))</f>
        <v/>
      </c>
    </row>
    <row r="27">
      <c r="A27" s="4" t="inlineStr">
        <is>
          <t>FLD</t>
        </is>
      </c>
      <c r="B27">
        <f>MAX(0,MIN(99,ROUND($B$21+C27+(RAND()-0.5)*20,0)))</f>
        <v/>
      </c>
      <c r="C27">
        <f>IF($B$5="C",10,IF($B$5="1B",-5,IF($B$5="SS",10,IF($B$5="LF",-5,IF($B$5="CF",5,0)))))</f>
        <v/>
      </c>
    </row>
    <row r="28">
      <c r="A28" s="4" t="inlineStr">
        <is>
          <t>ARM</t>
        </is>
      </c>
      <c r="B28">
        <f>MAX(0,MIN(99,ROUND($B$21+C28+(RAND()-0.5)*20,0)))</f>
        <v/>
      </c>
      <c r="C28">
        <f>IF($B$5="C",10,IF($B$5="SS",5,IF($B$5="3B",5,IF($B$5="LF",-5,IF($B$5="RF",10,0)))))</f>
        <v/>
      </c>
    </row>
    <row r="29">
      <c r="A29" s="4" t="inlineStr">
        <is>
          <t>Hitter BaseWeighted</t>
        </is>
      </c>
      <c r="B29">
        <f>0.3*B24+0.3*B25+0.2*B26+0.1*B27+0.1*B28</f>
        <v/>
      </c>
    </row>
    <row r="30">
      <c r="A30" s="4" t="inlineStr">
        <is>
          <t>Hitter Points</t>
        </is>
      </c>
      <c r="B30">
        <f>-0.8294+0.1849*B29+0.1750*B16-0.2969*B17+0.6924*IF(B7="S",1,0)+0.0457*IF(B8="L",1,0)+B18+B19</f>
        <v/>
      </c>
    </row>
    <row r="31">
      <c r="A31" s="4" t="inlineStr">
        <is>
          <t>Hitter GradeIdx</t>
        </is>
      </c>
      <c r="B31">
        <f>MAX(0,MIN(16,ROUND(B30,0)))</f>
        <v/>
      </c>
    </row>
    <row r="32">
      <c r="A32" s="4" t="inlineStr">
        <is>
          <t>Hitter Grade</t>
        </is>
      </c>
      <c r="B32">
        <f>IFNA(VLOOKUP(B31,Grade_Scale!$A:$B,2,FALSE),"F")</f>
        <v/>
      </c>
    </row>
    <row r="33">
      <c r="A33" s="4" t="n"/>
    </row>
    <row r="34">
      <c r="A34" s="4" t="n"/>
    </row>
    <row r="35">
      <c r="A35" s="4" t="inlineStr">
        <is>
          <t>PITCHER random generator</t>
        </is>
      </c>
    </row>
    <row r="36">
      <c r="A36" s="4" t="inlineStr">
        <is>
          <t>BatPOW</t>
        </is>
      </c>
      <c r="B36">
        <f>IF(B11="",ROUND(RAND()*35,0),B11)</f>
        <v/>
      </c>
    </row>
    <row r="37">
      <c r="A37" s="4" t="inlineStr">
        <is>
          <t>BatCON</t>
        </is>
      </c>
      <c r="B37">
        <f>IF(B12="",ROUND(RAND()*40,0),B12)</f>
        <v/>
      </c>
    </row>
    <row r="38">
      <c r="A38" s="4" t="inlineStr">
        <is>
          <t>BatSPD</t>
        </is>
      </c>
      <c r="B38">
        <f>IF(B13="",ROUND(RAND()*60,0),B13)</f>
        <v/>
      </c>
    </row>
    <row r="39">
      <c r="A39" s="4" t="inlineStr">
        <is>
          <t>VEL</t>
        </is>
      </c>
      <c r="B39">
        <f>MAX(0,MIN(99,ROUND($B$21+C39+(RAND()-0.5)*20,0)))</f>
        <v/>
      </c>
      <c r="C39">
        <f>IF($B$5="SP",-2,IF($B$5="CP",8,IF($B$5="SP/RP",3,2)))</f>
        <v/>
      </c>
    </row>
    <row r="40">
      <c r="A40" s="4" t="inlineStr">
        <is>
          <t>JNK</t>
        </is>
      </c>
      <c r="B40">
        <f>MAX(0,MIN(99,ROUND($B$21+C40+(RAND()-0.5)*20,0)))</f>
        <v/>
      </c>
      <c r="C40">
        <f>IF($B$5="SP",-3,IF($B$5="CP",5,IF($B$5="SP/RP",2,1)))</f>
        <v/>
      </c>
    </row>
    <row r="41">
      <c r="A41" s="4" t="inlineStr">
        <is>
          <t>ACC</t>
        </is>
      </c>
      <c r="B41">
        <f>MAX(0,MIN(99,ROUND($B$21+C41+(RAND()-0.5)*20,0)))</f>
        <v/>
      </c>
      <c r="C41">
        <f>IF($B$5="SP",5,IF($B$5="CP",-13,IF($B$5="SP/RP",0,-2)))</f>
        <v/>
      </c>
    </row>
    <row r="42">
      <c r="A42" s="4" t="inlineStr">
        <is>
          <t>Pitcher BaseWeighted</t>
        </is>
      </c>
      <c r="B42">
        <f>(B39+B40+B41)/3</f>
        <v/>
      </c>
    </row>
    <row r="43">
      <c r="A43" s="4" t="inlineStr">
        <is>
          <t>Pitcher Points</t>
        </is>
      </c>
      <c r="B43">
        <f>0.7780+0.1628*B42+0.2957*B16-0.1912*B17-0.1512*IF(B7="S",1,0)+0.1600*IF(B8="L",1,0)+0.0091*B36+0.0124*B37+0.0017*B38+B18+B19</f>
        <v/>
      </c>
    </row>
    <row r="44">
      <c r="A44" s="4" t="inlineStr">
        <is>
          <t>Pitcher GradeIdx</t>
        </is>
      </c>
      <c r="B44">
        <f>MAX(0,MIN(16,ROUND(B43,0)))</f>
        <v/>
      </c>
    </row>
    <row r="45">
      <c r="A45" s="4" t="inlineStr">
        <is>
          <t>Pitcher Grade</t>
        </is>
      </c>
      <c r="B45">
        <f>IFNA(VLOOKUP(B44,Grade_Scale!$A:$B,2,FALSE),"F")</f>
        <v/>
      </c>
    </row>
    <row r="46">
      <c r="A46" s="4" t="n"/>
    </row>
    <row r="47">
      <c r="A47" s="4" t="inlineStr">
        <is>
          <t>Recommended Grade</t>
        </is>
      </c>
      <c r="B47">
        <f>IF(B3="P",B45,B32)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2026-02-26T22:32:31Z</dcterms:created>
  <dcterms:modified xmlns:dcterms="http://purl.org/dc/terms/" xmlns:xsi="http://www.w3.org/2001/XMLSchema-instance" xsi:type="dcterms:W3CDTF">2026-02-26T22:32:31Z</dcterms:modified>
</cp:coreProperties>
</file>