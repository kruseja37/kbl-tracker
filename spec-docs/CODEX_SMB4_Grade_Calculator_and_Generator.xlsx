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rade_Scale" sheetId="2" state="visible" r:id="rId2"/>
    <sheet xmlns:r="http://schemas.openxmlformats.org/officeDocument/2006/relationships" name="Trait_Polarity" sheetId="3" state="visible" r:id="rId3"/>
    <sheet xmlns:r="http://schemas.openxmlformats.org/officeDocument/2006/relationships" name="Secondary_Versatility" sheetId="4" state="visible" r:id="rId4"/>
    <sheet xmlns:r="http://schemas.openxmlformats.org/officeDocument/2006/relationships" name="Hitter_Primary_Coef" sheetId="5" state="visible" r:id="rId5"/>
    <sheet xmlns:r="http://schemas.openxmlformats.org/officeDocument/2006/relationships" name="Hitter_Secondary_Coef" sheetId="6" state="visible" r:id="rId6"/>
    <sheet xmlns:r="http://schemas.openxmlformats.org/officeDocument/2006/relationships" name="Pitcher_Primary_Coef" sheetId="7" state="visible" r:id="rId7"/>
    <sheet xmlns:r="http://schemas.openxmlformats.org/officeDocument/2006/relationships" name="Hitter_Trait_Coef" sheetId="8" state="visible" r:id="rId8"/>
    <sheet xmlns:r="http://schemas.openxmlformats.org/officeDocument/2006/relationships" name="Pitcher_Trait_Coef" sheetId="9" state="visible" r:id="rId9"/>
    <sheet xmlns:r="http://schemas.openxmlformats.org/officeDocument/2006/relationships" name="Pitch_Coef" sheetId="10" state="visible" r:id="rId10"/>
    <sheet xmlns:r="http://schemas.openxmlformats.org/officeDocument/2006/relationships" name="Archetype_Presets" sheetId="11" state="visible" r:id="rId11"/>
    <sheet xmlns:r="http://schemas.openxmlformats.org/officeDocument/2006/relationships" name="Calculator" sheetId="12" state="visible" r:id="rId12"/>
    <sheet xmlns:r="http://schemas.openxmlformats.org/officeDocument/2006/relationships" name="Generato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SMB4 Grade Calculator + Fictional Player Generator</t>
        </is>
      </c>
    </row>
    <row r="2">
      <c r="A2" t="inlineStr"/>
    </row>
    <row r="3">
      <c r="A3" t="inlineStr">
        <is>
          <t>This workbook is designed for upload to Google Sheets.</t>
        </is>
      </c>
    </row>
    <row r="4">
      <c r="A4" t="inlineStr"/>
    </row>
    <row r="5">
      <c r="A5" t="inlineStr">
        <is>
          <t>Tabs:</t>
        </is>
      </c>
    </row>
    <row r="6">
      <c r="A6" t="inlineStr">
        <is>
          <t>- Calculator: exact improved scorer for manual player inputs.</t>
        </is>
      </c>
    </row>
    <row r="7">
      <c r="A7" t="inlineStr">
        <is>
          <t>- Generator: heuristic random generator that scores the result with the same exact model.</t>
        </is>
      </c>
    </row>
    <row r="8">
      <c r="A8" t="inlineStr">
        <is>
          <t>- Archetype_Presets: roster templates for balanced/power/speed-defense/bullpen-heavy teams.</t>
        </is>
      </c>
    </row>
    <row r="9">
      <c r="A9" t="inlineStr">
        <is>
          <t>- Lookup tabs: grade thresholds, trait polarity, versatility, position coefficients, trait coefficients, pitch coefficients.</t>
        </is>
      </c>
    </row>
    <row r="10">
      <c r="A10" t="inlineStr"/>
    </row>
    <row r="11">
      <c r="A11" t="inlineStr">
        <is>
          <t>Model factors included:</t>
        </is>
      </c>
    </row>
    <row r="12">
      <c r="A12" t="inlineStr">
        <is>
          <t>- Primary position</t>
        </is>
      </c>
    </row>
    <row r="13">
      <c r="A13" t="inlineStr">
        <is>
          <t>- Secondary position and combo positions</t>
        </is>
      </c>
    </row>
    <row r="14">
      <c r="A14" t="inlineStr">
        <is>
          <t>- Bats / Throws</t>
        </is>
      </c>
    </row>
    <row r="15">
      <c r="A15" t="inlineStr">
        <is>
          <t>- Positive and negative traits</t>
        </is>
      </c>
    </row>
    <row r="16">
      <c r="A16" t="inlineStr">
        <is>
          <t>- Full ratings</t>
        </is>
      </c>
    </row>
    <row r="17">
      <c r="A17" t="inlineStr">
        <is>
          <t>- Pitcher batting stats</t>
        </is>
      </c>
    </row>
    <row r="18">
      <c r="A18" t="inlineStr">
        <is>
          <t>- Pitch arsenal count and pitch-type coefficients for pitchers</t>
        </is>
      </c>
    </row>
    <row r="19">
      <c r="A19" t="inlineStr"/>
    </row>
    <row r="20">
      <c r="A20" t="inlineStr">
        <is>
          <t>Important note:</t>
        </is>
      </c>
    </row>
    <row r="21">
      <c r="A21" t="inlineStr">
        <is>
          <t>- The Calculator tab matches the improved baked model.</t>
        </is>
      </c>
    </row>
    <row r="22">
      <c r="A22" t="inlineStr">
        <is>
          <t>- The Generator tab is a heuristic starter; final grade shown there is exact for the generated 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LowerBound</t>
        </is>
      </c>
      <c r="B1" s="2" t="inlineStr">
        <is>
          <t>GradeIdx</t>
        </is>
      </c>
      <c r="C1" s="2" t="inlineStr">
        <is>
          <t>Grade</t>
        </is>
      </c>
      <c r="D1" s="2" t="inlineStr">
        <is>
          <t>Center</t>
        </is>
      </c>
      <c r="E1" s="2" t="inlineStr">
        <is>
          <t>GradeIdxByGrade</t>
        </is>
      </c>
    </row>
    <row r="2">
      <c r="A2" t="n">
        <v>0</v>
      </c>
      <c r="B2" t="n">
        <v>0</v>
      </c>
      <c r="C2" t="inlineStr">
        <is>
          <t>F</t>
        </is>
      </c>
      <c r="D2" t="n">
        <v>15</v>
      </c>
      <c r="E2" t="n">
        <v>0</v>
      </c>
    </row>
    <row r="3">
      <c r="A3" t="n">
        <v>18.5</v>
      </c>
      <c r="B3" t="n">
        <v>1</v>
      </c>
      <c r="C3" t="inlineStr">
        <is>
          <t>E-</t>
        </is>
      </c>
      <c r="D3" t="n">
        <v>22</v>
      </c>
      <c r="E3" t="n">
        <v>1</v>
      </c>
    </row>
    <row r="4">
      <c r="A4" t="n">
        <v>24.5</v>
      </c>
      <c r="B4" t="n">
        <v>2</v>
      </c>
      <c r="C4" t="inlineStr">
        <is>
          <t>E</t>
        </is>
      </c>
      <c r="D4" t="n">
        <v>27</v>
      </c>
      <c r="E4" t="n">
        <v>2</v>
      </c>
    </row>
    <row r="5">
      <c r="A5" t="n">
        <v>29.5</v>
      </c>
      <c r="B5" t="n">
        <v>3</v>
      </c>
      <c r="C5" t="inlineStr">
        <is>
          <t>E+</t>
        </is>
      </c>
      <c r="D5" t="n">
        <v>32</v>
      </c>
      <c r="E5" t="n">
        <v>3</v>
      </c>
    </row>
    <row r="6">
      <c r="A6" t="n">
        <v>34.5</v>
      </c>
      <c r="B6" t="n">
        <v>4</v>
      </c>
      <c r="C6" t="inlineStr">
        <is>
          <t>D-</t>
        </is>
      </c>
      <c r="D6" t="n">
        <v>37</v>
      </c>
      <c r="E6" t="n">
        <v>4</v>
      </c>
    </row>
    <row r="7">
      <c r="A7" t="n">
        <v>39.5</v>
      </c>
      <c r="B7" t="n">
        <v>5</v>
      </c>
      <c r="C7" t="inlineStr">
        <is>
          <t>D</t>
        </is>
      </c>
      <c r="D7" t="n">
        <v>42</v>
      </c>
      <c r="E7" t="n">
        <v>5</v>
      </c>
    </row>
    <row r="8">
      <c r="A8" t="n">
        <v>44.5</v>
      </c>
      <c r="B8" t="n">
        <v>6</v>
      </c>
      <c r="C8" t="inlineStr">
        <is>
          <t>D+</t>
        </is>
      </c>
      <c r="D8" t="n">
        <v>47</v>
      </c>
      <c r="E8" t="n">
        <v>6</v>
      </c>
    </row>
    <row r="9">
      <c r="A9" t="n">
        <v>49.5</v>
      </c>
      <c r="B9" t="n">
        <v>7</v>
      </c>
      <c r="C9" t="inlineStr">
        <is>
          <t>C-</t>
        </is>
      </c>
      <c r="D9" t="n">
        <v>52</v>
      </c>
      <c r="E9" t="n">
        <v>7</v>
      </c>
    </row>
    <row r="10">
      <c r="A10" t="n">
        <v>54.5</v>
      </c>
      <c r="B10" t="n">
        <v>8</v>
      </c>
      <c r="C10" t="inlineStr">
        <is>
          <t>C</t>
        </is>
      </c>
      <c r="D10" t="n">
        <v>57</v>
      </c>
      <c r="E10" t="n">
        <v>8</v>
      </c>
    </row>
    <row r="11">
      <c r="A11" t="n">
        <v>59.5</v>
      </c>
      <c r="B11" t="n">
        <v>9</v>
      </c>
      <c r="C11" t="inlineStr">
        <is>
          <t>C+</t>
        </is>
      </c>
      <c r="D11" t="n">
        <v>62</v>
      </c>
      <c r="E11" t="n">
        <v>9</v>
      </c>
    </row>
    <row r="12">
      <c r="A12" t="n">
        <v>64.5</v>
      </c>
      <c r="B12" t="n">
        <v>10</v>
      </c>
      <c r="C12" t="inlineStr">
        <is>
          <t>B-</t>
        </is>
      </c>
      <c r="D12" t="n">
        <v>67</v>
      </c>
      <c r="E12" t="n">
        <v>10</v>
      </c>
    </row>
    <row r="13">
      <c r="A13" t="n">
        <v>69.5</v>
      </c>
      <c r="B13" t="n">
        <v>11</v>
      </c>
      <c r="C13" t="inlineStr">
        <is>
          <t>B</t>
        </is>
      </c>
      <c r="D13" t="n">
        <v>72</v>
      </c>
      <c r="E13" t="n">
        <v>11</v>
      </c>
    </row>
    <row r="14">
      <c r="A14" t="n">
        <v>74.5</v>
      </c>
      <c r="B14" t="n">
        <v>12</v>
      </c>
      <c r="C14" t="inlineStr">
        <is>
          <t>B+</t>
        </is>
      </c>
      <c r="D14" t="n">
        <v>77</v>
      </c>
      <c r="E14" t="n">
        <v>12</v>
      </c>
    </row>
    <row r="15">
      <c r="A15" t="n">
        <v>79.5</v>
      </c>
      <c r="B15" t="n">
        <v>13</v>
      </c>
      <c r="C15" t="inlineStr">
        <is>
          <t>A-</t>
        </is>
      </c>
      <c r="D15" t="n">
        <v>82</v>
      </c>
      <c r="E15" t="n">
        <v>13</v>
      </c>
    </row>
    <row r="16">
      <c r="A16" t="n">
        <v>84.5</v>
      </c>
      <c r="B16" t="n">
        <v>14</v>
      </c>
      <c r="C16" t="inlineStr">
        <is>
          <t>A</t>
        </is>
      </c>
      <c r="D16" t="n">
        <v>87</v>
      </c>
      <c r="E16" t="n">
        <v>14</v>
      </c>
    </row>
    <row r="17">
      <c r="A17" t="n">
        <v>89.5</v>
      </c>
      <c r="B17" t="n">
        <v>15</v>
      </c>
      <c r="C17" t="inlineStr">
        <is>
          <t>A+</t>
        </is>
      </c>
      <c r="D17" t="n">
        <v>92</v>
      </c>
      <c r="E17" t="n">
        <v>15</v>
      </c>
    </row>
    <row r="18">
      <c r="A18" t="n">
        <v>94.5</v>
      </c>
      <c r="B18" t="n">
        <v>16</v>
      </c>
      <c r="C18" t="inlineStr">
        <is>
          <t>S</t>
        </is>
      </c>
      <c r="D18" t="n">
        <v>97</v>
      </c>
      <c r="E18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Trait</t>
        </is>
      </c>
      <c r="B1" s="2" t="inlineStr">
        <is>
          <t>PosFlag</t>
        </is>
      </c>
      <c r="C1" s="2" t="inlineStr">
        <is>
          <t>NegFlag</t>
        </is>
      </c>
      <c r="D1" s="2" t="inlineStr">
        <is>
          <t>Polarity</t>
        </is>
      </c>
    </row>
    <row r="2">
      <c r="A2" t="inlineStr">
        <is>
          <t>Ace Exterminator</t>
        </is>
      </c>
      <c r="B2" t="n">
        <v>1</v>
      </c>
      <c r="C2" t="n">
        <v>0</v>
      </c>
      <c r="D2" t="inlineStr">
        <is>
          <t>Positive</t>
        </is>
      </c>
    </row>
    <row r="3">
      <c r="A3" t="inlineStr">
        <is>
          <t>BB Prone</t>
        </is>
      </c>
      <c r="B3" t="n">
        <v>0</v>
      </c>
      <c r="C3" t="n">
        <v>1</v>
      </c>
      <c r="D3" t="inlineStr">
        <is>
          <t>Negative</t>
        </is>
      </c>
    </row>
    <row r="4">
      <c r="A4" t="inlineStr">
        <is>
          <t>Bad Ball Hitter</t>
        </is>
      </c>
      <c r="B4" t="n">
        <v>1</v>
      </c>
      <c r="C4" t="n">
        <v>0</v>
      </c>
      <c r="D4" t="inlineStr">
        <is>
          <t>Positive</t>
        </is>
      </c>
    </row>
    <row r="5">
      <c r="A5" t="inlineStr">
        <is>
          <t>Bad Jumps</t>
        </is>
      </c>
      <c r="B5" t="n">
        <v>0</v>
      </c>
      <c r="C5" t="n">
        <v>1</v>
      </c>
      <c r="D5" t="inlineStr">
        <is>
          <t>Negative</t>
        </is>
      </c>
    </row>
    <row r="6">
      <c r="A6" t="inlineStr">
        <is>
          <t>Base Jogger</t>
        </is>
      </c>
      <c r="B6" t="n">
        <v>0</v>
      </c>
      <c r="C6" t="n">
        <v>1</v>
      </c>
      <c r="D6" t="inlineStr">
        <is>
          <t>Negative</t>
        </is>
      </c>
    </row>
    <row r="7">
      <c r="A7" t="inlineStr">
        <is>
          <t>Base Rounder</t>
        </is>
      </c>
      <c r="B7" t="n">
        <v>1</v>
      </c>
      <c r="C7" t="n">
        <v>0</v>
      </c>
      <c r="D7" t="inlineStr">
        <is>
          <t>Positive</t>
        </is>
      </c>
    </row>
    <row r="8">
      <c r="A8" t="inlineStr">
        <is>
          <t>Big Hack</t>
        </is>
      </c>
      <c r="B8" t="n">
        <v>1</v>
      </c>
      <c r="C8" t="n">
        <v>0</v>
      </c>
      <c r="D8" t="inlineStr">
        <is>
          <t>Positive</t>
        </is>
      </c>
    </row>
    <row r="9">
      <c r="A9" t="inlineStr">
        <is>
          <t>Bunter</t>
        </is>
      </c>
      <c r="B9" t="n">
        <v>1</v>
      </c>
      <c r="C9" t="n">
        <v>0</v>
      </c>
      <c r="D9" t="inlineStr">
        <is>
          <t>Positive</t>
        </is>
      </c>
    </row>
    <row r="10">
      <c r="A10" t="inlineStr">
        <is>
          <t>Butter Fingers</t>
        </is>
      </c>
      <c r="B10" t="n">
        <v>0</v>
      </c>
      <c r="C10" t="n">
        <v>1</v>
      </c>
      <c r="D10" t="inlineStr">
        <is>
          <t>Negative</t>
        </is>
      </c>
    </row>
    <row r="11">
      <c r="A11" t="inlineStr">
        <is>
          <t>CON vs LHP</t>
        </is>
      </c>
      <c r="B11" t="n">
        <v>1</v>
      </c>
      <c r="C11" t="n">
        <v>0</v>
      </c>
      <c r="D11" t="inlineStr">
        <is>
          <t>Positive</t>
        </is>
      </c>
    </row>
    <row r="12">
      <c r="A12" t="inlineStr">
        <is>
          <t>CON vs RHP</t>
        </is>
      </c>
      <c r="B12" t="n">
        <v>1</v>
      </c>
      <c r="C12" t="n">
        <v>0</v>
      </c>
      <c r="D12" t="inlineStr">
        <is>
          <t>Positive</t>
        </is>
      </c>
    </row>
    <row r="13">
      <c r="A13" t="inlineStr">
        <is>
          <t>Cannon Arm</t>
        </is>
      </c>
      <c r="B13" t="n">
        <v>1</v>
      </c>
      <c r="C13" t="n">
        <v>0</v>
      </c>
      <c r="D13" t="inlineStr">
        <is>
          <t>Positive</t>
        </is>
      </c>
    </row>
    <row r="14">
      <c r="A14" t="inlineStr">
        <is>
          <t>Choker</t>
        </is>
      </c>
      <c r="B14" t="n">
        <v>0</v>
      </c>
      <c r="C14" t="n">
        <v>1</v>
      </c>
      <c r="D14" t="inlineStr">
        <is>
          <t>Negative</t>
        </is>
      </c>
    </row>
    <row r="15">
      <c r="A15" t="inlineStr">
        <is>
          <t>Clutch</t>
        </is>
      </c>
      <c r="B15" t="n">
        <v>1</v>
      </c>
      <c r="C15" t="n">
        <v>0</v>
      </c>
      <c r="D15" t="inlineStr">
        <is>
          <t>Positive</t>
        </is>
      </c>
    </row>
    <row r="16">
      <c r="A16" t="inlineStr">
        <is>
          <t>Composed</t>
        </is>
      </c>
      <c r="B16" t="n">
        <v>1</v>
      </c>
      <c r="C16" t="n">
        <v>0</v>
      </c>
      <c r="D16" t="inlineStr">
        <is>
          <t>Positive</t>
        </is>
      </c>
    </row>
    <row r="17">
      <c r="A17" t="inlineStr">
        <is>
          <t>Consistent</t>
        </is>
      </c>
      <c r="B17" t="n">
        <v>1</v>
      </c>
      <c r="C17" t="n">
        <v>0</v>
      </c>
      <c r="D17" t="inlineStr">
        <is>
          <t>Positive</t>
        </is>
      </c>
    </row>
    <row r="18">
      <c r="A18" t="inlineStr">
        <is>
          <t>Crossed Up</t>
        </is>
      </c>
      <c r="B18" t="n">
        <v>0</v>
      </c>
      <c r="C18" t="n">
        <v>1</v>
      </c>
      <c r="D18" t="inlineStr">
        <is>
          <t>Negative</t>
        </is>
      </c>
    </row>
    <row r="19">
      <c r="A19" t="inlineStr">
        <is>
          <t>Distractor</t>
        </is>
      </c>
      <c r="B19" t="n">
        <v>1</v>
      </c>
      <c r="C19" t="n">
        <v>0</v>
      </c>
      <c r="D19" t="inlineStr">
        <is>
          <t>Positive</t>
        </is>
      </c>
    </row>
    <row r="20">
      <c r="A20" t="inlineStr">
        <is>
          <t>Dive Wizard</t>
        </is>
      </c>
      <c r="B20" t="n">
        <v>1</v>
      </c>
      <c r="C20" t="n">
        <v>0</v>
      </c>
      <c r="D20" t="inlineStr">
        <is>
          <t>Positive</t>
        </is>
      </c>
    </row>
    <row r="21">
      <c r="A21" t="inlineStr">
        <is>
          <t>Durable</t>
        </is>
      </c>
      <c r="B21" t="n">
        <v>1</v>
      </c>
      <c r="C21" t="n">
        <v>0</v>
      </c>
      <c r="D21" t="inlineStr">
        <is>
          <t>Positive</t>
        </is>
      </c>
    </row>
    <row r="22">
      <c r="A22" t="inlineStr">
        <is>
          <t>Easy Jumps</t>
        </is>
      </c>
      <c r="B22" t="n">
        <v>0</v>
      </c>
      <c r="C22" t="n">
        <v>1</v>
      </c>
      <c r="D22" t="inlineStr">
        <is>
          <t>Negative</t>
        </is>
      </c>
    </row>
    <row r="23">
      <c r="A23" t="inlineStr">
        <is>
          <t>Easy Target</t>
        </is>
      </c>
      <c r="B23" t="n">
        <v>0</v>
      </c>
      <c r="C23" t="n">
        <v>1</v>
      </c>
      <c r="D23" t="inlineStr">
        <is>
          <t>Negative</t>
        </is>
      </c>
    </row>
    <row r="24">
      <c r="A24" t="inlineStr">
        <is>
          <t>Elite 2F</t>
        </is>
      </c>
      <c r="B24" t="n">
        <v>1</v>
      </c>
      <c r="C24" t="n">
        <v>0</v>
      </c>
      <c r="D24" t="inlineStr">
        <is>
          <t>Positive</t>
        </is>
      </c>
    </row>
    <row r="25">
      <c r="A25" t="inlineStr">
        <is>
          <t>Elite 4F</t>
        </is>
      </c>
      <c r="B25" t="n">
        <v>1</v>
      </c>
      <c r="C25" t="n">
        <v>0</v>
      </c>
      <c r="D25" t="inlineStr">
        <is>
          <t>Positive</t>
        </is>
      </c>
    </row>
    <row r="26">
      <c r="A26" t="inlineStr">
        <is>
          <t>Elite CB</t>
        </is>
      </c>
      <c r="B26" t="n">
        <v>1</v>
      </c>
      <c r="C26" t="n">
        <v>0</v>
      </c>
      <c r="D26" t="inlineStr">
        <is>
          <t>Positive</t>
        </is>
      </c>
    </row>
    <row r="27">
      <c r="A27" t="inlineStr">
        <is>
          <t>Elite CF</t>
        </is>
      </c>
      <c r="B27" t="n">
        <v>1</v>
      </c>
      <c r="C27" t="n">
        <v>0</v>
      </c>
      <c r="D27" t="inlineStr">
        <is>
          <t>Positive</t>
        </is>
      </c>
    </row>
    <row r="28">
      <c r="A28" t="inlineStr">
        <is>
          <t>Elite CH</t>
        </is>
      </c>
      <c r="B28" t="n">
        <v>1</v>
      </c>
      <c r="C28" t="n">
        <v>0</v>
      </c>
      <c r="D28" t="inlineStr">
        <is>
          <t>Positive</t>
        </is>
      </c>
    </row>
    <row r="29">
      <c r="A29" t="inlineStr">
        <is>
          <t>Elite FK</t>
        </is>
      </c>
      <c r="B29" t="n">
        <v>1</v>
      </c>
      <c r="C29" t="n">
        <v>0</v>
      </c>
      <c r="D29" t="inlineStr">
        <is>
          <t>Positive</t>
        </is>
      </c>
    </row>
    <row r="30">
      <c r="A30" t="inlineStr">
        <is>
          <t>Elite SB</t>
        </is>
      </c>
      <c r="B30" t="n">
        <v>1</v>
      </c>
      <c r="C30" t="n">
        <v>0</v>
      </c>
      <c r="D30" t="inlineStr">
        <is>
          <t>Positive</t>
        </is>
      </c>
    </row>
    <row r="31">
      <c r="A31" t="inlineStr">
        <is>
          <t>Elite SL</t>
        </is>
      </c>
      <c r="B31" t="n">
        <v>1</v>
      </c>
      <c r="C31" t="n">
        <v>0</v>
      </c>
      <c r="D31" t="inlineStr">
        <is>
          <t>Positive</t>
        </is>
      </c>
    </row>
    <row r="32">
      <c r="A32" t="inlineStr">
        <is>
          <t>Falls Behind</t>
        </is>
      </c>
      <c r="B32" t="n">
        <v>0</v>
      </c>
      <c r="C32" t="n">
        <v>1</v>
      </c>
      <c r="D32" t="inlineStr">
        <is>
          <t>Negative</t>
        </is>
      </c>
    </row>
    <row r="33">
      <c r="A33" t="inlineStr">
        <is>
          <t>Fastball Hitter</t>
        </is>
      </c>
      <c r="B33" t="n">
        <v>1</v>
      </c>
      <c r="C33" t="n">
        <v>0</v>
      </c>
      <c r="D33" t="inlineStr">
        <is>
          <t>Positive</t>
        </is>
      </c>
    </row>
    <row r="34">
      <c r="A34" t="inlineStr">
        <is>
          <t>First Pitch Prayer</t>
        </is>
      </c>
      <c r="B34" t="n">
        <v>0</v>
      </c>
      <c r="C34" t="n">
        <v>1</v>
      </c>
      <c r="D34" t="inlineStr">
        <is>
          <t>Negative</t>
        </is>
      </c>
    </row>
    <row r="35">
      <c r="A35" t="inlineStr">
        <is>
          <t>First Pitch Slayer</t>
        </is>
      </c>
      <c r="B35" t="n">
        <v>1</v>
      </c>
      <c r="C35" t="n">
        <v>0</v>
      </c>
      <c r="D35" t="inlineStr">
        <is>
          <t>Positive</t>
        </is>
      </c>
    </row>
    <row r="36">
      <c r="A36" t="inlineStr">
        <is>
          <t>Gets Ahead</t>
        </is>
      </c>
      <c r="B36" t="n">
        <v>1</v>
      </c>
      <c r="C36" t="n">
        <v>0</v>
      </c>
      <c r="D36" t="inlineStr">
        <is>
          <t>Positive</t>
        </is>
      </c>
    </row>
    <row r="37">
      <c r="A37" t="inlineStr">
        <is>
          <t>High Pitch</t>
        </is>
      </c>
      <c r="B37" t="n">
        <v>1</v>
      </c>
      <c r="C37" t="n">
        <v>0</v>
      </c>
      <c r="D37" t="inlineStr">
        <is>
          <t>Positive</t>
        </is>
      </c>
    </row>
    <row r="38">
      <c r="A38" t="inlineStr">
        <is>
          <t>Injury Prone</t>
        </is>
      </c>
      <c r="B38" t="n">
        <v>0</v>
      </c>
      <c r="C38" t="n">
        <v>1</v>
      </c>
      <c r="D38" t="inlineStr">
        <is>
          <t>Negative</t>
        </is>
      </c>
    </row>
    <row r="39">
      <c r="A39" t="inlineStr">
        <is>
          <t>Inside Pitch</t>
        </is>
      </c>
      <c r="B39" t="n">
        <v>1</v>
      </c>
      <c r="C39" t="n">
        <v>0</v>
      </c>
      <c r="D39" t="inlineStr">
        <is>
          <t>Positive</t>
        </is>
      </c>
    </row>
    <row r="40">
      <c r="A40" t="inlineStr">
        <is>
          <t>K Collector</t>
        </is>
      </c>
      <c r="B40" t="n">
        <v>1</v>
      </c>
      <c r="C40" t="n">
        <v>0</v>
      </c>
      <c r="D40" t="inlineStr">
        <is>
          <t>Positive</t>
        </is>
      </c>
    </row>
    <row r="41">
      <c r="A41" t="inlineStr">
        <is>
          <t>K Neglecter</t>
        </is>
      </c>
      <c r="B41" t="n">
        <v>0</v>
      </c>
      <c r="C41" t="n">
        <v>1</v>
      </c>
      <c r="D41" t="inlineStr">
        <is>
          <t>Negative</t>
        </is>
      </c>
    </row>
    <row r="42">
      <c r="A42" t="inlineStr">
        <is>
          <t>K Neglector</t>
        </is>
      </c>
      <c r="B42" t="n">
        <v>0</v>
      </c>
      <c r="C42" t="n">
        <v>1</v>
      </c>
      <c r="D42" t="inlineStr">
        <is>
          <t>Negative</t>
        </is>
      </c>
    </row>
    <row r="43">
      <c r="A43" t="inlineStr">
        <is>
          <t>Little Hack</t>
        </is>
      </c>
      <c r="B43" t="n">
        <v>1</v>
      </c>
      <c r="C43" t="n">
        <v>0</v>
      </c>
      <c r="D43" t="inlineStr">
        <is>
          <t>Positive</t>
        </is>
      </c>
    </row>
    <row r="44">
      <c r="A44" t="inlineStr">
        <is>
          <t>Low Pitch</t>
        </is>
      </c>
      <c r="B44" t="n">
        <v>1</v>
      </c>
      <c r="C44" t="n">
        <v>0</v>
      </c>
      <c r="D44" t="inlineStr">
        <is>
          <t>Positive</t>
        </is>
      </c>
    </row>
    <row r="45">
      <c r="A45" t="inlineStr">
        <is>
          <t>Magic Hands</t>
        </is>
      </c>
      <c r="B45" t="n">
        <v>1</v>
      </c>
      <c r="C45" t="n">
        <v>0</v>
      </c>
      <c r="D45" t="inlineStr">
        <is>
          <t>Positive</t>
        </is>
      </c>
    </row>
    <row r="46">
      <c r="A46" t="inlineStr">
        <is>
          <t>Meltdown</t>
        </is>
      </c>
      <c r="B46" t="n">
        <v>0</v>
      </c>
      <c r="C46" t="n">
        <v>1</v>
      </c>
      <c r="D46" t="inlineStr">
        <is>
          <t>Negative</t>
        </is>
      </c>
    </row>
    <row r="47">
      <c r="A47" t="inlineStr">
        <is>
          <t>Metal Head</t>
        </is>
      </c>
      <c r="B47" t="n">
        <v>1</v>
      </c>
      <c r="C47" t="n">
        <v>0</v>
      </c>
      <c r="D47" t="inlineStr">
        <is>
          <t>Positive</t>
        </is>
      </c>
    </row>
    <row r="48">
      <c r="A48" t="inlineStr">
        <is>
          <t>Mind Gamer</t>
        </is>
      </c>
      <c r="B48" t="n">
        <v>1</v>
      </c>
      <c r="C48" t="n">
        <v>0</v>
      </c>
      <c r="D48" t="inlineStr">
        <is>
          <t>Positive</t>
        </is>
      </c>
    </row>
    <row r="49">
      <c r="A49" t="inlineStr">
        <is>
          <t>Noodle Arm</t>
        </is>
      </c>
      <c r="B49" t="n">
        <v>0</v>
      </c>
      <c r="C49" t="n">
        <v>1</v>
      </c>
      <c r="D49" t="inlineStr">
        <is>
          <t>Negative</t>
        </is>
      </c>
    </row>
    <row r="50">
      <c r="A50" t="inlineStr">
        <is>
          <t>Off-Speed Hitter</t>
        </is>
      </c>
      <c r="B50" t="n">
        <v>1</v>
      </c>
      <c r="C50" t="n">
        <v>0</v>
      </c>
      <c r="D50" t="inlineStr">
        <is>
          <t>Positive</t>
        </is>
      </c>
    </row>
    <row r="51">
      <c r="A51" t="inlineStr">
        <is>
          <t>Outside Pitch</t>
        </is>
      </c>
      <c r="B51" t="n">
        <v>1</v>
      </c>
      <c r="C51" t="n">
        <v>0</v>
      </c>
      <c r="D51" t="inlineStr">
        <is>
          <t>Positive</t>
        </is>
      </c>
    </row>
    <row r="52">
      <c r="A52" t="inlineStr">
        <is>
          <t>POW vs LHP</t>
        </is>
      </c>
      <c r="B52" t="n">
        <v>1</v>
      </c>
      <c r="C52" t="n">
        <v>0</v>
      </c>
      <c r="D52" t="inlineStr">
        <is>
          <t>Positive</t>
        </is>
      </c>
    </row>
    <row r="53">
      <c r="A53" t="inlineStr">
        <is>
          <t>POW vs RHP</t>
        </is>
      </c>
      <c r="B53" t="n">
        <v>1</v>
      </c>
      <c r="C53" t="n">
        <v>0</v>
      </c>
      <c r="D53" t="inlineStr">
        <is>
          <t>Positive</t>
        </is>
      </c>
    </row>
    <row r="54">
      <c r="A54" t="inlineStr">
        <is>
          <t>Pick Officer</t>
        </is>
      </c>
      <c r="B54" t="n">
        <v>1</v>
      </c>
      <c r="C54" t="n">
        <v>0</v>
      </c>
      <c r="D54" t="inlineStr">
        <is>
          <t>Positive</t>
        </is>
      </c>
    </row>
    <row r="55">
      <c r="A55" t="inlineStr">
        <is>
          <t>Pinch Perfect</t>
        </is>
      </c>
      <c r="B55" t="n">
        <v>1</v>
      </c>
      <c r="C55" t="n">
        <v>0</v>
      </c>
      <c r="D55" t="inlineStr">
        <is>
          <t>Positive</t>
        </is>
      </c>
    </row>
    <row r="56">
      <c r="A56" t="inlineStr">
        <is>
          <t>RBI Hero</t>
        </is>
      </c>
      <c r="B56" t="n">
        <v>1</v>
      </c>
      <c r="C56" t="n">
        <v>0</v>
      </c>
      <c r="D56" t="inlineStr">
        <is>
          <t>Positive</t>
        </is>
      </c>
    </row>
    <row r="57">
      <c r="A57" t="inlineStr">
        <is>
          <t>RBI Zero</t>
        </is>
      </c>
      <c r="B57" t="n">
        <v>0</v>
      </c>
      <c r="C57" t="n">
        <v>1</v>
      </c>
      <c r="D57" t="inlineStr">
        <is>
          <t>Negative</t>
        </is>
      </c>
    </row>
    <row r="58">
      <c r="A58" t="inlineStr">
        <is>
          <t>Rally Starter</t>
        </is>
      </c>
      <c r="B58" t="n">
        <v>1</v>
      </c>
      <c r="C58" t="n">
        <v>0</v>
      </c>
      <c r="D58" t="inlineStr">
        <is>
          <t>Positive</t>
        </is>
      </c>
    </row>
    <row r="59">
      <c r="A59" t="inlineStr">
        <is>
          <t>Rally Stopper</t>
        </is>
      </c>
      <c r="B59" t="n">
        <v>1</v>
      </c>
      <c r="C59" t="n">
        <v>0</v>
      </c>
      <c r="D59" t="inlineStr">
        <is>
          <t>Positive</t>
        </is>
      </c>
    </row>
    <row r="60">
      <c r="A60" t="inlineStr">
        <is>
          <t>Reverse Splits</t>
        </is>
      </c>
      <c r="B60" t="n">
        <v>1</v>
      </c>
      <c r="C60" t="n">
        <v>0</v>
      </c>
      <c r="D60" t="inlineStr">
        <is>
          <t>Positive</t>
        </is>
      </c>
    </row>
    <row r="61">
      <c r="A61" t="inlineStr">
        <is>
          <t>Sign Stealer</t>
        </is>
      </c>
      <c r="B61" t="n">
        <v>1</v>
      </c>
      <c r="C61" t="n">
        <v>0</v>
      </c>
      <c r="D61" t="inlineStr">
        <is>
          <t>Positive</t>
        </is>
      </c>
    </row>
    <row r="62">
      <c r="A62" t="inlineStr">
        <is>
          <t>Slow Poke</t>
        </is>
      </c>
      <c r="B62" t="n">
        <v>0</v>
      </c>
      <c r="C62" t="n">
        <v>1</v>
      </c>
      <c r="D62" t="inlineStr">
        <is>
          <t>Negative</t>
        </is>
      </c>
    </row>
    <row r="63">
      <c r="A63" t="inlineStr">
        <is>
          <t>Specialist</t>
        </is>
      </c>
      <c r="B63" t="n">
        <v>1</v>
      </c>
      <c r="C63" t="n">
        <v>0</v>
      </c>
      <c r="D63" t="inlineStr">
        <is>
          <t>Positive</t>
        </is>
      </c>
    </row>
    <row r="64">
      <c r="A64" t="inlineStr">
        <is>
          <t>Sprinter</t>
        </is>
      </c>
      <c r="B64" t="n">
        <v>1</v>
      </c>
      <c r="C64" t="n">
        <v>0</v>
      </c>
      <c r="D64" t="inlineStr">
        <is>
          <t>Positive</t>
        </is>
      </c>
    </row>
    <row r="65">
      <c r="A65" t="inlineStr">
        <is>
          <t>Stealer</t>
        </is>
      </c>
      <c r="B65" t="n">
        <v>1</v>
      </c>
      <c r="C65" t="n">
        <v>0</v>
      </c>
      <c r="D65" t="inlineStr">
        <is>
          <t>Positive</t>
        </is>
      </c>
    </row>
    <row r="66">
      <c r="A66" t="inlineStr">
        <is>
          <t>Stimulated</t>
        </is>
      </c>
      <c r="B66" t="n">
        <v>1</v>
      </c>
      <c r="C66" t="n">
        <v>0</v>
      </c>
      <c r="D66" t="inlineStr">
        <is>
          <t>Positive</t>
        </is>
      </c>
    </row>
    <row r="67">
      <c r="A67" t="inlineStr">
        <is>
          <t>Surrounded</t>
        </is>
      </c>
      <c r="B67" t="n">
        <v>0</v>
      </c>
      <c r="C67" t="n">
        <v>1</v>
      </c>
      <c r="D67" t="inlineStr">
        <is>
          <t>Negative</t>
        </is>
      </c>
    </row>
    <row r="68">
      <c r="A68" t="inlineStr">
        <is>
          <t>Tough Out</t>
        </is>
      </c>
      <c r="B68" t="n">
        <v>1</v>
      </c>
      <c r="C68" t="n">
        <v>0</v>
      </c>
      <c r="D68" t="inlineStr">
        <is>
          <t>Positive</t>
        </is>
      </c>
    </row>
    <row r="69">
      <c r="A69" t="inlineStr">
        <is>
          <t>Two Way</t>
        </is>
      </c>
      <c r="B69" t="n">
        <v>1</v>
      </c>
      <c r="C69" t="n">
        <v>0</v>
      </c>
      <c r="D69" t="inlineStr">
        <is>
          <t>Positive</t>
        </is>
      </c>
    </row>
    <row r="70">
      <c r="A70" t="inlineStr">
        <is>
          <t>Utility</t>
        </is>
      </c>
      <c r="B70" t="n">
        <v>1</v>
      </c>
      <c r="C70" t="n">
        <v>0</v>
      </c>
      <c r="D70" t="inlineStr">
        <is>
          <t>Positive</t>
        </is>
      </c>
    </row>
    <row r="71">
      <c r="A71" t="inlineStr">
        <is>
          <t>Volatile</t>
        </is>
      </c>
      <c r="B71" t="n">
        <v>0</v>
      </c>
      <c r="C71" t="n">
        <v>1</v>
      </c>
      <c r="D71" t="inlineStr">
        <is>
          <t>Negative</t>
        </is>
      </c>
    </row>
    <row r="72">
      <c r="A72" t="inlineStr">
        <is>
          <t>Whiffer</t>
        </is>
      </c>
      <c r="B72" t="n">
        <v>0</v>
      </c>
      <c r="C72" t="n">
        <v>1</v>
      </c>
      <c r="D72" t="inlineStr">
        <is>
          <t>Negative</t>
        </is>
      </c>
    </row>
    <row r="73">
      <c r="A73" t="inlineStr">
        <is>
          <t>Wild Thing</t>
        </is>
      </c>
      <c r="B73" t="n">
        <v>0</v>
      </c>
      <c r="C73" t="n">
        <v>1</v>
      </c>
      <c r="D73" t="inlineStr">
        <is>
          <t>Negative</t>
        </is>
      </c>
    </row>
    <row r="74">
      <c r="A74" t="inlineStr">
        <is>
          <t>Wild Thrower</t>
        </is>
      </c>
      <c r="B74" t="n">
        <v>0</v>
      </c>
      <c r="C74" t="n">
        <v>1</v>
      </c>
      <c r="D74" t="inlineStr">
        <is>
          <t>Negative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2" t="inlineStr">
        <is>
          <t>SecondaryPos</t>
        </is>
      </c>
      <c r="B1" s="2" t="inlineStr">
        <is>
          <t>Versatility</t>
        </is>
      </c>
    </row>
    <row r="2">
      <c r="A2" t="inlineStr">
        <is>
          <t>(none)</t>
        </is>
      </c>
      <c r="B2" t="n">
        <v>0</v>
      </c>
    </row>
    <row r="3">
      <c r="A3" t="inlineStr">
        <is>
          <t>1B</t>
        </is>
      </c>
      <c r="B3" t="n">
        <v>1</v>
      </c>
    </row>
    <row r="4">
      <c r="A4" t="inlineStr">
        <is>
          <t>1B/OF</t>
        </is>
      </c>
      <c r="B4" t="n">
        <v>4</v>
      </c>
    </row>
    <row r="5">
      <c r="A5" t="inlineStr">
        <is>
          <t>2B</t>
        </is>
      </c>
      <c r="B5" t="n">
        <v>1</v>
      </c>
    </row>
    <row r="6">
      <c r="A6" t="inlineStr">
        <is>
          <t>3B</t>
        </is>
      </c>
      <c r="B6" t="n">
        <v>1</v>
      </c>
    </row>
    <row r="7">
      <c r="A7" t="inlineStr">
        <is>
          <t>C</t>
        </is>
      </c>
      <c r="B7" t="n">
        <v>1</v>
      </c>
    </row>
    <row r="8">
      <c r="A8" t="inlineStr">
        <is>
          <t>IF</t>
        </is>
      </c>
      <c r="B8" t="n">
        <v>4</v>
      </c>
    </row>
    <row r="9">
      <c r="A9" t="inlineStr">
        <is>
          <t>IF/OF</t>
        </is>
      </c>
      <c r="B9" t="n">
        <v>7</v>
      </c>
    </row>
    <row r="10">
      <c r="A10" t="inlineStr">
        <is>
          <t>LF</t>
        </is>
      </c>
      <c r="B10" t="n">
        <v>1</v>
      </c>
    </row>
    <row r="11">
      <c r="A11" t="inlineStr">
        <is>
          <t>OF</t>
        </is>
      </c>
      <c r="B11" t="n">
        <v>3</v>
      </c>
    </row>
    <row r="12">
      <c r="A12" t="inlineStr">
        <is>
          <t>RF</t>
        </is>
      </c>
      <c r="B12" t="n">
        <v>1</v>
      </c>
    </row>
    <row r="13">
      <c r="A13" t="inlineStr">
        <is>
          <t>SS</t>
        </is>
      </c>
      <c r="B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2" t="inlineStr">
        <is>
          <t>PrimaryPos</t>
        </is>
      </c>
      <c r="B1" s="2" t="inlineStr">
        <is>
          <t>Coef</t>
        </is>
      </c>
    </row>
    <row r="2">
      <c r="A2" t="inlineStr">
        <is>
          <t>1B</t>
        </is>
      </c>
      <c r="B2" t="n">
        <v>0</v>
      </c>
    </row>
    <row r="3">
      <c r="A3" t="inlineStr">
        <is>
          <t>2B</t>
        </is>
      </c>
      <c r="B3" t="n">
        <v>0.8313525554</v>
      </c>
    </row>
    <row r="4">
      <c r="A4" t="inlineStr">
        <is>
          <t>3B</t>
        </is>
      </c>
      <c r="B4" t="n">
        <v>-1.2668027922</v>
      </c>
    </row>
    <row r="5">
      <c r="A5" t="inlineStr">
        <is>
          <t>C</t>
        </is>
      </c>
      <c r="B5" t="n">
        <v>2.2997744611</v>
      </c>
    </row>
    <row r="6">
      <c r="A6" t="inlineStr">
        <is>
          <t>CF</t>
        </is>
      </c>
      <c r="B6" t="n">
        <v>0.6637032249</v>
      </c>
    </row>
    <row r="7">
      <c r="A7" t="inlineStr">
        <is>
          <t>LF</t>
        </is>
      </c>
      <c r="B7" t="n">
        <v>-0.5614229268000001</v>
      </c>
    </row>
    <row r="8">
      <c r="A8" t="inlineStr">
        <is>
          <t>RF</t>
        </is>
      </c>
      <c r="B8" t="n">
        <v>-0.1963177907</v>
      </c>
    </row>
    <row r="9">
      <c r="A9" t="inlineStr">
        <is>
          <t>SS</t>
        </is>
      </c>
      <c r="B9" t="n">
        <v>0.1115302985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2" t="inlineStr">
        <is>
          <t>SecondaryPos</t>
        </is>
      </c>
      <c r="B1" s="2" t="inlineStr">
        <is>
          <t>Coef</t>
        </is>
      </c>
    </row>
    <row r="2">
      <c r="A2" t="inlineStr">
        <is>
          <t>(none)</t>
        </is>
      </c>
      <c r="B2" t="n">
        <v>0</v>
      </c>
    </row>
    <row r="3">
      <c r="A3" t="inlineStr">
        <is>
          <t>1B</t>
        </is>
      </c>
      <c r="B3" t="n">
        <v>-0.07439250980000001</v>
      </c>
    </row>
    <row r="4">
      <c r="A4" t="inlineStr">
        <is>
          <t>1B/OF</t>
        </is>
      </c>
      <c r="B4" t="n">
        <v>-0.9164565494</v>
      </c>
    </row>
    <row r="5">
      <c r="A5" t="inlineStr">
        <is>
          <t>2B</t>
        </is>
      </c>
      <c r="B5" t="n">
        <v>0.8398362230999999</v>
      </c>
    </row>
    <row r="6">
      <c r="A6" t="inlineStr">
        <is>
          <t>3B</t>
        </is>
      </c>
      <c r="B6" t="n">
        <v>0.3035512464</v>
      </c>
    </row>
    <row r="7">
      <c r="A7" t="inlineStr">
        <is>
          <t>C</t>
        </is>
      </c>
      <c r="B7" t="n">
        <v>-0.8721695187</v>
      </c>
    </row>
    <row r="8">
      <c r="A8" t="inlineStr">
        <is>
          <t>IF</t>
        </is>
      </c>
      <c r="B8" t="n">
        <v>0.5288517627</v>
      </c>
    </row>
    <row r="9">
      <c r="A9" t="inlineStr">
        <is>
          <t>IF/OF</t>
        </is>
      </c>
      <c r="B9" t="n">
        <v>0</v>
      </c>
    </row>
    <row r="10">
      <c r="A10" t="inlineStr">
        <is>
          <t>LF</t>
        </is>
      </c>
      <c r="B10" t="n">
        <v>0.06949357959999999</v>
      </c>
    </row>
    <row r="11">
      <c r="A11" t="inlineStr">
        <is>
          <t>OF</t>
        </is>
      </c>
      <c r="B11" t="n">
        <v>0.1776157661</v>
      </c>
    </row>
    <row r="12">
      <c r="A12" t="inlineStr">
        <is>
          <t>RF</t>
        </is>
      </c>
      <c r="B12" t="n">
        <v>-0.4608455812</v>
      </c>
    </row>
    <row r="13">
      <c r="A13" t="inlineStr">
        <is>
          <t>SS</t>
        </is>
      </c>
      <c r="B13" t="n">
        <v>0.7115980783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2" t="inlineStr">
        <is>
          <t>PrimaryPos</t>
        </is>
      </c>
      <c r="B1" s="2" t="inlineStr">
        <is>
          <t>Coef</t>
        </is>
      </c>
    </row>
    <row r="2">
      <c r="A2" t="inlineStr">
        <is>
          <t>CP</t>
        </is>
      </c>
      <c r="B2" t="n">
        <v>0</v>
      </c>
    </row>
    <row r="3">
      <c r="A3" t="inlineStr">
        <is>
          <t>RP</t>
        </is>
      </c>
      <c r="B3" t="n">
        <v>0.0143423869</v>
      </c>
    </row>
    <row r="4">
      <c r="A4" t="inlineStr">
        <is>
          <t>SP</t>
        </is>
      </c>
      <c r="B4" t="n">
        <v>0.236161321</v>
      </c>
    </row>
    <row r="5">
      <c r="A5" t="inlineStr">
        <is>
          <t>SP/RP</t>
        </is>
      </c>
      <c r="B5" t="n">
        <v>-1.0149995619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2" t="inlineStr">
        <is>
          <t>Trait</t>
        </is>
      </c>
      <c r="B1" s="2" t="inlineStr">
        <is>
          <t>Coef</t>
        </is>
      </c>
    </row>
    <row r="2">
      <c r="A2" t="inlineStr">
        <is>
          <t>Bad Ball Hitter</t>
        </is>
      </c>
      <c r="B2" t="n">
        <v>-0.4592940132</v>
      </c>
    </row>
    <row r="3">
      <c r="A3" t="inlineStr">
        <is>
          <t>Big Hack</t>
        </is>
      </c>
      <c r="B3" t="n">
        <v>-0.2192440495</v>
      </c>
    </row>
    <row r="4">
      <c r="A4" t="inlineStr">
        <is>
          <t>Cannon Arm</t>
        </is>
      </c>
      <c r="B4" t="n">
        <v>-0.5417638949</v>
      </c>
    </row>
    <row r="5">
      <c r="A5" t="inlineStr">
        <is>
          <t>Fastball Hitter</t>
        </is>
      </c>
      <c r="B5" t="n">
        <v>2.4542565444</v>
      </c>
    </row>
    <row r="6">
      <c r="A6" t="inlineStr">
        <is>
          <t>First Pitch Slayer</t>
        </is>
      </c>
      <c r="B6" t="n">
        <v>0.6985887989</v>
      </c>
    </row>
    <row r="7">
      <c r="A7" t="inlineStr">
        <is>
          <t>Little Hack</t>
        </is>
      </c>
      <c r="B7" t="n">
        <v>-1.270830964</v>
      </c>
    </row>
    <row r="8">
      <c r="A8" t="inlineStr">
        <is>
          <t>Magic Hands</t>
        </is>
      </c>
      <c r="B8" t="n">
        <v>-0.8310486121</v>
      </c>
    </row>
    <row r="9">
      <c r="A9" t="inlineStr">
        <is>
          <t>Mind Gamer</t>
        </is>
      </c>
      <c r="B9" t="n">
        <v>1.501427613</v>
      </c>
    </row>
    <row r="10">
      <c r="A10" t="inlineStr">
        <is>
          <t>Rally Starter</t>
        </is>
      </c>
      <c r="B10" t="n">
        <v>-0.199873804</v>
      </c>
    </row>
    <row r="11">
      <c r="A11" t="inlineStr">
        <is>
          <t>Sprinter</t>
        </is>
      </c>
      <c r="B11" t="n">
        <v>-0.2816825373</v>
      </c>
    </row>
    <row r="12">
      <c r="A12" t="inlineStr">
        <is>
          <t>Utility</t>
        </is>
      </c>
      <c r="B12" t="n">
        <v>-0.3052216719</v>
      </c>
    </row>
    <row r="13">
      <c r="A13" t="inlineStr">
        <is>
          <t>Whiffer</t>
        </is>
      </c>
      <c r="B13" t="n">
        <v>-0.7381706008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2" t="inlineStr">
        <is>
          <t>Trait</t>
        </is>
      </c>
      <c r="B1" s="2" t="inlineStr">
        <is>
          <t>Coef</t>
        </is>
      </c>
    </row>
    <row r="2">
      <c r="A2" t="inlineStr">
        <is>
          <t>Crossed Up</t>
        </is>
      </c>
      <c r="B2" t="n">
        <v>1.5628438611</v>
      </c>
    </row>
    <row r="3">
      <c r="A3" t="inlineStr">
        <is>
          <t>Elite 2F</t>
        </is>
      </c>
      <c r="B3" t="n">
        <v>-0.5280484145</v>
      </c>
    </row>
    <row r="4">
      <c r="A4" t="inlineStr">
        <is>
          <t>Elite 4F</t>
        </is>
      </c>
      <c r="B4" t="n">
        <v>0.4167563425</v>
      </c>
    </row>
    <row r="5">
      <c r="A5" t="inlineStr">
        <is>
          <t>Elite CB</t>
        </is>
      </c>
      <c r="B5" t="n">
        <v>-0.2319264114</v>
      </c>
    </row>
    <row r="6">
      <c r="A6" t="inlineStr">
        <is>
          <t>Elite CF</t>
        </is>
      </c>
      <c r="B6" t="n">
        <v>0.7579419877</v>
      </c>
    </row>
    <row r="7">
      <c r="A7" t="inlineStr">
        <is>
          <t>Elite FK</t>
        </is>
      </c>
      <c r="B7" t="n">
        <v>0.4854804797</v>
      </c>
    </row>
    <row r="8">
      <c r="A8" t="inlineStr">
        <is>
          <t>Falls Behind</t>
        </is>
      </c>
      <c r="B8" t="n">
        <v>-0.9976052263</v>
      </c>
    </row>
    <row r="9">
      <c r="A9" t="inlineStr">
        <is>
          <t>Gets Ahead</t>
        </is>
      </c>
      <c r="B9" t="n">
        <v>1.0320910791</v>
      </c>
    </row>
    <row r="10">
      <c r="A10" t="inlineStr">
        <is>
          <t>K Collector</t>
        </is>
      </c>
      <c r="B10" t="n">
        <v>0.908746192</v>
      </c>
    </row>
    <row r="11">
      <c r="A11" t="inlineStr">
        <is>
          <t>Rally Stopper</t>
        </is>
      </c>
      <c r="B11" t="n">
        <v>-1.1328476477</v>
      </c>
    </row>
    <row r="12">
      <c r="A12" t="inlineStr">
        <is>
          <t>Specialist</t>
        </is>
      </c>
      <c r="B12" t="n">
        <v>2.1540724826</v>
      </c>
    </row>
    <row r="13">
      <c r="A13" t="inlineStr">
        <is>
          <t>Volatile</t>
        </is>
      </c>
      <c r="B13" t="n">
        <v>1.6516084637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2" t="inlineStr">
        <is>
          <t>Pitch</t>
        </is>
      </c>
      <c r="B1" s="2" t="inlineStr">
        <is>
          <t>Coef</t>
        </is>
      </c>
    </row>
    <row r="2">
      <c r="A2" t="inlineStr">
        <is>
          <t>2F</t>
        </is>
      </c>
      <c r="B2" t="n">
        <v>0.473192469</v>
      </c>
    </row>
    <row r="3">
      <c r="A3" t="inlineStr">
        <is>
          <t>4F</t>
        </is>
      </c>
      <c r="B3" t="n">
        <v>0.6321855453</v>
      </c>
    </row>
    <row r="4">
      <c r="A4" t="inlineStr">
        <is>
          <t>CB</t>
        </is>
      </c>
      <c r="B4" t="n">
        <v>0.1994458286</v>
      </c>
    </row>
    <row r="5">
      <c r="A5" t="inlineStr">
        <is>
          <t>CF</t>
        </is>
      </c>
      <c r="B5" t="n">
        <v>0.4593316468</v>
      </c>
    </row>
    <row r="6">
      <c r="A6" t="inlineStr">
        <is>
          <t>CH</t>
        </is>
      </c>
      <c r="B6" t="n">
        <v>0.0411500855</v>
      </c>
    </row>
    <row r="7">
      <c r="A7" t="inlineStr">
        <is>
          <t>FK</t>
        </is>
      </c>
      <c r="B7" t="n">
        <v>-0.4882808759</v>
      </c>
    </row>
    <row r="8">
      <c r="A8" t="inlineStr">
        <is>
          <t>SB</t>
        </is>
      </c>
      <c r="B8" t="n">
        <v>0.1040401887</v>
      </c>
    </row>
    <row r="9">
      <c r="A9" t="inlineStr">
        <is>
          <t>SL</t>
        </is>
      </c>
      <c r="B9" t="n">
        <v>-0.4119626453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Archetype</t>
        </is>
      </c>
      <c r="B1" s="2" t="inlineStr">
        <is>
          <t>C</t>
        </is>
      </c>
      <c r="C1" s="2" t="inlineStr">
        <is>
          <t>1B</t>
        </is>
      </c>
      <c r="D1" s="2" t="inlineStr">
        <is>
          <t>2B</t>
        </is>
      </c>
      <c r="E1" s="2" t="inlineStr">
        <is>
          <t>3B</t>
        </is>
      </c>
      <c r="F1" s="2" t="inlineStr">
        <is>
          <t>SS</t>
        </is>
      </c>
      <c r="G1" s="2" t="inlineStr">
        <is>
          <t>LF</t>
        </is>
      </c>
      <c r="H1" s="2" t="inlineStr">
        <is>
          <t>CF</t>
        </is>
      </c>
      <c r="I1" s="2" t="inlineStr">
        <is>
          <t>RF</t>
        </is>
      </c>
      <c r="J1" s="2" t="inlineStr">
        <is>
          <t>SP</t>
        </is>
      </c>
      <c r="K1" s="2" t="inlineStr">
        <is>
          <t>SP/RP</t>
        </is>
      </c>
      <c r="L1" s="2" t="inlineStr">
        <is>
          <t>RP</t>
        </is>
      </c>
      <c r="M1" s="2" t="inlineStr">
        <is>
          <t>CP</t>
        </is>
      </c>
      <c r="N1" s="2" t="inlineStr">
        <is>
          <t>Total</t>
        </is>
      </c>
    </row>
    <row r="2">
      <c r="A2" t="inlineStr">
        <is>
          <t>balanced</t>
        </is>
      </c>
      <c r="B2" t="n">
        <v>2</v>
      </c>
      <c r="C2" t="n">
        <v>2</v>
      </c>
      <c r="D2" t="n">
        <v>2</v>
      </c>
      <c r="E2" t="n">
        <v>1</v>
      </c>
      <c r="F2" t="n">
        <v>1</v>
      </c>
      <c r="G2" t="n">
        <v>2</v>
      </c>
      <c r="H2" t="n">
        <v>1</v>
      </c>
      <c r="I2" t="n">
        <v>2</v>
      </c>
      <c r="J2" t="n">
        <v>4</v>
      </c>
      <c r="K2" t="n">
        <v>1</v>
      </c>
      <c r="L2" t="n">
        <v>3</v>
      </c>
      <c r="M2" t="n">
        <v>1</v>
      </c>
      <c r="N2" t="n">
        <v>22</v>
      </c>
    </row>
    <row r="3">
      <c r="A3" t="inlineStr">
        <is>
          <t>power-heavy</t>
        </is>
      </c>
      <c r="B3" t="n">
        <v>2</v>
      </c>
      <c r="C3" t="n">
        <v>3</v>
      </c>
      <c r="D3" t="n">
        <v>1</v>
      </c>
      <c r="E3" t="n">
        <v>2</v>
      </c>
      <c r="F3" t="n">
        <v>1</v>
      </c>
      <c r="G3" t="n">
        <v>2</v>
      </c>
      <c r="H3" t="n">
        <v>1</v>
      </c>
      <c r="I3" t="n">
        <v>2</v>
      </c>
      <c r="J3" t="n">
        <v>4</v>
      </c>
      <c r="K3" t="n">
        <v>1</v>
      </c>
      <c r="L3" t="n">
        <v>2</v>
      </c>
      <c r="M3" t="n">
        <v>1</v>
      </c>
      <c r="N3" t="n">
        <v>22</v>
      </c>
    </row>
    <row r="4">
      <c r="A4" t="inlineStr">
        <is>
          <t>speed-defense</t>
        </is>
      </c>
      <c r="B4" t="n">
        <v>2</v>
      </c>
      <c r="C4" t="n">
        <v>1</v>
      </c>
      <c r="D4" t="n">
        <v>2</v>
      </c>
      <c r="E4" t="n">
        <v>1</v>
      </c>
      <c r="F4" t="n">
        <v>2</v>
      </c>
      <c r="G4" t="n">
        <v>1</v>
      </c>
      <c r="H4" t="n">
        <v>2</v>
      </c>
      <c r="I4" t="n">
        <v>1</v>
      </c>
      <c r="J4" t="n">
        <v>4</v>
      </c>
      <c r="K4" t="n">
        <v>1</v>
      </c>
      <c r="L4" t="n">
        <v>4</v>
      </c>
      <c r="M4" t="n">
        <v>1</v>
      </c>
      <c r="N4" t="n">
        <v>22</v>
      </c>
    </row>
    <row r="5">
      <c r="A5" t="inlineStr">
        <is>
          <t>bullpen-heavy</t>
        </is>
      </c>
      <c r="B5" t="n">
        <v>2</v>
      </c>
      <c r="C5" t="n">
        <v>1</v>
      </c>
      <c r="D5" t="n">
        <v>2</v>
      </c>
      <c r="E5" t="n">
        <v>1</v>
      </c>
      <c r="F5" t="n">
        <v>2</v>
      </c>
      <c r="G5" t="n">
        <v>1</v>
      </c>
      <c r="H5" t="n">
        <v>1</v>
      </c>
      <c r="I5" t="n">
        <v>1</v>
      </c>
      <c r="J5" t="n">
        <v>3</v>
      </c>
      <c r="K5" t="n">
        <v>2</v>
      </c>
      <c r="L5" t="n">
        <v>5</v>
      </c>
      <c r="M5" t="n">
        <v>1</v>
      </c>
      <c r="N5" t="n">
        <v>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8" customWidth="1" min="4" max="4"/>
    <col width="8" customWidth="1" min="5" max="5"/>
    <col width="18" customWidth="1" min="6" max="6"/>
    <col width="18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10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0" customWidth="1" min="23" max="23"/>
    <col width="10" customWidth="1" min="24" max="24"/>
    <col width="12" customWidth="1" min="25" max="25"/>
    <col width="10" customWidth="1" min="26" max="26"/>
    <col width="12" customWidth="1" min="27" max="27"/>
    <col width="10" customWidth="1" min="28" max="28"/>
    <col width="8" customWidth="1" min="29" max="29"/>
    <col width="10" customWidth="1" min="30" max="30"/>
    <col width="18" customWidth="1" min="31" max="31"/>
    <col width="24" customWidth="1" min="32" max="32"/>
  </cols>
  <sheetData>
    <row r="1">
      <c r="A1" s="2" t="inlineStr">
        <is>
          <t>Name</t>
        </is>
      </c>
      <c r="B1" s="2" t="inlineStr">
        <is>
          <t>PrimaryPos</t>
        </is>
      </c>
      <c r="C1" s="2" t="inlineStr">
        <is>
          <t>SecondaryPos</t>
        </is>
      </c>
      <c r="D1" s="2" t="inlineStr">
        <is>
          <t>Bats</t>
        </is>
      </c>
      <c r="E1" s="2" t="inlineStr">
        <is>
          <t>Throws</t>
        </is>
      </c>
      <c r="F1" s="2" t="inlineStr">
        <is>
          <t>Trait1</t>
        </is>
      </c>
      <c r="G1" s="2" t="inlineStr">
        <is>
          <t>Trait2</t>
        </is>
      </c>
      <c r="H1" s="2" t="inlineStr">
        <is>
          <t>Arsenal</t>
        </is>
      </c>
      <c r="I1" s="2" t="inlineStr">
        <is>
          <t>POW</t>
        </is>
      </c>
      <c r="J1" s="2" t="inlineStr">
        <is>
          <t>CON</t>
        </is>
      </c>
      <c r="K1" s="2" t="inlineStr">
        <is>
          <t>SPD</t>
        </is>
      </c>
      <c r="L1" s="2" t="inlineStr">
        <is>
          <t>FLD</t>
        </is>
      </c>
      <c r="M1" s="2" t="inlineStr">
        <is>
          <t>ARM</t>
        </is>
      </c>
      <c r="N1" s="2" t="inlineStr">
        <is>
          <t>VEL</t>
        </is>
      </c>
      <c r="O1" s="2" t="inlineStr">
        <is>
          <t>JNK</t>
        </is>
      </c>
      <c r="P1" s="2" t="inlineStr">
        <is>
          <t>ACC</t>
        </is>
      </c>
      <c r="Q1" s="2" t="inlineStr">
        <is>
          <t>PlayerType</t>
        </is>
      </c>
      <c r="R1" s="2" t="inlineStr">
        <is>
          <t>PosTraits</t>
        </is>
      </c>
      <c r="S1" s="2" t="inlineStr">
        <is>
          <t>NegTraits</t>
        </is>
      </c>
      <c r="T1" s="2" t="inlineStr">
        <is>
          <t>Versatility</t>
        </is>
      </c>
      <c r="U1" s="2" t="inlineStr">
        <is>
          <t>ArsenalCount</t>
        </is>
      </c>
      <c r="V1" s="2" t="inlineStr">
        <is>
          <t>BaseWeighted</t>
        </is>
      </c>
      <c r="W1" s="2" t="inlineStr">
        <is>
          <t>TraitCoef</t>
        </is>
      </c>
      <c r="X1" s="2" t="inlineStr">
        <is>
          <t>PrimaryCoef</t>
        </is>
      </c>
      <c r="Y1" s="2" t="inlineStr">
        <is>
          <t>SecondaryCoef</t>
        </is>
      </c>
      <c r="Z1" s="2" t="inlineStr">
        <is>
          <t>PitchCoef</t>
        </is>
      </c>
      <c r="AA1" s="2" t="inlineStr">
        <is>
          <t>NumericScore</t>
        </is>
      </c>
      <c r="AB1" s="2" t="inlineStr">
        <is>
          <t>GradeIdx</t>
        </is>
      </c>
      <c r="AC1" s="2" t="inlineStr">
        <is>
          <t>Grade</t>
        </is>
      </c>
      <c r="AD1" s="2" t="inlineStr">
        <is>
          <t>TargetGrade</t>
        </is>
      </c>
      <c r="AE1" s="2" t="inlineStr">
        <is>
          <t>DeltaIdx (Pred-Target)</t>
        </is>
      </c>
      <c r="AF1" s="2" t="inlineStr">
        <is>
          <t>Notes</t>
        </is>
      </c>
    </row>
    <row r="2">
      <c r="Q2">
        <f>IF(OR(B2="SP",B2="RP",B2="CP",B2="SP/RP"),"P","H")</f>
        <v/>
      </c>
      <c r="R2">
        <f>IF(F2="",0,IFNA(VLOOKUP(F2,Trait_Polarity!$A:$C,2,FALSE),0))+IF(G2="",0,IFNA(VLOOKUP(G2,Trait_Polarity!$A:$C,2,FALSE),0))</f>
        <v/>
      </c>
      <c r="S2">
        <f>IF(F2="",0,IFNA(VLOOKUP(F2,Trait_Polarity!$A:$C,3,FALSE),0))+IF(G2="",0,IFNA(VLOOKUP(G2,Trait_Polarity!$A:$C,3,FALSE),0))</f>
        <v/>
      </c>
      <c r="T2">
        <f>IF(Q2="P",0,IFNA(VLOOKUP(IF(C2="","(none)",C2),Secondary_Versatility!$A:$B,2,FALSE),0))</f>
        <v/>
      </c>
      <c r="U2">
        <f>IF(H2="",0,LEN(H2)-LEN(SUBSTITUTE(H2,"|",""))+1)</f>
        <v/>
      </c>
      <c r="V2">
        <f>IF(Q2="P",(N2+O2+P2)/3,0.3*I2+0.3*J2+0.2*K2+0.1*L2+0.1*M2)</f>
        <v/>
      </c>
      <c r="W2">
        <f>IF(Q2="P",IF(F2="",0,IFNA(VLOOKUP(F2,Pitcher_Trait_Coef!$A:$B,2,FALSE),0))+IF(G2="",0,IFNA(VLOOKUP(G2,Pitcher_Trait_Coef!$A:$B,2,FALSE),0)),IF(F2="",0,IFNA(VLOOKUP(F2,Hitter_Trait_Coef!$A:$B,2,FALSE),0))+IF(G2="",0,IFNA(VLOOKUP(G2,Hitter_Trait_Coef!$A:$B,2,FALSE),0)))</f>
        <v/>
      </c>
      <c r="X2">
        <f>IF(Q2="P",IFNA(VLOOKUP(B2,Pitcher_Primary_Coef!$A:$B,2,FALSE),0),IFNA(VLOOKUP(B2,Hitter_Primary_Coef!$A:$B,2,FALSE),0))</f>
        <v/>
      </c>
      <c r="Y2">
        <f>IF(Q2="P",0,IFNA(VLOOKUP(IF(C2="","(none)",C2),Hitter_Secondary_Coef!$A:$B,2,FALSE),0))</f>
        <v/>
      </c>
      <c r="Z2">
        <f>IF(Q2="P",IF(ISNUMBER(SEARCH("2F",H2)),IFNA(VLOOKUP("2F",Pitch_Coef!$A:$B,2,FALSE),0),0)+IF(ISNUMBER(SEARCH("4F",H2)),IFNA(VLOOKUP("4F",Pitch_Coef!$A:$B,2,FALSE),0),0)+IF(ISNUMBER(SEARCH("CB",H2)),IFNA(VLOOKUP("CB",Pitch_Coef!$A:$B,2,FALSE),0),0)+IF(ISNUMBER(SEARCH("CF",H2)),IFNA(VLOOKUP("CF",Pitch_Coef!$A:$B,2,FALSE),0),0)+IF(ISNUMBER(SEARCH("CH",H2)),IFNA(VLOOKUP("CH",Pitch_Coef!$A:$B,2,FALSE),0),0)+IF(ISNUMBER(SEARCH("FK",H2)),IFNA(VLOOKUP("FK",Pitch_Coef!$A:$B,2,FALSE),0),0)+IF(ISNUMBER(SEARCH("SB",H2)),IFNA(VLOOKUP("SB",Pitch_Coef!$A:$B,2,FALSE),0),0)+IF(ISNUMBER(SEARCH("SL",H2)),IFNA(VLOOKUP("SL",Pitch_Coef!$A:$B,2,FALSE),0),0),0)</f>
        <v/>
      </c>
      <c r="AA2">
        <f>IF(Q2="P",16.5944849573+0.2529999141*N2+0.2665900378*O2+0.2632687105*P2+0.0427586837*I2+0.0534777057*J2+0.009015832*K2+0.0204898106*(O2*P2/100)+1.0091022427*U2+1.0968542297*IF(D2="L",1,0)+0.3771555045*IF(D2="S",1,0)-0.2226159177*IF(E2="L",1,0)+1.21385024*R2-1.1652812274*S2+W2+X2+Z2,10.5965166711+0.2825983581*I2+0.2806503532*J2+0.2027213083*K2+0.1147824982*L2+0.0915305332*M2-0.0088454122*(I2*J2/100)-0.0336045706*(K2*L2/100)+2.8497389733*IF(D2="L",1,0)+4.5116226727*IF(D2="S",1,0)-0.6571546448*IF(E2="L",1,0)+0.0850728147*T2+0.0129488446*(T2*T2)+0.1909373936*IF(OR(F2="Utility",G2="Utility"),T2,0)+0.9656824071*R2-1.7517683256*S2+W2+X2+Y2)</f>
        <v/>
      </c>
      <c r="AB2">
        <f>LOOKUP(AA2,Grade_Scale!$A$2:$A$18,Grade_Scale!$B$2:$B$18)</f>
        <v/>
      </c>
      <c r="AC2">
        <f>LOOKUP(AA2,Grade_Scale!$A$2:$A$18,Grade_Scale!$C$2:$C$18)</f>
        <v/>
      </c>
      <c r="AE2">
        <f>IF(AD2="","",AB2-VLOOKUP(AD2,Grade_Scale!$C$2:$E$18,3,FALSE))</f>
        <v/>
      </c>
    </row>
    <row r="3">
      <c r="Q3">
        <f>IF(OR(B3="SP",B3="RP",B3="CP",B3="SP/RP"),"P","H")</f>
        <v/>
      </c>
      <c r="R3">
        <f>IF(F3="",0,IFNA(VLOOKUP(F3,Trait_Polarity!$A:$C,2,FALSE),0))+IF(G3="",0,IFNA(VLOOKUP(G3,Trait_Polarity!$A:$C,2,FALSE),0))</f>
        <v/>
      </c>
      <c r="S3">
        <f>IF(F3="",0,IFNA(VLOOKUP(F3,Trait_Polarity!$A:$C,3,FALSE),0))+IF(G3="",0,IFNA(VLOOKUP(G3,Trait_Polarity!$A:$C,3,FALSE),0))</f>
        <v/>
      </c>
      <c r="T3">
        <f>IF(Q3="P",0,IFNA(VLOOKUP(IF(C3="","(none)",C3),Secondary_Versatility!$A:$B,2,FALSE),0))</f>
        <v/>
      </c>
      <c r="U3">
        <f>IF(H3="",0,LEN(H3)-LEN(SUBSTITUTE(H3,"|",""))+1)</f>
        <v/>
      </c>
      <c r="V3">
        <f>IF(Q3="P",(N3+O3+P3)/3,0.3*I3+0.3*J3+0.2*K3+0.1*L3+0.1*M3)</f>
        <v/>
      </c>
      <c r="W3">
        <f>IF(Q3="P",IF(F3="",0,IFNA(VLOOKUP(F3,Pitcher_Trait_Coef!$A:$B,2,FALSE),0))+IF(G3="",0,IFNA(VLOOKUP(G3,Pitcher_Trait_Coef!$A:$B,2,FALSE),0)),IF(F3="",0,IFNA(VLOOKUP(F3,Hitter_Trait_Coef!$A:$B,2,FALSE),0))+IF(G3="",0,IFNA(VLOOKUP(G3,Hitter_Trait_Coef!$A:$B,2,FALSE),0)))</f>
        <v/>
      </c>
      <c r="X3">
        <f>IF(Q3="P",IFNA(VLOOKUP(B3,Pitcher_Primary_Coef!$A:$B,2,FALSE),0),IFNA(VLOOKUP(B3,Hitter_Primary_Coef!$A:$B,2,FALSE),0))</f>
        <v/>
      </c>
      <c r="Y3">
        <f>IF(Q3="P",0,IFNA(VLOOKUP(IF(C3="","(none)",C3),Hitter_Secondary_Coef!$A:$B,2,FALSE),0))</f>
        <v/>
      </c>
      <c r="Z3">
        <f>IF(Q3="P",IF(ISNUMBER(SEARCH("2F",H3)),IFNA(VLOOKUP("2F",Pitch_Coef!$A:$B,2,FALSE),0),0)+IF(ISNUMBER(SEARCH("4F",H3)),IFNA(VLOOKUP("4F",Pitch_Coef!$A:$B,2,FALSE),0),0)+IF(ISNUMBER(SEARCH("CB",H3)),IFNA(VLOOKUP("CB",Pitch_Coef!$A:$B,2,FALSE),0),0)+IF(ISNUMBER(SEARCH("CF",H3)),IFNA(VLOOKUP("CF",Pitch_Coef!$A:$B,2,FALSE),0),0)+IF(ISNUMBER(SEARCH("CH",H3)),IFNA(VLOOKUP("CH",Pitch_Coef!$A:$B,2,FALSE),0),0)+IF(ISNUMBER(SEARCH("FK",H3)),IFNA(VLOOKUP("FK",Pitch_Coef!$A:$B,2,FALSE),0),0)+IF(ISNUMBER(SEARCH("SB",H3)),IFNA(VLOOKUP("SB",Pitch_Coef!$A:$B,2,FALSE),0),0)+IF(ISNUMBER(SEARCH("SL",H3)),IFNA(VLOOKUP("SL",Pitch_Coef!$A:$B,2,FALSE),0),0),0)</f>
        <v/>
      </c>
      <c r="AA3">
        <f>IF(Q3="P",16.5944849573+0.2529999141*N3+0.2665900378*O3+0.2632687105*P3+0.0427586837*I3+0.0534777057*J3+0.009015832*K3+0.0204898106*(O3*P3/100)+1.0091022427*U3+1.0968542297*IF(D3="L",1,0)+0.3771555045*IF(D3="S",1,0)-0.2226159177*IF(E3="L",1,0)+1.21385024*R3-1.1652812274*S3+W3+X3+Z3,10.5965166711+0.2825983581*I3+0.2806503532*J3+0.2027213083*K3+0.1147824982*L3+0.0915305332*M3-0.0088454122*(I3*J3/100)-0.0336045706*(K3*L3/100)+2.8497389733*IF(D3="L",1,0)+4.5116226727*IF(D3="S",1,0)-0.6571546448*IF(E3="L",1,0)+0.0850728147*T3+0.0129488446*(T3*T3)+0.1909373936*IF(OR(F3="Utility",G3="Utility"),T3,0)+0.9656824071*R3-1.7517683256*S3+W3+X3+Y3)</f>
        <v/>
      </c>
      <c r="AB3">
        <f>LOOKUP(AA3,Grade_Scale!$A$2:$A$18,Grade_Scale!$B$2:$B$18)</f>
        <v/>
      </c>
      <c r="AC3">
        <f>LOOKUP(AA3,Grade_Scale!$A$2:$A$18,Grade_Scale!$C$2:$C$18)</f>
        <v/>
      </c>
      <c r="AE3">
        <f>IF(AD3="","",AB3-VLOOKUP(AD3,Grade_Scale!$C$2:$E$18,3,FALSE))</f>
        <v/>
      </c>
    </row>
    <row r="4">
      <c r="Q4">
        <f>IF(OR(B4="SP",B4="RP",B4="CP",B4="SP/RP"),"P","H")</f>
        <v/>
      </c>
      <c r="R4">
        <f>IF(F4="",0,IFNA(VLOOKUP(F4,Trait_Polarity!$A:$C,2,FALSE),0))+IF(G4="",0,IFNA(VLOOKUP(G4,Trait_Polarity!$A:$C,2,FALSE),0))</f>
        <v/>
      </c>
      <c r="S4">
        <f>IF(F4="",0,IFNA(VLOOKUP(F4,Trait_Polarity!$A:$C,3,FALSE),0))+IF(G4="",0,IFNA(VLOOKUP(G4,Trait_Polarity!$A:$C,3,FALSE),0))</f>
        <v/>
      </c>
      <c r="T4">
        <f>IF(Q4="P",0,IFNA(VLOOKUP(IF(C4="","(none)",C4),Secondary_Versatility!$A:$B,2,FALSE),0))</f>
        <v/>
      </c>
      <c r="U4">
        <f>IF(H4="",0,LEN(H4)-LEN(SUBSTITUTE(H4,"|",""))+1)</f>
        <v/>
      </c>
      <c r="V4">
        <f>IF(Q4="P",(N4+O4+P4)/3,0.3*I4+0.3*J4+0.2*K4+0.1*L4+0.1*M4)</f>
        <v/>
      </c>
      <c r="W4">
        <f>IF(Q4="P",IF(F4="",0,IFNA(VLOOKUP(F4,Pitcher_Trait_Coef!$A:$B,2,FALSE),0))+IF(G4="",0,IFNA(VLOOKUP(G4,Pitcher_Trait_Coef!$A:$B,2,FALSE),0)),IF(F4="",0,IFNA(VLOOKUP(F4,Hitter_Trait_Coef!$A:$B,2,FALSE),0))+IF(G4="",0,IFNA(VLOOKUP(G4,Hitter_Trait_Coef!$A:$B,2,FALSE),0)))</f>
        <v/>
      </c>
      <c r="X4">
        <f>IF(Q4="P",IFNA(VLOOKUP(B4,Pitcher_Primary_Coef!$A:$B,2,FALSE),0),IFNA(VLOOKUP(B4,Hitter_Primary_Coef!$A:$B,2,FALSE),0))</f>
        <v/>
      </c>
      <c r="Y4">
        <f>IF(Q4="P",0,IFNA(VLOOKUP(IF(C4="","(none)",C4),Hitter_Secondary_Coef!$A:$B,2,FALSE),0))</f>
        <v/>
      </c>
      <c r="Z4">
        <f>IF(Q4="P",IF(ISNUMBER(SEARCH("2F",H4)),IFNA(VLOOKUP("2F",Pitch_Coef!$A:$B,2,FALSE),0),0)+IF(ISNUMBER(SEARCH("4F",H4)),IFNA(VLOOKUP("4F",Pitch_Coef!$A:$B,2,FALSE),0),0)+IF(ISNUMBER(SEARCH("CB",H4)),IFNA(VLOOKUP("CB",Pitch_Coef!$A:$B,2,FALSE),0),0)+IF(ISNUMBER(SEARCH("CF",H4)),IFNA(VLOOKUP("CF",Pitch_Coef!$A:$B,2,FALSE),0),0)+IF(ISNUMBER(SEARCH("CH",H4)),IFNA(VLOOKUP("CH",Pitch_Coef!$A:$B,2,FALSE),0),0)+IF(ISNUMBER(SEARCH("FK",H4)),IFNA(VLOOKUP("FK",Pitch_Coef!$A:$B,2,FALSE),0),0)+IF(ISNUMBER(SEARCH("SB",H4)),IFNA(VLOOKUP("SB",Pitch_Coef!$A:$B,2,FALSE),0),0)+IF(ISNUMBER(SEARCH("SL",H4)),IFNA(VLOOKUP("SL",Pitch_Coef!$A:$B,2,FALSE),0),0),0)</f>
        <v/>
      </c>
      <c r="AA4">
        <f>IF(Q4="P",16.5944849573+0.2529999141*N4+0.2665900378*O4+0.2632687105*P4+0.0427586837*I4+0.0534777057*J4+0.009015832*K4+0.0204898106*(O4*P4/100)+1.0091022427*U4+1.0968542297*IF(D4="L",1,0)+0.3771555045*IF(D4="S",1,0)-0.2226159177*IF(E4="L",1,0)+1.21385024*R4-1.1652812274*S4+W4+X4+Z4,10.5965166711+0.2825983581*I4+0.2806503532*J4+0.2027213083*K4+0.1147824982*L4+0.0915305332*M4-0.0088454122*(I4*J4/100)-0.0336045706*(K4*L4/100)+2.8497389733*IF(D4="L",1,0)+4.5116226727*IF(D4="S",1,0)-0.6571546448*IF(E4="L",1,0)+0.0850728147*T4+0.0129488446*(T4*T4)+0.1909373936*IF(OR(F4="Utility",G4="Utility"),T4,0)+0.9656824071*R4-1.7517683256*S4+W4+X4+Y4)</f>
        <v/>
      </c>
      <c r="AB4">
        <f>LOOKUP(AA4,Grade_Scale!$A$2:$A$18,Grade_Scale!$B$2:$B$18)</f>
        <v/>
      </c>
      <c r="AC4">
        <f>LOOKUP(AA4,Grade_Scale!$A$2:$A$18,Grade_Scale!$C$2:$C$18)</f>
        <v/>
      </c>
      <c r="AE4">
        <f>IF(AD4="","",AB4-VLOOKUP(AD4,Grade_Scale!$C$2:$E$18,3,FALSE))</f>
        <v/>
      </c>
    </row>
    <row r="5">
      <c r="Q5">
        <f>IF(OR(B5="SP",B5="RP",B5="CP",B5="SP/RP"),"P","H")</f>
        <v/>
      </c>
      <c r="R5">
        <f>IF(F5="",0,IFNA(VLOOKUP(F5,Trait_Polarity!$A:$C,2,FALSE),0))+IF(G5="",0,IFNA(VLOOKUP(G5,Trait_Polarity!$A:$C,2,FALSE),0))</f>
        <v/>
      </c>
      <c r="S5">
        <f>IF(F5="",0,IFNA(VLOOKUP(F5,Trait_Polarity!$A:$C,3,FALSE),0))+IF(G5="",0,IFNA(VLOOKUP(G5,Trait_Polarity!$A:$C,3,FALSE),0))</f>
        <v/>
      </c>
      <c r="T5">
        <f>IF(Q5="P",0,IFNA(VLOOKUP(IF(C5="","(none)",C5),Secondary_Versatility!$A:$B,2,FALSE),0))</f>
        <v/>
      </c>
      <c r="U5">
        <f>IF(H5="",0,LEN(H5)-LEN(SUBSTITUTE(H5,"|",""))+1)</f>
        <v/>
      </c>
      <c r="V5">
        <f>IF(Q5="P",(N5+O5+P5)/3,0.3*I5+0.3*J5+0.2*K5+0.1*L5+0.1*M5)</f>
        <v/>
      </c>
      <c r="W5">
        <f>IF(Q5="P",IF(F5="",0,IFNA(VLOOKUP(F5,Pitcher_Trait_Coef!$A:$B,2,FALSE),0))+IF(G5="",0,IFNA(VLOOKUP(G5,Pitcher_Trait_Coef!$A:$B,2,FALSE),0)),IF(F5="",0,IFNA(VLOOKUP(F5,Hitter_Trait_Coef!$A:$B,2,FALSE),0))+IF(G5="",0,IFNA(VLOOKUP(G5,Hitter_Trait_Coef!$A:$B,2,FALSE),0)))</f>
        <v/>
      </c>
      <c r="X5">
        <f>IF(Q5="P",IFNA(VLOOKUP(B5,Pitcher_Primary_Coef!$A:$B,2,FALSE),0),IFNA(VLOOKUP(B5,Hitter_Primary_Coef!$A:$B,2,FALSE),0))</f>
        <v/>
      </c>
      <c r="Y5">
        <f>IF(Q5="P",0,IFNA(VLOOKUP(IF(C5="","(none)",C5),Hitter_Secondary_Coef!$A:$B,2,FALSE),0))</f>
        <v/>
      </c>
      <c r="Z5">
        <f>IF(Q5="P",IF(ISNUMBER(SEARCH("2F",H5)),IFNA(VLOOKUP("2F",Pitch_Coef!$A:$B,2,FALSE),0),0)+IF(ISNUMBER(SEARCH("4F",H5)),IFNA(VLOOKUP("4F",Pitch_Coef!$A:$B,2,FALSE),0),0)+IF(ISNUMBER(SEARCH("CB",H5)),IFNA(VLOOKUP("CB",Pitch_Coef!$A:$B,2,FALSE),0),0)+IF(ISNUMBER(SEARCH("CF",H5)),IFNA(VLOOKUP("CF",Pitch_Coef!$A:$B,2,FALSE),0),0)+IF(ISNUMBER(SEARCH("CH",H5)),IFNA(VLOOKUP("CH",Pitch_Coef!$A:$B,2,FALSE),0),0)+IF(ISNUMBER(SEARCH("FK",H5)),IFNA(VLOOKUP("FK",Pitch_Coef!$A:$B,2,FALSE),0),0)+IF(ISNUMBER(SEARCH("SB",H5)),IFNA(VLOOKUP("SB",Pitch_Coef!$A:$B,2,FALSE),0),0)+IF(ISNUMBER(SEARCH("SL",H5)),IFNA(VLOOKUP("SL",Pitch_Coef!$A:$B,2,FALSE),0),0),0)</f>
        <v/>
      </c>
      <c r="AA5">
        <f>IF(Q5="P",16.5944849573+0.2529999141*N5+0.2665900378*O5+0.2632687105*P5+0.0427586837*I5+0.0534777057*J5+0.009015832*K5+0.0204898106*(O5*P5/100)+1.0091022427*U5+1.0968542297*IF(D5="L",1,0)+0.3771555045*IF(D5="S",1,0)-0.2226159177*IF(E5="L",1,0)+1.21385024*R5-1.1652812274*S5+W5+X5+Z5,10.5965166711+0.2825983581*I5+0.2806503532*J5+0.2027213083*K5+0.1147824982*L5+0.0915305332*M5-0.0088454122*(I5*J5/100)-0.0336045706*(K5*L5/100)+2.8497389733*IF(D5="L",1,0)+4.5116226727*IF(D5="S",1,0)-0.6571546448*IF(E5="L",1,0)+0.0850728147*T5+0.0129488446*(T5*T5)+0.1909373936*IF(OR(F5="Utility",G5="Utility"),T5,0)+0.9656824071*R5-1.7517683256*S5+W5+X5+Y5)</f>
        <v/>
      </c>
      <c r="AB5">
        <f>LOOKUP(AA5,Grade_Scale!$A$2:$A$18,Grade_Scale!$B$2:$B$18)</f>
        <v/>
      </c>
      <c r="AC5">
        <f>LOOKUP(AA5,Grade_Scale!$A$2:$A$18,Grade_Scale!$C$2:$C$18)</f>
        <v/>
      </c>
      <c r="AE5">
        <f>IF(AD5="","",AB5-VLOOKUP(AD5,Grade_Scale!$C$2:$E$18,3,FALSE))</f>
        <v/>
      </c>
    </row>
    <row r="6">
      <c r="Q6">
        <f>IF(OR(B6="SP",B6="RP",B6="CP",B6="SP/RP"),"P","H")</f>
        <v/>
      </c>
      <c r="R6">
        <f>IF(F6="",0,IFNA(VLOOKUP(F6,Trait_Polarity!$A:$C,2,FALSE),0))+IF(G6="",0,IFNA(VLOOKUP(G6,Trait_Polarity!$A:$C,2,FALSE),0))</f>
        <v/>
      </c>
      <c r="S6">
        <f>IF(F6="",0,IFNA(VLOOKUP(F6,Trait_Polarity!$A:$C,3,FALSE),0))+IF(G6="",0,IFNA(VLOOKUP(G6,Trait_Polarity!$A:$C,3,FALSE),0))</f>
        <v/>
      </c>
      <c r="T6">
        <f>IF(Q6="P",0,IFNA(VLOOKUP(IF(C6="","(none)",C6),Secondary_Versatility!$A:$B,2,FALSE),0))</f>
        <v/>
      </c>
      <c r="U6">
        <f>IF(H6="",0,LEN(H6)-LEN(SUBSTITUTE(H6,"|",""))+1)</f>
        <v/>
      </c>
      <c r="V6">
        <f>IF(Q6="P",(N6+O6+P6)/3,0.3*I6+0.3*J6+0.2*K6+0.1*L6+0.1*M6)</f>
        <v/>
      </c>
      <c r="W6">
        <f>IF(Q6="P",IF(F6="",0,IFNA(VLOOKUP(F6,Pitcher_Trait_Coef!$A:$B,2,FALSE),0))+IF(G6="",0,IFNA(VLOOKUP(G6,Pitcher_Trait_Coef!$A:$B,2,FALSE),0)),IF(F6="",0,IFNA(VLOOKUP(F6,Hitter_Trait_Coef!$A:$B,2,FALSE),0))+IF(G6="",0,IFNA(VLOOKUP(G6,Hitter_Trait_Coef!$A:$B,2,FALSE),0)))</f>
        <v/>
      </c>
      <c r="X6">
        <f>IF(Q6="P",IFNA(VLOOKUP(B6,Pitcher_Primary_Coef!$A:$B,2,FALSE),0),IFNA(VLOOKUP(B6,Hitter_Primary_Coef!$A:$B,2,FALSE),0))</f>
        <v/>
      </c>
      <c r="Y6">
        <f>IF(Q6="P",0,IFNA(VLOOKUP(IF(C6="","(none)",C6),Hitter_Secondary_Coef!$A:$B,2,FALSE),0))</f>
        <v/>
      </c>
      <c r="Z6">
        <f>IF(Q6="P",IF(ISNUMBER(SEARCH("2F",H6)),IFNA(VLOOKUP("2F",Pitch_Coef!$A:$B,2,FALSE),0),0)+IF(ISNUMBER(SEARCH("4F",H6)),IFNA(VLOOKUP("4F",Pitch_Coef!$A:$B,2,FALSE),0),0)+IF(ISNUMBER(SEARCH("CB",H6)),IFNA(VLOOKUP("CB",Pitch_Coef!$A:$B,2,FALSE),0),0)+IF(ISNUMBER(SEARCH("CF",H6)),IFNA(VLOOKUP("CF",Pitch_Coef!$A:$B,2,FALSE),0),0)+IF(ISNUMBER(SEARCH("CH",H6)),IFNA(VLOOKUP("CH",Pitch_Coef!$A:$B,2,FALSE),0),0)+IF(ISNUMBER(SEARCH("FK",H6)),IFNA(VLOOKUP("FK",Pitch_Coef!$A:$B,2,FALSE),0),0)+IF(ISNUMBER(SEARCH("SB",H6)),IFNA(VLOOKUP("SB",Pitch_Coef!$A:$B,2,FALSE),0),0)+IF(ISNUMBER(SEARCH("SL",H6)),IFNA(VLOOKUP("SL",Pitch_Coef!$A:$B,2,FALSE),0),0),0)</f>
        <v/>
      </c>
      <c r="AA6">
        <f>IF(Q6="P",16.5944849573+0.2529999141*N6+0.2665900378*O6+0.2632687105*P6+0.0427586837*I6+0.0534777057*J6+0.009015832*K6+0.0204898106*(O6*P6/100)+1.0091022427*U6+1.0968542297*IF(D6="L",1,0)+0.3771555045*IF(D6="S",1,0)-0.2226159177*IF(E6="L",1,0)+1.21385024*R6-1.1652812274*S6+W6+X6+Z6,10.5965166711+0.2825983581*I6+0.2806503532*J6+0.2027213083*K6+0.1147824982*L6+0.0915305332*M6-0.0088454122*(I6*J6/100)-0.0336045706*(K6*L6/100)+2.8497389733*IF(D6="L",1,0)+4.5116226727*IF(D6="S",1,0)-0.6571546448*IF(E6="L",1,0)+0.0850728147*T6+0.0129488446*(T6*T6)+0.1909373936*IF(OR(F6="Utility",G6="Utility"),T6,0)+0.9656824071*R6-1.7517683256*S6+W6+X6+Y6)</f>
        <v/>
      </c>
      <c r="AB6">
        <f>LOOKUP(AA6,Grade_Scale!$A$2:$A$18,Grade_Scale!$B$2:$B$18)</f>
        <v/>
      </c>
      <c r="AC6">
        <f>LOOKUP(AA6,Grade_Scale!$A$2:$A$18,Grade_Scale!$C$2:$C$18)</f>
        <v/>
      </c>
      <c r="AE6">
        <f>IF(AD6="","",AB6-VLOOKUP(AD6,Grade_Scale!$C$2:$E$18,3,FALSE))</f>
        <v/>
      </c>
    </row>
    <row r="7">
      <c r="Q7">
        <f>IF(OR(B7="SP",B7="RP",B7="CP",B7="SP/RP"),"P","H")</f>
        <v/>
      </c>
      <c r="R7">
        <f>IF(F7="",0,IFNA(VLOOKUP(F7,Trait_Polarity!$A:$C,2,FALSE),0))+IF(G7="",0,IFNA(VLOOKUP(G7,Trait_Polarity!$A:$C,2,FALSE),0))</f>
        <v/>
      </c>
      <c r="S7">
        <f>IF(F7="",0,IFNA(VLOOKUP(F7,Trait_Polarity!$A:$C,3,FALSE),0))+IF(G7="",0,IFNA(VLOOKUP(G7,Trait_Polarity!$A:$C,3,FALSE),0))</f>
        <v/>
      </c>
      <c r="T7">
        <f>IF(Q7="P",0,IFNA(VLOOKUP(IF(C7="","(none)",C7),Secondary_Versatility!$A:$B,2,FALSE),0))</f>
        <v/>
      </c>
      <c r="U7">
        <f>IF(H7="",0,LEN(H7)-LEN(SUBSTITUTE(H7,"|",""))+1)</f>
        <v/>
      </c>
      <c r="V7">
        <f>IF(Q7="P",(N7+O7+P7)/3,0.3*I7+0.3*J7+0.2*K7+0.1*L7+0.1*M7)</f>
        <v/>
      </c>
      <c r="W7">
        <f>IF(Q7="P",IF(F7="",0,IFNA(VLOOKUP(F7,Pitcher_Trait_Coef!$A:$B,2,FALSE),0))+IF(G7="",0,IFNA(VLOOKUP(G7,Pitcher_Trait_Coef!$A:$B,2,FALSE),0)),IF(F7="",0,IFNA(VLOOKUP(F7,Hitter_Trait_Coef!$A:$B,2,FALSE),0))+IF(G7="",0,IFNA(VLOOKUP(G7,Hitter_Trait_Coef!$A:$B,2,FALSE),0)))</f>
        <v/>
      </c>
      <c r="X7">
        <f>IF(Q7="P",IFNA(VLOOKUP(B7,Pitcher_Primary_Coef!$A:$B,2,FALSE),0),IFNA(VLOOKUP(B7,Hitter_Primary_Coef!$A:$B,2,FALSE),0))</f>
        <v/>
      </c>
      <c r="Y7">
        <f>IF(Q7="P",0,IFNA(VLOOKUP(IF(C7="","(none)",C7),Hitter_Secondary_Coef!$A:$B,2,FALSE),0))</f>
        <v/>
      </c>
      <c r="Z7">
        <f>IF(Q7="P",IF(ISNUMBER(SEARCH("2F",H7)),IFNA(VLOOKUP("2F",Pitch_Coef!$A:$B,2,FALSE),0),0)+IF(ISNUMBER(SEARCH("4F",H7)),IFNA(VLOOKUP("4F",Pitch_Coef!$A:$B,2,FALSE),0),0)+IF(ISNUMBER(SEARCH("CB",H7)),IFNA(VLOOKUP("CB",Pitch_Coef!$A:$B,2,FALSE),0),0)+IF(ISNUMBER(SEARCH("CF",H7)),IFNA(VLOOKUP("CF",Pitch_Coef!$A:$B,2,FALSE),0),0)+IF(ISNUMBER(SEARCH("CH",H7)),IFNA(VLOOKUP("CH",Pitch_Coef!$A:$B,2,FALSE),0),0)+IF(ISNUMBER(SEARCH("FK",H7)),IFNA(VLOOKUP("FK",Pitch_Coef!$A:$B,2,FALSE),0),0)+IF(ISNUMBER(SEARCH("SB",H7)),IFNA(VLOOKUP("SB",Pitch_Coef!$A:$B,2,FALSE),0),0)+IF(ISNUMBER(SEARCH("SL",H7)),IFNA(VLOOKUP("SL",Pitch_Coef!$A:$B,2,FALSE),0),0),0)</f>
        <v/>
      </c>
      <c r="AA7">
        <f>IF(Q7="P",16.5944849573+0.2529999141*N7+0.2665900378*O7+0.2632687105*P7+0.0427586837*I7+0.0534777057*J7+0.009015832*K7+0.0204898106*(O7*P7/100)+1.0091022427*U7+1.0968542297*IF(D7="L",1,0)+0.3771555045*IF(D7="S",1,0)-0.2226159177*IF(E7="L",1,0)+1.21385024*R7-1.1652812274*S7+W7+X7+Z7,10.5965166711+0.2825983581*I7+0.2806503532*J7+0.2027213083*K7+0.1147824982*L7+0.0915305332*M7-0.0088454122*(I7*J7/100)-0.0336045706*(K7*L7/100)+2.8497389733*IF(D7="L",1,0)+4.5116226727*IF(D7="S",1,0)-0.6571546448*IF(E7="L",1,0)+0.0850728147*T7+0.0129488446*(T7*T7)+0.1909373936*IF(OR(F7="Utility",G7="Utility"),T7,0)+0.9656824071*R7-1.7517683256*S7+W7+X7+Y7)</f>
        <v/>
      </c>
      <c r="AB7">
        <f>LOOKUP(AA7,Grade_Scale!$A$2:$A$18,Grade_Scale!$B$2:$B$18)</f>
        <v/>
      </c>
      <c r="AC7">
        <f>LOOKUP(AA7,Grade_Scale!$A$2:$A$18,Grade_Scale!$C$2:$C$18)</f>
        <v/>
      </c>
      <c r="AE7">
        <f>IF(AD7="","",AB7-VLOOKUP(AD7,Grade_Scale!$C$2:$E$18,3,FALSE))</f>
        <v/>
      </c>
    </row>
    <row r="8">
      <c r="Q8">
        <f>IF(OR(B8="SP",B8="RP",B8="CP",B8="SP/RP"),"P","H")</f>
        <v/>
      </c>
      <c r="R8">
        <f>IF(F8="",0,IFNA(VLOOKUP(F8,Trait_Polarity!$A:$C,2,FALSE),0))+IF(G8="",0,IFNA(VLOOKUP(G8,Trait_Polarity!$A:$C,2,FALSE),0))</f>
        <v/>
      </c>
      <c r="S8">
        <f>IF(F8="",0,IFNA(VLOOKUP(F8,Trait_Polarity!$A:$C,3,FALSE),0))+IF(G8="",0,IFNA(VLOOKUP(G8,Trait_Polarity!$A:$C,3,FALSE),0))</f>
        <v/>
      </c>
      <c r="T8">
        <f>IF(Q8="P",0,IFNA(VLOOKUP(IF(C8="","(none)",C8),Secondary_Versatility!$A:$B,2,FALSE),0))</f>
        <v/>
      </c>
      <c r="U8">
        <f>IF(H8="",0,LEN(H8)-LEN(SUBSTITUTE(H8,"|",""))+1)</f>
        <v/>
      </c>
      <c r="V8">
        <f>IF(Q8="P",(N8+O8+P8)/3,0.3*I8+0.3*J8+0.2*K8+0.1*L8+0.1*M8)</f>
        <v/>
      </c>
      <c r="W8">
        <f>IF(Q8="P",IF(F8="",0,IFNA(VLOOKUP(F8,Pitcher_Trait_Coef!$A:$B,2,FALSE),0))+IF(G8="",0,IFNA(VLOOKUP(G8,Pitcher_Trait_Coef!$A:$B,2,FALSE),0)),IF(F8="",0,IFNA(VLOOKUP(F8,Hitter_Trait_Coef!$A:$B,2,FALSE),0))+IF(G8="",0,IFNA(VLOOKUP(G8,Hitter_Trait_Coef!$A:$B,2,FALSE),0)))</f>
        <v/>
      </c>
      <c r="X8">
        <f>IF(Q8="P",IFNA(VLOOKUP(B8,Pitcher_Primary_Coef!$A:$B,2,FALSE),0),IFNA(VLOOKUP(B8,Hitter_Primary_Coef!$A:$B,2,FALSE),0))</f>
        <v/>
      </c>
      <c r="Y8">
        <f>IF(Q8="P",0,IFNA(VLOOKUP(IF(C8="","(none)",C8),Hitter_Secondary_Coef!$A:$B,2,FALSE),0))</f>
        <v/>
      </c>
      <c r="Z8">
        <f>IF(Q8="P",IF(ISNUMBER(SEARCH("2F",H8)),IFNA(VLOOKUP("2F",Pitch_Coef!$A:$B,2,FALSE),0),0)+IF(ISNUMBER(SEARCH("4F",H8)),IFNA(VLOOKUP("4F",Pitch_Coef!$A:$B,2,FALSE),0),0)+IF(ISNUMBER(SEARCH("CB",H8)),IFNA(VLOOKUP("CB",Pitch_Coef!$A:$B,2,FALSE),0),0)+IF(ISNUMBER(SEARCH("CF",H8)),IFNA(VLOOKUP("CF",Pitch_Coef!$A:$B,2,FALSE),0),0)+IF(ISNUMBER(SEARCH("CH",H8)),IFNA(VLOOKUP("CH",Pitch_Coef!$A:$B,2,FALSE),0),0)+IF(ISNUMBER(SEARCH("FK",H8)),IFNA(VLOOKUP("FK",Pitch_Coef!$A:$B,2,FALSE),0),0)+IF(ISNUMBER(SEARCH("SB",H8)),IFNA(VLOOKUP("SB",Pitch_Coef!$A:$B,2,FALSE),0),0)+IF(ISNUMBER(SEARCH("SL",H8)),IFNA(VLOOKUP("SL",Pitch_Coef!$A:$B,2,FALSE),0),0),0)</f>
        <v/>
      </c>
      <c r="AA8">
        <f>IF(Q8="P",16.5944849573+0.2529999141*N8+0.2665900378*O8+0.2632687105*P8+0.0427586837*I8+0.0534777057*J8+0.009015832*K8+0.0204898106*(O8*P8/100)+1.0091022427*U8+1.0968542297*IF(D8="L",1,0)+0.3771555045*IF(D8="S",1,0)-0.2226159177*IF(E8="L",1,0)+1.21385024*R8-1.1652812274*S8+W8+X8+Z8,10.5965166711+0.2825983581*I8+0.2806503532*J8+0.2027213083*K8+0.1147824982*L8+0.0915305332*M8-0.0088454122*(I8*J8/100)-0.0336045706*(K8*L8/100)+2.8497389733*IF(D8="L",1,0)+4.5116226727*IF(D8="S",1,0)-0.6571546448*IF(E8="L",1,0)+0.0850728147*T8+0.0129488446*(T8*T8)+0.1909373936*IF(OR(F8="Utility",G8="Utility"),T8,0)+0.9656824071*R8-1.7517683256*S8+W8+X8+Y8)</f>
        <v/>
      </c>
      <c r="AB8">
        <f>LOOKUP(AA8,Grade_Scale!$A$2:$A$18,Grade_Scale!$B$2:$B$18)</f>
        <v/>
      </c>
      <c r="AC8">
        <f>LOOKUP(AA8,Grade_Scale!$A$2:$A$18,Grade_Scale!$C$2:$C$18)</f>
        <v/>
      </c>
      <c r="AE8">
        <f>IF(AD8="","",AB8-VLOOKUP(AD8,Grade_Scale!$C$2:$E$18,3,FALSE))</f>
        <v/>
      </c>
    </row>
    <row r="9">
      <c r="Q9">
        <f>IF(OR(B9="SP",B9="RP",B9="CP",B9="SP/RP"),"P","H")</f>
        <v/>
      </c>
      <c r="R9">
        <f>IF(F9="",0,IFNA(VLOOKUP(F9,Trait_Polarity!$A:$C,2,FALSE),0))+IF(G9="",0,IFNA(VLOOKUP(G9,Trait_Polarity!$A:$C,2,FALSE),0))</f>
        <v/>
      </c>
      <c r="S9">
        <f>IF(F9="",0,IFNA(VLOOKUP(F9,Trait_Polarity!$A:$C,3,FALSE),0))+IF(G9="",0,IFNA(VLOOKUP(G9,Trait_Polarity!$A:$C,3,FALSE),0))</f>
        <v/>
      </c>
      <c r="T9">
        <f>IF(Q9="P",0,IFNA(VLOOKUP(IF(C9="","(none)",C9),Secondary_Versatility!$A:$B,2,FALSE),0))</f>
        <v/>
      </c>
      <c r="U9">
        <f>IF(H9="",0,LEN(H9)-LEN(SUBSTITUTE(H9,"|",""))+1)</f>
        <v/>
      </c>
      <c r="V9">
        <f>IF(Q9="P",(N9+O9+P9)/3,0.3*I9+0.3*J9+0.2*K9+0.1*L9+0.1*M9)</f>
        <v/>
      </c>
      <c r="W9">
        <f>IF(Q9="P",IF(F9="",0,IFNA(VLOOKUP(F9,Pitcher_Trait_Coef!$A:$B,2,FALSE),0))+IF(G9="",0,IFNA(VLOOKUP(G9,Pitcher_Trait_Coef!$A:$B,2,FALSE),0)),IF(F9="",0,IFNA(VLOOKUP(F9,Hitter_Trait_Coef!$A:$B,2,FALSE),0))+IF(G9="",0,IFNA(VLOOKUP(G9,Hitter_Trait_Coef!$A:$B,2,FALSE),0)))</f>
        <v/>
      </c>
      <c r="X9">
        <f>IF(Q9="P",IFNA(VLOOKUP(B9,Pitcher_Primary_Coef!$A:$B,2,FALSE),0),IFNA(VLOOKUP(B9,Hitter_Primary_Coef!$A:$B,2,FALSE),0))</f>
        <v/>
      </c>
      <c r="Y9">
        <f>IF(Q9="P",0,IFNA(VLOOKUP(IF(C9="","(none)",C9),Hitter_Secondary_Coef!$A:$B,2,FALSE),0))</f>
        <v/>
      </c>
      <c r="Z9">
        <f>IF(Q9="P",IF(ISNUMBER(SEARCH("2F",H9)),IFNA(VLOOKUP("2F",Pitch_Coef!$A:$B,2,FALSE),0),0)+IF(ISNUMBER(SEARCH("4F",H9)),IFNA(VLOOKUP("4F",Pitch_Coef!$A:$B,2,FALSE),0),0)+IF(ISNUMBER(SEARCH("CB",H9)),IFNA(VLOOKUP("CB",Pitch_Coef!$A:$B,2,FALSE),0),0)+IF(ISNUMBER(SEARCH("CF",H9)),IFNA(VLOOKUP("CF",Pitch_Coef!$A:$B,2,FALSE),0),0)+IF(ISNUMBER(SEARCH("CH",H9)),IFNA(VLOOKUP("CH",Pitch_Coef!$A:$B,2,FALSE),0),0)+IF(ISNUMBER(SEARCH("FK",H9)),IFNA(VLOOKUP("FK",Pitch_Coef!$A:$B,2,FALSE),0),0)+IF(ISNUMBER(SEARCH("SB",H9)),IFNA(VLOOKUP("SB",Pitch_Coef!$A:$B,2,FALSE),0),0)+IF(ISNUMBER(SEARCH("SL",H9)),IFNA(VLOOKUP("SL",Pitch_Coef!$A:$B,2,FALSE),0),0),0)</f>
        <v/>
      </c>
      <c r="AA9">
        <f>IF(Q9="P",16.5944849573+0.2529999141*N9+0.2665900378*O9+0.2632687105*P9+0.0427586837*I9+0.0534777057*J9+0.009015832*K9+0.0204898106*(O9*P9/100)+1.0091022427*U9+1.0968542297*IF(D9="L",1,0)+0.3771555045*IF(D9="S",1,0)-0.2226159177*IF(E9="L",1,0)+1.21385024*R9-1.1652812274*S9+W9+X9+Z9,10.5965166711+0.2825983581*I9+0.2806503532*J9+0.2027213083*K9+0.1147824982*L9+0.0915305332*M9-0.0088454122*(I9*J9/100)-0.0336045706*(K9*L9/100)+2.8497389733*IF(D9="L",1,0)+4.5116226727*IF(D9="S",1,0)-0.6571546448*IF(E9="L",1,0)+0.0850728147*T9+0.0129488446*(T9*T9)+0.1909373936*IF(OR(F9="Utility",G9="Utility"),T9,0)+0.9656824071*R9-1.7517683256*S9+W9+X9+Y9)</f>
        <v/>
      </c>
      <c r="AB9">
        <f>LOOKUP(AA9,Grade_Scale!$A$2:$A$18,Grade_Scale!$B$2:$B$18)</f>
        <v/>
      </c>
      <c r="AC9">
        <f>LOOKUP(AA9,Grade_Scale!$A$2:$A$18,Grade_Scale!$C$2:$C$18)</f>
        <v/>
      </c>
      <c r="AE9">
        <f>IF(AD9="","",AB9-VLOOKUP(AD9,Grade_Scale!$C$2:$E$18,3,FALSE))</f>
        <v/>
      </c>
    </row>
    <row r="10">
      <c r="Q10">
        <f>IF(OR(B10="SP",B10="RP",B10="CP",B10="SP/RP"),"P","H")</f>
        <v/>
      </c>
      <c r="R10">
        <f>IF(F10="",0,IFNA(VLOOKUP(F10,Trait_Polarity!$A:$C,2,FALSE),0))+IF(G10="",0,IFNA(VLOOKUP(G10,Trait_Polarity!$A:$C,2,FALSE),0))</f>
        <v/>
      </c>
      <c r="S10">
        <f>IF(F10="",0,IFNA(VLOOKUP(F10,Trait_Polarity!$A:$C,3,FALSE),0))+IF(G10="",0,IFNA(VLOOKUP(G10,Trait_Polarity!$A:$C,3,FALSE),0))</f>
        <v/>
      </c>
      <c r="T10">
        <f>IF(Q10="P",0,IFNA(VLOOKUP(IF(C10="","(none)",C10),Secondary_Versatility!$A:$B,2,FALSE),0))</f>
        <v/>
      </c>
      <c r="U10">
        <f>IF(H10="",0,LEN(H10)-LEN(SUBSTITUTE(H10,"|",""))+1)</f>
        <v/>
      </c>
      <c r="V10">
        <f>IF(Q10="P",(N10+O10+P10)/3,0.3*I10+0.3*J10+0.2*K10+0.1*L10+0.1*M10)</f>
        <v/>
      </c>
      <c r="W10">
        <f>IF(Q10="P",IF(F10="",0,IFNA(VLOOKUP(F10,Pitcher_Trait_Coef!$A:$B,2,FALSE),0))+IF(G10="",0,IFNA(VLOOKUP(G10,Pitcher_Trait_Coef!$A:$B,2,FALSE),0)),IF(F10="",0,IFNA(VLOOKUP(F10,Hitter_Trait_Coef!$A:$B,2,FALSE),0))+IF(G10="",0,IFNA(VLOOKUP(G10,Hitter_Trait_Coef!$A:$B,2,FALSE),0)))</f>
        <v/>
      </c>
      <c r="X10">
        <f>IF(Q10="P",IFNA(VLOOKUP(B10,Pitcher_Primary_Coef!$A:$B,2,FALSE),0),IFNA(VLOOKUP(B10,Hitter_Primary_Coef!$A:$B,2,FALSE),0))</f>
        <v/>
      </c>
      <c r="Y10">
        <f>IF(Q10="P",0,IFNA(VLOOKUP(IF(C10="","(none)",C10),Hitter_Secondary_Coef!$A:$B,2,FALSE),0))</f>
        <v/>
      </c>
      <c r="Z10">
        <f>IF(Q10="P",IF(ISNUMBER(SEARCH("2F",H10)),IFNA(VLOOKUP("2F",Pitch_Coef!$A:$B,2,FALSE),0),0)+IF(ISNUMBER(SEARCH("4F",H10)),IFNA(VLOOKUP("4F",Pitch_Coef!$A:$B,2,FALSE),0),0)+IF(ISNUMBER(SEARCH("CB",H10)),IFNA(VLOOKUP("CB",Pitch_Coef!$A:$B,2,FALSE),0),0)+IF(ISNUMBER(SEARCH("CF",H10)),IFNA(VLOOKUP("CF",Pitch_Coef!$A:$B,2,FALSE),0),0)+IF(ISNUMBER(SEARCH("CH",H10)),IFNA(VLOOKUP("CH",Pitch_Coef!$A:$B,2,FALSE),0),0)+IF(ISNUMBER(SEARCH("FK",H10)),IFNA(VLOOKUP("FK",Pitch_Coef!$A:$B,2,FALSE),0),0)+IF(ISNUMBER(SEARCH("SB",H10)),IFNA(VLOOKUP("SB",Pitch_Coef!$A:$B,2,FALSE),0),0)+IF(ISNUMBER(SEARCH("SL",H10)),IFNA(VLOOKUP("SL",Pitch_Coef!$A:$B,2,FALSE),0),0),0)</f>
        <v/>
      </c>
      <c r="AA10">
        <f>IF(Q10="P",16.5944849573+0.2529999141*N10+0.2665900378*O10+0.2632687105*P10+0.0427586837*I10+0.0534777057*J10+0.009015832*K10+0.0204898106*(O10*P10/100)+1.0091022427*U10+1.0968542297*IF(D10="L",1,0)+0.3771555045*IF(D10="S",1,0)-0.2226159177*IF(E10="L",1,0)+1.21385024*R10-1.1652812274*S10+W10+X10+Z10,10.5965166711+0.2825983581*I10+0.2806503532*J10+0.2027213083*K10+0.1147824982*L10+0.0915305332*M10-0.0088454122*(I10*J10/100)-0.0336045706*(K10*L10/100)+2.8497389733*IF(D10="L",1,0)+4.5116226727*IF(D10="S",1,0)-0.6571546448*IF(E10="L",1,0)+0.0850728147*T10+0.0129488446*(T10*T10)+0.1909373936*IF(OR(F10="Utility",G10="Utility"),T10,0)+0.9656824071*R10-1.7517683256*S10+W10+X10+Y10)</f>
        <v/>
      </c>
      <c r="AB10">
        <f>LOOKUP(AA10,Grade_Scale!$A$2:$A$18,Grade_Scale!$B$2:$B$18)</f>
        <v/>
      </c>
      <c r="AC10">
        <f>LOOKUP(AA10,Grade_Scale!$A$2:$A$18,Grade_Scale!$C$2:$C$18)</f>
        <v/>
      </c>
      <c r="AE10">
        <f>IF(AD10="","",AB10-VLOOKUP(AD10,Grade_Scale!$C$2:$E$18,3,FALSE))</f>
        <v/>
      </c>
    </row>
    <row r="11">
      <c r="Q11">
        <f>IF(OR(B11="SP",B11="RP",B11="CP",B11="SP/RP"),"P","H")</f>
        <v/>
      </c>
      <c r="R11">
        <f>IF(F11="",0,IFNA(VLOOKUP(F11,Trait_Polarity!$A:$C,2,FALSE),0))+IF(G11="",0,IFNA(VLOOKUP(G11,Trait_Polarity!$A:$C,2,FALSE),0))</f>
        <v/>
      </c>
      <c r="S11">
        <f>IF(F11="",0,IFNA(VLOOKUP(F11,Trait_Polarity!$A:$C,3,FALSE),0))+IF(G11="",0,IFNA(VLOOKUP(G11,Trait_Polarity!$A:$C,3,FALSE),0))</f>
        <v/>
      </c>
      <c r="T11">
        <f>IF(Q11="P",0,IFNA(VLOOKUP(IF(C11="","(none)",C11),Secondary_Versatility!$A:$B,2,FALSE),0))</f>
        <v/>
      </c>
      <c r="U11">
        <f>IF(H11="",0,LEN(H11)-LEN(SUBSTITUTE(H11,"|",""))+1)</f>
        <v/>
      </c>
      <c r="V11">
        <f>IF(Q11="P",(N11+O11+P11)/3,0.3*I11+0.3*J11+0.2*K11+0.1*L11+0.1*M11)</f>
        <v/>
      </c>
      <c r="W11">
        <f>IF(Q11="P",IF(F11="",0,IFNA(VLOOKUP(F11,Pitcher_Trait_Coef!$A:$B,2,FALSE),0))+IF(G11="",0,IFNA(VLOOKUP(G11,Pitcher_Trait_Coef!$A:$B,2,FALSE),0)),IF(F11="",0,IFNA(VLOOKUP(F11,Hitter_Trait_Coef!$A:$B,2,FALSE),0))+IF(G11="",0,IFNA(VLOOKUP(G11,Hitter_Trait_Coef!$A:$B,2,FALSE),0)))</f>
        <v/>
      </c>
      <c r="X11">
        <f>IF(Q11="P",IFNA(VLOOKUP(B11,Pitcher_Primary_Coef!$A:$B,2,FALSE),0),IFNA(VLOOKUP(B11,Hitter_Primary_Coef!$A:$B,2,FALSE),0))</f>
        <v/>
      </c>
      <c r="Y11">
        <f>IF(Q11="P",0,IFNA(VLOOKUP(IF(C11="","(none)",C11),Hitter_Secondary_Coef!$A:$B,2,FALSE),0))</f>
        <v/>
      </c>
      <c r="Z11">
        <f>IF(Q11="P",IF(ISNUMBER(SEARCH("2F",H11)),IFNA(VLOOKUP("2F",Pitch_Coef!$A:$B,2,FALSE),0),0)+IF(ISNUMBER(SEARCH("4F",H11)),IFNA(VLOOKUP("4F",Pitch_Coef!$A:$B,2,FALSE),0),0)+IF(ISNUMBER(SEARCH("CB",H11)),IFNA(VLOOKUP("CB",Pitch_Coef!$A:$B,2,FALSE),0),0)+IF(ISNUMBER(SEARCH("CF",H11)),IFNA(VLOOKUP("CF",Pitch_Coef!$A:$B,2,FALSE),0),0)+IF(ISNUMBER(SEARCH("CH",H11)),IFNA(VLOOKUP("CH",Pitch_Coef!$A:$B,2,FALSE),0),0)+IF(ISNUMBER(SEARCH("FK",H11)),IFNA(VLOOKUP("FK",Pitch_Coef!$A:$B,2,FALSE),0),0)+IF(ISNUMBER(SEARCH("SB",H11)),IFNA(VLOOKUP("SB",Pitch_Coef!$A:$B,2,FALSE),0),0)+IF(ISNUMBER(SEARCH("SL",H11)),IFNA(VLOOKUP("SL",Pitch_Coef!$A:$B,2,FALSE),0),0),0)</f>
        <v/>
      </c>
      <c r="AA11">
        <f>IF(Q11="P",16.5944849573+0.2529999141*N11+0.2665900378*O11+0.2632687105*P11+0.0427586837*I11+0.0534777057*J11+0.009015832*K11+0.0204898106*(O11*P11/100)+1.0091022427*U11+1.0968542297*IF(D11="L",1,0)+0.3771555045*IF(D11="S",1,0)-0.2226159177*IF(E11="L",1,0)+1.21385024*R11-1.1652812274*S11+W11+X11+Z11,10.5965166711+0.2825983581*I11+0.2806503532*J11+0.2027213083*K11+0.1147824982*L11+0.0915305332*M11-0.0088454122*(I11*J11/100)-0.0336045706*(K11*L11/100)+2.8497389733*IF(D11="L",1,0)+4.5116226727*IF(D11="S",1,0)-0.6571546448*IF(E11="L",1,0)+0.0850728147*T11+0.0129488446*(T11*T11)+0.1909373936*IF(OR(F11="Utility",G11="Utility"),T11,0)+0.9656824071*R11-1.7517683256*S11+W11+X11+Y11)</f>
        <v/>
      </c>
      <c r="AB11">
        <f>LOOKUP(AA11,Grade_Scale!$A$2:$A$18,Grade_Scale!$B$2:$B$18)</f>
        <v/>
      </c>
      <c r="AC11">
        <f>LOOKUP(AA11,Grade_Scale!$A$2:$A$18,Grade_Scale!$C$2:$C$18)</f>
        <v/>
      </c>
      <c r="AE11">
        <f>IF(AD11="","",AB11-VLOOKUP(AD11,Grade_Scale!$C$2:$E$18,3,FALSE))</f>
        <v/>
      </c>
    </row>
    <row r="12">
      <c r="Q12">
        <f>IF(OR(B12="SP",B12="RP",B12="CP",B12="SP/RP"),"P","H")</f>
        <v/>
      </c>
      <c r="R12">
        <f>IF(F12="",0,IFNA(VLOOKUP(F12,Trait_Polarity!$A:$C,2,FALSE),0))+IF(G12="",0,IFNA(VLOOKUP(G12,Trait_Polarity!$A:$C,2,FALSE),0))</f>
        <v/>
      </c>
      <c r="S12">
        <f>IF(F12="",0,IFNA(VLOOKUP(F12,Trait_Polarity!$A:$C,3,FALSE),0))+IF(G12="",0,IFNA(VLOOKUP(G12,Trait_Polarity!$A:$C,3,FALSE),0))</f>
        <v/>
      </c>
      <c r="T12">
        <f>IF(Q12="P",0,IFNA(VLOOKUP(IF(C12="","(none)",C12),Secondary_Versatility!$A:$B,2,FALSE),0))</f>
        <v/>
      </c>
      <c r="U12">
        <f>IF(H12="",0,LEN(H12)-LEN(SUBSTITUTE(H12,"|",""))+1)</f>
        <v/>
      </c>
      <c r="V12">
        <f>IF(Q12="P",(N12+O12+P12)/3,0.3*I12+0.3*J12+0.2*K12+0.1*L12+0.1*M12)</f>
        <v/>
      </c>
      <c r="W12">
        <f>IF(Q12="P",IF(F12="",0,IFNA(VLOOKUP(F12,Pitcher_Trait_Coef!$A:$B,2,FALSE),0))+IF(G12="",0,IFNA(VLOOKUP(G12,Pitcher_Trait_Coef!$A:$B,2,FALSE),0)),IF(F12="",0,IFNA(VLOOKUP(F12,Hitter_Trait_Coef!$A:$B,2,FALSE),0))+IF(G12="",0,IFNA(VLOOKUP(G12,Hitter_Trait_Coef!$A:$B,2,FALSE),0)))</f>
        <v/>
      </c>
      <c r="X12">
        <f>IF(Q12="P",IFNA(VLOOKUP(B12,Pitcher_Primary_Coef!$A:$B,2,FALSE),0),IFNA(VLOOKUP(B12,Hitter_Primary_Coef!$A:$B,2,FALSE),0))</f>
        <v/>
      </c>
      <c r="Y12">
        <f>IF(Q12="P",0,IFNA(VLOOKUP(IF(C12="","(none)",C12),Hitter_Secondary_Coef!$A:$B,2,FALSE),0))</f>
        <v/>
      </c>
      <c r="Z12">
        <f>IF(Q12="P",IF(ISNUMBER(SEARCH("2F",H12)),IFNA(VLOOKUP("2F",Pitch_Coef!$A:$B,2,FALSE),0),0)+IF(ISNUMBER(SEARCH("4F",H12)),IFNA(VLOOKUP("4F",Pitch_Coef!$A:$B,2,FALSE),0),0)+IF(ISNUMBER(SEARCH("CB",H12)),IFNA(VLOOKUP("CB",Pitch_Coef!$A:$B,2,FALSE),0),0)+IF(ISNUMBER(SEARCH("CF",H12)),IFNA(VLOOKUP("CF",Pitch_Coef!$A:$B,2,FALSE),0),0)+IF(ISNUMBER(SEARCH("CH",H12)),IFNA(VLOOKUP("CH",Pitch_Coef!$A:$B,2,FALSE),0),0)+IF(ISNUMBER(SEARCH("FK",H12)),IFNA(VLOOKUP("FK",Pitch_Coef!$A:$B,2,FALSE),0),0)+IF(ISNUMBER(SEARCH("SB",H12)),IFNA(VLOOKUP("SB",Pitch_Coef!$A:$B,2,FALSE),0),0)+IF(ISNUMBER(SEARCH("SL",H12)),IFNA(VLOOKUP("SL",Pitch_Coef!$A:$B,2,FALSE),0),0),0)</f>
        <v/>
      </c>
      <c r="AA12">
        <f>IF(Q12="P",16.5944849573+0.2529999141*N12+0.2665900378*O12+0.2632687105*P12+0.0427586837*I12+0.0534777057*J12+0.009015832*K12+0.0204898106*(O12*P12/100)+1.0091022427*U12+1.0968542297*IF(D12="L",1,0)+0.3771555045*IF(D12="S",1,0)-0.2226159177*IF(E12="L",1,0)+1.21385024*R12-1.1652812274*S12+W12+X12+Z12,10.5965166711+0.2825983581*I12+0.2806503532*J12+0.2027213083*K12+0.1147824982*L12+0.0915305332*M12-0.0088454122*(I12*J12/100)-0.0336045706*(K12*L12/100)+2.8497389733*IF(D12="L",1,0)+4.5116226727*IF(D12="S",1,0)-0.6571546448*IF(E12="L",1,0)+0.0850728147*T12+0.0129488446*(T12*T12)+0.1909373936*IF(OR(F12="Utility",G12="Utility"),T12,0)+0.9656824071*R12-1.7517683256*S12+W12+X12+Y12)</f>
        <v/>
      </c>
      <c r="AB12">
        <f>LOOKUP(AA12,Grade_Scale!$A$2:$A$18,Grade_Scale!$B$2:$B$18)</f>
        <v/>
      </c>
      <c r="AC12">
        <f>LOOKUP(AA12,Grade_Scale!$A$2:$A$18,Grade_Scale!$C$2:$C$18)</f>
        <v/>
      </c>
      <c r="AE12">
        <f>IF(AD12="","",AB12-VLOOKUP(AD12,Grade_Scale!$C$2:$E$18,3,FALSE))</f>
        <v/>
      </c>
    </row>
    <row r="13">
      <c r="Q13">
        <f>IF(OR(B13="SP",B13="RP",B13="CP",B13="SP/RP"),"P","H")</f>
        <v/>
      </c>
      <c r="R13">
        <f>IF(F13="",0,IFNA(VLOOKUP(F13,Trait_Polarity!$A:$C,2,FALSE),0))+IF(G13="",0,IFNA(VLOOKUP(G13,Trait_Polarity!$A:$C,2,FALSE),0))</f>
        <v/>
      </c>
      <c r="S13">
        <f>IF(F13="",0,IFNA(VLOOKUP(F13,Trait_Polarity!$A:$C,3,FALSE),0))+IF(G13="",0,IFNA(VLOOKUP(G13,Trait_Polarity!$A:$C,3,FALSE),0))</f>
        <v/>
      </c>
      <c r="T13">
        <f>IF(Q13="P",0,IFNA(VLOOKUP(IF(C13="","(none)",C13),Secondary_Versatility!$A:$B,2,FALSE),0))</f>
        <v/>
      </c>
      <c r="U13">
        <f>IF(H13="",0,LEN(H13)-LEN(SUBSTITUTE(H13,"|",""))+1)</f>
        <v/>
      </c>
      <c r="V13">
        <f>IF(Q13="P",(N13+O13+P13)/3,0.3*I13+0.3*J13+0.2*K13+0.1*L13+0.1*M13)</f>
        <v/>
      </c>
      <c r="W13">
        <f>IF(Q13="P",IF(F13="",0,IFNA(VLOOKUP(F13,Pitcher_Trait_Coef!$A:$B,2,FALSE),0))+IF(G13="",0,IFNA(VLOOKUP(G13,Pitcher_Trait_Coef!$A:$B,2,FALSE),0)),IF(F13="",0,IFNA(VLOOKUP(F13,Hitter_Trait_Coef!$A:$B,2,FALSE),0))+IF(G13="",0,IFNA(VLOOKUP(G13,Hitter_Trait_Coef!$A:$B,2,FALSE),0)))</f>
        <v/>
      </c>
      <c r="X13">
        <f>IF(Q13="P",IFNA(VLOOKUP(B13,Pitcher_Primary_Coef!$A:$B,2,FALSE),0),IFNA(VLOOKUP(B13,Hitter_Primary_Coef!$A:$B,2,FALSE),0))</f>
        <v/>
      </c>
      <c r="Y13">
        <f>IF(Q13="P",0,IFNA(VLOOKUP(IF(C13="","(none)",C13),Hitter_Secondary_Coef!$A:$B,2,FALSE),0))</f>
        <v/>
      </c>
      <c r="Z13">
        <f>IF(Q13="P",IF(ISNUMBER(SEARCH("2F",H13)),IFNA(VLOOKUP("2F",Pitch_Coef!$A:$B,2,FALSE),0),0)+IF(ISNUMBER(SEARCH("4F",H13)),IFNA(VLOOKUP("4F",Pitch_Coef!$A:$B,2,FALSE),0),0)+IF(ISNUMBER(SEARCH("CB",H13)),IFNA(VLOOKUP("CB",Pitch_Coef!$A:$B,2,FALSE),0),0)+IF(ISNUMBER(SEARCH("CF",H13)),IFNA(VLOOKUP("CF",Pitch_Coef!$A:$B,2,FALSE),0),0)+IF(ISNUMBER(SEARCH("CH",H13)),IFNA(VLOOKUP("CH",Pitch_Coef!$A:$B,2,FALSE),0),0)+IF(ISNUMBER(SEARCH("FK",H13)),IFNA(VLOOKUP("FK",Pitch_Coef!$A:$B,2,FALSE),0),0)+IF(ISNUMBER(SEARCH("SB",H13)),IFNA(VLOOKUP("SB",Pitch_Coef!$A:$B,2,FALSE),0),0)+IF(ISNUMBER(SEARCH("SL",H13)),IFNA(VLOOKUP("SL",Pitch_Coef!$A:$B,2,FALSE),0),0),0)</f>
        <v/>
      </c>
      <c r="AA13">
        <f>IF(Q13="P",16.5944849573+0.2529999141*N13+0.2665900378*O13+0.2632687105*P13+0.0427586837*I13+0.0534777057*J13+0.009015832*K13+0.0204898106*(O13*P13/100)+1.0091022427*U13+1.0968542297*IF(D13="L",1,0)+0.3771555045*IF(D13="S",1,0)-0.2226159177*IF(E13="L",1,0)+1.21385024*R13-1.1652812274*S13+W13+X13+Z13,10.5965166711+0.2825983581*I13+0.2806503532*J13+0.2027213083*K13+0.1147824982*L13+0.0915305332*M13-0.0088454122*(I13*J13/100)-0.0336045706*(K13*L13/100)+2.8497389733*IF(D13="L",1,0)+4.5116226727*IF(D13="S",1,0)-0.6571546448*IF(E13="L",1,0)+0.0850728147*T13+0.0129488446*(T13*T13)+0.1909373936*IF(OR(F13="Utility",G13="Utility"),T13,0)+0.9656824071*R13-1.7517683256*S13+W13+X13+Y13)</f>
        <v/>
      </c>
      <c r="AB13">
        <f>LOOKUP(AA13,Grade_Scale!$A$2:$A$18,Grade_Scale!$B$2:$B$18)</f>
        <v/>
      </c>
      <c r="AC13">
        <f>LOOKUP(AA13,Grade_Scale!$A$2:$A$18,Grade_Scale!$C$2:$C$18)</f>
        <v/>
      </c>
      <c r="AE13">
        <f>IF(AD13="","",AB13-VLOOKUP(AD13,Grade_Scale!$C$2:$E$18,3,FALSE))</f>
        <v/>
      </c>
    </row>
    <row r="14">
      <c r="Q14">
        <f>IF(OR(B14="SP",B14="RP",B14="CP",B14="SP/RP"),"P","H")</f>
        <v/>
      </c>
      <c r="R14">
        <f>IF(F14="",0,IFNA(VLOOKUP(F14,Trait_Polarity!$A:$C,2,FALSE),0))+IF(G14="",0,IFNA(VLOOKUP(G14,Trait_Polarity!$A:$C,2,FALSE),0))</f>
        <v/>
      </c>
      <c r="S14">
        <f>IF(F14="",0,IFNA(VLOOKUP(F14,Trait_Polarity!$A:$C,3,FALSE),0))+IF(G14="",0,IFNA(VLOOKUP(G14,Trait_Polarity!$A:$C,3,FALSE),0))</f>
        <v/>
      </c>
      <c r="T14">
        <f>IF(Q14="P",0,IFNA(VLOOKUP(IF(C14="","(none)",C14),Secondary_Versatility!$A:$B,2,FALSE),0))</f>
        <v/>
      </c>
      <c r="U14">
        <f>IF(H14="",0,LEN(H14)-LEN(SUBSTITUTE(H14,"|",""))+1)</f>
        <v/>
      </c>
      <c r="V14">
        <f>IF(Q14="P",(N14+O14+P14)/3,0.3*I14+0.3*J14+0.2*K14+0.1*L14+0.1*M14)</f>
        <v/>
      </c>
      <c r="W14">
        <f>IF(Q14="P",IF(F14="",0,IFNA(VLOOKUP(F14,Pitcher_Trait_Coef!$A:$B,2,FALSE),0))+IF(G14="",0,IFNA(VLOOKUP(G14,Pitcher_Trait_Coef!$A:$B,2,FALSE),0)),IF(F14="",0,IFNA(VLOOKUP(F14,Hitter_Trait_Coef!$A:$B,2,FALSE),0))+IF(G14="",0,IFNA(VLOOKUP(G14,Hitter_Trait_Coef!$A:$B,2,FALSE),0)))</f>
        <v/>
      </c>
      <c r="X14">
        <f>IF(Q14="P",IFNA(VLOOKUP(B14,Pitcher_Primary_Coef!$A:$B,2,FALSE),0),IFNA(VLOOKUP(B14,Hitter_Primary_Coef!$A:$B,2,FALSE),0))</f>
        <v/>
      </c>
      <c r="Y14">
        <f>IF(Q14="P",0,IFNA(VLOOKUP(IF(C14="","(none)",C14),Hitter_Secondary_Coef!$A:$B,2,FALSE),0))</f>
        <v/>
      </c>
      <c r="Z14">
        <f>IF(Q14="P",IF(ISNUMBER(SEARCH("2F",H14)),IFNA(VLOOKUP("2F",Pitch_Coef!$A:$B,2,FALSE),0),0)+IF(ISNUMBER(SEARCH("4F",H14)),IFNA(VLOOKUP("4F",Pitch_Coef!$A:$B,2,FALSE),0),0)+IF(ISNUMBER(SEARCH("CB",H14)),IFNA(VLOOKUP("CB",Pitch_Coef!$A:$B,2,FALSE),0),0)+IF(ISNUMBER(SEARCH("CF",H14)),IFNA(VLOOKUP("CF",Pitch_Coef!$A:$B,2,FALSE),0),0)+IF(ISNUMBER(SEARCH("CH",H14)),IFNA(VLOOKUP("CH",Pitch_Coef!$A:$B,2,FALSE),0),0)+IF(ISNUMBER(SEARCH("FK",H14)),IFNA(VLOOKUP("FK",Pitch_Coef!$A:$B,2,FALSE),0),0)+IF(ISNUMBER(SEARCH("SB",H14)),IFNA(VLOOKUP("SB",Pitch_Coef!$A:$B,2,FALSE),0),0)+IF(ISNUMBER(SEARCH("SL",H14)),IFNA(VLOOKUP("SL",Pitch_Coef!$A:$B,2,FALSE),0),0),0)</f>
        <v/>
      </c>
      <c r="AA14">
        <f>IF(Q14="P",16.5944849573+0.2529999141*N14+0.2665900378*O14+0.2632687105*P14+0.0427586837*I14+0.0534777057*J14+0.009015832*K14+0.0204898106*(O14*P14/100)+1.0091022427*U14+1.0968542297*IF(D14="L",1,0)+0.3771555045*IF(D14="S",1,0)-0.2226159177*IF(E14="L",1,0)+1.21385024*R14-1.1652812274*S14+W14+X14+Z14,10.5965166711+0.2825983581*I14+0.2806503532*J14+0.2027213083*K14+0.1147824982*L14+0.0915305332*M14-0.0088454122*(I14*J14/100)-0.0336045706*(K14*L14/100)+2.8497389733*IF(D14="L",1,0)+4.5116226727*IF(D14="S",1,0)-0.6571546448*IF(E14="L",1,0)+0.0850728147*T14+0.0129488446*(T14*T14)+0.1909373936*IF(OR(F14="Utility",G14="Utility"),T14,0)+0.9656824071*R14-1.7517683256*S14+W14+X14+Y14)</f>
        <v/>
      </c>
      <c r="AB14">
        <f>LOOKUP(AA14,Grade_Scale!$A$2:$A$18,Grade_Scale!$B$2:$B$18)</f>
        <v/>
      </c>
      <c r="AC14">
        <f>LOOKUP(AA14,Grade_Scale!$A$2:$A$18,Grade_Scale!$C$2:$C$18)</f>
        <v/>
      </c>
      <c r="AE14">
        <f>IF(AD14="","",AB14-VLOOKUP(AD14,Grade_Scale!$C$2:$E$18,3,FALSE))</f>
        <v/>
      </c>
    </row>
    <row r="15">
      <c r="Q15">
        <f>IF(OR(B15="SP",B15="RP",B15="CP",B15="SP/RP"),"P","H")</f>
        <v/>
      </c>
      <c r="R15">
        <f>IF(F15="",0,IFNA(VLOOKUP(F15,Trait_Polarity!$A:$C,2,FALSE),0))+IF(G15="",0,IFNA(VLOOKUP(G15,Trait_Polarity!$A:$C,2,FALSE),0))</f>
        <v/>
      </c>
      <c r="S15">
        <f>IF(F15="",0,IFNA(VLOOKUP(F15,Trait_Polarity!$A:$C,3,FALSE),0))+IF(G15="",0,IFNA(VLOOKUP(G15,Trait_Polarity!$A:$C,3,FALSE),0))</f>
        <v/>
      </c>
      <c r="T15">
        <f>IF(Q15="P",0,IFNA(VLOOKUP(IF(C15="","(none)",C15),Secondary_Versatility!$A:$B,2,FALSE),0))</f>
        <v/>
      </c>
      <c r="U15">
        <f>IF(H15="",0,LEN(H15)-LEN(SUBSTITUTE(H15,"|",""))+1)</f>
        <v/>
      </c>
      <c r="V15">
        <f>IF(Q15="P",(N15+O15+P15)/3,0.3*I15+0.3*J15+0.2*K15+0.1*L15+0.1*M15)</f>
        <v/>
      </c>
      <c r="W15">
        <f>IF(Q15="P",IF(F15="",0,IFNA(VLOOKUP(F15,Pitcher_Trait_Coef!$A:$B,2,FALSE),0))+IF(G15="",0,IFNA(VLOOKUP(G15,Pitcher_Trait_Coef!$A:$B,2,FALSE),0)),IF(F15="",0,IFNA(VLOOKUP(F15,Hitter_Trait_Coef!$A:$B,2,FALSE),0))+IF(G15="",0,IFNA(VLOOKUP(G15,Hitter_Trait_Coef!$A:$B,2,FALSE),0)))</f>
        <v/>
      </c>
      <c r="X15">
        <f>IF(Q15="P",IFNA(VLOOKUP(B15,Pitcher_Primary_Coef!$A:$B,2,FALSE),0),IFNA(VLOOKUP(B15,Hitter_Primary_Coef!$A:$B,2,FALSE),0))</f>
        <v/>
      </c>
      <c r="Y15">
        <f>IF(Q15="P",0,IFNA(VLOOKUP(IF(C15="","(none)",C15),Hitter_Secondary_Coef!$A:$B,2,FALSE),0))</f>
        <v/>
      </c>
      <c r="Z15">
        <f>IF(Q15="P",IF(ISNUMBER(SEARCH("2F",H15)),IFNA(VLOOKUP("2F",Pitch_Coef!$A:$B,2,FALSE),0),0)+IF(ISNUMBER(SEARCH("4F",H15)),IFNA(VLOOKUP("4F",Pitch_Coef!$A:$B,2,FALSE),0),0)+IF(ISNUMBER(SEARCH("CB",H15)),IFNA(VLOOKUP("CB",Pitch_Coef!$A:$B,2,FALSE),0),0)+IF(ISNUMBER(SEARCH("CF",H15)),IFNA(VLOOKUP("CF",Pitch_Coef!$A:$B,2,FALSE),0),0)+IF(ISNUMBER(SEARCH("CH",H15)),IFNA(VLOOKUP("CH",Pitch_Coef!$A:$B,2,FALSE),0),0)+IF(ISNUMBER(SEARCH("FK",H15)),IFNA(VLOOKUP("FK",Pitch_Coef!$A:$B,2,FALSE),0),0)+IF(ISNUMBER(SEARCH("SB",H15)),IFNA(VLOOKUP("SB",Pitch_Coef!$A:$B,2,FALSE),0),0)+IF(ISNUMBER(SEARCH("SL",H15)),IFNA(VLOOKUP("SL",Pitch_Coef!$A:$B,2,FALSE),0),0),0)</f>
        <v/>
      </c>
      <c r="AA15">
        <f>IF(Q15="P",16.5944849573+0.2529999141*N15+0.2665900378*O15+0.2632687105*P15+0.0427586837*I15+0.0534777057*J15+0.009015832*K15+0.0204898106*(O15*P15/100)+1.0091022427*U15+1.0968542297*IF(D15="L",1,0)+0.3771555045*IF(D15="S",1,0)-0.2226159177*IF(E15="L",1,0)+1.21385024*R15-1.1652812274*S15+W15+X15+Z15,10.5965166711+0.2825983581*I15+0.2806503532*J15+0.2027213083*K15+0.1147824982*L15+0.0915305332*M15-0.0088454122*(I15*J15/100)-0.0336045706*(K15*L15/100)+2.8497389733*IF(D15="L",1,0)+4.5116226727*IF(D15="S",1,0)-0.6571546448*IF(E15="L",1,0)+0.0850728147*T15+0.0129488446*(T15*T15)+0.1909373936*IF(OR(F15="Utility",G15="Utility"),T15,0)+0.9656824071*R15-1.7517683256*S15+W15+X15+Y15)</f>
        <v/>
      </c>
      <c r="AB15">
        <f>LOOKUP(AA15,Grade_Scale!$A$2:$A$18,Grade_Scale!$B$2:$B$18)</f>
        <v/>
      </c>
      <c r="AC15">
        <f>LOOKUP(AA15,Grade_Scale!$A$2:$A$18,Grade_Scale!$C$2:$C$18)</f>
        <v/>
      </c>
      <c r="AE15">
        <f>IF(AD15="","",AB15-VLOOKUP(AD15,Grade_Scale!$C$2:$E$18,3,FALSE))</f>
        <v/>
      </c>
    </row>
    <row r="16">
      <c r="Q16">
        <f>IF(OR(B16="SP",B16="RP",B16="CP",B16="SP/RP"),"P","H")</f>
        <v/>
      </c>
      <c r="R16">
        <f>IF(F16="",0,IFNA(VLOOKUP(F16,Trait_Polarity!$A:$C,2,FALSE),0))+IF(G16="",0,IFNA(VLOOKUP(G16,Trait_Polarity!$A:$C,2,FALSE),0))</f>
        <v/>
      </c>
      <c r="S16">
        <f>IF(F16="",0,IFNA(VLOOKUP(F16,Trait_Polarity!$A:$C,3,FALSE),0))+IF(G16="",0,IFNA(VLOOKUP(G16,Trait_Polarity!$A:$C,3,FALSE),0))</f>
        <v/>
      </c>
      <c r="T16">
        <f>IF(Q16="P",0,IFNA(VLOOKUP(IF(C16="","(none)",C16),Secondary_Versatility!$A:$B,2,FALSE),0))</f>
        <v/>
      </c>
      <c r="U16">
        <f>IF(H16="",0,LEN(H16)-LEN(SUBSTITUTE(H16,"|",""))+1)</f>
        <v/>
      </c>
      <c r="V16">
        <f>IF(Q16="P",(N16+O16+P16)/3,0.3*I16+0.3*J16+0.2*K16+0.1*L16+0.1*M16)</f>
        <v/>
      </c>
      <c r="W16">
        <f>IF(Q16="P",IF(F16="",0,IFNA(VLOOKUP(F16,Pitcher_Trait_Coef!$A:$B,2,FALSE),0))+IF(G16="",0,IFNA(VLOOKUP(G16,Pitcher_Trait_Coef!$A:$B,2,FALSE),0)),IF(F16="",0,IFNA(VLOOKUP(F16,Hitter_Trait_Coef!$A:$B,2,FALSE),0))+IF(G16="",0,IFNA(VLOOKUP(G16,Hitter_Trait_Coef!$A:$B,2,FALSE),0)))</f>
        <v/>
      </c>
      <c r="X16">
        <f>IF(Q16="P",IFNA(VLOOKUP(B16,Pitcher_Primary_Coef!$A:$B,2,FALSE),0),IFNA(VLOOKUP(B16,Hitter_Primary_Coef!$A:$B,2,FALSE),0))</f>
        <v/>
      </c>
      <c r="Y16">
        <f>IF(Q16="P",0,IFNA(VLOOKUP(IF(C16="","(none)",C16),Hitter_Secondary_Coef!$A:$B,2,FALSE),0))</f>
        <v/>
      </c>
      <c r="Z16">
        <f>IF(Q16="P",IF(ISNUMBER(SEARCH("2F",H16)),IFNA(VLOOKUP("2F",Pitch_Coef!$A:$B,2,FALSE),0),0)+IF(ISNUMBER(SEARCH("4F",H16)),IFNA(VLOOKUP("4F",Pitch_Coef!$A:$B,2,FALSE),0),0)+IF(ISNUMBER(SEARCH("CB",H16)),IFNA(VLOOKUP("CB",Pitch_Coef!$A:$B,2,FALSE),0),0)+IF(ISNUMBER(SEARCH("CF",H16)),IFNA(VLOOKUP("CF",Pitch_Coef!$A:$B,2,FALSE),0),0)+IF(ISNUMBER(SEARCH("CH",H16)),IFNA(VLOOKUP("CH",Pitch_Coef!$A:$B,2,FALSE),0),0)+IF(ISNUMBER(SEARCH("FK",H16)),IFNA(VLOOKUP("FK",Pitch_Coef!$A:$B,2,FALSE),0),0)+IF(ISNUMBER(SEARCH("SB",H16)),IFNA(VLOOKUP("SB",Pitch_Coef!$A:$B,2,FALSE),0),0)+IF(ISNUMBER(SEARCH("SL",H16)),IFNA(VLOOKUP("SL",Pitch_Coef!$A:$B,2,FALSE),0),0),0)</f>
        <v/>
      </c>
      <c r="AA16">
        <f>IF(Q16="P",16.5944849573+0.2529999141*N16+0.2665900378*O16+0.2632687105*P16+0.0427586837*I16+0.0534777057*J16+0.009015832*K16+0.0204898106*(O16*P16/100)+1.0091022427*U16+1.0968542297*IF(D16="L",1,0)+0.3771555045*IF(D16="S",1,0)-0.2226159177*IF(E16="L",1,0)+1.21385024*R16-1.1652812274*S16+W16+X16+Z16,10.5965166711+0.2825983581*I16+0.2806503532*J16+0.2027213083*K16+0.1147824982*L16+0.0915305332*M16-0.0088454122*(I16*J16/100)-0.0336045706*(K16*L16/100)+2.8497389733*IF(D16="L",1,0)+4.5116226727*IF(D16="S",1,0)-0.6571546448*IF(E16="L",1,0)+0.0850728147*T16+0.0129488446*(T16*T16)+0.1909373936*IF(OR(F16="Utility",G16="Utility"),T16,0)+0.9656824071*R16-1.7517683256*S16+W16+X16+Y16)</f>
        <v/>
      </c>
      <c r="AB16">
        <f>LOOKUP(AA16,Grade_Scale!$A$2:$A$18,Grade_Scale!$B$2:$B$18)</f>
        <v/>
      </c>
      <c r="AC16">
        <f>LOOKUP(AA16,Grade_Scale!$A$2:$A$18,Grade_Scale!$C$2:$C$18)</f>
        <v/>
      </c>
      <c r="AE16">
        <f>IF(AD16="","",AB16-VLOOKUP(AD16,Grade_Scale!$C$2:$E$18,3,FALSE))</f>
        <v/>
      </c>
    </row>
    <row r="17">
      <c r="Q17">
        <f>IF(OR(B17="SP",B17="RP",B17="CP",B17="SP/RP"),"P","H")</f>
        <v/>
      </c>
      <c r="R17">
        <f>IF(F17="",0,IFNA(VLOOKUP(F17,Trait_Polarity!$A:$C,2,FALSE),0))+IF(G17="",0,IFNA(VLOOKUP(G17,Trait_Polarity!$A:$C,2,FALSE),0))</f>
        <v/>
      </c>
      <c r="S17">
        <f>IF(F17="",0,IFNA(VLOOKUP(F17,Trait_Polarity!$A:$C,3,FALSE),0))+IF(G17="",0,IFNA(VLOOKUP(G17,Trait_Polarity!$A:$C,3,FALSE),0))</f>
        <v/>
      </c>
      <c r="T17">
        <f>IF(Q17="P",0,IFNA(VLOOKUP(IF(C17="","(none)",C17),Secondary_Versatility!$A:$B,2,FALSE),0))</f>
        <v/>
      </c>
      <c r="U17">
        <f>IF(H17="",0,LEN(H17)-LEN(SUBSTITUTE(H17,"|",""))+1)</f>
        <v/>
      </c>
      <c r="V17">
        <f>IF(Q17="P",(N17+O17+P17)/3,0.3*I17+0.3*J17+0.2*K17+0.1*L17+0.1*M17)</f>
        <v/>
      </c>
      <c r="W17">
        <f>IF(Q17="P",IF(F17="",0,IFNA(VLOOKUP(F17,Pitcher_Trait_Coef!$A:$B,2,FALSE),0))+IF(G17="",0,IFNA(VLOOKUP(G17,Pitcher_Trait_Coef!$A:$B,2,FALSE),0)),IF(F17="",0,IFNA(VLOOKUP(F17,Hitter_Trait_Coef!$A:$B,2,FALSE),0))+IF(G17="",0,IFNA(VLOOKUP(G17,Hitter_Trait_Coef!$A:$B,2,FALSE),0)))</f>
        <v/>
      </c>
      <c r="X17">
        <f>IF(Q17="P",IFNA(VLOOKUP(B17,Pitcher_Primary_Coef!$A:$B,2,FALSE),0),IFNA(VLOOKUP(B17,Hitter_Primary_Coef!$A:$B,2,FALSE),0))</f>
        <v/>
      </c>
      <c r="Y17">
        <f>IF(Q17="P",0,IFNA(VLOOKUP(IF(C17="","(none)",C17),Hitter_Secondary_Coef!$A:$B,2,FALSE),0))</f>
        <v/>
      </c>
      <c r="Z17">
        <f>IF(Q17="P",IF(ISNUMBER(SEARCH("2F",H17)),IFNA(VLOOKUP("2F",Pitch_Coef!$A:$B,2,FALSE),0),0)+IF(ISNUMBER(SEARCH("4F",H17)),IFNA(VLOOKUP("4F",Pitch_Coef!$A:$B,2,FALSE),0),0)+IF(ISNUMBER(SEARCH("CB",H17)),IFNA(VLOOKUP("CB",Pitch_Coef!$A:$B,2,FALSE),0),0)+IF(ISNUMBER(SEARCH("CF",H17)),IFNA(VLOOKUP("CF",Pitch_Coef!$A:$B,2,FALSE),0),0)+IF(ISNUMBER(SEARCH("CH",H17)),IFNA(VLOOKUP("CH",Pitch_Coef!$A:$B,2,FALSE),0),0)+IF(ISNUMBER(SEARCH("FK",H17)),IFNA(VLOOKUP("FK",Pitch_Coef!$A:$B,2,FALSE),0),0)+IF(ISNUMBER(SEARCH("SB",H17)),IFNA(VLOOKUP("SB",Pitch_Coef!$A:$B,2,FALSE),0),0)+IF(ISNUMBER(SEARCH("SL",H17)),IFNA(VLOOKUP("SL",Pitch_Coef!$A:$B,2,FALSE),0),0),0)</f>
        <v/>
      </c>
      <c r="AA17">
        <f>IF(Q17="P",16.5944849573+0.2529999141*N17+0.2665900378*O17+0.2632687105*P17+0.0427586837*I17+0.0534777057*J17+0.009015832*K17+0.0204898106*(O17*P17/100)+1.0091022427*U17+1.0968542297*IF(D17="L",1,0)+0.3771555045*IF(D17="S",1,0)-0.2226159177*IF(E17="L",1,0)+1.21385024*R17-1.1652812274*S17+W17+X17+Z17,10.5965166711+0.2825983581*I17+0.2806503532*J17+0.2027213083*K17+0.1147824982*L17+0.0915305332*M17-0.0088454122*(I17*J17/100)-0.0336045706*(K17*L17/100)+2.8497389733*IF(D17="L",1,0)+4.5116226727*IF(D17="S",1,0)-0.6571546448*IF(E17="L",1,0)+0.0850728147*T17+0.0129488446*(T17*T17)+0.1909373936*IF(OR(F17="Utility",G17="Utility"),T17,0)+0.9656824071*R17-1.7517683256*S17+W17+X17+Y17)</f>
        <v/>
      </c>
      <c r="AB17">
        <f>LOOKUP(AA17,Grade_Scale!$A$2:$A$18,Grade_Scale!$B$2:$B$18)</f>
        <v/>
      </c>
      <c r="AC17">
        <f>LOOKUP(AA17,Grade_Scale!$A$2:$A$18,Grade_Scale!$C$2:$C$18)</f>
        <v/>
      </c>
      <c r="AE17">
        <f>IF(AD17="","",AB17-VLOOKUP(AD17,Grade_Scale!$C$2:$E$18,3,FALSE))</f>
        <v/>
      </c>
    </row>
    <row r="18">
      <c r="Q18">
        <f>IF(OR(B18="SP",B18="RP",B18="CP",B18="SP/RP"),"P","H")</f>
        <v/>
      </c>
      <c r="R18">
        <f>IF(F18="",0,IFNA(VLOOKUP(F18,Trait_Polarity!$A:$C,2,FALSE),0))+IF(G18="",0,IFNA(VLOOKUP(G18,Trait_Polarity!$A:$C,2,FALSE),0))</f>
        <v/>
      </c>
      <c r="S18">
        <f>IF(F18="",0,IFNA(VLOOKUP(F18,Trait_Polarity!$A:$C,3,FALSE),0))+IF(G18="",0,IFNA(VLOOKUP(G18,Trait_Polarity!$A:$C,3,FALSE),0))</f>
        <v/>
      </c>
      <c r="T18">
        <f>IF(Q18="P",0,IFNA(VLOOKUP(IF(C18="","(none)",C18),Secondary_Versatility!$A:$B,2,FALSE),0))</f>
        <v/>
      </c>
      <c r="U18">
        <f>IF(H18="",0,LEN(H18)-LEN(SUBSTITUTE(H18,"|",""))+1)</f>
        <v/>
      </c>
      <c r="V18">
        <f>IF(Q18="P",(N18+O18+P18)/3,0.3*I18+0.3*J18+0.2*K18+0.1*L18+0.1*M18)</f>
        <v/>
      </c>
      <c r="W18">
        <f>IF(Q18="P",IF(F18="",0,IFNA(VLOOKUP(F18,Pitcher_Trait_Coef!$A:$B,2,FALSE),0))+IF(G18="",0,IFNA(VLOOKUP(G18,Pitcher_Trait_Coef!$A:$B,2,FALSE),0)),IF(F18="",0,IFNA(VLOOKUP(F18,Hitter_Trait_Coef!$A:$B,2,FALSE),0))+IF(G18="",0,IFNA(VLOOKUP(G18,Hitter_Trait_Coef!$A:$B,2,FALSE),0)))</f>
        <v/>
      </c>
      <c r="X18">
        <f>IF(Q18="P",IFNA(VLOOKUP(B18,Pitcher_Primary_Coef!$A:$B,2,FALSE),0),IFNA(VLOOKUP(B18,Hitter_Primary_Coef!$A:$B,2,FALSE),0))</f>
        <v/>
      </c>
      <c r="Y18">
        <f>IF(Q18="P",0,IFNA(VLOOKUP(IF(C18="","(none)",C18),Hitter_Secondary_Coef!$A:$B,2,FALSE),0))</f>
        <v/>
      </c>
      <c r="Z18">
        <f>IF(Q18="P",IF(ISNUMBER(SEARCH("2F",H18)),IFNA(VLOOKUP("2F",Pitch_Coef!$A:$B,2,FALSE),0),0)+IF(ISNUMBER(SEARCH("4F",H18)),IFNA(VLOOKUP("4F",Pitch_Coef!$A:$B,2,FALSE),0),0)+IF(ISNUMBER(SEARCH("CB",H18)),IFNA(VLOOKUP("CB",Pitch_Coef!$A:$B,2,FALSE),0),0)+IF(ISNUMBER(SEARCH("CF",H18)),IFNA(VLOOKUP("CF",Pitch_Coef!$A:$B,2,FALSE),0),0)+IF(ISNUMBER(SEARCH("CH",H18)),IFNA(VLOOKUP("CH",Pitch_Coef!$A:$B,2,FALSE),0),0)+IF(ISNUMBER(SEARCH("FK",H18)),IFNA(VLOOKUP("FK",Pitch_Coef!$A:$B,2,FALSE),0),0)+IF(ISNUMBER(SEARCH("SB",H18)),IFNA(VLOOKUP("SB",Pitch_Coef!$A:$B,2,FALSE),0),0)+IF(ISNUMBER(SEARCH("SL",H18)),IFNA(VLOOKUP("SL",Pitch_Coef!$A:$B,2,FALSE),0),0),0)</f>
        <v/>
      </c>
      <c r="AA18">
        <f>IF(Q18="P",16.5944849573+0.2529999141*N18+0.2665900378*O18+0.2632687105*P18+0.0427586837*I18+0.0534777057*J18+0.009015832*K18+0.0204898106*(O18*P18/100)+1.0091022427*U18+1.0968542297*IF(D18="L",1,0)+0.3771555045*IF(D18="S",1,0)-0.2226159177*IF(E18="L",1,0)+1.21385024*R18-1.1652812274*S18+W18+X18+Z18,10.5965166711+0.2825983581*I18+0.2806503532*J18+0.2027213083*K18+0.1147824982*L18+0.0915305332*M18-0.0088454122*(I18*J18/100)-0.0336045706*(K18*L18/100)+2.8497389733*IF(D18="L",1,0)+4.5116226727*IF(D18="S",1,0)-0.6571546448*IF(E18="L",1,0)+0.0850728147*T18+0.0129488446*(T18*T18)+0.1909373936*IF(OR(F18="Utility",G18="Utility"),T18,0)+0.9656824071*R18-1.7517683256*S18+W18+X18+Y18)</f>
        <v/>
      </c>
      <c r="AB18">
        <f>LOOKUP(AA18,Grade_Scale!$A$2:$A$18,Grade_Scale!$B$2:$B$18)</f>
        <v/>
      </c>
      <c r="AC18">
        <f>LOOKUP(AA18,Grade_Scale!$A$2:$A$18,Grade_Scale!$C$2:$C$18)</f>
        <v/>
      </c>
      <c r="AE18">
        <f>IF(AD18="","",AB18-VLOOKUP(AD18,Grade_Scale!$C$2:$E$18,3,FALSE))</f>
        <v/>
      </c>
    </row>
    <row r="19">
      <c r="Q19">
        <f>IF(OR(B19="SP",B19="RP",B19="CP",B19="SP/RP"),"P","H")</f>
        <v/>
      </c>
      <c r="R19">
        <f>IF(F19="",0,IFNA(VLOOKUP(F19,Trait_Polarity!$A:$C,2,FALSE),0))+IF(G19="",0,IFNA(VLOOKUP(G19,Trait_Polarity!$A:$C,2,FALSE),0))</f>
        <v/>
      </c>
      <c r="S19">
        <f>IF(F19="",0,IFNA(VLOOKUP(F19,Trait_Polarity!$A:$C,3,FALSE),0))+IF(G19="",0,IFNA(VLOOKUP(G19,Trait_Polarity!$A:$C,3,FALSE),0))</f>
        <v/>
      </c>
      <c r="T19">
        <f>IF(Q19="P",0,IFNA(VLOOKUP(IF(C19="","(none)",C19),Secondary_Versatility!$A:$B,2,FALSE),0))</f>
        <v/>
      </c>
      <c r="U19">
        <f>IF(H19="",0,LEN(H19)-LEN(SUBSTITUTE(H19,"|",""))+1)</f>
        <v/>
      </c>
      <c r="V19">
        <f>IF(Q19="P",(N19+O19+P19)/3,0.3*I19+0.3*J19+0.2*K19+0.1*L19+0.1*M19)</f>
        <v/>
      </c>
      <c r="W19">
        <f>IF(Q19="P",IF(F19="",0,IFNA(VLOOKUP(F19,Pitcher_Trait_Coef!$A:$B,2,FALSE),0))+IF(G19="",0,IFNA(VLOOKUP(G19,Pitcher_Trait_Coef!$A:$B,2,FALSE),0)),IF(F19="",0,IFNA(VLOOKUP(F19,Hitter_Trait_Coef!$A:$B,2,FALSE),0))+IF(G19="",0,IFNA(VLOOKUP(G19,Hitter_Trait_Coef!$A:$B,2,FALSE),0)))</f>
        <v/>
      </c>
      <c r="X19">
        <f>IF(Q19="P",IFNA(VLOOKUP(B19,Pitcher_Primary_Coef!$A:$B,2,FALSE),0),IFNA(VLOOKUP(B19,Hitter_Primary_Coef!$A:$B,2,FALSE),0))</f>
        <v/>
      </c>
      <c r="Y19">
        <f>IF(Q19="P",0,IFNA(VLOOKUP(IF(C19="","(none)",C19),Hitter_Secondary_Coef!$A:$B,2,FALSE),0))</f>
        <v/>
      </c>
      <c r="Z19">
        <f>IF(Q19="P",IF(ISNUMBER(SEARCH("2F",H19)),IFNA(VLOOKUP("2F",Pitch_Coef!$A:$B,2,FALSE),0),0)+IF(ISNUMBER(SEARCH("4F",H19)),IFNA(VLOOKUP("4F",Pitch_Coef!$A:$B,2,FALSE),0),0)+IF(ISNUMBER(SEARCH("CB",H19)),IFNA(VLOOKUP("CB",Pitch_Coef!$A:$B,2,FALSE),0),0)+IF(ISNUMBER(SEARCH("CF",H19)),IFNA(VLOOKUP("CF",Pitch_Coef!$A:$B,2,FALSE),0),0)+IF(ISNUMBER(SEARCH("CH",H19)),IFNA(VLOOKUP("CH",Pitch_Coef!$A:$B,2,FALSE),0),0)+IF(ISNUMBER(SEARCH("FK",H19)),IFNA(VLOOKUP("FK",Pitch_Coef!$A:$B,2,FALSE),0),0)+IF(ISNUMBER(SEARCH("SB",H19)),IFNA(VLOOKUP("SB",Pitch_Coef!$A:$B,2,FALSE),0),0)+IF(ISNUMBER(SEARCH("SL",H19)),IFNA(VLOOKUP("SL",Pitch_Coef!$A:$B,2,FALSE),0),0),0)</f>
        <v/>
      </c>
      <c r="AA19">
        <f>IF(Q19="P",16.5944849573+0.2529999141*N19+0.2665900378*O19+0.2632687105*P19+0.0427586837*I19+0.0534777057*J19+0.009015832*K19+0.0204898106*(O19*P19/100)+1.0091022427*U19+1.0968542297*IF(D19="L",1,0)+0.3771555045*IF(D19="S",1,0)-0.2226159177*IF(E19="L",1,0)+1.21385024*R19-1.1652812274*S19+W19+X19+Z19,10.5965166711+0.2825983581*I19+0.2806503532*J19+0.2027213083*K19+0.1147824982*L19+0.0915305332*M19-0.0088454122*(I19*J19/100)-0.0336045706*(K19*L19/100)+2.8497389733*IF(D19="L",1,0)+4.5116226727*IF(D19="S",1,0)-0.6571546448*IF(E19="L",1,0)+0.0850728147*T19+0.0129488446*(T19*T19)+0.1909373936*IF(OR(F19="Utility",G19="Utility"),T19,0)+0.9656824071*R19-1.7517683256*S19+W19+X19+Y19)</f>
        <v/>
      </c>
      <c r="AB19">
        <f>LOOKUP(AA19,Grade_Scale!$A$2:$A$18,Grade_Scale!$B$2:$B$18)</f>
        <v/>
      </c>
      <c r="AC19">
        <f>LOOKUP(AA19,Grade_Scale!$A$2:$A$18,Grade_Scale!$C$2:$C$18)</f>
        <v/>
      </c>
      <c r="AE19">
        <f>IF(AD19="","",AB19-VLOOKUP(AD19,Grade_Scale!$C$2:$E$18,3,FALSE))</f>
        <v/>
      </c>
    </row>
    <row r="20">
      <c r="Q20">
        <f>IF(OR(B20="SP",B20="RP",B20="CP",B20="SP/RP"),"P","H")</f>
        <v/>
      </c>
      <c r="R20">
        <f>IF(F20="",0,IFNA(VLOOKUP(F20,Trait_Polarity!$A:$C,2,FALSE),0))+IF(G20="",0,IFNA(VLOOKUP(G20,Trait_Polarity!$A:$C,2,FALSE),0))</f>
        <v/>
      </c>
      <c r="S20">
        <f>IF(F20="",0,IFNA(VLOOKUP(F20,Trait_Polarity!$A:$C,3,FALSE),0))+IF(G20="",0,IFNA(VLOOKUP(G20,Trait_Polarity!$A:$C,3,FALSE),0))</f>
        <v/>
      </c>
      <c r="T20">
        <f>IF(Q20="P",0,IFNA(VLOOKUP(IF(C20="","(none)",C20),Secondary_Versatility!$A:$B,2,FALSE),0))</f>
        <v/>
      </c>
      <c r="U20">
        <f>IF(H20="",0,LEN(H20)-LEN(SUBSTITUTE(H20,"|",""))+1)</f>
        <v/>
      </c>
      <c r="V20">
        <f>IF(Q20="P",(N20+O20+P20)/3,0.3*I20+0.3*J20+0.2*K20+0.1*L20+0.1*M20)</f>
        <v/>
      </c>
      <c r="W20">
        <f>IF(Q20="P",IF(F20="",0,IFNA(VLOOKUP(F20,Pitcher_Trait_Coef!$A:$B,2,FALSE),0))+IF(G20="",0,IFNA(VLOOKUP(G20,Pitcher_Trait_Coef!$A:$B,2,FALSE),0)),IF(F20="",0,IFNA(VLOOKUP(F20,Hitter_Trait_Coef!$A:$B,2,FALSE),0))+IF(G20="",0,IFNA(VLOOKUP(G20,Hitter_Trait_Coef!$A:$B,2,FALSE),0)))</f>
        <v/>
      </c>
      <c r="X20">
        <f>IF(Q20="P",IFNA(VLOOKUP(B20,Pitcher_Primary_Coef!$A:$B,2,FALSE),0),IFNA(VLOOKUP(B20,Hitter_Primary_Coef!$A:$B,2,FALSE),0))</f>
        <v/>
      </c>
      <c r="Y20">
        <f>IF(Q20="P",0,IFNA(VLOOKUP(IF(C20="","(none)",C20),Hitter_Secondary_Coef!$A:$B,2,FALSE),0))</f>
        <v/>
      </c>
      <c r="Z20">
        <f>IF(Q20="P",IF(ISNUMBER(SEARCH("2F",H20)),IFNA(VLOOKUP("2F",Pitch_Coef!$A:$B,2,FALSE),0),0)+IF(ISNUMBER(SEARCH("4F",H20)),IFNA(VLOOKUP("4F",Pitch_Coef!$A:$B,2,FALSE),0),0)+IF(ISNUMBER(SEARCH("CB",H20)),IFNA(VLOOKUP("CB",Pitch_Coef!$A:$B,2,FALSE),0),0)+IF(ISNUMBER(SEARCH("CF",H20)),IFNA(VLOOKUP("CF",Pitch_Coef!$A:$B,2,FALSE),0),0)+IF(ISNUMBER(SEARCH("CH",H20)),IFNA(VLOOKUP("CH",Pitch_Coef!$A:$B,2,FALSE),0),0)+IF(ISNUMBER(SEARCH("FK",H20)),IFNA(VLOOKUP("FK",Pitch_Coef!$A:$B,2,FALSE),0),0)+IF(ISNUMBER(SEARCH("SB",H20)),IFNA(VLOOKUP("SB",Pitch_Coef!$A:$B,2,FALSE),0),0)+IF(ISNUMBER(SEARCH("SL",H20)),IFNA(VLOOKUP("SL",Pitch_Coef!$A:$B,2,FALSE),0),0),0)</f>
        <v/>
      </c>
      <c r="AA20">
        <f>IF(Q20="P",16.5944849573+0.2529999141*N20+0.2665900378*O20+0.2632687105*P20+0.0427586837*I20+0.0534777057*J20+0.009015832*K20+0.0204898106*(O20*P20/100)+1.0091022427*U20+1.0968542297*IF(D20="L",1,0)+0.3771555045*IF(D20="S",1,0)-0.2226159177*IF(E20="L",1,0)+1.21385024*R20-1.1652812274*S20+W20+X20+Z20,10.5965166711+0.2825983581*I20+0.2806503532*J20+0.2027213083*K20+0.1147824982*L20+0.0915305332*M20-0.0088454122*(I20*J20/100)-0.0336045706*(K20*L20/100)+2.8497389733*IF(D20="L",1,0)+4.5116226727*IF(D20="S",1,0)-0.6571546448*IF(E20="L",1,0)+0.0850728147*T20+0.0129488446*(T20*T20)+0.1909373936*IF(OR(F20="Utility",G20="Utility"),T20,0)+0.9656824071*R20-1.7517683256*S20+W20+X20+Y20)</f>
        <v/>
      </c>
      <c r="AB20">
        <f>LOOKUP(AA20,Grade_Scale!$A$2:$A$18,Grade_Scale!$B$2:$B$18)</f>
        <v/>
      </c>
      <c r="AC20">
        <f>LOOKUP(AA20,Grade_Scale!$A$2:$A$18,Grade_Scale!$C$2:$C$18)</f>
        <v/>
      </c>
      <c r="AE20">
        <f>IF(AD20="","",AB20-VLOOKUP(AD20,Grade_Scale!$C$2:$E$18,3,FALSE))</f>
        <v/>
      </c>
    </row>
    <row r="21">
      <c r="Q21">
        <f>IF(OR(B21="SP",B21="RP",B21="CP",B21="SP/RP"),"P","H")</f>
        <v/>
      </c>
      <c r="R21">
        <f>IF(F21="",0,IFNA(VLOOKUP(F21,Trait_Polarity!$A:$C,2,FALSE),0))+IF(G21="",0,IFNA(VLOOKUP(G21,Trait_Polarity!$A:$C,2,FALSE),0))</f>
        <v/>
      </c>
      <c r="S21">
        <f>IF(F21="",0,IFNA(VLOOKUP(F21,Trait_Polarity!$A:$C,3,FALSE),0))+IF(G21="",0,IFNA(VLOOKUP(G21,Trait_Polarity!$A:$C,3,FALSE),0))</f>
        <v/>
      </c>
      <c r="T21">
        <f>IF(Q21="P",0,IFNA(VLOOKUP(IF(C21="","(none)",C21),Secondary_Versatility!$A:$B,2,FALSE),0))</f>
        <v/>
      </c>
      <c r="U21">
        <f>IF(H21="",0,LEN(H21)-LEN(SUBSTITUTE(H21,"|",""))+1)</f>
        <v/>
      </c>
      <c r="V21">
        <f>IF(Q21="P",(N21+O21+P21)/3,0.3*I21+0.3*J21+0.2*K21+0.1*L21+0.1*M21)</f>
        <v/>
      </c>
      <c r="W21">
        <f>IF(Q21="P",IF(F21="",0,IFNA(VLOOKUP(F21,Pitcher_Trait_Coef!$A:$B,2,FALSE),0))+IF(G21="",0,IFNA(VLOOKUP(G21,Pitcher_Trait_Coef!$A:$B,2,FALSE),0)),IF(F21="",0,IFNA(VLOOKUP(F21,Hitter_Trait_Coef!$A:$B,2,FALSE),0))+IF(G21="",0,IFNA(VLOOKUP(G21,Hitter_Trait_Coef!$A:$B,2,FALSE),0)))</f>
        <v/>
      </c>
      <c r="X21">
        <f>IF(Q21="P",IFNA(VLOOKUP(B21,Pitcher_Primary_Coef!$A:$B,2,FALSE),0),IFNA(VLOOKUP(B21,Hitter_Primary_Coef!$A:$B,2,FALSE),0))</f>
        <v/>
      </c>
      <c r="Y21">
        <f>IF(Q21="P",0,IFNA(VLOOKUP(IF(C21="","(none)",C21),Hitter_Secondary_Coef!$A:$B,2,FALSE),0))</f>
        <v/>
      </c>
      <c r="Z21">
        <f>IF(Q21="P",IF(ISNUMBER(SEARCH("2F",H21)),IFNA(VLOOKUP("2F",Pitch_Coef!$A:$B,2,FALSE),0),0)+IF(ISNUMBER(SEARCH("4F",H21)),IFNA(VLOOKUP("4F",Pitch_Coef!$A:$B,2,FALSE),0),0)+IF(ISNUMBER(SEARCH("CB",H21)),IFNA(VLOOKUP("CB",Pitch_Coef!$A:$B,2,FALSE),0),0)+IF(ISNUMBER(SEARCH("CF",H21)),IFNA(VLOOKUP("CF",Pitch_Coef!$A:$B,2,FALSE),0),0)+IF(ISNUMBER(SEARCH("CH",H21)),IFNA(VLOOKUP("CH",Pitch_Coef!$A:$B,2,FALSE),0),0)+IF(ISNUMBER(SEARCH("FK",H21)),IFNA(VLOOKUP("FK",Pitch_Coef!$A:$B,2,FALSE),0),0)+IF(ISNUMBER(SEARCH("SB",H21)),IFNA(VLOOKUP("SB",Pitch_Coef!$A:$B,2,FALSE),0),0)+IF(ISNUMBER(SEARCH("SL",H21)),IFNA(VLOOKUP("SL",Pitch_Coef!$A:$B,2,FALSE),0),0),0)</f>
        <v/>
      </c>
      <c r="AA21">
        <f>IF(Q21="P",16.5944849573+0.2529999141*N21+0.2665900378*O21+0.2632687105*P21+0.0427586837*I21+0.0534777057*J21+0.009015832*K21+0.0204898106*(O21*P21/100)+1.0091022427*U21+1.0968542297*IF(D21="L",1,0)+0.3771555045*IF(D21="S",1,0)-0.2226159177*IF(E21="L",1,0)+1.21385024*R21-1.1652812274*S21+W21+X21+Z21,10.5965166711+0.2825983581*I21+0.2806503532*J21+0.2027213083*K21+0.1147824982*L21+0.0915305332*M21-0.0088454122*(I21*J21/100)-0.0336045706*(K21*L21/100)+2.8497389733*IF(D21="L",1,0)+4.5116226727*IF(D21="S",1,0)-0.6571546448*IF(E21="L",1,0)+0.0850728147*T21+0.0129488446*(T21*T21)+0.1909373936*IF(OR(F21="Utility",G21="Utility"),T21,0)+0.9656824071*R21-1.7517683256*S21+W21+X21+Y21)</f>
        <v/>
      </c>
      <c r="AB21">
        <f>LOOKUP(AA21,Grade_Scale!$A$2:$A$18,Grade_Scale!$B$2:$B$18)</f>
        <v/>
      </c>
      <c r="AC21">
        <f>LOOKUP(AA21,Grade_Scale!$A$2:$A$18,Grade_Scale!$C$2:$C$18)</f>
        <v/>
      </c>
      <c r="AE21">
        <f>IF(AD21="","",AB21-VLOOKUP(AD21,Grade_Scale!$C$2:$E$18,3,FALSE))</f>
        <v/>
      </c>
    </row>
    <row r="22">
      <c r="Q22">
        <f>IF(OR(B22="SP",B22="RP",B22="CP",B22="SP/RP"),"P","H")</f>
        <v/>
      </c>
      <c r="R22">
        <f>IF(F22="",0,IFNA(VLOOKUP(F22,Trait_Polarity!$A:$C,2,FALSE),0))+IF(G22="",0,IFNA(VLOOKUP(G22,Trait_Polarity!$A:$C,2,FALSE),0))</f>
        <v/>
      </c>
      <c r="S22">
        <f>IF(F22="",0,IFNA(VLOOKUP(F22,Trait_Polarity!$A:$C,3,FALSE),0))+IF(G22="",0,IFNA(VLOOKUP(G22,Trait_Polarity!$A:$C,3,FALSE),0))</f>
        <v/>
      </c>
      <c r="T22">
        <f>IF(Q22="P",0,IFNA(VLOOKUP(IF(C22="","(none)",C22),Secondary_Versatility!$A:$B,2,FALSE),0))</f>
        <v/>
      </c>
      <c r="U22">
        <f>IF(H22="",0,LEN(H22)-LEN(SUBSTITUTE(H22,"|",""))+1)</f>
        <v/>
      </c>
      <c r="V22">
        <f>IF(Q22="P",(N22+O22+P22)/3,0.3*I22+0.3*J22+0.2*K22+0.1*L22+0.1*M22)</f>
        <v/>
      </c>
      <c r="W22">
        <f>IF(Q22="P",IF(F22="",0,IFNA(VLOOKUP(F22,Pitcher_Trait_Coef!$A:$B,2,FALSE),0))+IF(G22="",0,IFNA(VLOOKUP(G22,Pitcher_Trait_Coef!$A:$B,2,FALSE),0)),IF(F22="",0,IFNA(VLOOKUP(F22,Hitter_Trait_Coef!$A:$B,2,FALSE),0))+IF(G22="",0,IFNA(VLOOKUP(G22,Hitter_Trait_Coef!$A:$B,2,FALSE),0)))</f>
        <v/>
      </c>
      <c r="X22">
        <f>IF(Q22="P",IFNA(VLOOKUP(B22,Pitcher_Primary_Coef!$A:$B,2,FALSE),0),IFNA(VLOOKUP(B22,Hitter_Primary_Coef!$A:$B,2,FALSE),0))</f>
        <v/>
      </c>
      <c r="Y22">
        <f>IF(Q22="P",0,IFNA(VLOOKUP(IF(C22="","(none)",C22),Hitter_Secondary_Coef!$A:$B,2,FALSE),0))</f>
        <v/>
      </c>
      <c r="Z22">
        <f>IF(Q22="P",IF(ISNUMBER(SEARCH("2F",H22)),IFNA(VLOOKUP("2F",Pitch_Coef!$A:$B,2,FALSE),0),0)+IF(ISNUMBER(SEARCH("4F",H22)),IFNA(VLOOKUP("4F",Pitch_Coef!$A:$B,2,FALSE),0),0)+IF(ISNUMBER(SEARCH("CB",H22)),IFNA(VLOOKUP("CB",Pitch_Coef!$A:$B,2,FALSE),0),0)+IF(ISNUMBER(SEARCH("CF",H22)),IFNA(VLOOKUP("CF",Pitch_Coef!$A:$B,2,FALSE),0),0)+IF(ISNUMBER(SEARCH("CH",H22)),IFNA(VLOOKUP("CH",Pitch_Coef!$A:$B,2,FALSE),0),0)+IF(ISNUMBER(SEARCH("FK",H22)),IFNA(VLOOKUP("FK",Pitch_Coef!$A:$B,2,FALSE),0),0)+IF(ISNUMBER(SEARCH("SB",H22)),IFNA(VLOOKUP("SB",Pitch_Coef!$A:$B,2,FALSE),0),0)+IF(ISNUMBER(SEARCH("SL",H22)),IFNA(VLOOKUP("SL",Pitch_Coef!$A:$B,2,FALSE),0),0),0)</f>
        <v/>
      </c>
      <c r="AA22">
        <f>IF(Q22="P",16.5944849573+0.2529999141*N22+0.2665900378*O22+0.2632687105*P22+0.0427586837*I22+0.0534777057*J22+0.009015832*K22+0.0204898106*(O22*P22/100)+1.0091022427*U22+1.0968542297*IF(D22="L",1,0)+0.3771555045*IF(D22="S",1,0)-0.2226159177*IF(E22="L",1,0)+1.21385024*R22-1.1652812274*S22+W22+X22+Z22,10.5965166711+0.2825983581*I22+0.2806503532*J22+0.2027213083*K22+0.1147824982*L22+0.0915305332*M22-0.0088454122*(I22*J22/100)-0.0336045706*(K22*L22/100)+2.8497389733*IF(D22="L",1,0)+4.5116226727*IF(D22="S",1,0)-0.6571546448*IF(E22="L",1,0)+0.0850728147*T22+0.0129488446*(T22*T22)+0.1909373936*IF(OR(F22="Utility",G22="Utility"),T22,0)+0.9656824071*R22-1.7517683256*S22+W22+X22+Y22)</f>
        <v/>
      </c>
      <c r="AB22">
        <f>LOOKUP(AA22,Grade_Scale!$A$2:$A$18,Grade_Scale!$B$2:$B$18)</f>
        <v/>
      </c>
      <c r="AC22">
        <f>LOOKUP(AA22,Grade_Scale!$A$2:$A$18,Grade_Scale!$C$2:$C$18)</f>
        <v/>
      </c>
      <c r="AE22">
        <f>IF(AD22="","",AB22-VLOOKUP(AD22,Grade_Scale!$C$2:$E$18,3,FALSE))</f>
        <v/>
      </c>
    </row>
    <row r="23">
      <c r="Q23">
        <f>IF(OR(B23="SP",B23="RP",B23="CP",B23="SP/RP"),"P","H")</f>
        <v/>
      </c>
      <c r="R23">
        <f>IF(F23="",0,IFNA(VLOOKUP(F23,Trait_Polarity!$A:$C,2,FALSE),0))+IF(G23="",0,IFNA(VLOOKUP(G23,Trait_Polarity!$A:$C,2,FALSE),0))</f>
        <v/>
      </c>
      <c r="S23">
        <f>IF(F23="",0,IFNA(VLOOKUP(F23,Trait_Polarity!$A:$C,3,FALSE),0))+IF(G23="",0,IFNA(VLOOKUP(G23,Trait_Polarity!$A:$C,3,FALSE),0))</f>
        <v/>
      </c>
      <c r="T23">
        <f>IF(Q23="P",0,IFNA(VLOOKUP(IF(C23="","(none)",C23),Secondary_Versatility!$A:$B,2,FALSE),0))</f>
        <v/>
      </c>
      <c r="U23">
        <f>IF(H23="",0,LEN(H23)-LEN(SUBSTITUTE(H23,"|",""))+1)</f>
        <v/>
      </c>
      <c r="V23">
        <f>IF(Q23="P",(N23+O23+P23)/3,0.3*I23+0.3*J23+0.2*K23+0.1*L23+0.1*M23)</f>
        <v/>
      </c>
      <c r="W23">
        <f>IF(Q23="P",IF(F23="",0,IFNA(VLOOKUP(F23,Pitcher_Trait_Coef!$A:$B,2,FALSE),0))+IF(G23="",0,IFNA(VLOOKUP(G23,Pitcher_Trait_Coef!$A:$B,2,FALSE),0)),IF(F23="",0,IFNA(VLOOKUP(F23,Hitter_Trait_Coef!$A:$B,2,FALSE),0))+IF(G23="",0,IFNA(VLOOKUP(G23,Hitter_Trait_Coef!$A:$B,2,FALSE),0)))</f>
        <v/>
      </c>
      <c r="X23">
        <f>IF(Q23="P",IFNA(VLOOKUP(B23,Pitcher_Primary_Coef!$A:$B,2,FALSE),0),IFNA(VLOOKUP(B23,Hitter_Primary_Coef!$A:$B,2,FALSE),0))</f>
        <v/>
      </c>
      <c r="Y23">
        <f>IF(Q23="P",0,IFNA(VLOOKUP(IF(C23="","(none)",C23),Hitter_Secondary_Coef!$A:$B,2,FALSE),0))</f>
        <v/>
      </c>
      <c r="Z23">
        <f>IF(Q23="P",IF(ISNUMBER(SEARCH("2F",H23)),IFNA(VLOOKUP("2F",Pitch_Coef!$A:$B,2,FALSE),0),0)+IF(ISNUMBER(SEARCH("4F",H23)),IFNA(VLOOKUP("4F",Pitch_Coef!$A:$B,2,FALSE),0),0)+IF(ISNUMBER(SEARCH("CB",H23)),IFNA(VLOOKUP("CB",Pitch_Coef!$A:$B,2,FALSE),0),0)+IF(ISNUMBER(SEARCH("CF",H23)),IFNA(VLOOKUP("CF",Pitch_Coef!$A:$B,2,FALSE),0),0)+IF(ISNUMBER(SEARCH("CH",H23)),IFNA(VLOOKUP("CH",Pitch_Coef!$A:$B,2,FALSE),0),0)+IF(ISNUMBER(SEARCH("FK",H23)),IFNA(VLOOKUP("FK",Pitch_Coef!$A:$B,2,FALSE),0),0)+IF(ISNUMBER(SEARCH("SB",H23)),IFNA(VLOOKUP("SB",Pitch_Coef!$A:$B,2,FALSE),0),0)+IF(ISNUMBER(SEARCH("SL",H23)),IFNA(VLOOKUP("SL",Pitch_Coef!$A:$B,2,FALSE),0),0),0)</f>
        <v/>
      </c>
      <c r="AA23">
        <f>IF(Q23="P",16.5944849573+0.2529999141*N23+0.2665900378*O23+0.2632687105*P23+0.0427586837*I23+0.0534777057*J23+0.009015832*K23+0.0204898106*(O23*P23/100)+1.0091022427*U23+1.0968542297*IF(D23="L",1,0)+0.3771555045*IF(D23="S",1,0)-0.2226159177*IF(E23="L",1,0)+1.21385024*R23-1.1652812274*S23+W23+X23+Z23,10.5965166711+0.2825983581*I23+0.2806503532*J23+0.2027213083*K23+0.1147824982*L23+0.0915305332*M23-0.0088454122*(I23*J23/100)-0.0336045706*(K23*L23/100)+2.8497389733*IF(D23="L",1,0)+4.5116226727*IF(D23="S",1,0)-0.6571546448*IF(E23="L",1,0)+0.0850728147*T23+0.0129488446*(T23*T23)+0.1909373936*IF(OR(F23="Utility",G23="Utility"),T23,0)+0.9656824071*R23-1.7517683256*S23+W23+X23+Y23)</f>
        <v/>
      </c>
      <c r="AB23">
        <f>LOOKUP(AA23,Grade_Scale!$A$2:$A$18,Grade_Scale!$B$2:$B$18)</f>
        <v/>
      </c>
      <c r="AC23">
        <f>LOOKUP(AA23,Grade_Scale!$A$2:$A$18,Grade_Scale!$C$2:$C$18)</f>
        <v/>
      </c>
      <c r="AE23">
        <f>IF(AD23="","",AB23-VLOOKUP(AD23,Grade_Scale!$C$2:$E$18,3,FALSE))</f>
        <v/>
      </c>
    </row>
    <row r="24">
      <c r="Q24">
        <f>IF(OR(B24="SP",B24="RP",B24="CP",B24="SP/RP"),"P","H")</f>
        <v/>
      </c>
      <c r="R24">
        <f>IF(F24="",0,IFNA(VLOOKUP(F24,Trait_Polarity!$A:$C,2,FALSE),0))+IF(G24="",0,IFNA(VLOOKUP(G24,Trait_Polarity!$A:$C,2,FALSE),0))</f>
        <v/>
      </c>
      <c r="S24">
        <f>IF(F24="",0,IFNA(VLOOKUP(F24,Trait_Polarity!$A:$C,3,FALSE),0))+IF(G24="",0,IFNA(VLOOKUP(G24,Trait_Polarity!$A:$C,3,FALSE),0))</f>
        <v/>
      </c>
      <c r="T24">
        <f>IF(Q24="P",0,IFNA(VLOOKUP(IF(C24="","(none)",C24),Secondary_Versatility!$A:$B,2,FALSE),0))</f>
        <v/>
      </c>
      <c r="U24">
        <f>IF(H24="",0,LEN(H24)-LEN(SUBSTITUTE(H24,"|",""))+1)</f>
        <v/>
      </c>
      <c r="V24">
        <f>IF(Q24="P",(N24+O24+P24)/3,0.3*I24+0.3*J24+0.2*K24+0.1*L24+0.1*M24)</f>
        <v/>
      </c>
      <c r="W24">
        <f>IF(Q24="P",IF(F24="",0,IFNA(VLOOKUP(F24,Pitcher_Trait_Coef!$A:$B,2,FALSE),0))+IF(G24="",0,IFNA(VLOOKUP(G24,Pitcher_Trait_Coef!$A:$B,2,FALSE),0)),IF(F24="",0,IFNA(VLOOKUP(F24,Hitter_Trait_Coef!$A:$B,2,FALSE),0))+IF(G24="",0,IFNA(VLOOKUP(G24,Hitter_Trait_Coef!$A:$B,2,FALSE),0)))</f>
        <v/>
      </c>
      <c r="X24">
        <f>IF(Q24="P",IFNA(VLOOKUP(B24,Pitcher_Primary_Coef!$A:$B,2,FALSE),0),IFNA(VLOOKUP(B24,Hitter_Primary_Coef!$A:$B,2,FALSE),0))</f>
        <v/>
      </c>
      <c r="Y24">
        <f>IF(Q24="P",0,IFNA(VLOOKUP(IF(C24="","(none)",C24),Hitter_Secondary_Coef!$A:$B,2,FALSE),0))</f>
        <v/>
      </c>
      <c r="Z24">
        <f>IF(Q24="P",IF(ISNUMBER(SEARCH("2F",H24)),IFNA(VLOOKUP("2F",Pitch_Coef!$A:$B,2,FALSE),0),0)+IF(ISNUMBER(SEARCH("4F",H24)),IFNA(VLOOKUP("4F",Pitch_Coef!$A:$B,2,FALSE),0),0)+IF(ISNUMBER(SEARCH("CB",H24)),IFNA(VLOOKUP("CB",Pitch_Coef!$A:$B,2,FALSE),0),0)+IF(ISNUMBER(SEARCH("CF",H24)),IFNA(VLOOKUP("CF",Pitch_Coef!$A:$B,2,FALSE),0),0)+IF(ISNUMBER(SEARCH("CH",H24)),IFNA(VLOOKUP("CH",Pitch_Coef!$A:$B,2,FALSE),0),0)+IF(ISNUMBER(SEARCH("FK",H24)),IFNA(VLOOKUP("FK",Pitch_Coef!$A:$B,2,FALSE),0),0)+IF(ISNUMBER(SEARCH("SB",H24)),IFNA(VLOOKUP("SB",Pitch_Coef!$A:$B,2,FALSE),0),0)+IF(ISNUMBER(SEARCH("SL",H24)),IFNA(VLOOKUP("SL",Pitch_Coef!$A:$B,2,FALSE),0),0),0)</f>
        <v/>
      </c>
      <c r="AA24">
        <f>IF(Q24="P",16.5944849573+0.2529999141*N24+0.2665900378*O24+0.2632687105*P24+0.0427586837*I24+0.0534777057*J24+0.009015832*K24+0.0204898106*(O24*P24/100)+1.0091022427*U24+1.0968542297*IF(D24="L",1,0)+0.3771555045*IF(D24="S",1,0)-0.2226159177*IF(E24="L",1,0)+1.21385024*R24-1.1652812274*S24+W24+X24+Z24,10.5965166711+0.2825983581*I24+0.2806503532*J24+0.2027213083*K24+0.1147824982*L24+0.0915305332*M24-0.0088454122*(I24*J24/100)-0.0336045706*(K24*L24/100)+2.8497389733*IF(D24="L",1,0)+4.5116226727*IF(D24="S",1,0)-0.6571546448*IF(E24="L",1,0)+0.0850728147*T24+0.0129488446*(T24*T24)+0.1909373936*IF(OR(F24="Utility",G24="Utility"),T24,0)+0.9656824071*R24-1.7517683256*S24+W24+X24+Y24)</f>
        <v/>
      </c>
      <c r="AB24">
        <f>LOOKUP(AA24,Grade_Scale!$A$2:$A$18,Grade_Scale!$B$2:$B$18)</f>
        <v/>
      </c>
      <c r="AC24">
        <f>LOOKUP(AA24,Grade_Scale!$A$2:$A$18,Grade_Scale!$C$2:$C$18)</f>
        <v/>
      </c>
      <c r="AE24">
        <f>IF(AD24="","",AB24-VLOOKUP(AD24,Grade_Scale!$C$2:$E$18,3,FALSE))</f>
        <v/>
      </c>
    </row>
    <row r="25">
      <c r="Q25">
        <f>IF(OR(B25="SP",B25="RP",B25="CP",B25="SP/RP"),"P","H")</f>
        <v/>
      </c>
      <c r="R25">
        <f>IF(F25="",0,IFNA(VLOOKUP(F25,Trait_Polarity!$A:$C,2,FALSE),0))+IF(G25="",0,IFNA(VLOOKUP(G25,Trait_Polarity!$A:$C,2,FALSE),0))</f>
        <v/>
      </c>
      <c r="S25">
        <f>IF(F25="",0,IFNA(VLOOKUP(F25,Trait_Polarity!$A:$C,3,FALSE),0))+IF(G25="",0,IFNA(VLOOKUP(G25,Trait_Polarity!$A:$C,3,FALSE),0))</f>
        <v/>
      </c>
      <c r="T25">
        <f>IF(Q25="P",0,IFNA(VLOOKUP(IF(C25="","(none)",C25),Secondary_Versatility!$A:$B,2,FALSE),0))</f>
        <v/>
      </c>
      <c r="U25">
        <f>IF(H25="",0,LEN(H25)-LEN(SUBSTITUTE(H25,"|",""))+1)</f>
        <v/>
      </c>
      <c r="V25">
        <f>IF(Q25="P",(N25+O25+P25)/3,0.3*I25+0.3*J25+0.2*K25+0.1*L25+0.1*M25)</f>
        <v/>
      </c>
      <c r="W25">
        <f>IF(Q25="P",IF(F25="",0,IFNA(VLOOKUP(F25,Pitcher_Trait_Coef!$A:$B,2,FALSE),0))+IF(G25="",0,IFNA(VLOOKUP(G25,Pitcher_Trait_Coef!$A:$B,2,FALSE),0)),IF(F25="",0,IFNA(VLOOKUP(F25,Hitter_Trait_Coef!$A:$B,2,FALSE),0))+IF(G25="",0,IFNA(VLOOKUP(G25,Hitter_Trait_Coef!$A:$B,2,FALSE),0)))</f>
        <v/>
      </c>
      <c r="X25">
        <f>IF(Q25="P",IFNA(VLOOKUP(B25,Pitcher_Primary_Coef!$A:$B,2,FALSE),0),IFNA(VLOOKUP(B25,Hitter_Primary_Coef!$A:$B,2,FALSE),0))</f>
        <v/>
      </c>
      <c r="Y25">
        <f>IF(Q25="P",0,IFNA(VLOOKUP(IF(C25="","(none)",C25),Hitter_Secondary_Coef!$A:$B,2,FALSE),0))</f>
        <v/>
      </c>
      <c r="Z25">
        <f>IF(Q25="P",IF(ISNUMBER(SEARCH("2F",H25)),IFNA(VLOOKUP("2F",Pitch_Coef!$A:$B,2,FALSE),0),0)+IF(ISNUMBER(SEARCH("4F",H25)),IFNA(VLOOKUP("4F",Pitch_Coef!$A:$B,2,FALSE),0),0)+IF(ISNUMBER(SEARCH("CB",H25)),IFNA(VLOOKUP("CB",Pitch_Coef!$A:$B,2,FALSE),0),0)+IF(ISNUMBER(SEARCH("CF",H25)),IFNA(VLOOKUP("CF",Pitch_Coef!$A:$B,2,FALSE),0),0)+IF(ISNUMBER(SEARCH("CH",H25)),IFNA(VLOOKUP("CH",Pitch_Coef!$A:$B,2,FALSE),0),0)+IF(ISNUMBER(SEARCH("FK",H25)),IFNA(VLOOKUP("FK",Pitch_Coef!$A:$B,2,FALSE),0),0)+IF(ISNUMBER(SEARCH("SB",H25)),IFNA(VLOOKUP("SB",Pitch_Coef!$A:$B,2,FALSE),0),0)+IF(ISNUMBER(SEARCH("SL",H25)),IFNA(VLOOKUP("SL",Pitch_Coef!$A:$B,2,FALSE),0),0),0)</f>
        <v/>
      </c>
      <c r="AA25">
        <f>IF(Q25="P",16.5944849573+0.2529999141*N25+0.2665900378*O25+0.2632687105*P25+0.0427586837*I25+0.0534777057*J25+0.009015832*K25+0.0204898106*(O25*P25/100)+1.0091022427*U25+1.0968542297*IF(D25="L",1,0)+0.3771555045*IF(D25="S",1,0)-0.2226159177*IF(E25="L",1,0)+1.21385024*R25-1.1652812274*S25+W25+X25+Z25,10.5965166711+0.2825983581*I25+0.2806503532*J25+0.2027213083*K25+0.1147824982*L25+0.0915305332*M25-0.0088454122*(I25*J25/100)-0.0336045706*(K25*L25/100)+2.8497389733*IF(D25="L",1,0)+4.5116226727*IF(D25="S",1,0)-0.6571546448*IF(E25="L",1,0)+0.0850728147*T25+0.0129488446*(T25*T25)+0.1909373936*IF(OR(F25="Utility",G25="Utility"),T25,0)+0.9656824071*R25-1.7517683256*S25+W25+X25+Y25)</f>
        <v/>
      </c>
      <c r="AB25">
        <f>LOOKUP(AA25,Grade_Scale!$A$2:$A$18,Grade_Scale!$B$2:$B$18)</f>
        <v/>
      </c>
      <c r="AC25">
        <f>LOOKUP(AA25,Grade_Scale!$A$2:$A$18,Grade_Scale!$C$2:$C$18)</f>
        <v/>
      </c>
      <c r="AE25">
        <f>IF(AD25="","",AB25-VLOOKUP(AD25,Grade_Scale!$C$2:$E$18,3,FALSE))</f>
        <v/>
      </c>
    </row>
    <row r="26">
      <c r="Q26">
        <f>IF(OR(B26="SP",B26="RP",B26="CP",B26="SP/RP"),"P","H")</f>
        <v/>
      </c>
      <c r="R26">
        <f>IF(F26="",0,IFNA(VLOOKUP(F26,Trait_Polarity!$A:$C,2,FALSE),0))+IF(G26="",0,IFNA(VLOOKUP(G26,Trait_Polarity!$A:$C,2,FALSE),0))</f>
        <v/>
      </c>
      <c r="S26">
        <f>IF(F26="",0,IFNA(VLOOKUP(F26,Trait_Polarity!$A:$C,3,FALSE),0))+IF(G26="",0,IFNA(VLOOKUP(G26,Trait_Polarity!$A:$C,3,FALSE),0))</f>
        <v/>
      </c>
      <c r="T26">
        <f>IF(Q26="P",0,IFNA(VLOOKUP(IF(C26="","(none)",C26),Secondary_Versatility!$A:$B,2,FALSE),0))</f>
        <v/>
      </c>
      <c r="U26">
        <f>IF(H26="",0,LEN(H26)-LEN(SUBSTITUTE(H26,"|",""))+1)</f>
        <v/>
      </c>
      <c r="V26">
        <f>IF(Q26="P",(N26+O26+P26)/3,0.3*I26+0.3*J26+0.2*K26+0.1*L26+0.1*M26)</f>
        <v/>
      </c>
      <c r="W26">
        <f>IF(Q26="P",IF(F26="",0,IFNA(VLOOKUP(F26,Pitcher_Trait_Coef!$A:$B,2,FALSE),0))+IF(G26="",0,IFNA(VLOOKUP(G26,Pitcher_Trait_Coef!$A:$B,2,FALSE),0)),IF(F26="",0,IFNA(VLOOKUP(F26,Hitter_Trait_Coef!$A:$B,2,FALSE),0))+IF(G26="",0,IFNA(VLOOKUP(G26,Hitter_Trait_Coef!$A:$B,2,FALSE),0)))</f>
        <v/>
      </c>
      <c r="X26">
        <f>IF(Q26="P",IFNA(VLOOKUP(B26,Pitcher_Primary_Coef!$A:$B,2,FALSE),0),IFNA(VLOOKUP(B26,Hitter_Primary_Coef!$A:$B,2,FALSE),0))</f>
        <v/>
      </c>
      <c r="Y26">
        <f>IF(Q26="P",0,IFNA(VLOOKUP(IF(C26="","(none)",C26),Hitter_Secondary_Coef!$A:$B,2,FALSE),0))</f>
        <v/>
      </c>
      <c r="Z26">
        <f>IF(Q26="P",IF(ISNUMBER(SEARCH("2F",H26)),IFNA(VLOOKUP("2F",Pitch_Coef!$A:$B,2,FALSE),0),0)+IF(ISNUMBER(SEARCH("4F",H26)),IFNA(VLOOKUP("4F",Pitch_Coef!$A:$B,2,FALSE),0),0)+IF(ISNUMBER(SEARCH("CB",H26)),IFNA(VLOOKUP("CB",Pitch_Coef!$A:$B,2,FALSE),0),0)+IF(ISNUMBER(SEARCH("CF",H26)),IFNA(VLOOKUP("CF",Pitch_Coef!$A:$B,2,FALSE),0),0)+IF(ISNUMBER(SEARCH("CH",H26)),IFNA(VLOOKUP("CH",Pitch_Coef!$A:$B,2,FALSE),0),0)+IF(ISNUMBER(SEARCH("FK",H26)),IFNA(VLOOKUP("FK",Pitch_Coef!$A:$B,2,FALSE),0),0)+IF(ISNUMBER(SEARCH("SB",H26)),IFNA(VLOOKUP("SB",Pitch_Coef!$A:$B,2,FALSE),0),0)+IF(ISNUMBER(SEARCH("SL",H26)),IFNA(VLOOKUP("SL",Pitch_Coef!$A:$B,2,FALSE),0),0),0)</f>
        <v/>
      </c>
      <c r="AA26">
        <f>IF(Q26="P",16.5944849573+0.2529999141*N26+0.2665900378*O26+0.2632687105*P26+0.0427586837*I26+0.0534777057*J26+0.009015832*K26+0.0204898106*(O26*P26/100)+1.0091022427*U26+1.0968542297*IF(D26="L",1,0)+0.3771555045*IF(D26="S",1,0)-0.2226159177*IF(E26="L",1,0)+1.21385024*R26-1.1652812274*S26+W26+X26+Z26,10.5965166711+0.2825983581*I26+0.2806503532*J26+0.2027213083*K26+0.1147824982*L26+0.0915305332*M26-0.0088454122*(I26*J26/100)-0.0336045706*(K26*L26/100)+2.8497389733*IF(D26="L",1,0)+4.5116226727*IF(D26="S",1,0)-0.6571546448*IF(E26="L",1,0)+0.0850728147*T26+0.0129488446*(T26*T26)+0.1909373936*IF(OR(F26="Utility",G26="Utility"),T26,0)+0.9656824071*R26-1.7517683256*S26+W26+X26+Y26)</f>
        <v/>
      </c>
      <c r="AB26">
        <f>LOOKUP(AA26,Grade_Scale!$A$2:$A$18,Grade_Scale!$B$2:$B$18)</f>
        <v/>
      </c>
      <c r="AC26">
        <f>LOOKUP(AA26,Grade_Scale!$A$2:$A$18,Grade_Scale!$C$2:$C$18)</f>
        <v/>
      </c>
      <c r="AE26">
        <f>IF(AD26="","",AB26-VLOOKUP(AD26,Grade_Scale!$C$2:$E$18,3,FALSE))</f>
        <v/>
      </c>
    </row>
    <row r="27">
      <c r="Q27">
        <f>IF(OR(B27="SP",B27="RP",B27="CP",B27="SP/RP"),"P","H")</f>
        <v/>
      </c>
      <c r="R27">
        <f>IF(F27="",0,IFNA(VLOOKUP(F27,Trait_Polarity!$A:$C,2,FALSE),0))+IF(G27="",0,IFNA(VLOOKUP(G27,Trait_Polarity!$A:$C,2,FALSE),0))</f>
        <v/>
      </c>
      <c r="S27">
        <f>IF(F27="",0,IFNA(VLOOKUP(F27,Trait_Polarity!$A:$C,3,FALSE),0))+IF(G27="",0,IFNA(VLOOKUP(G27,Trait_Polarity!$A:$C,3,FALSE),0))</f>
        <v/>
      </c>
      <c r="T27">
        <f>IF(Q27="P",0,IFNA(VLOOKUP(IF(C27="","(none)",C27),Secondary_Versatility!$A:$B,2,FALSE),0))</f>
        <v/>
      </c>
      <c r="U27">
        <f>IF(H27="",0,LEN(H27)-LEN(SUBSTITUTE(H27,"|",""))+1)</f>
        <v/>
      </c>
      <c r="V27">
        <f>IF(Q27="P",(N27+O27+P27)/3,0.3*I27+0.3*J27+0.2*K27+0.1*L27+0.1*M27)</f>
        <v/>
      </c>
      <c r="W27">
        <f>IF(Q27="P",IF(F27="",0,IFNA(VLOOKUP(F27,Pitcher_Trait_Coef!$A:$B,2,FALSE),0))+IF(G27="",0,IFNA(VLOOKUP(G27,Pitcher_Trait_Coef!$A:$B,2,FALSE),0)),IF(F27="",0,IFNA(VLOOKUP(F27,Hitter_Trait_Coef!$A:$B,2,FALSE),0))+IF(G27="",0,IFNA(VLOOKUP(G27,Hitter_Trait_Coef!$A:$B,2,FALSE),0)))</f>
        <v/>
      </c>
      <c r="X27">
        <f>IF(Q27="P",IFNA(VLOOKUP(B27,Pitcher_Primary_Coef!$A:$B,2,FALSE),0),IFNA(VLOOKUP(B27,Hitter_Primary_Coef!$A:$B,2,FALSE),0))</f>
        <v/>
      </c>
      <c r="Y27">
        <f>IF(Q27="P",0,IFNA(VLOOKUP(IF(C27="","(none)",C27),Hitter_Secondary_Coef!$A:$B,2,FALSE),0))</f>
        <v/>
      </c>
      <c r="Z27">
        <f>IF(Q27="P",IF(ISNUMBER(SEARCH("2F",H27)),IFNA(VLOOKUP("2F",Pitch_Coef!$A:$B,2,FALSE),0),0)+IF(ISNUMBER(SEARCH("4F",H27)),IFNA(VLOOKUP("4F",Pitch_Coef!$A:$B,2,FALSE),0),0)+IF(ISNUMBER(SEARCH("CB",H27)),IFNA(VLOOKUP("CB",Pitch_Coef!$A:$B,2,FALSE),0),0)+IF(ISNUMBER(SEARCH("CF",H27)),IFNA(VLOOKUP("CF",Pitch_Coef!$A:$B,2,FALSE),0),0)+IF(ISNUMBER(SEARCH("CH",H27)),IFNA(VLOOKUP("CH",Pitch_Coef!$A:$B,2,FALSE),0),0)+IF(ISNUMBER(SEARCH("FK",H27)),IFNA(VLOOKUP("FK",Pitch_Coef!$A:$B,2,FALSE),0),0)+IF(ISNUMBER(SEARCH("SB",H27)),IFNA(VLOOKUP("SB",Pitch_Coef!$A:$B,2,FALSE),0),0)+IF(ISNUMBER(SEARCH("SL",H27)),IFNA(VLOOKUP("SL",Pitch_Coef!$A:$B,2,FALSE),0),0),0)</f>
        <v/>
      </c>
      <c r="AA27">
        <f>IF(Q27="P",16.5944849573+0.2529999141*N27+0.2665900378*O27+0.2632687105*P27+0.0427586837*I27+0.0534777057*J27+0.009015832*K27+0.0204898106*(O27*P27/100)+1.0091022427*U27+1.0968542297*IF(D27="L",1,0)+0.3771555045*IF(D27="S",1,0)-0.2226159177*IF(E27="L",1,0)+1.21385024*R27-1.1652812274*S27+W27+X27+Z27,10.5965166711+0.2825983581*I27+0.2806503532*J27+0.2027213083*K27+0.1147824982*L27+0.0915305332*M27-0.0088454122*(I27*J27/100)-0.0336045706*(K27*L27/100)+2.8497389733*IF(D27="L",1,0)+4.5116226727*IF(D27="S",1,0)-0.6571546448*IF(E27="L",1,0)+0.0850728147*T27+0.0129488446*(T27*T27)+0.1909373936*IF(OR(F27="Utility",G27="Utility"),T27,0)+0.9656824071*R27-1.7517683256*S27+W27+X27+Y27)</f>
        <v/>
      </c>
      <c r="AB27">
        <f>LOOKUP(AA27,Grade_Scale!$A$2:$A$18,Grade_Scale!$B$2:$B$18)</f>
        <v/>
      </c>
      <c r="AC27">
        <f>LOOKUP(AA27,Grade_Scale!$A$2:$A$18,Grade_Scale!$C$2:$C$18)</f>
        <v/>
      </c>
      <c r="AE27">
        <f>IF(AD27="","",AB27-VLOOKUP(AD27,Grade_Scale!$C$2:$E$18,3,FALSE))</f>
        <v/>
      </c>
    </row>
    <row r="28">
      <c r="Q28">
        <f>IF(OR(B28="SP",B28="RP",B28="CP",B28="SP/RP"),"P","H")</f>
        <v/>
      </c>
      <c r="R28">
        <f>IF(F28="",0,IFNA(VLOOKUP(F28,Trait_Polarity!$A:$C,2,FALSE),0))+IF(G28="",0,IFNA(VLOOKUP(G28,Trait_Polarity!$A:$C,2,FALSE),0))</f>
        <v/>
      </c>
      <c r="S28">
        <f>IF(F28="",0,IFNA(VLOOKUP(F28,Trait_Polarity!$A:$C,3,FALSE),0))+IF(G28="",0,IFNA(VLOOKUP(G28,Trait_Polarity!$A:$C,3,FALSE),0))</f>
        <v/>
      </c>
      <c r="T28">
        <f>IF(Q28="P",0,IFNA(VLOOKUP(IF(C28="","(none)",C28),Secondary_Versatility!$A:$B,2,FALSE),0))</f>
        <v/>
      </c>
      <c r="U28">
        <f>IF(H28="",0,LEN(H28)-LEN(SUBSTITUTE(H28,"|",""))+1)</f>
        <v/>
      </c>
      <c r="V28">
        <f>IF(Q28="P",(N28+O28+P28)/3,0.3*I28+0.3*J28+0.2*K28+0.1*L28+0.1*M28)</f>
        <v/>
      </c>
      <c r="W28">
        <f>IF(Q28="P",IF(F28="",0,IFNA(VLOOKUP(F28,Pitcher_Trait_Coef!$A:$B,2,FALSE),0))+IF(G28="",0,IFNA(VLOOKUP(G28,Pitcher_Trait_Coef!$A:$B,2,FALSE),0)),IF(F28="",0,IFNA(VLOOKUP(F28,Hitter_Trait_Coef!$A:$B,2,FALSE),0))+IF(G28="",0,IFNA(VLOOKUP(G28,Hitter_Trait_Coef!$A:$B,2,FALSE),0)))</f>
        <v/>
      </c>
      <c r="X28">
        <f>IF(Q28="P",IFNA(VLOOKUP(B28,Pitcher_Primary_Coef!$A:$B,2,FALSE),0),IFNA(VLOOKUP(B28,Hitter_Primary_Coef!$A:$B,2,FALSE),0))</f>
        <v/>
      </c>
      <c r="Y28">
        <f>IF(Q28="P",0,IFNA(VLOOKUP(IF(C28="","(none)",C28),Hitter_Secondary_Coef!$A:$B,2,FALSE),0))</f>
        <v/>
      </c>
      <c r="Z28">
        <f>IF(Q28="P",IF(ISNUMBER(SEARCH("2F",H28)),IFNA(VLOOKUP("2F",Pitch_Coef!$A:$B,2,FALSE),0),0)+IF(ISNUMBER(SEARCH("4F",H28)),IFNA(VLOOKUP("4F",Pitch_Coef!$A:$B,2,FALSE),0),0)+IF(ISNUMBER(SEARCH("CB",H28)),IFNA(VLOOKUP("CB",Pitch_Coef!$A:$B,2,FALSE),0),0)+IF(ISNUMBER(SEARCH("CF",H28)),IFNA(VLOOKUP("CF",Pitch_Coef!$A:$B,2,FALSE),0),0)+IF(ISNUMBER(SEARCH("CH",H28)),IFNA(VLOOKUP("CH",Pitch_Coef!$A:$B,2,FALSE),0),0)+IF(ISNUMBER(SEARCH("FK",H28)),IFNA(VLOOKUP("FK",Pitch_Coef!$A:$B,2,FALSE),0),0)+IF(ISNUMBER(SEARCH("SB",H28)),IFNA(VLOOKUP("SB",Pitch_Coef!$A:$B,2,FALSE),0),0)+IF(ISNUMBER(SEARCH("SL",H28)),IFNA(VLOOKUP("SL",Pitch_Coef!$A:$B,2,FALSE),0),0),0)</f>
        <v/>
      </c>
      <c r="AA28">
        <f>IF(Q28="P",16.5944849573+0.2529999141*N28+0.2665900378*O28+0.2632687105*P28+0.0427586837*I28+0.0534777057*J28+0.009015832*K28+0.0204898106*(O28*P28/100)+1.0091022427*U28+1.0968542297*IF(D28="L",1,0)+0.3771555045*IF(D28="S",1,0)-0.2226159177*IF(E28="L",1,0)+1.21385024*R28-1.1652812274*S28+W28+X28+Z28,10.5965166711+0.2825983581*I28+0.2806503532*J28+0.2027213083*K28+0.1147824982*L28+0.0915305332*M28-0.0088454122*(I28*J28/100)-0.0336045706*(K28*L28/100)+2.8497389733*IF(D28="L",1,0)+4.5116226727*IF(D28="S",1,0)-0.6571546448*IF(E28="L",1,0)+0.0850728147*T28+0.0129488446*(T28*T28)+0.1909373936*IF(OR(F28="Utility",G28="Utility"),T28,0)+0.9656824071*R28-1.7517683256*S28+W28+X28+Y28)</f>
        <v/>
      </c>
      <c r="AB28">
        <f>LOOKUP(AA28,Grade_Scale!$A$2:$A$18,Grade_Scale!$B$2:$B$18)</f>
        <v/>
      </c>
      <c r="AC28">
        <f>LOOKUP(AA28,Grade_Scale!$A$2:$A$18,Grade_Scale!$C$2:$C$18)</f>
        <v/>
      </c>
      <c r="AE28">
        <f>IF(AD28="","",AB28-VLOOKUP(AD28,Grade_Scale!$C$2:$E$18,3,FALSE))</f>
        <v/>
      </c>
    </row>
    <row r="29">
      <c r="Q29">
        <f>IF(OR(B29="SP",B29="RP",B29="CP",B29="SP/RP"),"P","H")</f>
        <v/>
      </c>
      <c r="R29">
        <f>IF(F29="",0,IFNA(VLOOKUP(F29,Trait_Polarity!$A:$C,2,FALSE),0))+IF(G29="",0,IFNA(VLOOKUP(G29,Trait_Polarity!$A:$C,2,FALSE),0))</f>
        <v/>
      </c>
      <c r="S29">
        <f>IF(F29="",0,IFNA(VLOOKUP(F29,Trait_Polarity!$A:$C,3,FALSE),0))+IF(G29="",0,IFNA(VLOOKUP(G29,Trait_Polarity!$A:$C,3,FALSE),0))</f>
        <v/>
      </c>
      <c r="T29">
        <f>IF(Q29="P",0,IFNA(VLOOKUP(IF(C29="","(none)",C29),Secondary_Versatility!$A:$B,2,FALSE),0))</f>
        <v/>
      </c>
      <c r="U29">
        <f>IF(H29="",0,LEN(H29)-LEN(SUBSTITUTE(H29,"|",""))+1)</f>
        <v/>
      </c>
      <c r="V29">
        <f>IF(Q29="P",(N29+O29+P29)/3,0.3*I29+0.3*J29+0.2*K29+0.1*L29+0.1*M29)</f>
        <v/>
      </c>
      <c r="W29">
        <f>IF(Q29="P",IF(F29="",0,IFNA(VLOOKUP(F29,Pitcher_Trait_Coef!$A:$B,2,FALSE),0))+IF(G29="",0,IFNA(VLOOKUP(G29,Pitcher_Trait_Coef!$A:$B,2,FALSE),0)),IF(F29="",0,IFNA(VLOOKUP(F29,Hitter_Trait_Coef!$A:$B,2,FALSE),0))+IF(G29="",0,IFNA(VLOOKUP(G29,Hitter_Trait_Coef!$A:$B,2,FALSE),0)))</f>
        <v/>
      </c>
      <c r="X29">
        <f>IF(Q29="P",IFNA(VLOOKUP(B29,Pitcher_Primary_Coef!$A:$B,2,FALSE),0),IFNA(VLOOKUP(B29,Hitter_Primary_Coef!$A:$B,2,FALSE),0))</f>
        <v/>
      </c>
      <c r="Y29">
        <f>IF(Q29="P",0,IFNA(VLOOKUP(IF(C29="","(none)",C29),Hitter_Secondary_Coef!$A:$B,2,FALSE),0))</f>
        <v/>
      </c>
      <c r="Z29">
        <f>IF(Q29="P",IF(ISNUMBER(SEARCH("2F",H29)),IFNA(VLOOKUP("2F",Pitch_Coef!$A:$B,2,FALSE),0),0)+IF(ISNUMBER(SEARCH("4F",H29)),IFNA(VLOOKUP("4F",Pitch_Coef!$A:$B,2,FALSE),0),0)+IF(ISNUMBER(SEARCH("CB",H29)),IFNA(VLOOKUP("CB",Pitch_Coef!$A:$B,2,FALSE),0),0)+IF(ISNUMBER(SEARCH("CF",H29)),IFNA(VLOOKUP("CF",Pitch_Coef!$A:$B,2,FALSE),0),0)+IF(ISNUMBER(SEARCH("CH",H29)),IFNA(VLOOKUP("CH",Pitch_Coef!$A:$B,2,FALSE),0),0)+IF(ISNUMBER(SEARCH("FK",H29)),IFNA(VLOOKUP("FK",Pitch_Coef!$A:$B,2,FALSE),0),0)+IF(ISNUMBER(SEARCH("SB",H29)),IFNA(VLOOKUP("SB",Pitch_Coef!$A:$B,2,FALSE),0),0)+IF(ISNUMBER(SEARCH("SL",H29)),IFNA(VLOOKUP("SL",Pitch_Coef!$A:$B,2,FALSE),0),0),0)</f>
        <v/>
      </c>
      <c r="AA29">
        <f>IF(Q29="P",16.5944849573+0.2529999141*N29+0.2665900378*O29+0.2632687105*P29+0.0427586837*I29+0.0534777057*J29+0.009015832*K29+0.0204898106*(O29*P29/100)+1.0091022427*U29+1.0968542297*IF(D29="L",1,0)+0.3771555045*IF(D29="S",1,0)-0.2226159177*IF(E29="L",1,0)+1.21385024*R29-1.1652812274*S29+W29+X29+Z29,10.5965166711+0.2825983581*I29+0.2806503532*J29+0.2027213083*K29+0.1147824982*L29+0.0915305332*M29-0.0088454122*(I29*J29/100)-0.0336045706*(K29*L29/100)+2.8497389733*IF(D29="L",1,0)+4.5116226727*IF(D29="S",1,0)-0.6571546448*IF(E29="L",1,0)+0.0850728147*T29+0.0129488446*(T29*T29)+0.1909373936*IF(OR(F29="Utility",G29="Utility"),T29,0)+0.9656824071*R29-1.7517683256*S29+W29+X29+Y29)</f>
        <v/>
      </c>
      <c r="AB29">
        <f>LOOKUP(AA29,Grade_Scale!$A$2:$A$18,Grade_Scale!$B$2:$B$18)</f>
        <v/>
      </c>
      <c r="AC29">
        <f>LOOKUP(AA29,Grade_Scale!$A$2:$A$18,Grade_Scale!$C$2:$C$18)</f>
        <v/>
      </c>
      <c r="AE29">
        <f>IF(AD29="","",AB29-VLOOKUP(AD29,Grade_Scale!$C$2:$E$18,3,FALSE))</f>
        <v/>
      </c>
    </row>
    <row r="30">
      <c r="Q30">
        <f>IF(OR(B30="SP",B30="RP",B30="CP",B30="SP/RP"),"P","H")</f>
        <v/>
      </c>
      <c r="R30">
        <f>IF(F30="",0,IFNA(VLOOKUP(F30,Trait_Polarity!$A:$C,2,FALSE),0))+IF(G30="",0,IFNA(VLOOKUP(G30,Trait_Polarity!$A:$C,2,FALSE),0))</f>
        <v/>
      </c>
      <c r="S30">
        <f>IF(F30="",0,IFNA(VLOOKUP(F30,Trait_Polarity!$A:$C,3,FALSE),0))+IF(G30="",0,IFNA(VLOOKUP(G30,Trait_Polarity!$A:$C,3,FALSE),0))</f>
        <v/>
      </c>
      <c r="T30">
        <f>IF(Q30="P",0,IFNA(VLOOKUP(IF(C30="","(none)",C30),Secondary_Versatility!$A:$B,2,FALSE),0))</f>
        <v/>
      </c>
      <c r="U30">
        <f>IF(H30="",0,LEN(H30)-LEN(SUBSTITUTE(H30,"|",""))+1)</f>
        <v/>
      </c>
      <c r="V30">
        <f>IF(Q30="P",(N30+O30+P30)/3,0.3*I30+0.3*J30+0.2*K30+0.1*L30+0.1*M30)</f>
        <v/>
      </c>
      <c r="W30">
        <f>IF(Q30="P",IF(F30="",0,IFNA(VLOOKUP(F30,Pitcher_Trait_Coef!$A:$B,2,FALSE),0))+IF(G30="",0,IFNA(VLOOKUP(G30,Pitcher_Trait_Coef!$A:$B,2,FALSE),0)),IF(F30="",0,IFNA(VLOOKUP(F30,Hitter_Trait_Coef!$A:$B,2,FALSE),0))+IF(G30="",0,IFNA(VLOOKUP(G30,Hitter_Trait_Coef!$A:$B,2,FALSE),0)))</f>
        <v/>
      </c>
      <c r="X30">
        <f>IF(Q30="P",IFNA(VLOOKUP(B30,Pitcher_Primary_Coef!$A:$B,2,FALSE),0),IFNA(VLOOKUP(B30,Hitter_Primary_Coef!$A:$B,2,FALSE),0))</f>
        <v/>
      </c>
      <c r="Y30">
        <f>IF(Q30="P",0,IFNA(VLOOKUP(IF(C30="","(none)",C30),Hitter_Secondary_Coef!$A:$B,2,FALSE),0))</f>
        <v/>
      </c>
      <c r="Z30">
        <f>IF(Q30="P",IF(ISNUMBER(SEARCH("2F",H30)),IFNA(VLOOKUP("2F",Pitch_Coef!$A:$B,2,FALSE),0),0)+IF(ISNUMBER(SEARCH("4F",H30)),IFNA(VLOOKUP("4F",Pitch_Coef!$A:$B,2,FALSE),0),0)+IF(ISNUMBER(SEARCH("CB",H30)),IFNA(VLOOKUP("CB",Pitch_Coef!$A:$B,2,FALSE),0),0)+IF(ISNUMBER(SEARCH("CF",H30)),IFNA(VLOOKUP("CF",Pitch_Coef!$A:$B,2,FALSE),0),0)+IF(ISNUMBER(SEARCH("CH",H30)),IFNA(VLOOKUP("CH",Pitch_Coef!$A:$B,2,FALSE),0),0)+IF(ISNUMBER(SEARCH("FK",H30)),IFNA(VLOOKUP("FK",Pitch_Coef!$A:$B,2,FALSE),0),0)+IF(ISNUMBER(SEARCH("SB",H30)),IFNA(VLOOKUP("SB",Pitch_Coef!$A:$B,2,FALSE),0),0)+IF(ISNUMBER(SEARCH("SL",H30)),IFNA(VLOOKUP("SL",Pitch_Coef!$A:$B,2,FALSE),0),0),0)</f>
        <v/>
      </c>
      <c r="AA30">
        <f>IF(Q30="P",16.5944849573+0.2529999141*N30+0.2665900378*O30+0.2632687105*P30+0.0427586837*I30+0.0534777057*J30+0.009015832*K30+0.0204898106*(O30*P30/100)+1.0091022427*U30+1.0968542297*IF(D30="L",1,0)+0.3771555045*IF(D30="S",1,0)-0.2226159177*IF(E30="L",1,0)+1.21385024*R30-1.1652812274*S30+W30+X30+Z30,10.5965166711+0.2825983581*I30+0.2806503532*J30+0.2027213083*K30+0.1147824982*L30+0.0915305332*M30-0.0088454122*(I30*J30/100)-0.0336045706*(K30*L30/100)+2.8497389733*IF(D30="L",1,0)+4.5116226727*IF(D30="S",1,0)-0.6571546448*IF(E30="L",1,0)+0.0850728147*T30+0.0129488446*(T30*T30)+0.1909373936*IF(OR(F30="Utility",G30="Utility"),T30,0)+0.9656824071*R30-1.7517683256*S30+W30+X30+Y30)</f>
        <v/>
      </c>
      <c r="AB30">
        <f>LOOKUP(AA30,Grade_Scale!$A$2:$A$18,Grade_Scale!$B$2:$B$18)</f>
        <v/>
      </c>
      <c r="AC30">
        <f>LOOKUP(AA30,Grade_Scale!$A$2:$A$18,Grade_Scale!$C$2:$C$18)</f>
        <v/>
      </c>
      <c r="AE30">
        <f>IF(AD30="","",AB30-VLOOKUP(AD30,Grade_Scale!$C$2:$E$18,3,FALSE))</f>
        <v/>
      </c>
    </row>
    <row r="31">
      <c r="Q31">
        <f>IF(OR(B31="SP",B31="RP",B31="CP",B31="SP/RP"),"P","H")</f>
        <v/>
      </c>
      <c r="R31">
        <f>IF(F31="",0,IFNA(VLOOKUP(F31,Trait_Polarity!$A:$C,2,FALSE),0))+IF(G31="",0,IFNA(VLOOKUP(G31,Trait_Polarity!$A:$C,2,FALSE),0))</f>
        <v/>
      </c>
      <c r="S31">
        <f>IF(F31="",0,IFNA(VLOOKUP(F31,Trait_Polarity!$A:$C,3,FALSE),0))+IF(G31="",0,IFNA(VLOOKUP(G31,Trait_Polarity!$A:$C,3,FALSE),0))</f>
        <v/>
      </c>
      <c r="T31">
        <f>IF(Q31="P",0,IFNA(VLOOKUP(IF(C31="","(none)",C31),Secondary_Versatility!$A:$B,2,FALSE),0))</f>
        <v/>
      </c>
      <c r="U31">
        <f>IF(H31="",0,LEN(H31)-LEN(SUBSTITUTE(H31,"|",""))+1)</f>
        <v/>
      </c>
      <c r="V31">
        <f>IF(Q31="P",(N31+O31+P31)/3,0.3*I31+0.3*J31+0.2*K31+0.1*L31+0.1*M31)</f>
        <v/>
      </c>
      <c r="W31">
        <f>IF(Q31="P",IF(F31="",0,IFNA(VLOOKUP(F31,Pitcher_Trait_Coef!$A:$B,2,FALSE),0))+IF(G31="",0,IFNA(VLOOKUP(G31,Pitcher_Trait_Coef!$A:$B,2,FALSE),0)),IF(F31="",0,IFNA(VLOOKUP(F31,Hitter_Trait_Coef!$A:$B,2,FALSE),0))+IF(G31="",0,IFNA(VLOOKUP(G31,Hitter_Trait_Coef!$A:$B,2,FALSE),0)))</f>
        <v/>
      </c>
      <c r="X31">
        <f>IF(Q31="P",IFNA(VLOOKUP(B31,Pitcher_Primary_Coef!$A:$B,2,FALSE),0),IFNA(VLOOKUP(B31,Hitter_Primary_Coef!$A:$B,2,FALSE),0))</f>
        <v/>
      </c>
      <c r="Y31">
        <f>IF(Q31="P",0,IFNA(VLOOKUP(IF(C31="","(none)",C31),Hitter_Secondary_Coef!$A:$B,2,FALSE),0))</f>
        <v/>
      </c>
      <c r="Z31">
        <f>IF(Q31="P",IF(ISNUMBER(SEARCH("2F",H31)),IFNA(VLOOKUP("2F",Pitch_Coef!$A:$B,2,FALSE),0),0)+IF(ISNUMBER(SEARCH("4F",H31)),IFNA(VLOOKUP("4F",Pitch_Coef!$A:$B,2,FALSE),0),0)+IF(ISNUMBER(SEARCH("CB",H31)),IFNA(VLOOKUP("CB",Pitch_Coef!$A:$B,2,FALSE),0),0)+IF(ISNUMBER(SEARCH("CF",H31)),IFNA(VLOOKUP("CF",Pitch_Coef!$A:$B,2,FALSE),0),0)+IF(ISNUMBER(SEARCH("CH",H31)),IFNA(VLOOKUP("CH",Pitch_Coef!$A:$B,2,FALSE),0),0)+IF(ISNUMBER(SEARCH("FK",H31)),IFNA(VLOOKUP("FK",Pitch_Coef!$A:$B,2,FALSE),0),0)+IF(ISNUMBER(SEARCH("SB",H31)),IFNA(VLOOKUP("SB",Pitch_Coef!$A:$B,2,FALSE),0),0)+IF(ISNUMBER(SEARCH("SL",H31)),IFNA(VLOOKUP("SL",Pitch_Coef!$A:$B,2,FALSE),0),0),0)</f>
        <v/>
      </c>
      <c r="AA31">
        <f>IF(Q31="P",16.5944849573+0.2529999141*N31+0.2665900378*O31+0.2632687105*P31+0.0427586837*I31+0.0534777057*J31+0.009015832*K31+0.0204898106*(O31*P31/100)+1.0091022427*U31+1.0968542297*IF(D31="L",1,0)+0.3771555045*IF(D31="S",1,0)-0.2226159177*IF(E31="L",1,0)+1.21385024*R31-1.1652812274*S31+W31+X31+Z31,10.5965166711+0.2825983581*I31+0.2806503532*J31+0.2027213083*K31+0.1147824982*L31+0.0915305332*M31-0.0088454122*(I31*J31/100)-0.0336045706*(K31*L31/100)+2.8497389733*IF(D31="L",1,0)+4.5116226727*IF(D31="S",1,0)-0.6571546448*IF(E31="L",1,0)+0.0850728147*T31+0.0129488446*(T31*T31)+0.1909373936*IF(OR(F31="Utility",G31="Utility"),T31,0)+0.9656824071*R31-1.7517683256*S31+W31+X31+Y31)</f>
        <v/>
      </c>
      <c r="AB31">
        <f>LOOKUP(AA31,Grade_Scale!$A$2:$A$18,Grade_Scale!$B$2:$B$18)</f>
        <v/>
      </c>
      <c r="AC31">
        <f>LOOKUP(AA31,Grade_Scale!$A$2:$A$18,Grade_Scale!$C$2:$C$18)</f>
        <v/>
      </c>
      <c r="AE31">
        <f>IF(AD31="","",AB31-VLOOKUP(AD31,Grade_Scale!$C$2:$E$18,3,FALSE))</f>
        <v/>
      </c>
    </row>
    <row r="32">
      <c r="Q32">
        <f>IF(OR(B32="SP",B32="RP",B32="CP",B32="SP/RP"),"P","H")</f>
        <v/>
      </c>
      <c r="R32">
        <f>IF(F32="",0,IFNA(VLOOKUP(F32,Trait_Polarity!$A:$C,2,FALSE),0))+IF(G32="",0,IFNA(VLOOKUP(G32,Trait_Polarity!$A:$C,2,FALSE),0))</f>
        <v/>
      </c>
      <c r="S32">
        <f>IF(F32="",0,IFNA(VLOOKUP(F32,Trait_Polarity!$A:$C,3,FALSE),0))+IF(G32="",0,IFNA(VLOOKUP(G32,Trait_Polarity!$A:$C,3,FALSE),0))</f>
        <v/>
      </c>
      <c r="T32">
        <f>IF(Q32="P",0,IFNA(VLOOKUP(IF(C32="","(none)",C32),Secondary_Versatility!$A:$B,2,FALSE),0))</f>
        <v/>
      </c>
      <c r="U32">
        <f>IF(H32="",0,LEN(H32)-LEN(SUBSTITUTE(H32,"|",""))+1)</f>
        <v/>
      </c>
      <c r="V32">
        <f>IF(Q32="P",(N32+O32+P32)/3,0.3*I32+0.3*J32+0.2*K32+0.1*L32+0.1*M32)</f>
        <v/>
      </c>
      <c r="W32">
        <f>IF(Q32="P",IF(F32="",0,IFNA(VLOOKUP(F32,Pitcher_Trait_Coef!$A:$B,2,FALSE),0))+IF(G32="",0,IFNA(VLOOKUP(G32,Pitcher_Trait_Coef!$A:$B,2,FALSE),0)),IF(F32="",0,IFNA(VLOOKUP(F32,Hitter_Trait_Coef!$A:$B,2,FALSE),0))+IF(G32="",0,IFNA(VLOOKUP(G32,Hitter_Trait_Coef!$A:$B,2,FALSE),0)))</f>
        <v/>
      </c>
      <c r="X32">
        <f>IF(Q32="P",IFNA(VLOOKUP(B32,Pitcher_Primary_Coef!$A:$B,2,FALSE),0),IFNA(VLOOKUP(B32,Hitter_Primary_Coef!$A:$B,2,FALSE),0))</f>
        <v/>
      </c>
      <c r="Y32">
        <f>IF(Q32="P",0,IFNA(VLOOKUP(IF(C32="","(none)",C32),Hitter_Secondary_Coef!$A:$B,2,FALSE),0))</f>
        <v/>
      </c>
      <c r="Z32">
        <f>IF(Q32="P",IF(ISNUMBER(SEARCH("2F",H32)),IFNA(VLOOKUP("2F",Pitch_Coef!$A:$B,2,FALSE),0),0)+IF(ISNUMBER(SEARCH("4F",H32)),IFNA(VLOOKUP("4F",Pitch_Coef!$A:$B,2,FALSE),0),0)+IF(ISNUMBER(SEARCH("CB",H32)),IFNA(VLOOKUP("CB",Pitch_Coef!$A:$B,2,FALSE),0),0)+IF(ISNUMBER(SEARCH("CF",H32)),IFNA(VLOOKUP("CF",Pitch_Coef!$A:$B,2,FALSE),0),0)+IF(ISNUMBER(SEARCH("CH",H32)),IFNA(VLOOKUP("CH",Pitch_Coef!$A:$B,2,FALSE),0),0)+IF(ISNUMBER(SEARCH("FK",H32)),IFNA(VLOOKUP("FK",Pitch_Coef!$A:$B,2,FALSE),0),0)+IF(ISNUMBER(SEARCH("SB",H32)),IFNA(VLOOKUP("SB",Pitch_Coef!$A:$B,2,FALSE),0),0)+IF(ISNUMBER(SEARCH("SL",H32)),IFNA(VLOOKUP("SL",Pitch_Coef!$A:$B,2,FALSE),0),0),0)</f>
        <v/>
      </c>
      <c r="AA32">
        <f>IF(Q32="P",16.5944849573+0.2529999141*N32+0.2665900378*O32+0.2632687105*P32+0.0427586837*I32+0.0534777057*J32+0.009015832*K32+0.0204898106*(O32*P32/100)+1.0091022427*U32+1.0968542297*IF(D32="L",1,0)+0.3771555045*IF(D32="S",1,0)-0.2226159177*IF(E32="L",1,0)+1.21385024*R32-1.1652812274*S32+W32+X32+Z32,10.5965166711+0.2825983581*I32+0.2806503532*J32+0.2027213083*K32+0.1147824982*L32+0.0915305332*M32-0.0088454122*(I32*J32/100)-0.0336045706*(K32*L32/100)+2.8497389733*IF(D32="L",1,0)+4.5116226727*IF(D32="S",1,0)-0.6571546448*IF(E32="L",1,0)+0.0850728147*T32+0.0129488446*(T32*T32)+0.1909373936*IF(OR(F32="Utility",G32="Utility"),T32,0)+0.9656824071*R32-1.7517683256*S32+W32+X32+Y32)</f>
        <v/>
      </c>
      <c r="AB32">
        <f>LOOKUP(AA32,Grade_Scale!$A$2:$A$18,Grade_Scale!$B$2:$B$18)</f>
        <v/>
      </c>
      <c r="AC32">
        <f>LOOKUP(AA32,Grade_Scale!$A$2:$A$18,Grade_Scale!$C$2:$C$18)</f>
        <v/>
      </c>
      <c r="AE32">
        <f>IF(AD32="","",AB32-VLOOKUP(AD32,Grade_Scale!$C$2:$E$18,3,FALSE))</f>
        <v/>
      </c>
    </row>
    <row r="33">
      <c r="Q33">
        <f>IF(OR(B33="SP",B33="RP",B33="CP",B33="SP/RP"),"P","H")</f>
        <v/>
      </c>
      <c r="R33">
        <f>IF(F33="",0,IFNA(VLOOKUP(F33,Trait_Polarity!$A:$C,2,FALSE),0))+IF(G33="",0,IFNA(VLOOKUP(G33,Trait_Polarity!$A:$C,2,FALSE),0))</f>
        <v/>
      </c>
      <c r="S33">
        <f>IF(F33="",0,IFNA(VLOOKUP(F33,Trait_Polarity!$A:$C,3,FALSE),0))+IF(G33="",0,IFNA(VLOOKUP(G33,Trait_Polarity!$A:$C,3,FALSE),0))</f>
        <v/>
      </c>
      <c r="T33">
        <f>IF(Q33="P",0,IFNA(VLOOKUP(IF(C33="","(none)",C33),Secondary_Versatility!$A:$B,2,FALSE),0))</f>
        <v/>
      </c>
      <c r="U33">
        <f>IF(H33="",0,LEN(H33)-LEN(SUBSTITUTE(H33,"|",""))+1)</f>
        <v/>
      </c>
      <c r="V33">
        <f>IF(Q33="P",(N33+O33+P33)/3,0.3*I33+0.3*J33+0.2*K33+0.1*L33+0.1*M33)</f>
        <v/>
      </c>
      <c r="W33">
        <f>IF(Q33="P",IF(F33="",0,IFNA(VLOOKUP(F33,Pitcher_Trait_Coef!$A:$B,2,FALSE),0))+IF(G33="",0,IFNA(VLOOKUP(G33,Pitcher_Trait_Coef!$A:$B,2,FALSE),0)),IF(F33="",0,IFNA(VLOOKUP(F33,Hitter_Trait_Coef!$A:$B,2,FALSE),0))+IF(G33="",0,IFNA(VLOOKUP(G33,Hitter_Trait_Coef!$A:$B,2,FALSE),0)))</f>
        <v/>
      </c>
      <c r="X33">
        <f>IF(Q33="P",IFNA(VLOOKUP(B33,Pitcher_Primary_Coef!$A:$B,2,FALSE),0),IFNA(VLOOKUP(B33,Hitter_Primary_Coef!$A:$B,2,FALSE),0))</f>
        <v/>
      </c>
      <c r="Y33">
        <f>IF(Q33="P",0,IFNA(VLOOKUP(IF(C33="","(none)",C33),Hitter_Secondary_Coef!$A:$B,2,FALSE),0))</f>
        <v/>
      </c>
      <c r="Z33">
        <f>IF(Q33="P",IF(ISNUMBER(SEARCH("2F",H33)),IFNA(VLOOKUP("2F",Pitch_Coef!$A:$B,2,FALSE),0),0)+IF(ISNUMBER(SEARCH("4F",H33)),IFNA(VLOOKUP("4F",Pitch_Coef!$A:$B,2,FALSE),0),0)+IF(ISNUMBER(SEARCH("CB",H33)),IFNA(VLOOKUP("CB",Pitch_Coef!$A:$B,2,FALSE),0),0)+IF(ISNUMBER(SEARCH("CF",H33)),IFNA(VLOOKUP("CF",Pitch_Coef!$A:$B,2,FALSE),0),0)+IF(ISNUMBER(SEARCH("CH",H33)),IFNA(VLOOKUP("CH",Pitch_Coef!$A:$B,2,FALSE),0),0)+IF(ISNUMBER(SEARCH("FK",H33)),IFNA(VLOOKUP("FK",Pitch_Coef!$A:$B,2,FALSE),0),0)+IF(ISNUMBER(SEARCH("SB",H33)),IFNA(VLOOKUP("SB",Pitch_Coef!$A:$B,2,FALSE),0),0)+IF(ISNUMBER(SEARCH("SL",H33)),IFNA(VLOOKUP("SL",Pitch_Coef!$A:$B,2,FALSE),0),0),0)</f>
        <v/>
      </c>
      <c r="AA33">
        <f>IF(Q33="P",16.5944849573+0.2529999141*N33+0.2665900378*O33+0.2632687105*P33+0.0427586837*I33+0.0534777057*J33+0.009015832*K33+0.0204898106*(O33*P33/100)+1.0091022427*U33+1.0968542297*IF(D33="L",1,0)+0.3771555045*IF(D33="S",1,0)-0.2226159177*IF(E33="L",1,0)+1.21385024*R33-1.1652812274*S33+W33+X33+Z33,10.5965166711+0.2825983581*I33+0.2806503532*J33+0.2027213083*K33+0.1147824982*L33+0.0915305332*M33-0.0088454122*(I33*J33/100)-0.0336045706*(K33*L33/100)+2.8497389733*IF(D33="L",1,0)+4.5116226727*IF(D33="S",1,0)-0.6571546448*IF(E33="L",1,0)+0.0850728147*T33+0.0129488446*(T33*T33)+0.1909373936*IF(OR(F33="Utility",G33="Utility"),T33,0)+0.9656824071*R33-1.7517683256*S33+W33+X33+Y33)</f>
        <v/>
      </c>
      <c r="AB33">
        <f>LOOKUP(AA33,Grade_Scale!$A$2:$A$18,Grade_Scale!$B$2:$B$18)</f>
        <v/>
      </c>
      <c r="AC33">
        <f>LOOKUP(AA33,Grade_Scale!$A$2:$A$18,Grade_Scale!$C$2:$C$18)</f>
        <v/>
      </c>
      <c r="AE33">
        <f>IF(AD33="","",AB33-VLOOKUP(AD33,Grade_Scale!$C$2:$E$18,3,FALSE))</f>
        <v/>
      </c>
    </row>
    <row r="34">
      <c r="Q34">
        <f>IF(OR(B34="SP",B34="RP",B34="CP",B34="SP/RP"),"P","H")</f>
        <v/>
      </c>
      <c r="R34">
        <f>IF(F34="",0,IFNA(VLOOKUP(F34,Trait_Polarity!$A:$C,2,FALSE),0))+IF(G34="",0,IFNA(VLOOKUP(G34,Trait_Polarity!$A:$C,2,FALSE),0))</f>
        <v/>
      </c>
      <c r="S34">
        <f>IF(F34="",0,IFNA(VLOOKUP(F34,Trait_Polarity!$A:$C,3,FALSE),0))+IF(G34="",0,IFNA(VLOOKUP(G34,Trait_Polarity!$A:$C,3,FALSE),0))</f>
        <v/>
      </c>
      <c r="T34">
        <f>IF(Q34="P",0,IFNA(VLOOKUP(IF(C34="","(none)",C34),Secondary_Versatility!$A:$B,2,FALSE),0))</f>
        <v/>
      </c>
      <c r="U34">
        <f>IF(H34="",0,LEN(H34)-LEN(SUBSTITUTE(H34,"|",""))+1)</f>
        <v/>
      </c>
      <c r="V34">
        <f>IF(Q34="P",(N34+O34+P34)/3,0.3*I34+0.3*J34+0.2*K34+0.1*L34+0.1*M34)</f>
        <v/>
      </c>
      <c r="W34">
        <f>IF(Q34="P",IF(F34="",0,IFNA(VLOOKUP(F34,Pitcher_Trait_Coef!$A:$B,2,FALSE),0))+IF(G34="",0,IFNA(VLOOKUP(G34,Pitcher_Trait_Coef!$A:$B,2,FALSE),0)),IF(F34="",0,IFNA(VLOOKUP(F34,Hitter_Trait_Coef!$A:$B,2,FALSE),0))+IF(G34="",0,IFNA(VLOOKUP(G34,Hitter_Trait_Coef!$A:$B,2,FALSE),0)))</f>
        <v/>
      </c>
      <c r="X34">
        <f>IF(Q34="P",IFNA(VLOOKUP(B34,Pitcher_Primary_Coef!$A:$B,2,FALSE),0),IFNA(VLOOKUP(B34,Hitter_Primary_Coef!$A:$B,2,FALSE),0))</f>
        <v/>
      </c>
      <c r="Y34">
        <f>IF(Q34="P",0,IFNA(VLOOKUP(IF(C34="","(none)",C34),Hitter_Secondary_Coef!$A:$B,2,FALSE),0))</f>
        <v/>
      </c>
      <c r="Z34">
        <f>IF(Q34="P",IF(ISNUMBER(SEARCH("2F",H34)),IFNA(VLOOKUP("2F",Pitch_Coef!$A:$B,2,FALSE),0),0)+IF(ISNUMBER(SEARCH("4F",H34)),IFNA(VLOOKUP("4F",Pitch_Coef!$A:$B,2,FALSE),0),0)+IF(ISNUMBER(SEARCH("CB",H34)),IFNA(VLOOKUP("CB",Pitch_Coef!$A:$B,2,FALSE),0),0)+IF(ISNUMBER(SEARCH("CF",H34)),IFNA(VLOOKUP("CF",Pitch_Coef!$A:$B,2,FALSE),0),0)+IF(ISNUMBER(SEARCH("CH",H34)),IFNA(VLOOKUP("CH",Pitch_Coef!$A:$B,2,FALSE),0),0)+IF(ISNUMBER(SEARCH("FK",H34)),IFNA(VLOOKUP("FK",Pitch_Coef!$A:$B,2,FALSE),0),0)+IF(ISNUMBER(SEARCH("SB",H34)),IFNA(VLOOKUP("SB",Pitch_Coef!$A:$B,2,FALSE),0),0)+IF(ISNUMBER(SEARCH("SL",H34)),IFNA(VLOOKUP("SL",Pitch_Coef!$A:$B,2,FALSE),0),0),0)</f>
        <v/>
      </c>
      <c r="AA34">
        <f>IF(Q34="P",16.5944849573+0.2529999141*N34+0.2665900378*O34+0.2632687105*P34+0.0427586837*I34+0.0534777057*J34+0.009015832*K34+0.0204898106*(O34*P34/100)+1.0091022427*U34+1.0968542297*IF(D34="L",1,0)+0.3771555045*IF(D34="S",1,0)-0.2226159177*IF(E34="L",1,0)+1.21385024*R34-1.1652812274*S34+W34+X34+Z34,10.5965166711+0.2825983581*I34+0.2806503532*J34+0.2027213083*K34+0.1147824982*L34+0.0915305332*M34-0.0088454122*(I34*J34/100)-0.0336045706*(K34*L34/100)+2.8497389733*IF(D34="L",1,0)+4.5116226727*IF(D34="S",1,0)-0.6571546448*IF(E34="L",1,0)+0.0850728147*T34+0.0129488446*(T34*T34)+0.1909373936*IF(OR(F34="Utility",G34="Utility"),T34,0)+0.9656824071*R34-1.7517683256*S34+W34+X34+Y34)</f>
        <v/>
      </c>
      <c r="AB34">
        <f>LOOKUP(AA34,Grade_Scale!$A$2:$A$18,Grade_Scale!$B$2:$B$18)</f>
        <v/>
      </c>
      <c r="AC34">
        <f>LOOKUP(AA34,Grade_Scale!$A$2:$A$18,Grade_Scale!$C$2:$C$18)</f>
        <v/>
      </c>
      <c r="AE34">
        <f>IF(AD34="","",AB34-VLOOKUP(AD34,Grade_Scale!$C$2:$E$18,3,FALSE))</f>
        <v/>
      </c>
    </row>
    <row r="35">
      <c r="Q35">
        <f>IF(OR(B35="SP",B35="RP",B35="CP",B35="SP/RP"),"P","H")</f>
        <v/>
      </c>
      <c r="R35">
        <f>IF(F35="",0,IFNA(VLOOKUP(F35,Trait_Polarity!$A:$C,2,FALSE),0))+IF(G35="",0,IFNA(VLOOKUP(G35,Trait_Polarity!$A:$C,2,FALSE),0))</f>
        <v/>
      </c>
      <c r="S35">
        <f>IF(F35="",0,IFNA(VLOOKUP(F35,Trait_Polarity!$A:$C,3,FALSE),0))+IF(G35="",0,IFNA(VLOOKUP(G35,Trait_Polarity!$A:$C,3,FALSE),0))</f>
        <v/>
      </c>
      <c r="T35">
        <f>IF(Q35="P",0,IFNA(VLOOKUP(IF(C35="","(none)",C35),Secondary_Versatility!$A:$B,2,FALSE),0))</f>
        <v/>
      </c>
      <c r="U35">
        <f>IF(H35="",0,LEN(H35)-LEN(SUBSTITUTE(H35,"|",""))+1)</f>
        <v/>
      </c>
      <c r="V35">
        <f>IF(Q35="P",(N35+O35+P35)/3,0.3*I35+0.3*J35+0.2*K35+0.1*L35+0.1*M35)</f>
        <v/>
      </c>
      <c r="W35">
        <f>IF(Q35="P",IF(F35="",0,IFNA(VLOOKUP(F35,Pitcher_Trait_Coef!$A:$B,2,FALSE),0))+IF(G35="",0,IFNA(VLOOKUP(G35,Pitcher_Trait_Coef!$A:$B,2,FALSE),0)),IF(F35="",0,IFNA(VLOOKUP(F35,Hitter_Trait_Coef!$A:$B,2,FALSE),0))+IF(G35="",0,IFNA(VLOOKUP(G35,Hitter_Trait_Coef!$A:$B,2,FALSE),0)))</f>
        <v/>
      </c>
      <c r="X35">
        <f>IF(Q35="P",IFNA(VLOOKUP(B35,Pitcher_Primary_Coef!$A:$B,2,FALSE),0),IFNA(VLOOKUP(B35,Hitter_Primary_Coef!$A:$B,2,FALSE),0))</f>
        <v/>
      </c>
      <c r="Y35">
        <f>IF(Q35="P",0,IFNA(VLOOKUP(IF(C35="","(none)",C35),Hitter_Secondary_Coef!$A:$B,2,FALSE),0))</f>
        <v/>
      </c>
      <c r="Z35">
        <f>IF(Q35="P",IF(ISNUMBER(SEARCH("2F",H35)),IFNA(VLOOKUP("2F",Pitch_Coef!$A:$B,2,FALSE),0),0)+IF(ISNUMBER(SEARCH("4F",H35)),IFNA(VLOOKUP("4F",Pitch_Coef!$A:$B,2,FALSE),0),0)+IF(ISNUMBER(SEARCH("CB",H35)),IFNA(VLOOKUP("CB",Pitch_Coef!$A:$B,2,FALSE),0),0)+IF(ISNUMBER(SEARCH("CF",H35)),IFNA(VLOOKUP("CF",Pitch_Coef!$A:$B,2,FALSE),0),0)+IF(ISNUMBER(SEARCH("CH",H35)),IFNA(VLOOKUP("CH",Pitch_Coef!$A:$B,2,FALSE),0),0)+IF(ISNUMBER(SEARCH("FK",H35)),IFNA(VLOOKUP("FK",Pitch_Coef!$A:$B,2,FALSE),0),0)+IF(ISNUMBER(SEARCH("SB",H35)),IFNA(VLOOKUP("SB",Pitch_Coef!$A:$B,2,FALSE),0),0)+IF(ISNUMBER(SEARCH("SL",H35)),IFNA(VLOOKUP("SL",Pitch_Coef!$A:$B,2,FALSE),0),0),0)</f>
        <v/>
      </c>
      <c r="AA35">
        <f>IF(Q35="P",16.5944849573+0.2529999141*N35+0.2665900378*O35+0.2632687105*P35+0.0427586837*I35+0.0534777057*J35+0.009015832*K35+0.0204898106*(O35*P35/100)+1.0091022427*U35+1.0968542297*IF(D35="L",1,0)+0.3771555045*IF(D35="S",1,0)-0.2226159177*IF(E35="L",1,0)+1.21385024*R35-1.1652812274*S35+W35+X35+Z35,10.5965166711+0.2825983581*I35+0.2806503532*J35+0.2027213083*K35+0.1147824982*L35+0.0915305332*M35-0.0088454122*(I35*J35/100)-0.0336045706*(K35*L35/100)+2.8497389733*IF(D35="L",1,0)+4.5116226727*IF(D35="S",1,0)-0.6571546448*IF(E35="L",1,0)+0.0850728147*T35+0.0129488446*(T35*T35)+0.1909373936*IF(OR(F35="Utility",G35="Utility"),T35,0)+0.9656824071*R35-1.7517683256*S35+W35+X35+Y35)</f>
        <v/>
      </c>
      <c r="AB35">
        <f>LOOKUP(AA35,Grade_Scale!$A$2:$A$18,Grade_Scale!$B$2:$B$18)</f>
        <v/>
      </c>
      <c r="AC35">
        <f>LOOKUP(AA35,Grade_Scale!$A$2:$A$18,Grade_Scale!$C$2:$C$18)</f>
        <v/>
      </c>
      <c r="AE35">
        <f>IF(AD35="","",AB35-VLOOKUP(AD35,Grade_Scale!$C$2:$E$18,3,FALSE))</f>
        <v/>
      </c>
    </row>
    <row r="36">
      <c r="Q36">
        <f>IF(OR(B36="SP",B36="RP",B36="CP",B36="SP/RP"),"P","H")</f>
        <v/>
      </c>
      <c r="R36">
        <f>IF(F36="",0,IFNA(VLOOKUP(F36,Trait_Polarity!$A:$C,2,FALSE),0))+IF(G36="",0,IFNA(VLOOKUP(G36,Trait_Polarity!$A:$C,2,FALSE),0))</f>
        <v/>
      </c>
      <c r="S36">
        <f>IF(F36="",0,IFNA(VLOOKUP(F36,Trait_Polarity!$A:$C,3,FALSE),0))+IF(G36="",0,IFNA(VLOOKUP(G36,Trait_Polarity!$A:$C,3,FALSE),0))</f>
        <v/>
      </c>
      <c r="T36">
        <f>IF(Q36="P",0,IFNA(VLOOKUP(IF(C36="","(none)",C36),Secondary_Versatility!$A:$B,2,FALSE),0))</f>
        <v/>
      </c>
      <c r="U36">
        <f>IF(H36="",0,LEN(H36)-LEN(SUBSTITUTE(H36,"|",""))+1)</f>
        <v/>
      </c>
      <c r="V36">
        <f>IF(Q36="P",(N36+O36+P36)/3,0.3*I36+0.3*J36+0.2*K36+0.1*L36+0.1*M36)</f>
        <v/>
      </c>
      <c r="W36">
        <f>IF(Q36="P",IF(F36="",0,IFNA(VLOOKUP(F36,Pitcher_Trait_Coef!$A:$B,2,FALSE),0))+IF(G36="",0,IFNA(VLOOKUP(G36,Pitcher_Trait_Coef!$A:$B,2,FALSE),0)),IF(F36="",0,IFNA(VLOOKUP(F36,Hitter_Trait_Coef!$A:$B,2,FALSE),0))+IF(G36="",0,IFNA(VLOOKUP(G36,Hitter_Trait_Coef!$A:$B,2,FALSE),0)))</f>
        <v/>
      </c>
      <c r="X36">
        <f>IF(Q36="P",IFNA(VLOOKUP(B36,Pitcher_Primary_Coef!$A:$B,2,FALSE),0),IFNA(VLOOKUP(B36,Hitter_Primary_Coef!$A:$B,2,FALSE),0))</f>
        <v/>
      </c>
      <c r="Y36">
        <f>IF(Q36="P",0,IFNA(VLOOKUP(IF(C36="","(none)",C36),Hitter_Secondary_Coef!$A:$B,2,FALSE),0))</f>
        <v/>
      </c>
      <c r="Z36">
        <f>IF(Q36="P",IF(ISNUMBER(SEARCH("2F",H36)),IFNA(VLOOKUP("2F",Pitch_Coef!$A:$B,2,FALSE),0),0)+IF(ISNUMBER(SEARCH("4F",H36)),IFNA(VLOOKUP("4F",Pitch_Coef!$A:$B,2,FALSE),0),0)+IF(ISNUMBER(SEARCH("CB",H36)),IFNA(VLOOKUP("CB",Pitch_Coef!$A:$B,2,FALSE),0),0)+IF(ISNUMBER(SEARCH("CF",H36)),IFNA(VLOOKUP("CF",Pitch_Coef!$A:$B,2,FALSE),0),0)+IF(ISNUMBER(SEARCH("CH",H36)),IFNA(VLOOKUP("CH",Pitch_Coef!$A:$B,2,FALSE),0),0)+IF(ISNUMBER(SEARCH("FK",H36)),IFNA(VLOOKUP("FK",Pitch_Coef!$A:$B,2,FALSE),0),0)+IF(ISNUMBER(SEARCH("SB",H36)),IFNA(VLOOKUP("SB",Pitch_Coef!$A:$B,2,FALSE),0),0)+IF(ISNUMBER(SEARCH("SL",H36)),IFNA(VLOOKUP("SL",Pitch_Coef!$A:$B,2,FALSE),0),0),0)</f>
        <v/>
      </c>
      <c r="AA36">
        <f>IF(Q36="P",16.5944849573+0.2529999141*N36+0.2665900378*O36+0.2632687105*P36+0.0427586837*I36+0.0534777057*J36+0.009015832*K36+0.0204898106*(O36*P36/100)+1.0091022427*U36+1.0968542297*IF(D36="L",1,0)+0.3771555045*IF(D36="S",1,0)-0.2226159177*IF(E36="L",1,0)+1.21385024*R36-1.1652812274*S36+W36+X36+Z36,10.5965166711+0.2825983581*I36+0.2806503532*J36+0.2027213083*K36+0.1147824982*L36+0.0915305332*M36-0.0088454122*(I36*J36/100)-0.0336045706*(K36*L36/100)+2.8497389733*IF(D36="L",1,0)+4.5116226727*IF(D36="S",1,0)-0.6571546448*IF(E36="L",1,0)+0.0850728147*T36+0.0129488446*(T36*T36)+0.1909373936*IF(OR(F36="Utility",G36="Utility"),T36,0)+0.9656824071*R36-1.7517683256*S36+W36+X36+Y36)</f>
        <v/>
      </c>
      <c r="AB36">
        <f>LOOKUP(AA36,Grade_Scale!$A$2:$A$18,Grade_Scale!$B$2:$B$18)</f>
        <v/>
      </c>
      <c r="AC36">
        <f>LOOKUP(AA36,Grade_Scale!$A$2:$A$18,Grade_Scale!$C$2:$C$18)</f>
        <v/>
      </c>
      <c r="AE36">
        <f>IF(AD36="","",AB36-VLOOKUP(AD36,Grade_Scale!$C$2:$E$18,3,FALSE))</f>
        <v/>
      </c>
    </row>
    <row r="37">
      <c r="Q37">
        <f>IF(OR(B37="SP",B37="RP",B37="CP",B37="SP/RP"),"P","H")</f>
        <v/>
      </c>
      <c r="R37">
        <f>IF(F37="",0,IFNA(VLOOKUP(F37,Trait_Polarity!$A:$C,2,FALSE),0))+IF(G37="",0,IFNA(VLOOKUP(G37,Trait_Polarity!$A:$C,2,FALSE),0))</f>
        <v/>
      </c>
      <c r="S37">
        <f>IF(F37="",0,IFNA(VLOOKUP(F37,Trait_Polarity!$A:$C,3,FALSE),0))+IF(G37="",0,IFNA(VLOOKUP(G37,Trait_Polarity!$A:$C,3,FALSE),0))</f>
        <v/>
      </c>
      <c r="T37">
        <f>IF(Q37="P",0,IFNA(VLOOKUP(IF(C37="","(none)",C37),Secondary_Versatility!$A:$B,2,FALSE),0))</f>
        <v/>
      </c>
      <c r="U37">
        <f>IF(H37="",0,LEN(H37)-LEN(SUBSTITUTE(H37,"|",""))+1)</f>
        <v/>
      </c>
      <c r="V37">
        <f>IF(Q37="P",(N37+O37+P37)/3,0.3*I37+0.3*J37+0.2*K37+0.1*L37+0.1*M37)</f>
        <v/>
      </c>
      <c r="W37">
        <f>IF(Q37="P",IF(F37="",0,IFNA(VLOOKUP(F37,Pitcher_Trait_Coef!$A:$B,2,FALSE),0))+IF(G37="",0,IFNA(VLOOKUP(G37,Pitcher_Trait_Coef!$A:$B,2,FALSE),0)),IF(F37="",0,IFNA(VLOOKUP(F37,Hitter_Trait_Coef!$A:$B,2,FALSE),0))+IF(G37="",0,IFNA(VLOOKUP(G37,Hitter_Trait_Coef!$A:$B,2,FALSE),0)))</f>
        <v/>
      </c>
      <c r="X37">
        <f>IF(Q37="P",IFNA(VLOOKUP(B37,Pitcher_Primary_Coef!$A:$B,2,FALSE),0),IFNA(VLOOKUP(B37,Hitter_Primary_Coef!$A:$B,2,FALSE),0))</f>
        <v/>
      </c>
      <c r="Y37">
        <f>IF(Q37="P",0,IFNA(VLOOKUP(IF(C37="","(none)",C37),Hitter_Secondary_Coef!$A:$B,2,FALSE),0))</f>
        <v/>
      </c>
      <c r="Z37">
        <f>IF(Q37="P",IF(ISNUMBER(SEARCH("2F",H37)),IFNA(VLOOKUP("2F",Pitch_Coef!$A:$B,2,FALSE),0),0)+IF(ISNUMBER(SEARCH("4F",H37)),IFNA(VLOOKUP("4F",Pitch_Coef!$A:$B,2,FALSE),0),0)+IF(ISNUMBER(SEARCH("CB",H37)),IFNA(VLOOKUP("CB",Pitch_Coef!$A:$B,2,FALSE),0),0)+IF(ISNUMBER(SEARCH("CF",H37)),IFNA(VLOOKUP("CF",Pitch_Coef!$A:$B,2,FALSE),0),0)+IF(ISNUMBER(SEARCH("CH",H37)),IFNA(VLOOKUP("CH",Pitch_Coef!$A:$B,2,FALSE),0),0)+IF(ISNUMBER(SEARCH("FK",H37)),IFNA(VLOOKUP("FK",Pitch_Coef!$A:$B,2,FALSE),0),0)+IF(ISNUMBER(SEARCH("SB",H37)),IFNA(VLOOKUP("SB",Pitch_Coef!$A:$B,2,FALSE),0),0)+IF(ISNUMBER(SEARCH("SL",H37)),IFNA(VLOOKUP("SL",Pitch_Coef!$A:$B,2,FALSE),0),0),0)</f>
        <v/>
      </c>
      <c r="AA37">
        <f>IF(Q37="P",16.5944849573+0.2529999141*N37+0.2665900378*O37+0.2632687105*P37+0.0427586837*I37+0.0534777057*J37+0.009015832*K37+0.0204898106*(O37*P37/100)+1.0091022427*U37+1.0968542297*IF(D37="L",1,0)+0.3771555045*IF(D37="S",1,0)-0.2226159177*IF(E37="L",1,0)+1.21385024*R37-1.1652812274*S37+W37+X37+Z37,10.5965166711+0.2825983581*I37+0.2806503532*J37+0.2027213083*K37+0.1147824982*L37+0.0915305332*M37-0.0088454122*(I37*J37/100)-0.0336045706*(K37*L37/100)+2.8497389733*IF(D37="L",1,0)+4.5116226727*IF(D37="S",1,0)-0.6571546448*IF(E37="L",1,0)+0.0850728147*T37+0.0129488446*(T37*T37)+0.1909373936*IF(OR(F37="Utility",G37="Utility"),T37,0)+0.9656824071*R37-1.7517683256*S37+W37+X37+Y37)</f>
        <v/>
      </c>
      <c r="AB37">
        <f>LOOKUP(AA37,Grade_Scale!$A$2:$A$18,Grade_Scale!$B$2:$B$18)</f>
        <v/>
      </c>
      <c r="AC37">
        <f>LOOKUP(AA37,Grade_Scale!$A$2:$A$18,Grade_Scale!$C$2:$C$18)</f>
        <v/>
      </c>
      <c r="AE37">
        <f>IF(AD37="","",AB37-VLOOKUP(AD37,Grade_Scale!$C$2:$E$18,3,FALSE))</f>
        <v/>
      </c>
    </row>
    <row r="38">
      <c r="Q38">
        <f>IF(OR(B38="SP",B38="RP",B38="CP",B38="SP/RP"),"P","H")</f>
        <v/>
      </c>
      <c r="R38">
        <f>IF(F38="",0,IFNA(VLOOKUP(F38,Trait_Polarity!$A:$C,2,FALSE),0))+IF(G38="",0,IFNA(VLOOKUP(G38,Trait_Polarity!$A:$C,2,FALSE),0))</f>
        <v/>
      </c>
      <c r="S38">
        <f>IF(F38="",0,IFNA(VLOOKUP(F38,Trait_Polarity!$A:$C,3,FALSE),0))+IF(G38="",0,IFNA(VLOOKUP(G38,Trait_Polarity!$A:$C,3,FALSE),0))</f>
        <v/>
      </c>
      <c r="T38">
        <f>IF(Q38="P",0,IFNA(VLOOKUP(IF(C38="","(none)",C38),Secondary_Versatility!$A:$B,2,FALSE),0))</f>
        <v/>
      </c>
      <c r="U38">
        <f>IF(H38="",0,LEN(H38)-LEN(SUBSTITUTE(H38,"|",""))+1)</f>
        <v/>
      </c>
      <c r="V38">
        <f>IF(Q38="P",(N38+O38+P38)/3,0.3*I38+0.3*J38+0.2*K38+0.1*L38+0.1*M38)</f>
        <v/>
      </c>
      <c r="W38">
        <f>IF(Q38="P",IF(F38="",0,IFNA(VLOOKUP(F38,Pitcher_Trait_Coef!$A:$B,2,FALSE),0))+IF(G38="",0,IFNA(VLOOKUP(G38,Pitcher_Trait_Coef!$A:$B,2,FALSE),0)),IF(F38="",0,IFNA(VLOOKUP(F38,Hitter_Trait_Coef!$A:$B,2,FALSE),0))+IF(G38="",0,IFNA(VLOOKUP(G38,Hitter_Trait_Coef!$A:$B,2,FALSE),0)))</f>
        <v/>
      </c>
      <c r="X38">
        <f>IF(Q38="P",IFNA(VLOOKUP(B38,Pitcher_Primary_Coef!$A:$B,2,FALSE),0),IFNA(VLOOKUP(B38,Hitter_Primary_Coef!$A:$B,2,FALSE),0))</f>
        <v/>
      </c>
      <c r="Y38">
        <f>IF(Q38="P",0,IFNA(VLOOKUP(IF(C38="","(none)",C38),Hitter_Secondary_Coef!$A:$B,2,FALSE),0))</f>
        <v/>
      </c>
      <c r="Z38">
        <f>IF(Q38="P",IF(ISNUMBER(SEARCH("2F",H38)),IFNA(VLOOKUP("2F",Pitch_Coef!$A:$B,2,FALSE),0),0)+IF(ISNUMBER(SEARCH("4F",H38)),IFNA(VLOOKUP("4F",Pitch_Coef!$A:$B,2,FALSE),0),0)+IF(ISNUMBER(SEARCH("CB",H38)),IFNA(VLOOKUP("CB",Pitch_Coef!$A:$B,2,FALSE),0),0)+IF(ISNUMBER(SEARCH("CF",H38)),IFNA(VLOOKUP("CF",Pitch_Coef!$A:$B,2,FALSE),0),0)+IF(ISNUMBER(SEARCH("CH",H38)),IFNA(VLOOKUP("CH",Pitch_Coef!$A:$B,2,FALSE),0),0)+IF(ISNUMBER(SEARCH("FK",H38)),IFNA(VLOOKUP("FK",Pitch_Coef!$A:$B,2,FALSE),0),0)+IF(ISNUMBER(SEARCH("SB",H38)),IFNA(VLOOKUP("SB",Pitch_Coef!$A:$B,2,FALSE),0),0)+IF(ISNUMBER(SEARCH("SL",H38)),IFNA(VLOOKUP("SL",Pitch_Coef!$A:$B,2,FALSE),0),0),0)</f>
        <v/>
      </c>
      <c r="AA38">
        <f>IF(Q38="P",16.5944849573+0.2529999141*N38+0.2665900378*O38+0.2632687105*P38+0.0427586837*I38+0.0534777057*J38+0.009015832*K38+0.0204898106*(O38*P38/100)+1.0091022427*U38+1.0968542297*IF(D38="L",1,0)+0.3771555045*IF(D38="S",1,0)-0.2226159177*IF(E38="L",1,0)+1.21385024*R38-1.1652812274*S38+W38+X38+Z38,10.5965166711+0.2825983581*I38+0.2806503532*J38+0.2027213083*K38+0.1147824982*L38+0.0915305332*M38-0.0088454122*(I38*J38/100)-0.0336045706*(K38*L38/100)+2.8497389733*IF(D38="L",1,0)+4.5116226727*IF(D38="S",1,0)-0.6571546448*IF(E38="L",1,0)+0.0850728147*T38+0.0129488446*(T38*T38)+0.1909373936*IF(OR(F38="Utility",G38="Utility"),T38,0)+0.9656824071*R38-1.7517683256*S38+W38+X38+Y38)</f>
        <v/>
      </c>
      <c r="AB38">
        <f>LOOKUP(AA38,Grade_Scale!$A$2:$A$18,Grade_Scale!$B$2:$B$18)</f>
        <v/>
      </c>
      <c r="AC38">
        <f>LOOKUP(AA38,Grade_Scale!$A$2:$A$18,Grade_Scale!$C$2:$C$18)</f>
        <v/>
      </c>
      <c r="AE38">
        <f>IF(AD38="","",AB38-VLOOKUP(AD38,Grade_Scale!$C$2:$E$18,3,FALSE))</f>
        <v/>
      </c>
    </row>
    <row r="39">
      <c r="Q39">
        <f>IF(OR(B39="SP",B39="RP",B39="CP",B39="SP/RP"),"P","H")</f>
        <v/>
      </c>
      <c r="R39">
        <f>IF(F39="",0,IFNA(VLOOKUP(F39,Trait_Polarity!$A:$C,2,FALSE),0))+IF(G39="",0,IFNA(VLOOKUP(G39,Trait_Polarity!$A:$C,2,FALSE),0))</f>
        <v/>
      </c>
      <c r="S39">
        <f>IF(F39="",0,IFNA(VLOOKUP(F39,Trait_Polarity!$A:$C,3,FALSE),0))+IF(G39="",0,IFNA(VLOOKUP(G39,Trait_Polarity!$A:$C,3,FALSE),0))</f>
        <v/>
      </c>
      <c r="T39">
        <f>IF(Q39="P",0,IFNA(VLOOKUP(IF(C39="","(none)",C39),Secondary_Versatility!$A:$B,2,FALSE),0))</f>
        <v/>
      </c>
      <c r="U39">
        <f>IF(H39="",0,LEN(H39)-LEN(SUBSTITUTE(H39,"|",""))+1)</f>
        <v/>
      </c>
      <c r="V39">
        <f>IF(Q39="P",(N39+O39+P39)/3,0.3*I39+0.3*J39+0.2*K39+0.1*L39+0.1*M39)</f>
        <v/>
      </c>
      <c r="W39">
        <f>IF(Q39="P",IF(F39="",0,IFNA(VLOOKUP(F39,Pitcher_Trait_Coef!$A:$B,2,FALSE),0))+IF(G39="",0,IFNA(VLOOKUP(G39,Pitcher_Trait_Coef!$A:$B,2,FALSE),0)),IF(F39="",0,IFNA(VLOOKUP(F39,Hitter_Trait_Coef!$A:$B,2,FALSE),0))+IF(G39="",0,IFNA(VLOOKUP(G39,Hitter_Trait_Coef!$A:$B,2,FALSE),0)))</f>
        <v/>
      </c>
      <c r="X39">
        <f>IF(Q39="P",IFNA(VLOOKUP(B39,Pitcher_Primary_Coef!$A:$B,2,FALSE),0),IFNA(VLOOKUP(B39,Hitter_Primary_Coef!$A:$B,2,FALSE),0))</f>
        <v/>
      </c>
      <c r="Y39">
        <f>IF(Q39="P",0,IFNA(VLOOKUP(IF(C39="","(none)",C39),Hitter_Secondary_Coef!$A:$B,2,FALSE),0))</f>
        <v/>
      </c>
      <c r="Z39">
        <f>IF(Q39="P",IF(ISNUMBER(SEARCH("2F",H39)),IFNA(VLOOKUP("2F",Pitch_Coef!$A:$B,2,FALSE),0),0)+IF(ISNUMBER(SEARCH("4F",H39)),IFNA(VLOOKUP("4F",Pitch_Coef!$A:$B,2,FALSE),0),0)+IF(ISNUMBER(SEARCH("CB",H39)),IFNA(VLOOKUP("CB",Pitch_Coef!$A:$B,2,FALSE),0),0)+IF(ISNUMBER(SEARCH("CF",H39)),IFNA(VLOOKUP("CF",Pitch_Coef!$A:$B,2,FALSE),0),0)+IF(ISNUMBER(SEARCH("CH",H39)),IFNA(VLOOKUP("CH",Pitch_Coef!$A:$B,2,FALSE),0),0)+IF(ISNUMBER(SEARCH("FK",H39)),IFNA(VLOOKUP("FK",Pitch_Coef!$A:$B,2,FALSE),0),0)+IF(ISNUMBER(SEARCH("SB",H39)),IFNA(VLOOKUP("SB",Pitch_Coef!$A:$B,2,FALSE),0),0)+IF(ISNUMBER(SEARCH("SL",H39)),IFNA(VLOOKUP("SL",Pitch_Coef!$A:$B,2,FALSE),0),0),0)</f>
        <v/>
      </c>
      <c r="AA39">
        <f>IF(Q39="P",16.5944849573+0.2529999141*N39+0.2665900378*O39+0.2632687105*P39+0.0427586837*I39+0.0534777057*J39+0.009015832*K39+0.0204898106*(O39*P39/100)+1.0091022427*U39+1.0968542297*IF(D39="L",1,0)+0.3771555045*IF(D39="S",1,0)-0.2226159177*IF(E39="L",1,0)+1.21385024*R39-1.1652812274*S39+W39+X39+Z39,10.5965166711+0.2825983581*I39+0.2806503532*J39+0.2027213083*K39+0.1147824982*L39+0.0915305332*M39-0.0088454122*(I39*J39/100)-0.0336045706*(K39*L39/100)+2.8497389733*IF(D39="L",1,0)+4.5116226727*IF(D39="S",1,0)-0.6571546448*IF(E39="L",1,0)+0.0850728147*T39+0.0129488446*(T39*T39)+0.1909373936*IF(OR(F39="Utility",G39="Utility"),T39,0)+0.9656824071*R39-1.7517683256*S39+W39+X39+Y39)</f>
        <v/>
      </c>
      <c r="AB39">
        <f>LOOKUP(AA39,Grade_Scale!$A$2:$A$18,Grade_Scale!$B$2:$B$18)</f>
        <v/>
      </c>
      <c r="AC39">
        <f>LOOKUP(AA39,Grade_Scale!$A$2:$A$18,Grade_Scale!$C$2:$C$18)</f>
        <v/>
      </c>
      <c r="AE39">
        <f>IF(AD39="","",AB39-VLOOKUP(AD39,Grade_Scale!$C$2:$E$18,3,FALSE))</f>
        <v/>
      </c>
    </row>
    <row r="40">
      <c r="Q40">
        <f>IF(OR(B40="SP",B40="RP",B40="CP",B40="SP/RP"),"P","H")</f>
        <v/>
      </c>
      <c r="R40">
        <f>IF(F40="",0,IFNA(VLOOKUP(F40,Trait_Polarity!$A:$C,2,FALSE),0))+IF(G40="",0,IFNA(VLOOKUP(G40,Trait_Polarity!$A:$C,2,FALSE),0))</f>
        <v/>
      </c>
      <c r="S40">
        <f>IF(F40="",0,IFNA(VLOOKUP(F40,Trait_Polarity!$A:$C,3,FALSE),0))+IF(G40="",0,IFNA(VLOOKUP(G40,Trait_Polarity!$A:$C,3,FALSE),0))</f>
        <v/>
      </c>
      <c r="T40">
        <f>IF(Q40="P",0,IFNA(VLOOKUP(IF(C40="","(none)",C40),Secondary_Versatility!$A:$B,2,FALSE),0))</f>
        <v/>
      </c>
      <c r="U40">
        <f>IF(H40="",0,LEN(H40)-LEN(SUBSTITUTE(H40,"|",""))+1)</f>
        <v/>
      </c>
      <c r="V40">
        <f>IF(Q40="P",(N40+O40+P40)/3,0.3*I40+0.3*J40+0.2*K40+0.1*L40+0.1*M40)</f>
        <v/>
      </c>
      <c r="W40">
        <f>IF(Q40="P",IF(F40="",0,IFNA(VLOOKUP(F40,Pitcher_Trait_Coef!$A:$B,2,FALSE),0))+IF(G40="",0,IFNA(VLOOKUP(G40,Pitcher_Trait_Coef!$A:$B,2,FALSE),0)),IF(F40="",0,IFNA(VLOOKUP(F40,Hitter_Trait_Coef!$A:$B,2,FALSE),0))+IF(G40="",0,IFNA(VLOOKUP(G40,Hitter_Trait_Coef!$A:$B,2,FALSE),0)))</f>
        <v/>
      </c>
      <c r="X40">
        <f>IF(Q40="P",IFNA(VLOOKUP(B40,Pitcher_Primary_Coef!$A:$B,2,FALSE),0),IFNA(VLOOKUP(B40,Hitter_Primary_Coef!$A:$B,2,FALSE),0))</f>
        <v/>
      </c>
      <c r="Y40">
        <f>IF(Q40="P",0,IFNA(VLOOKUP(IF(C40="","(none)",C40),Hitter_Secondary_Coef!$A:$B,2,FALSE),0))</f>
        <v/>
      </c>
      <c r="Z40">
        <f>IF(Q40="P",IF(ISNUMBER(SEARCH("2F",H40)),IFNA(VLOOKUP("2F",Pitch_Coef!$A:$B,2,FALSE),0),0)+IF(ISNUMBER(SEARCH("4F",H40)),IFNA(VLOOKUP("4F",Pitch_Coef!$A:$B,2,FALSE),0),0)+IF(ISNUMBER(SEARCH("CB",H40)),IFNA(VLOOKUP("CB",Pitch_Coef!$A:$B,2,FALSE),0),0)+IF(ISNUMBER(SEARCH("CF",H40)),IFNA(VLOOKUP("CF",Pitch_Coef!$A:$B,2,FALSE),0),0)+IF(ISNUMBER(SEARCH("CH",H40)),IFNA(VLOOKUP("CH",Pitch_Coef!$A:$B,2,FALSE),0),0)+IF(ISNUMBER(SEARCH("FK",H40)),IFNA(VLOOKUP("FK",Pitch_Coef!$A:$B,2,FALSE),0),0)+IF(ISNUMBER(SEARCH("SB",H40)),IFNA(VLOOKUP("SB",Pitch_Coef!$A:$B,2,FALSE),0),0)+IF(ISNUMBER(SEARCH("SL",H40)),IFNA(VLOOKUP("SL",Pitch_Coef!$A:$B,2,FALSE),0),0),0)</f>
        <v/>
      </c>
      <c r="AA40">
        <f>IF(Q40="P",16.5944849573+0.2529999141*N40+0.2665900378*O40+0.2632687105*P40+0.0427586837*I40+0.0534777057*J40+0.009015832*K40+0.0204898106*(O40*P40/100)+1.0091022427*U40+1.0968542297*IF(D40="L",1,0)+0.3771555045*IF(D40="S",1,0)-0.2226159177*IF(E40="L",1,0)+1.21385024*R40-1.1652812274*S40+W40+X40+Z40,10.5965166711+0.2825983581*I40+0.2806503532*J40+0.2027213083*K40+0.1147824982*L40+0.0915305332*M40-0.0088454122*(I40*J40/100)-0.0336045706*(K40*L40/100)+2.8497389733*IF(D40="L",1,0)+4.5116226727*IF(D40="S",1,0)-0.6571546448*IF(E40="L",1,0)+0.0850728147*T40+0.0129488446*(T40*T40)+0.1909373936*IF(OR(F40="Utility",G40="Utility"),T40,0)+0.9656824071*R40-1.7517683256*S40+W40+X40+Y40)</f>
        <v/>
      </c>
      <c r="AB40">
        <f>LOOKUP(AA40,Grade_Scale!$A$2:$A$18,Grade_Scale!$B$2:$B$18)</f>
        <v/>
      </c>
      <c r="AC40">
        <f>LOOKUP(AA40,Grade_Scale!$A$2:$A$18,Grade_Scale!$C$2:$C$18)</f>
        <v/>
      </c>
      <c r="AE40">
        <f>IF(AD40="","",AB40-VLOOKUP(AD40,Grade_Scale!$C$2:$E$18,3,FALSE))</f>
        <v/>
      </c>
    </row>
    <row r="41">
      <c r="Q41">
        <f>IF(OR(B41="SP",B41="RP",B41="CP",B41="SP/RP"),"P","H")</f>
        <v/>
      </c>
      <c r="R41">
        <f>IF(F41="",0,IFNA(VLOOKUP(F41,Trait_Polarity!$A:$C,2,FALSE),0))+IF(G41="",0,IFNA(VLOOKUP(G41,Trait_Polarity!$A:$C,2,FALSE),0))</f>
        <v/>
      </c>
      <c r="S41">
        <f>IF(F41="",0,IFNA(VLOOKUP(F41,Trait_Polarity!$A:$C,3,FALSE),0))+IF(G41="",0,IFNA(VLOOKUP(G41,Trait_Polarity!$A:$C,3,FALSE),0))</f>
        <v/>
      </c>
      <c r="T41">
        <f>IF(Q41="P",0,IFNA(VLOOKUP(IF(C41="","(none)",C41),Secondary_Versatility!$A:$B,2,FALSE),0))</f>
        <v/>
      </c>
      <c r="U41">
        <f>IF(H41="",0,LEN(H41)-LEN(SUBSTITUTE(H41,"|",""))+1)</f>
        <v/>
      </c>
      <c r="V41">
        <f>IF(Q41="P",(N41+O41+P41)/3,0.3*I41+0.3*J41+0.2*K41+0.1*L41+0.1*M41)</f>
        <v/>
      </c>
      <c r="W41">
        <f>IF(Q41="P",IF(F41="",0,IFNA(VLOOKUP(F41,Pitcher_Trait_Coef!$A:$B,2,FALSE),0))+IF(G41="",0,IFNA(VLOOKUP(G41,Pitcher_Trait_Coef!$A:$B,2,FALSE),0)),IF(F41="",0,IFNA(VLOOKUP(F41,Hitter_Trait_Coef!$A:$B,2,FALSE),0))+IF(G41="",0,IFNA(VLOOKUP(G41,Hitter_Trait_Coef!$A:$B,2,FALSE),0)))</f>
        <v/>
      </c>
      <c r="X41">
        <f>IF(Q41="P",IFNA(VLOOKUP(B41,Pitcher_Primary_Coef!$A:$B,2,FALSE),0),IFNA(VLOOKUP(B41,Hitter_Primary_Coef!$A:$B,2,FALSE),0))</f>
        <v/>
      </c>
      <c r="Y41">
        <f>IF(Q41="P",0,IFNA(VLOOKUP(IF(C41="","(none)",C41),Hitter_Secondary_Coef!$A:$B,2,FALSE),0))</f>
        <v/>
      </c>
      <c r="Z41">
        <f>IF(Q41="P",IF(ISNUMBER(SEARCH("2F",H41)),IFNA(VLOOKUP("2F",Pitch_Coef!$A:$B,2,FALSE),0),0)+IF(ISNUMBER(SEARCH("4F",H41)),IFNA(VLOOKUP("4F",Pitch_Coef!$A:$B,2,FALSE),0),0)+IF(ISNUMBER(SEARCH("CB",H41)),IFNA(VLOOKUP("CB",Pitch_Coef!$A:$B,2,FALSE),0),0)+IF(ISNUMBER(SEARCH("CF",H41)),IFNA(VLOOKUP("CF",Pitch_Coef!$A:$B,2,FALSE),0),0)+IF(ISNUMBER(SEARCH("CH",H41)),IFNA(VLOOKUP("CH",Pitch_Coef!$A:$B,2,FALSE),0),0)+IF(ISNUMBER(SEARCH("FK",H41)),IFNA(VLOOKUP("FK",Pitch_Coef!$A:$B,2,FALSE),0),0)+IF(ISNUMBER(SEARCH("SB",H41)),IFNA(VLOOKUP("SB",Pitch_Coef!$A:$B,2,FALSE),0),0)+IF(ISNUMBER(SEARCH("SL",H41)),IFNA(VLOOKUP("SL",Pitch_Coef!$A:$B,2,FALSE),0),0),0)</f>
        <v/>
      </c>
      <c r="AA41">
        <f>IF(Q41="P",16.5944849573+0.2529999141*N41+0.2665900378*O41+0.2632687105*P41+0.0427586837*I41+0.0534777057*J41+0.009015832*K41+0.0204898106*(O41*P41/100)+1.0091022427*U41+1.0968542297*IF(D41="L",1,0)+0.3771555045*IF(D41="S",1,0)-0.2226159177*IF(E41="L",1,0)+1.21385024*R41-1.1652812274*S41+W41+X41+Z41,10.5965166711+0.2825983581*I41+0.2806503532*J41+0.2027213083*K41+0.1147824982*L41+0.0915305332*M41-0.0088454122*(I41*J41/100)-0.0336045706*(K41*L41/100)+2.8497389733*IF(D41="L",1,0)+4.5116226727*IF(D41="S",1,0)-0.6571546448*IF(E41="L",1,0)+0.0850728147*T41+0.0129488446*(T41*T41)+0.1909373936*IF(OR(F41="Utility",G41="Utility"),T41,0)+0.9656824071*R41-1.7517683256*S41+W41+X41+Y41)</f>
        <v/>
      </c>
      <c r="AB41">
        <f>LOOKUP(AA41,Grade_Scale!$A$2:$A$18,Grade_Scale!$B$2:$B$18)</f>
        <v/>
      </c>
      <c r="AC41">
        <f>LOOKUP(AA41,Grade_Scale!$A$2:$A$18,Grade_Scale!$C$2:$C$18)</f>
        <v/>
      </c>
      <c r="AE41">
        <f>IF(AD41="","",AB41-VLOOKUP(AD41,Grade_Scale!$C$2:$E$18,3,FALSE))</f>
        <v/>
      </c>
    </row>
    <row r="42">
      <c r="Q42">
        <f>IF(OR(B42="SP",B42="RP",B42="CP",B42="SP/RP"),"P","H")</f>
        <v/>
      </c>
      <c r="R42">
        <f>IF(F42="",0,IFNA(VLOOKUP(F42,Trait_Polarity!$A:$C,2,FALSE),0))+IF(G42="",0,IFNA(VLOOKUP(G42,Trait_Polarity!$A:$C,2,FALSE),0))</f>
        <v/>
      </c>
      <c r="S42">
        <f>IF(F42="",0,IFNA(VLOOKUP(F42,Trait_Polarity!$A:$C,3,FALSE),0))+IF(G42="",0,IFNA(VLOOKUP(G42,Trait_Polarity!$A:$C,3,FALSE),0))</f>
        <v/>
      </c>
      <c r="T42">
        <f>IF(Q42="P",0,IFNA(VLOOKUP(IF(C42="","(none)",C42),Secondary_Versatility!$A:$B,2,FALSE),0))</f>
        <v/>
      </c>
      <c r="U42">
        <f>IF(H42="",0,LEN(H42)-LEN(SUBSTITUTE(H42,"|",""))+1)</f>
        <v/>
      </c>
      <c r="V42">
        <f>IF(Q42="P",(N42+O42+P42)/3,0.3*I42+0.3*J42+0.2*K42+0.1*L42+0.1*M42)</f>
        <v/>
      </c>
      <c r="W42">
        <f>IF(Q42="P",IF(F42="",0,IFNA(VLOOKUP(F42,Pitcher_Trait_Coef!$A:$B,2,FALSE),0))+IF(G42="",0,IFNA(VLOOKUP(G42,Pitcher_Trait_Coef!$A:$B,2,FALSE),0)),IF(F42="",0,IFNA(VLOOKUP(F42,Hitter_Trait_Coef!$A:$B,2,FALSE),0))+IF(G42="",0,IFNA(VLOOKUP(G42,Hitter_Trait_Coef!$A:$B,2,FALSE),0)))</f>
        <v/>
      </c>
      <c r="X42">
        <f>IF(Q42="P",IFNA(VLOOKUP(B42,Pitcher_Primary_Coef!$A:$B,2,FALSE),0),IFNA(VLOOKUP(B42,Hitter_Primary_Coef!$A:$B,2,FALSE),0))</f>
        <v/>
      </c>
      <c r="Y42">
        <f>IF(Q42="P",0,IFNA(VLOOKUP(IF(C42="","(none)",C42),Hitter_Secondary_Coef!$A:$B,2,FALSE),0))</f>
        <v/>
      </c>
      <c r="Z42">
        <f>IF(Q42="P",IF(ISNUMBER(SEARCH("2F",H42)),IFNA(VLOOKUP("2F",Pitch_Coef!$A:$B,2,FALSE),0),0)+IF(ISNUMBER(SEARCH("4F",H42)),IFNA(VLOOKUP("4F",Pitch_Coef!$A:$B,2,FALSE),0),0)+IF(ISNUMBER(SEARCH("CB",H42)),IFNA(VLOOKUP("CB",Pitch_Coef!$A:$B,2,FALSE),0),0)+IF(ISNUMBER(SEARCH("CF",H42)),IFNA(VLOOKUP("CF",Pitch_Coef!$A:$B,2,FALSE),0),0)+IF(ISNUMBER(SEARCH("CH",H42)),IFNA(VLOOKUP("CH",Pitch_Coef!$A:$B,2,FALSE),0),0)+IF(ISNUMBER(SEARCH("FK",H42)),IFNA(VLOOKUP("FK",Pitch_Coef!$A:$B,2,FALSE),0),0)+IF(ISNUMBER(SEARCH("SB",H42)),IFNA(VLOOKUP("SB",Pitch_Coef!$A:$B,2,FALSE),0),0)+IF(ISNUMBER(SEARCH("SL",H42)),IFNA(VLOOKUP("SL",Pitch_Coef!$A:$B,2,FALSE),0),0),0)</f>
        <v/>
      </c>
      <c r="AA42">
        <f>IF(Q42="P",16.5944849573+0.2529999141*N42+0.2665900378*O42+0.2632687105*P42+0.0427586837*I42+0.0534777057*J42+0.009015832*K42+0.0204898106*(O42*P42/100)+1.0091022427*U42+1.0968542297*IF(D42="L",1,0)+0.3771555045*IF(D42="S",1,0)-0.2226159177*IF(E42="L",1,0)+1.21385024*R42-1.1652812274*S42+W42+X42+Z42,10.5965166711+0.2825983581*I42+0.2806503532*J42+0.2027213083*K42+0.1147824982*L42+0.0915305332*M42-0.0088454122*(I42*J42/100)-0.0336045706*(K42*L42/100)+2.8497389733*IF(D42="L",1,0)+4.5116226727*IF(D42="S",1,0)-0.6571546448*IF(E42="L",1,0)+0.0850728147*T42+0.0129488446*(T42*T42)+0.1909373936*IF(OR(F42="Utility",G42="Utility"),T42,0)+0.9656824071*R42-1.7517683256*S42+W42+X42+Y42)</f>
        <v/>
      </c>
      <c r="AB42">
        <f>LOOKUP(AA42,Grade_Scale!$A$2:$A$18,Grade_Scale!$B$2:$B$18)</f>
        <v/>
      </c>
      <c r="AC42">
        <f>LOOKUP(AA42,Grade_Scale!$A$2:$A$18,Grade_Scale!$C$2:$C$18)</f>
        <v/>
      </c>
      <c r="AE42">
        <f>IF(AD42="","",AB42-VLOOKUP(AD42,Grade_Scale!$C$2:$E$18,3,FALSE))</f>
        <v/>
      </c>
    </row>
    <row r="43">
      <c r="Q43">
        <f>IF(OR(B43="SP",B43="RP",B43="CP",B43="SP/RP"),"P","H")</f>
        <v/>
      </c>
      <c r="R43">
        <f>IF(F43="",0,IFNA(VLOOKUP(F43,Trait_Polarity!$A:$C,2,FALSE),0))+IF(G43="",0,IFNA(VLOOKUP(G43,Trait_Polarity!$A:$C,2,FALSE),0))</f>
        <v/>
      </c>
      <c r="S43">
        <f>IF(F43="",0,IFNA(VLOOKUP(F43,Trait_Polarity!$A:$C,3,FALSE),0))+IF(G43="",0,IFNA(VLOOKUP(G43,Trait_Polarity!$A:$C,3,FALSE),0))</f>
        <v/>
      </c>
      <c r="T43">
        <f>IF(Q43="P",0,IFNA(VLOOKUP(IF(C43="","(none)",C43),Secondary_Versatility!$A:$B,2,FALSE),0))</f>
        <v/>
      </c>
      <c r="U43">
        <f>IF(H43="",0,LEN(H43)-LEN(SUBSTITUTE(H43,"|",""))+1)</f>
        <v/>
      </c>
      <c r="V43">
        <f>IF(Q43="P",(N43+O43+P43)/3,0.3*I43+0.3*J43+0.2*K43+0.1*L43+0.1*M43)</f>
        <v/>
      </c>
      <c r="W43">
        <f>IF(Q43="P",IF(F43="",0,IFNA(VLOOKUP(F43,Pitcher_Trait_Coef!$A:$B,2,FALSE),0))+IF(G43="",0,IFNA(VLOOKUP(G43,Pitcher_Trait_Coef!$A:$B,2,FALSE),0)),IF(F43="",0,IFNA(VLOOKUP(F43,Hitter_Trait_Coef!$A:$B,2,FALSE),0))+IF(G43="",0,IFNA(VLOOKUP(G43,Hitter_Trait_Coef!$A:$B,2,FALSE),0)))</f>
        <v/>
      </c>
      <c r="X43">
        <f>IF(Q43="P",IFNA(VLOOKUP(B43,Pitcher_Primary_Coef!$A:$B,2,FALSE),0),IFNA(VLOOKUP(B43,Hitter_Primary_Coef!$A:$B,2,FALSE),0))</f>
        <v/>
      </c>
      <c r="Y43">
        <f>IF(Q43="P",0,IFNA(VLOOKUP(IF(C43="","(none)",C43),Hitter_Secondary_Coef!$A:$B,2,FALSE),0))</f>
        <v/>
      </c>
      <c r="Z43">
        <f>IF(Q43="P",IF(ISNUMBER(SEARCH("2F",H43)),IFNA(VLOOKUP("2F",Pitch_Coef!$A:$B,2,FALSE),0),0)+IF(ISNUMBER(SEARCH("4F",H43)),IFNA(VLOOKUP("4F",Pitch_Coef!$A:$B,2,FALSE),0),0)+IF(ISNUMBER(SEARCH("CB",H43)),IFNA(VLOOKUP("CB",Pitch_Coef!$A:$B,2,FALSE),0),0)+IF(ISNUMBER(SEARCH("CF",H43)),IFNA(VLOOKUP("CF",Pitch_Coef!$A:$B,2,FALSE),0),0)+IF(ISNUMBER(SEARCH("CH",H43)),IFNA(VLOOKUP("CH",Pitch_Coef!$A:$B,2,FALSE),0),0)+IF(ISNUMBER(SEARCH("FK",H43)),IFNA(VLOOKUP("FK",Pitch_Coef!$A:$B,2,FALSE),0),0)+IF(ISNUMBER(SEARCH("SB",H43)),IFNA(VLOOKUP("SB",Pitch_Coef!$A:$B,2,FALSE),0),0)+IF(ISNUMBER(SEARCH("SL",H43)),IFNA(VLOOKUP("SL",Pitch_Coef!$A:$B,2,FALSE),0),0),0)</f>
        <v/>
      </c>
      <c r="AA43">
        <f>IF(Q43="P",16.5944849573+0.2529999141*N43+0.2665900378*O43+0.2632687105*P43+0.0427586837*I43+0.0534777057*J43+0.009015832*K43+0.0204898106*(O43*P43/100)+1.0091022427*U43+1.0968542297*IF(D43="L",1,0)+0.3771555045*IF(D43="S",1,0)-0.2226159177*IF(E43="L",1,0)+1.21385024*R43-1.1652812274*S43+W43+X43+Z43,10.5965166711+0.2825983581*I43+0.2806503532*J43+0.2027213083*K43+0.1147824982*L43+0.0915305332*M43-0.0088454122*(I43*J43/100)-0.0336045706*(K43*L43/100)+2.8497389733*IF(D43="L",1,0)+4.5116226727*IF(D43="S",1,0)-0.6571546448*IF(E43="L",1,0)+0.0850728147*T43+0.0129488446*(T43*T43)+0.1909373936*IF(OR(F43="Utility",G43="Utility"),T43,0)+0.9656824071*R43-1.7517683256*S43+W43+X43+Y43)</f>
        <v/>
      </c>
      <c r="AB43">
        <f>LOOKUP(AA43,Grade_Scale!$A$2:$A$18,Grade_Scale!$B$2:$B$18)</f>
        <v/>
      </c>
      <c r="AC43">
        <f>LOOKUP(AA43,Grade_Scale!$A$2:$A$18,Grade_Scale!$C$2:$C$18)</f>
        <v/>
      </c>
      <c r="AE43">
        <f>IF(AD43="","",AB43-VLOOKUP(AD43,Grade_Scale!$C$2:$E$18,3,FALSE))</f>
        <v/>
      </c>
    </row>
    <row r="44">
      <c r="Q44">
        <f>IF(OR(B44="SP",B44="RP",B44="CP",B44="SP/RP"),"P","H")</f>
        <v/>
      </c>
      <c r="R44">
        <f>IF(F44="",0,IFNA(VLOOKUP(F44,Trait_Polarity!$A:$C,2,FALSE),0))+IF(G44="",0,IFNA(VLOOKUP(G44,Trait_Polarity!$A:$C,2,FALSE),0))</f>
        <v/>
      </c>
      <c r="S44">
        <f>IF(F44="",0,IFNA(VLOOKUP(F44,Trait_Polarity!$A:$C,3,FALSE),0))+IF(G44="",0,IFNA(VLOOKUP(G44,Trait_Polarity!$A:$C,3,FALSE),0))</f>
        <v/>
      </c>
      <c r="T44">
        <f>IF(Q44="P",0,IFNA(VLOOKUP(IF(C44="","(none)",C44),Secondary_Versatility!$A:$B,2,FALSE),0))</f>
        <v/>
      </c>
      <c r="U44">
        <f>IF(H44="",0,LEN(H44)-LEN(SUBSTITUTE(H44,"|",""))+1)</f>
        <v/>
      </c>
      <c r="V44">
        <f>IF(Q44="P",(N44+O44+P44)/3,0.3*I44+0.3*J44+0.2*K44+0.1*L44+0.1*M44)</f>
        <v/>
      </c>
      <c r="W44">
        <f>IF(Q44="P",IF(F44="",0,IFNA(VLOOKUP(F44,Pitcher_Trait_Coef!$A:$B,2,FALSE),0))+IF(G44="",0,IFNA(VLOOKUP(G44,Pitcher_Trait_Coef!$A:$B,2,FALSE),0)),IF(F44="",0,IFNA(VLOOKUP(F44,Hitter_Trait_Coef!$A:$B,2,FALSE),0))+IF(G44="",0,IFNA(VLOOKUP(G44,Hitter_Trait_Coef!$A:$B,2,FALSE),0)))</f>
        <v/>
      </c>
      <c r="X44">
        <f>IF(Q44="P",IFNA(VLOOKUP(B44,Pitcher_Primary_Coef!$A:$B,2,FALSE),0),IFNA(VLOOKUP(B44,Hitter_Primary_Coef!$A:$B,2,FALSE),0))</f>
        <v/>
      </c>
      <c r="Y44">
        <f>IF(Q44="P",0,IFNA(VLOOKUP(IF(C44="","(none)",C44),Hitter_Secondary_Coef!$A:$B,2,FALSE),0))</f>
        <v/>
      </c>
      <c r="Z44">
        <f>IF(Q44="P",IF(ISNUMBER(SEARCH("2F",H44)),IFNA(VLOOKUP("2F",Pitch_Coef!$A:$B,2,FALSE),0),0)+IF(ISNUMBER(SEARCH("4F",H44)),IFNA(VLOOKUP("4F",Pitch_Coef!$A:$B,2,FALSE),0),0)+IF(ISNUMBER(SEARCH("CB",H44)),IFNA(VLOOKUP("CB",Pitch_Coef!$A:$B,2,FALSE),0),0)+IF(ISNUMBER(SEARCH("CF",H44)),IFNA(VLOOKUP("CF",Pitch_Coef!$A:$B,2,FALSE),0),0)+IF(ISNUMBER(SEARCH("CH",H44)),IFNA(VLOOKUP("CH",Pitch_Coef!$A:$B,2,FALSE),0),0)+IF(ISNUMBER(SEARCH("FK",H44)),IFNA(VLOOKUP("FK",Pitch_Coef!$A:$B,2,FALSE),0),0)+IF(ISNUMBER(SEARCH("SB",H44)),IFNA(VLOOKUP("SB",Pitch_Coef!$A:$B,2,FALSE),0),0)+IF(ISNUMBER(SEARCH("SL",H44)),IFNA(VLOOKUP("SL",Pitch_Coef!$A:$B,2,FALSE),0),0),0)</f>
        <v/>
      </c>
      <c r="AA44">
        <f>IF(Q44="P",16.5944849573+0.2529999141*N44+0.2665900378*O44+0.2632687105*P44+0.0427586837*I44+0.0534777057*J44+0.009015832*K44+0.0204898106*(O44*P44/100)+1.0091022427*U44+1.0968542297*IF(D44="L",1,0)+0.3771555045*IF(D44="S",1,0)-0.2226159177*IF(E44="L",1,0)+1.21385024*R44-1.1652812274*S44+W44+X44+Z44,10.5965166711+0.2825983581*I44+0.2806503532*J44+0.2027213083*K44+0.1147824982*L44+0.0915305332*M44-0.0088454122*(I44*J44/100)-0.0336045706*(K44*L44/100)+2.8497389733*IF(D44="L",1,0)+4.5116226727*IF(D44="S",1,0)-0.6571546448*IF(E44="L",1,0)+0.0850728147*T44+0.0129488446*(T44*T44)+0.1909373936*IF(OR(F44="Utility",G44="Utility"),T44,0)+0.9656824071*R44-1.7517683256*S44+W44+X44+Y44)</f>
        <v/>
      </c>
      <c r="AB44">
        <f>LOOKUP(AA44,Grade_Scale!$A$2:$A$18,Grade_Scale!$B$2:$B$18)</f>
        <v/>
      </c>
      <c r="AC44">
        <f>LOOKUP(AA44,Grade_Scale!$A$2:$A$18,Grade_Scale!$C$2:$C$18)</f>
        <v/>
      </c>
      <c r="AE44">
        <f>IF(AD44="","",AB44-VLOOKUP(AD44,Grade_Scale!$C$2:$E$18,3,FALSE))</f>
        <v/>
      </c>
    </row>
    <row r="45">
      <c r="Q45">
        <f>IF(OR(B45="SP",B45="RP",B45="CP",B45="SP/RP"),"P","H")</f>
        <v/>
      </c>
      <c r="R45">
        <f>IF(F45="",0,IFNA(VLOOKUP(F45,Trait_Polarity!$A:$C,2,FALSE),0))+IF(G45="",0,IFNA(VLOOKUP(G45,Trait_Polarity!$A:$C,2,FALSE),0))</f>
        <v/>
      </c>
      <c r="S45">
        <f>IF(F45="",0,IFNA(VLOOKUP(F45,Trait_Polarity!$A:$C,3,FALSE),0))+IF(G45="",0,IFNA(VLOOKUP(G45,Trait_Polarity!$A:$C,3,FALSE),0))</f>
        <v/>
      </c>
      <c r="T45">
        <f>IF(Q45="P",0,IFNA(VLOOKUP(IF(C45="","(none)",C45),Secondary_Versatility!$A:$B,2,FALSE),0))</f>
        <v/>
      </c>
      <c r="U45">
        <f>IF(H45="",0,LEN(H45)-LEN(SUBSTITUTE(H45,"|",""))+1)</f>
        <v/>
      </c>
      <c r="V45">
        <f>IF(Q45="P",(N45+O45+P45)/3,0.3*I45+0.3*J45+0.2*K45+0.1*L45+0.1*M45)</f>
        <v/>
      </c>
      <c r="W45">
        <f>IF(Q45="P",IF(F45="",0,IFNA(VLOOKUP(F45,Pitcher_Trait_Coef!$A:$B,2,FALSE),0))+IF(G45="",0,IFNA(VLOOKUP(G45,Pitcher_Trait_Coef!$A:$B,2,FALSE),0)),IF(F45="",0,IFNA(VLOOKUP(F45,Hitter_Trait_Coef!$A:$B,2,FALSE),0))+IF(G45="",0,IFNA(VLOOKUP(G45,Hitter_Trait_Coef!$A:$B,2,FALSE),0)))</f>
        <v/>
      </c>
      <c r="X45">
        <f>IF(Q45="P",IFNA(VLOOKUP(B45,Pitcher_Primary_Coef!$A:$B,2,FALSE),0),IFNA(VLOOKUP(B45,Hitter_Primary_Coef!$A:$B,2,FALSE),0))</f>
        <v/>
      </c>
      <c r="Y45">
        <f>IF(Q45="P",0,IFNA(VLOOKUP(IF(C45="","(none)",C45),Hitter_Secondary_Coef!$A:$B,2,FALSE),0))</f>
        <v/>
      </c>
      <c r="Z45">
        <f>IF(Q45="P",IF(ISNUMBER(SEARCH("2F",H45)),IFNA(VLOOKUP("2F",Pitch_Coef!$A:$B,2,FALSE),0),0)+IF(ISNUMBER(SEARCH("4F",H45)),IFNA(VLOOKUP("4F",Pitch_Coef!$A:$B,2,FALSE),0),0)+IF(ISNUMBER(SEARCH("CB",H45)),IFNA(VLOOKUP("CB",Pitch_Coef!$A:$B,2,FALSE),0),0)+IF(ISNUMBER(SEARCH("CF",H45)),IFNA(VLOOKUP("CF",Pitch_Coef!$A:$B,2,FALSE),0),0)+IF(ISNUMBER(SEARCH("CH",H45)),IFNA(VLOOKUP("CH",Pitch_Coef!$A:$B,2,FALSE),0),0)+IF(ISNUMBER(SEARCH("FK",H45)),IFNA(VLOOKUP("FK",Pitch_Coef!$A:$B,2,FALSE),0),0)+IF(ISNUMBER(SEARCH("SB",H45)),IFNA(VLOOKUP("SB",Pitch_Coef!$A:$B,2,FALSE),0),0)+IF(ISNUMBER(SEARCH("SL",H45)),IFNA(VLOOKUP("SL",Pitch_Coef!$A:$B,2,FALSE),0),0),0)</f>
        <v/>
      </c>
      <c r="AA45">
        <f>IF(Q45="P",16.5944849573+0.2529999141*N45+0.2665900378*O45+0.2632687105*P45+0.0427586837*I45+0.0534777057*J45+0.009015832*K45+0.0204898106*(O45*P45/100)+1.0091022427*U45+1.0968542297*IF(D45="L",1,0)+0.3771555045*IF(D45="S",1,0)-0.2226159177*IF(E45="L",1,0)+1.21385024*R45-1.1652812274*S45+W45+X45+Z45,10.5965166711+0.2825983581*I45+0.2806503532*J45+0.2027213083*K45+0.1147824982*L45+0.0915305332*M45-0.0088454122*(I45*J45/100)-0.0336045706*(K45*L45/100)+2.8497389733*IF(D45="L",1,0)+4.5116226727*IF(D45="S",1,0)-0.6571546448*IF(E45="L",1,0)+0.0850728147*T45+0.0129488446*(T45*T45)+0.1909373936*IF(OR(F45="Utility",G45="Utility"),T45,0)+0.9656824071*R45-1.7517683256*S45+W45+X45+Y45)</f>
        <v/>
      </c>
      <c r="AB45">
        <f>LOOKUP(AA45,Grade_Scale!$A$2:$A$18,Grade_Scale!$B$2:$B$18)</f>
        <v/>
      </c>
      <c r="AC45">
        <f>LOOKUP(AA45,Grade_Scale!$A$2:$A$18,Grade_Scale!$C$2:$C$18)</f>
        <v/>
      </c>
      <c r="AE45">
        <f>IF(AD45="","",AB45-VLOOKUP(AD45,Grade_Scale!$C$2:$E$18,3,FALSE))</f>
        <v/>
      </c>
    </row>
    <row r="46">
      <c r="Q46">
        <f>IF(OR(B46="SP",B46="RP",B46="CP",B46="SP/RP"),"P","H")</f>
        <v/>
      </c>
      <c r="R46">
        <f>IF(F46="",0,IFNA(VLOOKUP(F46,Trait_Polarity!$A:$C,2,FALSE),0))+IF(G46="",0,IFNA(VLOOKUP(G46,Trait_Polarity!$A:$C,2,FALSE),0))</f>
        <v/>
      </c>
      <c r="S46">
        <f>IF(F46="",0,IFNA(VLOOKUP(F46,Trait_Polarity!$A:$C,3,FALSE),0))+IF(G46="",0,IFNA(VLOOKUP(G46,Trait_Polarity!$A:$C,3,FALSE),0))</f>
        <v/>
      </c>
      <c r="T46">
        <f>IF(Q46="P",0,IFNA(VLOOKUP(IF(C46="","(none)",C46),Secondary_Versatility!$A:$B,2,FALSE),0))</f>
        <v/>
      </c>
      <c r="U46">
        <f>IF(H46="",0,LEN(H46)-LEN(SUBSTITUTE(H46,"|",""))+1)</f>
        <v/>
      </c>
      <c r="V46">
        <f>IF(Q46="P",(N46+O46+P46)/3,0.3*I46+0.3*J46+0.2*K46+0.1*L46+0.1*M46)</f>
        <v/>
      </c>
      <c r="W46">
        <f>IF(Q46="P",IF(F46="",0,IFNA(VLOOKUP(F46,Pitcher_Trait_Coef!$A:$B,2,FALSE),0))+IF(G46="",0,IFNA(VLOOKUP(G46,Pitcher_Trait_Coef!$A:$B,2,FALSE),0)),IF(F46="",0,IFNA(VLOOKUP(F46,Hitter_Trait_Coef!$A:$B,2,FALSE),0))+IF(G46="",0,IFNA(VLOOKUP(G46,Hitter_Trait_Coef!$A:$B,2,FALSE),0)))</f>
        <v/>
      </c>
      <c r="X46">
        <f>IF(Q46="P",IFNA(VLOOKUP(B46,Pitcher_Primary_Coef!$A:$B,2,FALSE),0),IFNA(VLOOKUP(B46,Hitter_Primary_Coef!$A:$B,2,FALSE),0))</f>
        <v/>
      </c>
      <c r="Y46">
        <f>IF(Q46="P",0,IFNA(VLOOKUP(IF(C46="","(none)",C46),Hitter_Secondary_Coef!$A:$B,2,FALSE),0))</f>
        <v/>
      </c>
      <c r="Z46">
        <f>IF(Q46="P",IF(ISNUMBER(SEARCH("2F",H46)),IFNA(VLOOKUP("2F",Pitch_Coef!$A:$B,2,FALSE),0),0)+IF(ISNUMBER(SEARCH("4F",H46)),IFNA(VLOOKUP("4F",Pitch_Coef!$A:$B,2,FALSE),0),0)+IF(ISNUMBER(SEARCH("CB",H46)),IFNA(VLOOKUP("CB",Pitch_Coef!$A:$B,2,FALSE),0),0)+IF(ISNUMBER(SEARCH("CF",H46)),IFNA(VLOOKUP("CF",Pitch_Coef!$A:$B,2,FALSE),0),0)+IF(ISNUMBER(SEARCH("CH",H46)),IFNA(VLOOKUP("CH",Pitch_Coef!$A:$B,2,FALSE),0),0)+IF(ISNUMBER(SEARCH("FK",H46)),IFNA(VLOOKUP("FK",Pitch_Coef!$A:$B,2,FALSE),0),0)+IF(ISNUMBER(SEARCH("SB",H46)),IFNA(VLOOKUP("SB",Pitch_Coef!$A:$B,2,FALSE),0),0)+IF(ISNUMBER(SEARCH("SL",H46)),IFNA(VLOOKUP("SL",Pitch_Coef!$A:$B,2,FALSE),0),0),0)</f>
        <v/>
      </c>
      <c r="AA46">
        <f>IF(Q46="P",16.5944849573+0.2529999141*N46+0.2665900378*O46+0.2632687105*P46+0.0427586837*I46+0.0534777057*J46+0.009015832*K46+0.0204898106*(O46*P46/100)+1.0091022427*U46+1.0968542297*IF(D46="L",1,0)+0.3771555045*IF(D46="S",1,0)-0.2226159177*IF(E46="L",1,0)+1.21385024*R46-1.1652812274*S46+W46+X46+Z46,10.5965166711+0.2825983581*I46+0.2806503532*J46+0.2027213083*K46+0.1147824982*L46+0.0915305332*M46-0.0088454122*(I46*J46/100)-0.0336045706*(K46*L46/100)+2.8497389733*IF(D46="L",1,0)+4.5116226727*IF(D46="S",1,0)-0.6571546448*IF(E46="L",1,0)+0.0850728147*T46+0.0129488446*(T46*T46)+0.1909373936*IF(OR(F46="Utility",G46="Utility"),T46,0)+0.9656824071*R46-1.7517683256*S46+W46+X46+Y46)</f>
        <v/>
      </c>
      <c r="AB46">
        <f>LOOKUP(AA46,Grade_Scale!$A$2:$A$18,Grade_Scale!$B$2:$B$18)</f>
        <v/>
      </c>
      <c r="AC46">
        <f>LOOKUP(AA46,Grade_Scale!$A$2:$A$18,Grade_Scale!$C$2:$C$18)</f>
        <v/>
      </c>
      <c r="AE46">
        <f>IF(AD46="","",AB46-VLOOKUP(AD46,Grade_Scale!$C$2:$E$18,3,FALSE))</f>
        <v/>
      </c>
    </row>
    <row r="47">
      <c r="Q47">
        <f>IF(OR(B47="SP",B47="RP",B47="CP",B47="SP/RP"),"P","H")</f>
        <v/>
      </c>
      <c r="R47">
        <f>IF(F47="",0,IFNA(VLOOKUP(F47,Trait_Polarity!$A:$C,2,FALSE),0))+IF(G47="",0,IFNA(VLOOKUP(G47,Trait_Polarity!$A:$C,2,FALSE),0))</f>
        <v/>
      </c>
      <c r="S47">
        <f>IF(F47="",0,IFNA(VLOOKUP(F47,Trait_Polarity!$A:$C,3,FALSE),0))+IF(G47="",0,IFNA(VLOOKUP(G47,Trait_Polarity!$A:$C,3,FALSE),0))</f>
        <v/>
      </c>
      <c r="T47">
        <f>IF(Q47="P",0,IFNA(VLOOKUP(IF(C47="","(none)",C47),Secondary_Versatility!$A:$B,2,FALSE),0))</f>
        <v/>
      </c>
      <c r="U47">
        <f>IF(H47="",0,LEN(H47)-LEN(SUBSTITUTE(H47,"|",""))+1)</f>
        <v/>
      </c>
      <c r="V47">
        <f>IF(Q47="P",(N47+O47+P47)/3,0.3*I47+0.3*J47+0.2*K47+0.1*L47+0.1*M47)</f>
        <v/>
      </c>
      <c r="W47">
        <f>IF(Q47="P",IF(F47="",0,IFNA(VLOOKUP(F47,Pitcher_Trait_Coef!$A:$B,2,FALSE),0))+IF(G47="",0,IFNA(VLOOKUP(G47,Pitcher_Trait_Coef!$A:$B,2,FALSE),0)),IF(F47="",0,IFNA(VLOOKUP(F47,Hitter_Trait_Coef!$A:$B,2,FALSE),0))+IF(G47="",0,IFNA(VLOOKUP(G47,Hitter_Trait_Coef!$A:$B,2,FALSE),0)))</f>
        <v/>
      </c>
      <c r="X47">
        <f>IF(Q47="P",IFNA(VLOOKUP(B47,Pitcher_Primary_Coef!$A:$B,2,FALSE),0),IFNA(VLOOKUP(B47,Hitter_Primary_Coef!$A:$B,2,FALSE),0))</f>
        <v/>
      </c>
      <c r="Y47">
        <f>IF(Q47="P",0,IFNA(VLOOKUP(IF(C47="","(none)",C47),Hitter_Secondary_Coef!$A:$B,2,FALSE),0))</f>
        <v/>
      </c>
      <c r="Z47">
        <f>IF(Q47="P",IF(ISNUMBER(SEARCH("2F",H47)),IFNA(VLOOKUP("2F",Pitch_Coef!$A:$B,2,FALSE),0),0)+IF(ISNUMBER(SEARCH("4F",H47)),IFNA(VLOOKUP("4F",Pitch_Coef!$A:$B,2,FALSE),0),0)+IF(ISNUMBER(SEARCH("CB",H47)),IFNA(VLOOKUP("CB",Pitch_Coef!$A:$B,2,FALSE),0),0)+IF(ISNUMBER(SEARCH("CF",H47)),IFNA(VLOOKUP("CF",Pitch_Coef!$A:$B,2,FALSE),0),0)+IF(ISNUMBER(SEARCH("CH",H47)),IFNA(VLOOKUP("CH",Pitch_Coef!$A:$B,2,FALSE),0),0)+IF(ISNUMBER(SEARCH("FK",H47)),IFNA(VLOOKUP("FK",Pitch_Coef!$A:$B,2,FALSE),0),0)+IF(ISNUMBER(SEARCH("SB",H47)),IFNA(VLOOKUP("SB",Pitch_Coef!$A:$B,2,FALSE),0),0)+IF(ISNUMBER(SEARCH("SL",H47)),IFNA(VLOOKUP("SL",Pitch_Coef!$A:$B,2,FALSE),0),0),0)</f>
        <v/>
      </c>
      <c r="AA47">
        <f>IF(Q47="P",16.5944849573+0.2529999141*N47+0.2665900378*O47+0.2632687105*P47+0.0427586837*I47+0.0534777057*J47+0.009015832*K47+0.0204898106*(O47*P47/100)+1.0091022427*U47+1.0968542297*IF(D47="L",1,0)+0.3771555045*IF(D47="S",1,0)-0.2226159177*IF(E47="L",1,0)+1.21385024*R47-1.1652812274*S47+W47+X47+Z47,10.5965166711+0.2825983581*I47+0.2806503532*J47+0.2027213083*K47+0.1147824982*L47+0.0915305332*M47-0.0088454122*(I47*J47/100)-0.0336045706*(K47*L47/100)+2.8497389733*IF(D47="L",1,0)+4.5116226727*IF(D47="S",1,0)-0.6571546448*IF(E47="L",1,0)+0.0850728147*T47+0.0129488446*(T47*T47)+0.1909373936*IF(OR(F47="Utility",G47="Utility"),T47,0)+0.9656824071*R47-1.7517683256*S47+W47+X47+Y47)</f>
        <v/>
      </c>
      <c r="AB47">
        <f>LOOKUP(AA47,Grade_Scale!$A$2:$A$18,Grade_Scale!$B$2:$B$18)</f>
        <v/>
      </c>
      <c r="AC47">
        <f>LOOKUP(AA47,Grade_Scale!$A$2:$A$18,Grade_Scale!$C$2:$C$18)</f>
        <v/>
      </c>
      <c r="AE47">
        <f>IF(AD47="","",AB47-VLOOKUP(AD47,Grade_Scale!$C$2:$E$18,3,FALSE))</f>
        <v/>
      </c>
    </row>
    <row r="48">
      <c r="Q48">
        <f>IF(OR(B48="SP",B48="RP",B48="CP",B48="SP/RP"),"P","H")</f>
        <v/>
      </c>
      <c r="R48">
        <f>IF(F48="",0,IFNA(VLOOKUP(F48,Trait_Polarity!$A:$C,2,FALSE),0))+IF(G48="",0,IFNA(VLOOKUP(G48,Trait_Polarity!$A:$C,2,FALSE),0))</f>
        <v/>
      </c>
      <c r="S48">
        <f>IF(F48="",0,IFNA(VLOOKUP(F48,Trait_Polarity!$A:$C,3,FALSE),0))+IF(G48="",0,IFNA(VLOOKUP(G48,Trait_Polarity!$A:$C,3,FALSE),0))</f>
        <v/>
      </c>
      <c r="T48">
        <f>IF(Q48="P",0,IFNA(VLOOKUP(IF(C48="","(none)",C48),Secondary_Versatility!$A:$B,2,FALSE),0))</f>
        <v/>
      </c>
      <c r="U48">
        <f>IF(H48="",0,LEN(H48)-LEN(SUBSTITUTE(H48,"|",""))+1)</f>
        <v/>
      </c>
      <c r="V48">
        <f>IF(Q48="P",(N48+O48+P48)/3,0.3*I48+0.3*J48+0.2*K48+0.1*L48+0.1*M48)</f>
        <v/>
      </c>
      <c r="W48">
        <f>IF(Q48="P",IF(F48="",0,IFNA(VLOOKUP(F48,Pitcher_Trait_Coef!$A:$B,2,FALSE),0))+IF(G48="",0,IFNA(VLOOKUP(G48,Pitcher_Trait_Coef!$A:$B,2,FALSE),0)),IF(F48="",0,IFNA(VLOOKUP(F48,Hitter_Trait_Coef!$A:$B,2,FALSE),0))+IF(G48="",0,IFNA(VLOOKUP(G48,Hitter_Trait_Coef!$A:$B,2,FALSE),0)))</f>
        <v/>
      </c>
      <c r="X48">
        <f>IF(Q48="P",IFNA(VLOOKUP(B48,Pitcher_Primary_Coef!$A:$B,2,FALSE),0),IFNA(VLOOKUP(B48,Hitter_Primary_Coef!$A:$B,2,FALSE),0))</f>
        <v/>
      </c>
      <c r="Y48">
        <f>IF(Q48="P",0,IFNA(VLOOKUP(IF(C48="","(none)",C48),Hitter_Secondary_Coef!$A:$B,2,FALSE),0))</f>
        <v/>
      </c>
      <c r="Z48">
        <f>IF(Q48="P",IF(ISNUMBER(SEARCH("2F",H48)),IFNA(VLOOKUP("2F",Pitch_Coef!$A:$B,2,FALSE),0),0)+IF(ISNUMBER(SEARCH("4F",H48)),IFNA(VLOOKUP("4F",Pitch_Coef!$A:$B,2,FALSE),0),0)+IF(ISNUMBER(SEARCH("CB",H48)),IFNA(VLOOKUP("CB",Pitch_Coef!$A:$B,2,FALSE),0),0)+IF(ISNUMBER(SEARCH("CF",H48)),IFNA(VLOOKUP("CF",Pitch_Coef!$A:$B,2,FALSE),0),0)+IF(ISNUMBER(SEARCH("CH",H48)),IFNA(VLOOKUP("CH",Pitch_Coef!$A:$B,2,FALSE),0),0)+IF(ISNUMBER(SEARCH("FK",H48)),IFNA(VLOOKUP("FK",Pitch_Coef!$A:$B,2,FALSE),0),0)+IF(ISNUMBER(SEARCH("SB",H48)),IFNA(VLOOKUP("SB",Pitch_Coef!$A:$B,2,FALSE),0),0)+IF(ISNUMBER(SEARCH("SL",H48)),IFNA(VLOOKUP("SL",Pitch_Coef!$A:$B,2,FALSE),0),0),0)</f>
        <v/>
      </c>
      <c r="AA48">
        <f>IF(Q48="P",16.5944849573+0.2529999141*N48+0.2665900378*O48+0.2632687105*P48+0.0427586837*I48+0.0534777057*J48+0.009015832*K48+0.0204898106*(O48*P48/100)+1.0091022427*U48+1.0968542297*IF(D48="L",1,0)+0.3771555045*IF(D48="S",1,0)-0.2226159177*IF(E48="L",1,0)+1.21385024*R48-1.1652812274*S48+W48+X48+Z48,10.5965166711+0.2825983581*I48+0.2806503532*J48+0.2027213083*K48+0.1147824982*L48+0.0915305332*M48-0.0088454122*(I48*J48/100)-0.0336045706*(K48*L48/100)+2.8497389733*IF(D48="L",1,0)+4.5116226727*IF(D48="S",1,0)-0.6571546448*IF(E48="L",1,0)+0.0850728147*T48+0.0129488446*(T48*T48)+0.1909373936*IF(OR(F48="Utility",G48="Utility"),T48,0)+0.9656824071*R48-1.7517683256*S48+W48+X48+Y48)</f>
        <v/>
      </c>
      <c r="AB48">
        <f>LOOKUP(AA48,Grade_Scale!$A$2:$A$18,Grade_Scale!$B$2:$B$18)</f>
        <v/>
      </c>
      <c r="AC48">
        <f>LOOKUP(AA48,Grade_Scale!$A$2:$A$18,Grade_Scale!$C$2:$C$18)</f>
        <v/>
      </c>
      <c r="AE48">
        <f>IF(AD48="","",AB48-VLOOKUP(AD48,Grade_Scale!$C$2:$E$18,3,FALSE))</f>
        <v/>
      </c>
    </row>
    <row r="49">
      <c r="Q49">
        <f>IF(OR(B49="SP",B49="RP",B49="CP",B49="SP/RP"),"P","H")</f>
        <v/>
      </c>
      <c r="R49">
        <f>IF(F49="",0,IFNA(VLOOKUP(F49,Trait_Polarity!$A:$C,2,FALSE),0))+IF(G49="",0,IFNA(VLOOKUP(G49,Trait_Polarity!$A:$C,2,FALSE),0))</f>
        <v/>
      </c>
      <c r="S49">
        <f>IF(F49="",0,IFNA(VLOOKUP(F49,Trait_Polarity!$A:$C,3,FALSE),0))+IF(G49="",0,IFNA(VLOOKUP(G49,Trait_Polarity!$A:$C,3,FALSE),0))</f>
        <v/>
      </c>
      <c r="T49">
        <f>IF(Q49="P",0,IFNA(VLOOKUP(IF(C49="","(none)",C49),Secondary_Versatility!$A:$B,2,FALSE),0))</f>
        <v/>
      </c>
      <c r="U49">
        <f>IF(H49="",0,LEN(H49)-LEN(SUBSTITUTE(H49,"|",""))+1)</f>
        <v/>
      </c>
      <c r="V49">
        <f>IF(Q49="P",(N49+O49+P49)/3,0.3*I49+0.3*J49+0.2*K49+0.1*L49+0.1*M49)</f>
        <v/>
      </c>
      <c r="W49">
        <f>IF(Q49="P",IF(F49="",0,IFNA(VLOOKUP(F49,Pitcher_Trait_Coef!$A:$B,2,FALSE),0))+IF(G49="",0,IFNA(VLOOKUP(G49,Pitcher_Trait_Coef!$A:$B,2,FALSE),0)),IF(F49="",0,IFNA(VLOOKUP(F49,Hitter_Trait_Coef!$A:$B,2,FALSE),0))+IF(G49="",0,IFNA(VLOOKUP(G49,Hitter_Trait_Coef!$A:$B,2,FALSE),0)))</f>
        <v/>
      </c>
      <c r="X49">
        <f>IF(Q49="P",IFNA(VLOOKUP(B49,Pitcher_Primary_Coef!$A:$B,2,FALSE),0),IFNA(VLOOKUP(B49,Hitter_Primary_Coef!$A:$B,2,FALSE),0))</f>
        <v/>
      </c>
      <c r="Y49">
        <f>IF(Q49="P",0,IFNA(VLOOKUP(IF(C49="","(none)",C49),Hitter_Secondary_Coef!$A:$B,2,FALSE),0))</f>
        <v/>
      </c>
      <c r="Z49">
        <f>IF(Q49="P",IF(ISNUMBER(SEARCH("2F",H49)),IFNA(VLOOKUP("2F",Pitch_Coef!$A:$B,2,FALSE),0),0)+IF(ISNUMBER(SEARCH("4F",H49)),IFNA(VLOOKUP("4F",Pitch_Coef!$A:$B,2,FALSE),0),0)+IF(ISNUMBER(SEARCH("CB",H49)),IFNA(VLOOKUP("CB",Pitch_Coef!$A:$B,2,FALSE),0),0)+IF(ISNUMBER(SEARCH("CF",H49)),IFNA(VLOOKUP("CF",Pitch_Coef!$A:$B,2,FALSE),0),0)+IF(ISNUMBER(SEARCH("CH",H49)),IFNA(VLOOKUP("CH",Pitch_Coef!$A:$B,2,FALSE),0),0)+IF(ISNUMBER(SEARCH("FK",H49)),IFNA(VLOOKUP("FK",Pitch_Coef!$A:$B,2,FALSE),0),0)+IF(ISNUMBER(SEARCH("SB",H49)),IFNA(VLOOKUP("SB",Pitch_Coef!$A:$B,2,FALSE),0),0)+IF(ISNUMBER(SEARCH("SL",H49)),IFNA(VLOOKUP("SL",Pitch_Coef!$A:$B,2,FALSE),0),0),0)</f>
        <v/>
      </c>
      <c r="AA49">
        <f>IF(Q49="P",16.5944849573+0.2529999141*N49+0.2665900378*O49+0.2632687105*P49+0.0427586837*I49+0.0534777057*J49+0.009015832*K49+0.0204898106*(O49*P49/100)+1.0091022427*U49+1.0968542297*IF(D49="L",1,0)+0.3771555045*IF(D49="S",1,0)-0.2226159177*IF(E49="L",1,0)+1.21385024*R49-1.1652812274*S49+W49+X49+Z49,10.5965166711+0.2825983581*I49+0.2806503532*J49+0.2027213083*K49+0.1147824982*L49+0.0915305332*M49-0.0088454122*(I49*J49/100)-0.0336045706*(K49*L49/100)+2.8497389733*IF(D49="L",1,0)+4.5116226727*IF(D49="S",1,0)-0.6571546448*IF(E49="L",1,0)+0.0850728147*T49+0.0129488446*(T49*T49)+0.1909373936*IF(OR(F49="Utility",G49="Utility"),T49,0)+0.9656824071*R49-1.7517683256*S49+W49+X49+Y49)</f>
        <v/>
      </c>
      <c r="AB49">
        <f>LOOKUP(AA49,Grade_Scale!$A$2:$A$18,Grade_Scale!$B$2:$B$18)</f>
        <v/>
      </c>
      <c r="AC49">
        <f>LOOKUP(AA49,Grade_Scale!$A$2:$A$18,Grade_Scale!$C$2:$C$18)</f>
        <v/>
      </c>
      <c r="AE49">
        <f>IF(AD49="","",AB49-VLOOKUP(AD49,Grade_Scale!$C$2:$E$18,3,FALSE))</f>
        <v/>
      </c>
    </row>
    <row r="50">
      <c r="Q50">
        <f>IF(OR(B50="SP",B50="RP",B50="CP",B50="SP/RP"),"P","H")</f>
        <v/>
      </c>
      <c r="R50">
        <f>IF(F50="",0,IFNA(VLOOKUP(F50,Trait_Polarity!$A:$C,2,FALSE),0))+IF(G50="",0,IFNA(VLOOKUP(G50,Trait_Polarity!$A:$C,2,FALSE),0))</f>
        <v/>
      </c>
      <c r="S50">
        <f>IF(F50="",0,IFNA(VLOOKUP(F50,Trait_Polarity!$A:$C,3,FALSE),0))+IF(G50="",0,IFNA(VLOOKUP(G50,Trait_Polarity!$A:$C,3,FALSE),0))</f>
        <v/>
      </c>
      <c r="T50">
        <f>IF(Q50="P",0,IFNA(VLOOKUP(IF(C50="","(none)",C50),Secondary_Versatility!$A:$B,2,FALSE),0))</f>
        <v/>
      </c>
      <c r="U50">
        <f>IF(H50="",0,LEN(H50)-LEN(SUBSTITUTE(H50,"|",""))+1)</f>
        <v/>
      </c>
      <c r="V50">
        <f>IF(Q50="P",(N50+O50+P50)/3,0.3*I50+0.3*J50+0.2*K50+0.1*L50+0.1*M50)</f>
        <v/>
      </c>
      <c r="W50">
        <f>IF(Q50="P",IF(F50="",0,IFNA(VLOOKUP(F50,Pitcher_Trait_Coef!$A:$B,2,FALSE),0))+IF(G50="",0,IFNA(VLOOKUP(G50,Pitcher_Trait_Coef!$A:$B,2,FALSE),0)),IF(F50="",0,IFNA(VLOOKUP(F50,Hitter_Trait_Coef!$A:$B,2,FALSE),0))+IF(G50="",0,IFNA(VLOOKUP(G50,Hitter_Trait_Coef!$A:$B,2,FALSE),0)))</f>
        <v/>
      </c>
      <c r="X50">
        <f>IF(Q50="P",IFNA(VLOOKUP(B50,Pitcher_Primary_Coef!$A:$B,2,FALSE),0),IFNA(VLOOKUP(B50,Hitter_Primary_Coef!$A:$B,2,FALSE),0))</f>
        <v/>
      </c>
      <c r="Y50">
        <f>IF(Q50="P",0,IFNA(VLOOKUP(IF(C50="","(none)",C50),Hitter_Secondary_Coef!$A:$B,2,FALSE),0))</f>
        <v/>
      </c>
      <c r="Z50">
        <f>IF(Q50="P",IF(ISNUMBER(SEARCH("2F",H50)),IFNA(VLOOKUP("2F",Pitch_Coef!$A:$B,2,FALSE),0),0)+IF(ISNUMBER(SEARCH("4F",H50)),IFNA(VLOOKUP("4F",Pitch_Coef!$A:$B,2,FALSE),0),0)+IF(ISNUMBER(SEARCH("CB",H50)),IFNA(VLOOKUP("CB",Pitch_Coef!$A:$B,2,FALSE),0),0)+IF(ISNUMBER(SEARCH("CF",H50)),IFNA(VLOOKUP("CF",Pitch_Coef!$A:$B,2,FALSE),0),0)+IF(ISNUMBER(SEARCH("CH",H50)),IFNA(VLOOKUP("CH",Pitch_Coef!$A:$B,2,FALSE),0),0)+IF(ISNUMBER(SEARCH("FK",H50)),IFNA(VLOOKUP("FK",Pitch_Coef!$A:$B,2,FALSE),0),0)+IF(ISNUMBER(SEARCH("SB",H50)),IFNA(VLOOKUP("SB",Pitch_Coef!$A:$B,2,FALSE),0),0)+IF(ISNUMBER(SEARCH("SL",H50)),IFNA(VLOOKUP("SL",Pitch_Coef!$A:$B,2,FALSE),0),0),0)</f>
        <v/>
      </c>
      <c r="AA50">
        <f>IF(Q50="P",16.5944849573+0.2529999141*N50+0.2665900378*O50+0.2632687105*P50+0.0427586837*I50+0.0534777057*J50+0.009015832*K50+0.0204898106*(O50*P50/100)+1.0091022427*U50+1.0968542297*IF(D50="L",1,0)+0.3771555045*IF(D50="S",1,0)-0.2226159177*IF(E50="L",1,0)+1.21385024*R50-1.1652812274*S50+W50+X50+Z50,10.5965166711+0.2825983581*I50+0.2806503532*J50+0.2027213083*K50+0.1147824982*L50+0.0915305332*M50-0.0088454122*(I50*J50/100)-0.0336045706*(K50*L50/100)+2.8497389733*IF(D50="L",1,0)+4.5116226727*IF(D50="S",1,0)-0.6571546448*IF(E50="L",1,0)+0.0850728147*T50+0.0129488446*(T50*T50)+0.1909373936*IF(OR(F50="Utility",G50="Utility"),T50,0)+0.9656824071*R50-1.7517683256*S50+W50+X50+Y50)</f>
        <v/>
      </c>
      <c r="AB50">
        <f>LOOKUP(AA50,Grade_Scale!$A$2:$A$18,Grade_Scale!$B$2:$B$18)</f>
        <v/>
      </c>
      <c r="AC50">
        <f>LOOKUP(AA50,Grade_Scale!$A$2:$A$18,Grade_Scale!$C$2:$C$18)</f>
        <v/>
      </c>
      <c r="AE50">
        <f>IF(AD50="","",AB50-VLOOKUP(AD50,Grade_Scale!$C$2:$E$18,3,FALSE))</f>
        <v/>
      </c>
    </row>
    <row r="51">
      <c r="Q51">
        <f>IF(OR(B51="SP",B51="RP",B51="CP",B51="SP/RP"),"P","H")</f>
        <v/>
      </c>
      <c r="R51">
        <f>IF(F51="",0,IFNA(VLOOKUP(F51,Trait_Polarity!$A:$C,2,FALSE),0))+IF(G51="",0,IFNA(VLOOKUP(G51,Trait_Polarity!$A:$C,2,FALSE),0))</f>
        <v/>
      </c>
      <c r="S51">
        <f>IF(F51="",0,IFNA(VLOOKUP(F51,Trait_Polarity!$A:$C,3,FALSE),0))+IF(G51="",0,IFNA(VLOOKUP(G51,Trait_Polarity!$A:$C,3,FALSE),0))</f>
        <v/>
      </c>
      <c r="T51">
        <f>IF(Q51="P",0,IFNA(VLOOKUP(IF(C51="","(none)",C51),Secondary_Versatility!$A:$B,2,FALSE),0))</f>
        <v/>
      </c>
      <c r="U51">
        <f>IF(H51="",0,LEN(H51)-LEN(SUBSTITUTE(H51,"|",""))+1)</f>
        <v/>
      </c>
      <c r="V51">
        <f>IF(Q51="P",(N51+O51+P51)/3,0.3*I51+0.3*J51+0.2*K51+0.1*L51+0.1*M51)</f>
        <v/>
      </c>
      <c r="W51">
        <f>IF(Q51="P",IF(F51="",0,IFNA(VLOOKUP(F51,Pitcher_Trait_Coef!$A:$B,2,FALSE),0))+IF(G51="",0,IFNA(VLOOKUP(G51,Pitcher_Trait_Coef!$A:$B,2,FALSE),0)),IF(F51="",0,IFNA(VLOOKUP(F51,Hitter_Trait_Coef!$A:$B,2,FALSE),0))+IF(G51="",0,IFNA(VLOOKUP(G51,Hitter_Trait_Coef!$A:$B,2,FALSE),0)))</f>
        <v/>
      </c>
      <c r="X51">
        <f>IF(Q51="P",IFNA(VLOOKUP(B51,Pitcher_Primary_Coef!$A:$B,2,FALSE),0),IFNA(VLOOKUP(B51,Hitter_Primary_Coef!$A:$B,2,FALSE),0))</f>
        <v/>
      </c>
      <c r="Y51">
        <f>IF(Q51="P",0,IFNA(VLOOKUP(IF(C51="","(none)",C51),Hitter_Secondary_Coef!$A:$B,2,FALSE),0))</f>
        <v/>
      </c>
      <c r="Z51">
        <f>IF(Q51="P",IF(ISNUMBER(SEARCH("2F",H51)),IFNA(VLOOKUP("2F",Pitch_Coef!$A:$B,2,FALSE),0),0)+IF(ISNUMBER(SEARCH("4F",H51)),IFNA(VLOOKUP("4F",Pitch_Coef!$A:$B,2,FALSE),0),0)+IF(ISNUMBER(SEARCH("CB",H51)),IFNA(VLOOKUP("CB",Pitch_Coef!$A:$B,2,FALSE),0),0)+IF(ISNUMBER(SEARCH("CF",H51)),IFNA(VLOOKUP("CF",Pitch_Coef!$A:$B,2,FALSE),0),0)+IF(ISNUMBER(SEARCH("CH",H51)),IFNA(VLOOKUP("CH",Pitch_Coef!$A:$B,2,FALSE),0),0)+IF(ISNUMBER(SEARCH("FK",H51)),IFNA(VLOOKUP("FK",Pitch_Coef!$A:$B,2,FALSE),0),0)+IF(ISNUMBER(SEARCH("SB",H51)),IFNA(VLOOKUP("SB",Pitch_Coef!$A:$B,2,FALSE),0),0)+IF(ISNUMBER(SEARCH("SL",H51)),IFNA(VLOOKUP("SL",Pitch_Coef!$A:$B,2,FALSE),0),0),0)</f>
        <v/>
      </c>
      <c r="AA51">
        <f>IF(Q51="P",16.5944849573+0.2529999141*N51+0.2665900378*O51+0.2632687105*P51+0.0427586837*I51+0.0534777057*J51+0.009015832*K51+0.0204898106*(O51*P51/100)+1.0091022427*U51+1.0968542297*IF(D51="L",1,0)+0.3771555045*IF(D51="S",1,0)-0.2226159177*IF(E51="L",1,0)+1.21385024*R51-1.1652812274*S51+W51+X51+Z51,10.5965166711+0.2825983581*I51+0.2806503532*J51+0.2027213083*K51+0.1147824982*L51+0.0915305332*M51-0.0088454122*(I51*J51/100)-0.0336045706*(K51*L51/100)+2.8497389733*IF(D51="L",1,0)+4.5116226727*IF(D51="S",1,0)-0.6571546448*IF(E51="L",1,0)+0.0850728147*T51+0.0129488446*(T51*T51)+0.1909373936*IF(OR(F51="Utility",G51="Utility"),T51,0)+0.9656824071*R51-1.7517683256*S51+W51+X51+Y51)</f>
        <v/>
      </c>
      <c r="AB51">
        <f>LOOKUP(AA51,Grade_Scale!$A$2:$A$18,Grade_Scale!$B$2:$B$18)</f>
        <v/>
      </c>
      <c r="AC51">
        <f>LOOKUP(AA51,Grade_Scale!$A$2:$A$18,Grade_Scale!$C$2:$C$18)</f>
        <v/>
      </c>
      <c r="AE51">
        <f>IF(AD51="","",AB51-VLOOKUP(AD51,Grade_Scale!$C$2:$E$18,3,FALSE))</f>
        <v/>
      </c>
    </row>
    <row r="52">
      <c r="Q52">
        <f>IF(OR(B52="SP",B52="RP",B52="CP",B52="SP/RP"),"P","H")</f>
        <v/>
      </c>
      <c r="R52">
        <f>IF(F52="",0,IFNA(VLOOKUP(F52,Trait_Polarity!$A:$C,2,FALSE),0))+IF(G52="",0,IFNA(VLOOKUP(G52,Trait_Polarity!$A:$C,2,FALSE),0))</f>
        <v/>
      </c>
      <c r="S52">
        <f>IF(F52="",0,IFNA(VLOOKUP(F52,Trait_Polarity!$A:$C,3,FALSE),0))+IF(G52="",0,IFNA(VLOOKUP(G52,Trait_Polarity!$A:$C,3,FALSE),0))</f>
        <v/>
      </c>
      <c r="T52">
        <f>IF(Q52="P",0,IFNA(VLOOKUP(IF(C52="","(none)",C52),Secondary_Versatility!$A:$B,2,FALSE),0))</f>
        <v/>
      </c>
      <c r="U52">
        <f>IF(H52="",0,LEN(H52)-LEN(SUBSTITUTE(H52,"|",""))+1)</f>
        <v/>
      </c>
      <c r="V52">
        <f>IF(Q52="P",(N52+O52+P52)/3,0.3*I52+0.3*J52+0.2*K52+0.1*L52+0.1*M52)</f>
        <v/>
      </c>
      <c r="W52">
        <f>IF(Q52="P",IF(F52="",0,IFNA(VLOOKUP(F52,Pitcher_Trait_Coef!$A:$B,2,FALSE),0))+IF(G52="",0,IFNA(VLOOKUP(G52,Pitcher_Trait_Coef!$A:$B,2,FALSE),0)),IF(F52="",0,IFNA(VLOOKUP(F52,Hitter_Trait_Coef!$A:$B,2,FALSE),0))+IF(G52="",0,IFNA(VLOOKUP(G52,Hitter_Trait_Coef!$A:$B,2,FALSE),0)))</f>
        <v/>
      </c>
      <c r="X52">
        <f>IF(Q52="P",IFNA(VLOOKUP(B52,Pitcher_Primary_Coef!$A:$B,2,FALSE),0),IFNA(VLOOKUP(B52,Hitter_Primary_Coef!$A:$B,2,FALSE),0))</f>
        <v/>
      </c>
      <c r="Y52">
        <f>IF(Q52="P",0,IFNA(VLOOKUP(IF(C52="","(none)",C52),Hitter_Secondary_Coef!$A:$B,2,FALSE),0))</f>
        <v/>
      </c>
      <c r="Z52">
        <f>IF(Q52="P",IF(ISNUMBER(SEARCH("2F",H52)),IFNA(VLOOKUP("2F",Pitch_Coef!$A:$B,2,FALSE),0),0)+IF(ISNUMBER(SEARCH("4F",H52)),IFNA(VLOOKUP("4F",Pitch_Coef!$A:$B,2,FALSE),0),0)+IF(ISNUMBER(SEARCH("CB",H52)),IFNA(VLOOKUP("CB",Pitch_Coef!$A:$B,2,FALSE),0),0)+IF(ISNUMBER(SEARCH("CF",H52)),IFNA(VLOOKUP("CF",Pitch_Coef!$A:$B,2,FALSE),0),0)+IF(ISNUMBER(SEARCH("CH",H52)),IFNA(VLOOKUP("CH",Pitch_Coef!$A:$B,2,FALSE),0),0)+IF(ISNUMBER(SEARCH("FK",H52)),IFNA(VLOOKUP("FK",Pitch_Coef!$A:$B,2,FALSE),0),0)+IF(ISNUMBER(SEARCH("SB",H52)),IFNA(VLOOKUP("SB",Pitch_Coef!$A:$B,2,FALSE),0),0)+IF(ISNUMBER(SEARCH("SL",H52)),IFNA(VLOOKUP("SL",Pitch_Coef!$A:$B,2,FALSE),0),0),0)</f>
        <v/>
      </c>
      <c r="AA52">
        <f>IF(Q52="P",16.5944849573+0.2529999141*N52+0.2665900378*O52+0.2632687105*P52+0.0427586837*I52+0.0534777057*J52+0.009015832*K52+0.0204898106*(O52*P52/100)+1.0091022427*U52+1.0968542297*IF(D52="L",1,0)+0.3771555045*IF(D52="S",1,0)-0.2226159177*IF(E52="L",1,0)+1.21385024*R52-1.1652812274*S52+W52+X52+Z52,10.5965166711+0.2825983581*I52+0.2806503532*J52+0.2027213083*K52+0.1147824982*L52+0.0915305332*M52-0.0088454122*(I52*J52/100)-0.0336045706*(K52*L52/100)+2.8497389733*IF(D52="L",1,0)+4.5116226727*IF(D52="S",1,0)-0.6571546448*IF(E52="L",1,0)+0.0850728147*T52+0.0129488446*(T52*T52)+0.1909373936*IF(OR(F52="Utility",G52="Utility"),T52,0)+0.9656824071*R52-1.7517683256*S52+W52+X52+Y52)</f>
        <v/>
      </c>
      <c r="AB52">
        <f>LOOKUP(AA52,Grade_Scale!$A$2:$A$18,Grade_Scale!$B$2:$B$18)</f>
        <v/>
      </c>
      <c r="AC52">
        <f>LOOKUP(AA52,Grade_Scale!$A$2:$A$18,Grade_Scale!$C$2:$C$18)</f>
        <v/>
      </c>
      <c r="AE52">
        <f>IF(AD52="","",AB52-VLOOKUP(AD52,Grade_Scale!$C$2:$E$18,3,FALSE))</f>
        <v/>
      </c>
    </row>
    <row r="53">
      <c r="Q53">
        <f>IF(OR(B53="SP",B53="RP",B53="CP",B53="SP/RP"),"P","H")</f>
        <v/>
      </c>
      <c r="R53">
        <f>IF(F53="",0,IFNA(VLOOKUP(F53,Trait_Polarity!$A:$C,2,FALSE),0))+IF(G53="",0,IFNA(VLOOKUP(G53,Trait_Polarity!$A:$C,2,FALSE),0))</f>
        <v/>
      </c>
      <c r="S53">
        <f>IF(F53="",0,IFNA(VLOOKUP(F53,Trait_Polarity!$A:$C,3,FALSE),0))+IF(G53="",0,IFNA(VLOOKUP(G53,Trait_Polarity!$A:$C,3,FALSE),0))</f>
        <v/>
      </c>
      <c r="T53">
        <f>IF(Q53="P",0,IFNA(VLOOKUP(IF(C53="","(none)",C53),Secondary_Versatility!$A:$B,2,FALSE),0))</f>
        <v/>
      </c>
      <c r="U53">
        <f>IF(H53="",0,LEN(H53)-LEN(SUBSTITUTE(H53,"|",""))+1)</f>
        <v/>
      </c>
      <c r="V53">
        <f>IF(Q53="P",(N53+O53+P53)/3,0.3*I53+0.3*J53+0.2*K53+0.1*L53+0.1*M53)</f>
        <v/>
      </c>
      <c r="W53">
        <f>IF(Q53="P",IF(F53="",0,IFNA(VLOOKUP(F53,Pitcher_Trait_Coef!$A:$B,2,FALSE),0))+IF(G53="",0,IFNA(VLOOKUP(G53,Pitcher_Trait_Coef!$A:$B,2,FALSE),0)),IF(F53="",0,IFNA(VLOOKUP(F53,Hitter_Trait_Coef!$A:$B,2,FALSE),0))+IF(G53="",0,IFNA(VLOOKUP(G53,Hitter_Trait_Coef!$A:$B,2,FALSE),0)))</f>
        <v/>
      </c>
      <c r="X53">
        <f>IF(Q53="P",IFNA(VLOOKUP(B53,Pitcher_Primary_Coef!$A:$B,2,FALSE),0),IFNA(VLOOKUP(B53,Hitter_Primary_Coef!$A:$B,2,FALSE),0))</f>
        <v/>
      </c>
      <c r="Y53">
        <f>IF(Q53="P",0,IFNA(VLOOKUP(IF(C53="","(none)",C53),Hitter_Secondary_Coef!$A:$B,2,FALSE),0))</f>
        <v/>
      </c>
      <c r="Z53">
        <f>IF(Q53="P",IF(ISNUMBER(SEARCH("2F",H53)),IFNA(VLOOKUP("2F",Pitch_Coef!$A:$B,2,FALSE),0),0)+IF(ISNUMBER(SEARCH("4F",H53)),IFNA(VLOOKUP("4F",Pitch_Coef!$A:$B,2,FALSE),0),0)+IF(ISNUMBER(SEARCH("CB",H53)),IFNA(VLOOKUP("CB",Pitch_Coef!$A:$B,2,FALSE),0),0)+IF(ISNUMBER(SEARCH("CF",H53)),IFNA(VLOOKUP("CF",Pitch_Coef!$A:$B,2,FALSE),0),0)+IF(ISNUMBER(SEARCH("CH",H53)),IFNA(VLOOKUP("CH",Pitch_Coef!$A:$B,2,FALSE),0),0)+IF(ISNUMBER(SEARCH("FK",H53)),IFNA(VLOOKUP("FK",Pitch_Coef!$A:$B,2,FALSE),0),0)+IF(ISNUMBER(SEARCH("SB",H53)),IFNA(VLOOKUP("SB",Pitch_Coef!$A:$B,2,FALSE),0),0)+IF(ISNUMBER(SEARCH("SL",H53)),IFNA(VLOOKUP("SL",Pitch_Coef!$A:$B,2,FALSE),0),0),0)</f>
        <v/>
      </c>
      <c r="AA53">
        <f>IF(Q53="P",16.5944849573+0.2529999141*N53+0.2665900378*O53+0.2632687105*P53+0.0427586837*I53+0.0534777057*J53+0.009015832*K53+0.0204898106*(O53*P53/100)+1.0091022427*U53+1.0968542297*IF(D53="L",1,0)+0.3771555045*IF(D53="S",1,0)-0.2226159177*IF(E53="L",1,0)+1.21385024*R53-1.1652812274*S53+W53+X53+Z53,10.5965166711+0.2825983581*I53+0.2806503532*J53+0.2027213083*K53+0.1147824982*L53+0.0915305332*M53-0.0088454122*(I53*J53/100)-0.0336045706*(K53*L53/100)+2.8497389733*IF(D53="L",1,0)+4.5116226727*IF(D53="S",1,0)-0.6571546448*IF(E53="L",1,0)+0.0850728147*T53+0.0129488446*(T53*T53)+0.1909373936*IF(OR(F53="Utility",G53="Utility"),T53,0)+0.9656824071*R53-1.7517683256*S53+W53+X53+Y53)</f>
        <v/>
      </c>
      <c r="AB53">
        <f>LOOKUP(AA53,Grade_Scale!$A$2:$A$18,Grade_Scale!$B$2:$B$18)</f>
        <v/>
      </c>
      <c r="AC53">
        <f>LOOKUP(AA53,Grade_Scale!$A$2:$A$18,Grade_Scale!$C$2:$C$18)</f>
        <v/>
      </c>
      <c r="AE53">
        <f>IF(AD53="","",AB53-VLOOKUP(AD53,Grade_Scale!$C$2:$E$18,3,FALSE))</f>
        <v/>
      </c>
    </row>
    <row r="54">
      <c r="Q54">
        <f>IF(OR(B54="SP",B54="RP",B54="CP",B54="SP/RP"),"P","H")</f>
        <v/>
      </c>
      <c r="R54">
        <f>IF(F54="",0,IFNA(VLOOKUP(F54,Trait_Polarity!$A:$C,2,FALSE),0))+IF(G54="",0,IFNA(VLOOKUP(G54,Trait_Polarity!$A:$C,2,FALSE),0))</f>
        <v/>
      </c>
      <c r="S54">
        <f>IF(F54="",0,IFNA(VLOOKUP(F54,Trait_Polarity!$A:$C,3,FALSE),0))+IF(G54="",0,IFNA(VLOOKUP(G54,Trait_Polarity!$A:$C,3,FALSE),0))</f>
        <v/>
      </c>
      <c r="T54">
        <f>IF(Q54="P",0,IFNA(VLOOKUP(IF(C54="","(none)",C54),Secondary_Versatility!$A:$B,2,FALSE),0))</f>
        <v/>
      </c>
      <c r="U54">
        <f>IF(H54="",0,LEN(H54)-LEN(SUBSTITUTE(H54,"|",""))+1)</f>
        <v/>
      </c>
      <c r="V54">
        <f>IF(Q54="P",(N54+O54+P54)/3,0.3*I54+0.3*J54+0.2*K54+0.1*L54+0.1*M54)</f>
        <v/>
      </c>
      <c r="W54">
        <f>IF(Q54="P",IF(F54="",0,IFNA(VLOOKUP(F54,Pitcher_Trait_Coef!$A:$B,2,FALSE),0))+IF(G54="",0,IFNA(VLOOKUP(G54,Pitcher_Trait_Coef!$A:$B,2,FALSE),0)),IF(F54="",0,IFNA(VLOOKUP(F54,Hitter_Trait_Coef!$A:$B,2,FALSE),0))+IF(G54="",0,IFNA(VLOOKUP(G54,Hitter_Trait_Coef!$A:$B,2,FALSE),0)))</f>
        <v/>
      </c>
      <c r="X54">
        <f>IF(Q54="P",IFNA(VLOOKUP(B54,Pitcher_Primary_Coef!$A:$B,2,FALSE),0),IFNA(VLOOKUP(B54,Hitter_Primary_Coef!$A:$B,2,FALSE),0))</f>
        <v/>
      </c>
      <c r="Y54">
        <f>IF(Q54="P",0,IFNA(VLOOKUP(IF(C54="","(none)",C54),Hitter_Secondary_Coef!$A:$B,2,FALSE),0))</f>
        <v/>
      </c>
      <c r="Z54">
        <f>IF(Q54="P",IF(ISNUMBER(SEARCH("2F",H54)),IFNA(VLOOKUP("2F",Pitch_Coef!$A:$B,2,FALSE),0),0)+IF(ISNUMBER(SEARCH("4F",H54)),IFNA(VLOOKUP("4F",Pitch_Coef!$A:$B,2,FALSE),0),0)+IF(ISNUMBER(SEARCH("CB",H54)),IFNA(VLOOKUP("CB",Pitch_Coef!$A:$B,2,FALSE),0),0)+IF(ISNUMBER(SEARCH("CF",H54)),IFNA(VLOOKUP("CF",Pitch_Coef!$A:$B,2,FALSE),0),0)+IF(ISNUMBER(SEARCH("CH",H54)),IFNA(VLOOKUP("CH",Pitch_Coef!$A:$B,2,FALSE),0),0)+IF(ISNUMBER(SEARCH("FK",H54)),IFNA(VLOOKUP("FK",Pitch_Coef!$A:$B,2,FALSE),0),0)+IF(ISNUMBER(SEARCH("SB",H54)),IFNA(VLOOKUP("SB",Pitch_Coef!$A:$B,2,FALSE),0),0)+IF(ISNUMBER(SEARCH("SL",H54)),IFNA(VLOOKUP("SL",Pitch_Coef!$A:$B,2,FALSE),0),0),0)</f>
        <v/>
      </c>
      <c r="AA54">
        <f>IF(Q54="P",16.5944849573+0.2529999141*N54+0.2665900378*O54+0.2632687105*P54+0.0427586837*I54+0.0534777057*J54+0.009015832*K54+0.0204898106*(O54*P54/100)+1.0091022427*U54+1.0968542297*IF(D54="L",1,0)+0.3771555045*IF(D54="S",1,0)-0.2226159177*IF(E54="L",1,0)+1.21385024*R54-1.1652812274*S54+W54+X54+Z54,10.5965166711+0.2825983581*I54+0.2806503532*J54+0.2027213083*K54+0.1147824982*L54+0.0915305332*M54-0.0088454122*(I54*J54/100)-0.0336045706*(K54*L54/100)+2.8497389733*IF(D54="L",1,0)+4.5116226727*IF(D54="S",1,0)-0.6571546448*IF(E54="L",1,0)+0.0850728147*T54+0.0129488446*(T54*T54)+0.1909373936*IF(OR(F54="Utility",G54="Utility"),T54,0)+0.9656824071*R54-1.7517683256*S54+W54+X54+Y54)</f>
        <v/>
      </c>
      <c r="AB54">
        <f>LOOKUP(AA54,Grade_Scale!$A$2:$A$18,Grade_Scale!$B$2:$B$18)</f>
        <v/>
      </c>
      <c r="AC54">
        <f>LOOKUP(AA54,Grade_Scale!$A$2:$A$18,Grade_Scale!$C$2:$C$18)</f>
        <v/>
      </c>
      <c r="AE54">
        <f>IF(AD54="","",AB54-VLOOKUP(AD54,Grade_Scale!$C$2:$E$18,3,FALSE))</f>
        <v/>
      </c>
    </row>
    <row r="55">
      <c r="Q55">
        <f>IF(OR(B55="SP",B55="RP",B55="CP",B55="SP/RP"),"P","H")</f>
        <v/>
      </c>
      <c r="R55">
        <f>IF(F55="",0,IFNA(VLOOKUP(F55,Trait_Polarity!$A:$C,2,FALSE),0))+IF(G55="",0,IFNA(VLOOKUP(G55,Trait_Polarity!$A:$C,2,FALSE),0))</f>
        <v/>
      </c>
      <c r="S55">
        <f>IF(F55="",0,IFNA(VLOOKUP(F55,Trait_Polarity!$A:$C,3,FALSE),0))+IF(G55="",0,IFNA(VLOOKUP(G55,Trait_Polarity!$A:$C,3,FALSE),0))</f>
        <v/>
      </c>
      <c r="T55">
        <f>IF(Q55="P",0,IFNA(VLOOKUP(IF(C55="","(none)",C55),Secondary_Versatility!$A:$B,2,FALSE),0))</f>
        <v/>
      </c>
      <c r="U55">
        <f>IF(H55="",0,LEN(H55)-LEN(SUBSTITUTE(H55,"|",""))+1)</f>
        <v/>
      </c>
      <c r="V55">
        <f>IF(Q55="P",(N55+O55+P55)/3,0.3*I55+0.3*J55+0.2*K55+0.1*L55+0.1*M55)</f>
        <v/>
      </c>
      <c r="W55">
        <f>IF(Q55="P",IF(F55="",0,IFNA(VLOOKUP(F55,Pitcher_Trait_Coef!$A:$B,2,FALSE),0))+IF(G55="",0,IFNA(VLOOKUP(G55,Pitcher_Trait_Coef!$A:$B,2,FALSE),0)),IF(F55="",0,IFNA(VLOOKUP(F55,Hitter_Trait_Coef!$A:$B,2,FALSE),0))+IF(G55="",0,IFNA(VLOOKUP(G55,Hitter_Trait_Coef!$A:$B,2,FALSE),0)))</f>
        <v/>
      </c>
      <c r="X55">
        <f>IF(Q55="P",IFNA(VLOOKUP(B55,Pitcher_Primary_Coef!$A:$B,2,FALSE),0),IFNA(VLOOKUP(B55,Hitter_Primary_Coef!$A:$B,2,FALSE),0))</f>
        <v/>
      </c>
      <c r="Y55">
        <f>IF(Q55="P",0,IFNA(VLOOKUP(IF(C55="","(none)",C55),Hitter_Secondary_Coef!$A:$B,2,FALSE),0))</f>
        <v/>
      </c>
      <c r="Z55">
        <f>IF(Q55="P",IF(ISNUMBER(SEARCH("2F",H55)),IFNA(VLOOKUP("2F",Pitch_Coef!$A:$B,2,FALSE),0),0)+IF(ISNUMBER(SEARCH("4F",H55)),IFNA(VLOOKUP("4F",Pitch_Coef!$A:$B,2,FALSE),0),0)+IF(ISNUMBER(SEARCH("CB",H55)),IFNA(VLOOKUP("CB",Pitch_Coef!$A:$B,2,FALSE),0),0)+IF(ISNUMBER(SEARCH("CF",H55)),IFNA(VLOOKUP("CF",Pitch_Coef!$A:$B,2,FALSE),0),0)+IF(ISNUMBER(SEARCH("CH",H55)),IFNA(VLOOKUP("CH",Pitch_Coef!$A:$B,2,FALSE),0),0)+IF(ISNUMBER(SEARCH("FK",H55)),IFNA(VLOOKUP("FK",Pitch_Coef!$A:$B,2,FALSE),0),0)+IF(ISNUMBER(SEARCH("SB",H55)),IFNA(VLOOKUP("SB",Pitch_Coef!$A:$B,2,FALSE),0),0)+IF(ISNUMBER(SEARCH("SL",H55)),IFNA(VLOOKUP("SL",Pitch_Coef!$A:$B,2,FALSE),0),0),0)</f>
        <v/>
      </c>
      <c r="AA55">
        <f>IF(Q55="P",16.5944849573+0.2529999141*N55+0.2665900378*O55+0.2632687105*P55+0.0427586837*I55+0.0534777057*J55+0.009015832*K55+0.0204898106*(O55*P55/100)+1.0091022427*U55+1.0968542297*IF(D55="L",1,0)+0.3771555045*IF(D55="S",1,0)-0.2226159177*IF(E55="L",1,0)+1.21385024*R55-1.1652812274*S55+W55+X55+Z55,10.5965166711+0.2825983581*I55+0.2806503532*J55+0.2027213083*K55+0.1147824982*L55+0.0915305332*M55-0.0088454122*(I55*J55/100)-0.0336045706*(K55*L55/100)+2.8497389733*IF(D55="L",1,0)+4.5116226727*IF(D55="S",1,0)-0.6571546448*IF(E55="L",1,0)+0.0850728147*T55+0.0129488446*(T55*T55)+0.1909373936*IF(OR(F55="Utility",G55="Utility"),T55,0)+0.9656824071*R55-1.7517683256*S55+W55+X55+Y55)</f>
        <v/>
      </c>
      <c r="AB55">
        <f>LOOKUP(AA55,Grade_Scale!$A$2:$A$18,Grade_Scale!$B$2:$B$18)</f>
        <v/>
      </c>
      <c r="AC55">
        <f>LOOKUP(AA55,Grade_Scale!$A$2:$A$18,Grade_Scale!$C$2:$C$18)</f>
        <v/>
      </c>
      <c r="AE55">
        <f>IF(AD55="","",AB55-VLOOKUP(AD55,Grade_Scale!$C$2:$E$18,3,FALSE))</f>
        <v/>
      </c>
    </row>
    <row r="56">
      <c r="Q56">
        <f>IF(OR(B56="SP",B56="RP",B56="CP",B56="SP/RP"),"P","H")</f>
        <v/>
      </c>
      <c r="R56">
        <f>IF(F56="",0,IFNA(VLOOKUP(F56,Trait_Polarity!$A:$C,2,FALSE),0))+IF(G56="",0,IFNA(VLOOKUP(G56,Trait_Polarity!$A:$C,2,FALSE),0))</f>
        <v/>
      </c>
      <c r="S56">
        <f>IF(F56="",0,IFNA(VLOOKUP(F56,Trait_Polarity!$A:$C,3,FALSE),0))+IF(G56="",0,IFNA(VLOOKUP(G56,Trait_Polarity!$A:$C,3,FALSE),0))</f>
        <v/>
      </c>
      <c r="T56">
        <f>IF(Q56="P",0,IFNA(VLOOKUP(IF(C56="","(none)",C56),Secondary_Versatility!$A:$B,2,FALSE),0))</f>
        <v/>
      </c>
      <c r="U56">
        <f>IF(H56="",0,LEN(H56)-LEN(SUBSTITUTE(H56,"|",""))+1)</f>
        <v/>
      </c>
      <c r="V56">
        <f>IF(Q56="P",(N56+O56+P56)/3,0.3*I56+0.3*J56+0.2*K56+0.1*L56+0.1*M56)</f>
        <v/>
      </c>
      <c r="W56">
        <f>IF(Q56="P",IF(F56="",0,IFNA(VLOOKUP(F56,Pitcher_Trait_Coef!$A:$B,2,FALSE),0))+IF(G56="",0,IFNA(VLOOKUP(G56,Pitcher_Trait_Coef!$A:$B,2,FALSE),0)),IF(F56="",0,IFNA(VLOOKUP(F56,Hitter_Trait_Coef!$A:$B,2,FALSE),0))+IF(G56="",0,IFNA(VLOOKUP(G56,Hitter_Trait_Coef!$A:$B,2,FALSE),0)))</f>
        <v/>
      </c>
      <c r="X56">
        <f>IF(Q56="P",IFNA(VLOOKUP(B56,Pitcher_Primary_Coef!$A:$B,2,FALSE),0),IFNA(VLOOKUP(B56,Hitter_Primary_Coef!$A:$B,2,FALSE),0))</f>
        <v/>
      </c>
      <c r="Y56">
        <f>IF(Q56="P",0,IFNA(VLOOKUP(IF(C56="","(none)",C56),Hitter_Secondary_Coef!$A:$B,2,FALSE),0))</f>
        <v/>
      </c>
      <c r="Z56">
        <f>IF(Q56="P",IF(ISNUMBER(SEARCH("2F",H56)),IFNA(VLOOKUP("2F",Pitch_Coef!$A:$B,2,FALSE),0),0)+IF(ISNUMBER(SEARCH("4F",H56)),IFNA(VLOOKUP("4F",Pitch_Coef!$A:$B,2,FALSE),0),0)+IF(ISNUMBER(SEARCH("CB",H56)),IFNA(VLOOKUP("CB",Pitch_Coef!$A:$B,2,FALSE),0),0)+IF(ISNUMBER(SEARCH("CF",H56)),IFNA(VLOOKUP("CF",Pitch_Coef!$A:$B,2,FALSE),0),0)+IF(ISNUMBER(SEARCH("CH",H56)),IFNA(VLOOKUP("CH",Pitch_Coef!$A:$B,2,FALSE),0),0)+IF(ISNUMBER(SEARCH("FK",H56)),IFNA(VLOOKUP("FK",Pitch_Coef!$A:$B,2,FALSE),0),0)+IF(ISNUMBER(SEARCH("SB",H56)),IFNA(VLOOKUP("SB",Pitch_Coef!$A:$B,2,FALSE),0),0)+IF(ISNUMBER(SEARCH("SL",H56)),IFNA(VLOOKUP("SL",Pitch_Coef!$A:$B,2,FALSE),0),0),0)</f>
        <v/>
      </c>
      <c r="AA56">
        <f>IF(Q56="P",16.5944849573+0.2529999141*N56+0.2665900378*O56+0.2632687105*P56+0.0427586837*I56+0.0534777057*J56+0.009015832*K56+0.0204898106*(O56*P56/100)+1.0091022427*U56+1.0968542297*IF(D56="L",1,0)+0.3771555045*IF(D56="S",1,0)-0.2226159177*IF(E56="L",1,0)+1.21385024*R56-1.1652812274*S56+W56+X56+Z56,10.5965166711+0.2825983581*I56+0.2806503532*J56+0.2027213083*K56+0.1147824982*L56+0.0915305332*M56-0.0088454122*(I56*J56/100)-0.0336045706*(K56*L56/100)+2.8497389733*IF(D56="L",1,0)+4.5116226727*IF(D56="S",1,0)-0.6571546448*IF(E56="L",1,0)+0.0850728147*T56+0.0129488446*(T56*T56)+0.1909373936*IF(OR(F56="Utility",G56="Utility"),T56,0)+0.9656824071*R56-1.7517683256*S56+W56+X56+Y56)</f>
        <v/>
      </c>
      <c r="AB56">
        <f>LOOKUP(AA56,Grade_Scale!$A$2:$A$18,Grade_Scale!$B$2:$B$18)</f>
        <v/>
      </c>
      <c r="AC56">
        <f>LOOKUP(AA56,Grade_Scale!$A$2:$A$18,Grade_Scale!$C$2:$C$18)</f>
        <v/>
      </c>
      <c r="AE56">
        <f>IF(AD56="","",AB56-VLOOKUP(AD56,Grade_Scale!$C$2:$E$18,3,FALSE))</f>
        <v/>
      </c>
    </row>
    <row r="57">
      <c r="Q57">
        <f>IF(OR(B57="SP",B57="RP",B57="CP",B57="SP/RP"),"P","H")</f>
        <v/>
      </c>
      <c r="R57">
        <f>IF(F57="",0,IFNA(VLOOKUP(F57,Trait_Polarity!$A:$C,2,FALSE),0))+IF(G57="",0,IFNA(VLOOKUP(G57,Trait_Polarity!$A:$C,2,FALSE),0))</f>
        <v/>
      </c>
      <c r="S57">
        <f>IF(F57="",0,IFNA(VLOOKUP(F57,Trait_Polarity!$A:$C,3,FALSE),0))+IF(G57="",0,IFNA(VLOOKUP(G57,Trait_Polarity!$A:$C,3,FALSE),0))</f>
        <v/>
      </c>
      <c r="T57">
        <f>IF(Q57="P",0,IFNA(VLOOKUP(IF(C57="","(none)",C57),Secondary_Versatility!$A:$B,2,FALSE),0))</f>
        <v/>
      </c>
      <c r="U57">
        <f>IF(H57="",0,LEN(H57)-LEN(SUBSTITUTE(H57,"|",""))+1)</f>
        <v/>
      </c>
      <c r="V57">
        <f>IF(Q57="P",(N57+O57+P57)/3,0.3*I57+0.3*J57+0.2*K57+0.1*L57+0.1*M57)</f>
        <v/>
      </c>
      <c r="W57">
        <f>IF(Q57="P",IF(F57="",0,IFNA(VLOOKUP(F57,Pitcher_Trait_Coef!$A:$B,2,FALSE),0))+IF(G57="",0,IFNA(VLOOKUP(G57,Pitcher_Trait_Coef!$A:$B,2,FALSE),0)),IF(F57="",0,IFNA(VLOOKUP(F57,Hitter_Trait_Coef!$A:$B,2,FALSE),0))+IF(G57="",0,IFNA(VLOOKUP(G57,Hitter_Trait_Coef!$A:$B,2,FALSE),0)))</f>
        <v/>
      </c>
      <c r="X57">
        <f>IF(Q57="P",IFNA(VLOOKUP(B57,Pitcher_Primary_Coef!$A:$B,2,FALSE),0),IFNA(VLOOKUP(B57,Hitter_Primary_Coef!$A:$B,2,FALSE),0))</f>
        <v/>
      </c>
      <c r="Y57">
        <f>IF(Q57="P",0,IFNA(VLOOKUP(IF(C57="","(none)",C57),Hitter_Secondary_Coef!$A:$B,2,FALSE),0))</f>
        <v/>
      </c>
      <c r="Z57">
        <f>IF(Q57="P",IF(ISNUMBER(SEARCH("2F",H57)),IFNA(VLOOKUP("2F",Pitch_Coef!$A:$B,2,FALSE),0),0)+IF(ISNUMBER(SEARCH("4F",H57)),IFNA(VLOOKUP("4F",Pitch_Coef!$A:$B,2,FALSE),0),0)+IF(ISNUMBER(SEARCH("CB",H57)),IFNA(VLOOKUP("CB",Pitch_Coef!$A:$B,2,FALSE),0),0)+IF(ISNUMBER(SEARCH("CF",H57)),IFNA(VLOOKUP("CF",Pitch_Coef!$A:$B,2,FALSE),0),0)+IF(ISNUMBER(SEARCH("CH",H57)),IFNA(VLOOKUP("CH",Pitch_Coef!$A:$B,2,FALSE),0),0)+IF(ISNUMBER(SEARCH("FK",H57)),IFNA(VLOOKUP("FK",Pitch_Coef!$A:$B,2,FALSE),0),0)+IF(ISNUMBER(SEARCH("SB",H57)),IFNA(VLOOKUP("SB",Pitch_Coef!$A:$B,2,FALSE),0),0)+IF(ISNUMBER(SEARCH("SL",H57)),IFNA(VLOOKUP("SL",Pitch_Coef!$A:$B,2,FALSE),0),0),0)</f>
        <v/>
      </c>
      <c r="AA57">
        <f>IF(Q57="P",16.5944849573+0.2529999141*N57+0.2665900378*O57+0.2632687105*P57+0.0427586837*I57+0.0534777057*J57+0.009015832*K57+0.0204898106*(O57*P57/100)+1.0091022427*U57+1.0968542297*IF(D57="L",1,0)+0.3771555045*IF(D57="S",1,0)-0.2226159177*IF(E57="L",1,0)+1.21385024*R57-1.1652812274*S57+W57+X57+Z57,10.5965166711+0.2825983581*I57+0.2806503532*J57+0.2027213083*K57+0.1147824982*L57+0.0915305332*M57-0.0088454122*(I57*J57/100)-0.0336045706*(K57*L57/100)+2.8497389733*IF(D57="L",1,0)+4.5116226727*IF(D57="S",1,0)-0.6571546448*IF(E57="L",1,0)+0.0850728147*T57+0.0129488446*(T57*T57)+0.1909373936*IF(OR(F57="Utility",G57="Utility"),T57,0)+0.9656824071*R57-1.7517683256*S57+W57+X57+Y57)</f>
        <v/>
      </c>
      <c r="AB57">
        <f>LOOKUP(AA57,Grade_Scale!$A$2:$A$18,Grade_Scale!$B$2:$B$18)</f>
        <v/>
      </c>
      <c r="AC57">
        <f>LOOKUP(AA57,Grade_Scale!$A$2:$A$18,Grade_Scale!$C$2:$C$18)</f>
        <v/>
      </c>
      <c r="AE57">
        <f>IF(AD57="","",AB57-VLOOKUP(AD57,Grade_Scale!$C$2:$E$18,3,FALSE))</f>
        <v/>
      </c>
    </row>
    <row r="58">
      <c r="Q58">
        <f>IF(OR(B58="SP",B58="RP",B58="CP",B58="SP/RP"),"P","H")</f>
        <v/>
      </c>
      <c r="R58">
        <f>IF(F58="",0,IFNA(VLOOKUP(F58,Trait_Polarity!$A:$C,2,FALSE),0))+IF(G58="",0,IFNA(VLOOKUP(G58,Trait_Polarity!$A:$C,2,FALSE),0))</f>
        <v/>
      </c>
      <c r="S58">
        <f>IF(F58="",0,IFNA(VLOOKUP(F58,Trait_Polarity!$A:$C,3,FALSE),0))+IF(G58="",0,IFNA(VLOOKUP(G58,Trait_Polarity!$A:$C,3,FALSE),0))</f>
        <v/>
      </c>
      <c r="T58">
        <f>IF(Q58="P",0,IFNA(VLOOKUP(IF(C58="","(none)",C58),Secondary_Versatility!$A:$B,2,FALSE),0))</f>
        <v/>
      </c>
      <c r="U58">
        <f>IF(H58="",0,LEN(H58)-LEN(SUBSTITUTE(H58,"|",""))+1)</f>
        <v/>
      </c>
      <c r="V58">
        <f>IF(Q58="P",(N58+O58+P58)/3,0.3*I58+0.3*J58+0.2*K58+0.1*L58+0.1*M58)</f>
        <v/>
      </c>
      <c r="W58">
        <f>IF(Q58="P",IF(F58="",0,IFNA(VLOOKUP(F58,Pitcher_Trait_Coef!$A:$B,2,FALSE),0))+IF(G58="",0,IFNA(VLOOKUP(G58,Pitcher_Trait_Coef!$A:$B,2,FALSE),0)),IF(F58="",0,IFNA(VLOOKUP(F58,Hitter_Trait_Coef!$A:$B,2,FALSE),0))+IF(G58="",0,IFNA(VLOOKUP(G58,Hitter_Trait_Coef!$A:$B,2,FALSE),0)))</f>
        <v/>
      </c>
      <c r="X58">
        <f>IF(Q58="P",IFNA(VLOOKUP(B58,Pitcher_Primary_Coef!$A:$B,2,FALSE),0),IFNA(VLOOKUP(B58,Hitter_Primary_Coef!$A:$B,2,FALSE),0))</f>
        <v/>
      </c>
      <c r="Y58">
        <f>IF(Q58="P",0,IFNA(VLOOKUP(IF(C58="","(none)",C58),Hitter_Secondary_Coef!$A:$B,2,FALSE),0))</f>
        <v/>
      </c>
      <c r="Z58">
        <f>IF(Q58="P",IF(ISNUMBER(SEARCH("2F",H58)),IFNA(VLOOKUP("2F",Pitch_Coef!$A:$B,2,FALSE),0),0)+IF(ISNUMBER(SEARCH("4F",H58)),IFNA(VLOOKUP("4F",Pitch_Coef!$A:$B,2,FALSE),0),0)+IF(ISNUMBER(SEARCH("CB",H58)),IFNA(VLOOKUP("CB",Pitch_Coef!$A:$B,2,FALSE),0),0)+IF(ISNUMBER(SEARCH("CF",H58)),IFNA(VLOOKUP("CF",Pitch_Coef!$A:$B,2,FALSE),0),0)+IF(ISNUMBER(SEARCH("CH",H58)),IFNA(VLOOKUP("CH",Pitch_Coef!$A:$B,2,FALSE),0),0)+IF(ISNUMBER(SEARCH("FK",H58)),IFNA(VLOOKUP("FK",Pitch_Coef!$A:$B,2,FALSE),0),0)+IF(ISNUMBER(SEARCH("SB",H58)),IFNA(VLOOKUP("SB",Pitch_Coef!$A:$B,2,FALSE),0),0)+IF(ISNUMBER(SEARCH("SL",H58)),IFNA(VLOOKUP("SL",Pitch_Coef!$A:$B,2,FALSE),0),0),0)</f>
        <v/>
      </c>
      <c r="AA58">
        <f>IF(Q58="P",16.5944849573+0.2529999141*N58+0.2665900378*O58+0.2632687105*P58+0.0427586837*I58+0.0534777057*J58+0.009015832*K58+0.0204898106*(O58*P58/100)+1.0091022427*U58+1.0968542297*IF(D58="L",1,0)+0.3771555045*IF(D58="S",1,0)-0.2226159177*IF(E58="L",1,0)+1.21385024*R58-1.1652812274*S58+W58+X58+Z58,10.5965166711+0.2825983581*I58+0.2806503532*J58+0.2027213083*K58+0.1147824982*L58+0.0915305332*M58-0.0088454122*(I58*J58/100)-0.0336045706*(K58*L58/100)+2.8497389733*IF(D58="L",1,0)+4.5116226727*IF(D58="S",1,0)-0.6571546448*IF(E58="L",1,0)+0.0850728147*T58+0.0129488446*(T58*T58)+0.1909373936*IF(OR(F58="Utility",G58="Utility"),T58,0)+0.9656824071*R58-1.7517683256*S58+W58+X58+Y58)</f>
        <v/>
      </c>
      <c r="AB58">
        <f>LOOKUP(AA58,Grade_Scale!$A$2:$A$18,Grade_Scale!$B$2:$B$18)</f>
        <v/>
      </c>
      <c r="AC58">
        <f>LOOKUP(AA58,Grade_Scale!$A$2:$A$18,Grade_Scale!$C$2:$C$18)</f>
        <v/>
      </c>
      <c r="AE58">
        <f>IF(AD58="","",AB58-VLOOKUP(AD58,Grade_Scale!$C$2:$E$18,3,FALSE))</f>
        <v/>
      </c>
    </row>
    <row r="59">
      <c r="Q59">
        <f>IF(OR(B59="SP",B59="RP",B59="CP",B59="SP/RP"),"P","H")</f>
        <v/>
      </c>
      <c r="R59">
        <f>IF(F59="",0,IFNA(VLOOKUP(F59,Trait_Polarity!$A:$C,2,FALSE),0))+IF(G59="",0,IFNA(VLOOKUP(G59,Trait_Polarity!$A:$C,2,FALSE),0))</f>
        <v/>
      </c>
      <c r="S59">
        <f>IF(F59="",0,IFNA(VLOOKUP(F59,Trait_Polarity!$A:$C,3,FALSE),0))+IF(G59="",0,IFNA(VLOOKUP(G59,Trait_Polarity!$A:$C,3,FALSE),0))</f>
        <v/>
      </c>
      <c r="T59">
        <f>IF(Q59="P",0,IFNA(VLOOKUP(IF(C59="","(none)",C59),Secondary_Versatility!$A:$B,2,FALSE),0))</f>
        <v/>
      </c>
      <c r="U59">
        <f>IF(H59="",0,LEN(H59)-LEN(SUBSTITUTE(H59,"|",""))+1)</f>
        <v/>
      </c>
      <c r="V59">
        <f>IF(Q59="P",(N59+O59+P59)/3,0.3*I59+0.3*J59+0.2*K59+0.1*L59+0.1*M59)</f>
        <v/>
      </c>
      <c r="W59">
        <f>IF(Q59="P",IF(F59="",0,IFNA(VLOOKUP(F59,Pitcher_Trait_Coef!$A:$B,2,FALSE),0))+IF(G59="",0,IFNA(VLOOKUP(G59,Pitcher_Trait_Coef!$A:$B,2,FALSE),0)),IF(F59="",0,IFNA(VLOOKUP(F59,Hitter_Trait_Coef!$A:$B,2,FALSE),0))+IF(G59="",0,IFNA(VLOOKUP(G59,Hitter_Trait_Coef!$A:$B,2,FALSE),0)))</f>
        <v/>
      </c>
      <c r="X59">
        <f>IF(Q59="P",IFNA(VLOOKUP(B59,Pitcher_Primary_Coef!$A:$B,2,FALSE),0),IFNA(VLOOKUP(B59,Hitter_Primary_Coef!$A:$B,2,FALSE),0))</f>
        <v/>
      </c>
      <c r="Y59">
        <f>IF(Q59="P",0,IFNA(VLOOKUP(IF(C59="","(none)",C59),Hitter_Secondary_Coef!$A:$B,2,FALSE),0))</f>
        <v/>
      </c>
      <c r="Z59">
        <f>IF(Q59="P",IF(ISNUMBER(SEARCH("2F",H59)),IFNA(VLOOKUP("2F",Pitch_Coef!$A:$B,2,FALSE),0),0)+IF(ISNUMBER(SEARCH("4F",H59)),IFNA(VLOOKUP("4F",Pitch_Coef!$A:$B,2,FALSE),0),0)+IF(ISNUMBER(SEARCH("CB",H59)),IFNA(VLOOKUP("CB",Pitch_Coef!$A:$B,2,FALSE),0),0)+IF(ISNUMBER(SEARCH("CF",H59)),IFNA(VLOOKUP("CF",Pitch_Coef!$A:$B,2,FALSE),0),0)+IF(ISNUMBER(SEARCH("CH",H59)),IFNA(VLOOKUP("CH",Pitch_Coef!$A:$B,2,FALSE),0),0)+IF(ISNUMBER(SEARCH("FK",H59)),IFNA(VLOOKUP("FK",Pitch_Coef!$A:$B,2,FALSE),0),0)+IF(ISNUMBER(SEARCH("SB",H59)),IFNA(VLOOKUP("SB",Pitch_Coef!$A:$B,2,FALSE),0),0)+IF(ISNUMBER(SEARCH("SL",H59)),IFNA(VLOOKUP("SL",Pitch_Coef!$A:$B,2,FALSE),0),0),0)</f>
        <v/>
      </c>
      <c r="AA59">
        <f>IF(Q59="P",16.5944849573+0.2529999141*N59+0.2665900378*O59+0.2632687105*P59+0.0427586837*I59+0.0534777057*J59+0.009015832*K59+0.0204898106*(O59*P59/100)+1.0091022427*U59+1.0968542297*IF(D59="L",1,0)+0.3771555045*IF(D59="S",1,0)-0.2226159177*IF(E59="L",1,0)+1.21385024*R59-1.1652812274*S59+W59+X59+Z59,10.5965166711+0.2825983581*I59+0.2806503532*J59+0.2027213083*K59+0.1147824982*L59+0.0915305332*M59-0.0088454122*(I59*J59/100)-0.0336045706*(K59*L59/100)+2.8497389733*IF(D59="L",1,0)+4.5116226727*IF(D59="S",1,0)-0.6571546448*IF(E59="L",1,0)+0.0850728147*T59+0.0129488446*(T59*T59)+0.1909373936*IF(OR(F59="Utility",G59="Utility"),T59,0)+0.9656824071*R59-1.7517683256*S59+W59+X59+Y59)</f>
        <v/>
      </c>
      <c r="AB59">
        <f>LOOKUP(AA59,Grade_Scale!$A$2:$A$18,Grade_Scale!$B$2:$B$18)</f>
        <v/>
      </c>
      <c r="AC59">
        <f>LOOKUP(AA59,Grade_Scale!$A$2:$A$18,Grade_Scale!$C$2:$C$18)</f>
        <v/>
      </c>
      <c r="AE59">
        <f>IF(AD59="","",AB59-VLOOKUP(AD59,Grade_Scale!$C$2:$E$18,3,FALSE))</f>
        <v/>
      </c>
    </row>
    <row r="60">
      <c r="Q60">
        <f>IF(OR(B60="SP",B60="RP",B60="CP",B60="SP/RP"),"P","H")</f>
        <v/>
      </c>
      <c r="R60">
        <f>IF(F60="",0,IFNA(VLOOKUP(F60,Trait_Polarity!$A:$C,2,FALSE),0))+IF(G60="",0,IFNA(VLOOKUP(G60,Trait_Polarity!$A:$C,2,FALSE),0))</f>
        <v/>
      </c>
      <c r="S60">
        <f>IF(F60="",0,IFNA(VLOOKUP(F60,Trait_Polarity!$A:$C,3,FALSE),0))+IF(G60="",0,IFNA(VLOOKUP(G60,Trait_Polarity!$A:$C,3,FALSE),0))</f>
        <v/>
      </c>
      <c r="T60">
        <f>IF(Q60="P",0,IFNA(VLOOKUP(IF(C60="","(none)",C60),Secondary_Versatility!$A:$B,2,FALSE),0))</f>
        <v/>
      </c>
      <c r="U60">
        <f>IF(H60="",0,LEN(H60)-LEN(SUBSTITUTE(H60,"|",""))+1)</f>
        <v/>
      </c>
      <c r="V60">
        <f>IF(Q60="P",(N60+O60+P60)/3,0.3*I60+0.3*J60+0.2*K60+0.1*L60+0.1*M60)</f>
        <v/>
      </c>
      <c r="W60">
        <f>IF(Q60="P",IF(F60="",0,IFNA(VLOOKUP(F60,Pitcher_Trait_Coef!$A:$B,2,FALSE),0))+IF(G60="",0,IFNA(VLOOKUP(G60,Pitcher_Trait_Coef!$A:$B,2,FALSE),0)),IF(F60="",0,IFNA(VLOOKUP(F60,Hitter_Trait_Coef!$A:$B,2,FALSE),0))+IF(G60="",0,IFNA(VLOOKUP(G60,Hitter_Trait_Coef!$A:$B,2,FALSE),0)))</f>
        <v/>
      </c>
      <c r="X60">
        <f>IF(Q60="P",IFNA(VLOOKUP(B60,Pitcher_Primary_Coef!$A:$B,2,FALSE),0),IFNA(VLOOKUP(B60,Hitter_Primary_Coef!$A:$B,2,FALSE),0))</f>
        <v/>
      </c>
      <c r="Y60">
        <f>IF(Q60="P",0,IFNA(VLOOKUP(IF(C60="","(none)",C60),Hitter_Secondary_Coef!$A:$B,2,FALSE),0))</f>
        <v/>
      </c>
      <c r="Z60">
        <f>IF(Q60="P",IF(ISNUMBER(SEARCH("2F",H60)),IFNA(VLOOKUP("2F",Pitch_Coef!$A:$B,2,FALSE),0),0)+IF(ISNUMBER(SEARCH("4F",H60)),IFNA(VLOOKUP("4F",Pitch_Coef!$A:$B,2,FALSE),0),0)+IF(ISNUMBER(SEARCH("CB",H60)),IFNA(VLOOKUP("CB",Pitch_Coef!$A:$B,2,FALSE),0),0)+IF(ISNUMBER(SEARCH("CF",H60)),IFNA(VLOOKUP("CF",Pitch_Coef!$A:$B,2,FALSE),0),0)+IF(ISNUMBER(SEARCH("CH",H60)),IFNA(VLOOKUP("CH",Pitch_Coef!$A:$B,2,FALSE),0),0)+IF(ISNUMBER(SEARCH("FK",H60)),IFNA(VLOOKUP("FK",Pitch_Coef!$A:$B,2,FALSE),0),0)+IF(ISNUMBER(SEARCH("SB",H60)),IFNA(VLOOKUP("SB",Pitch_Coef!$A:$B,2,FALSE),0),0)+IF(ISNUMBER(SEARCH("SL",H60)),IFNA(VLOOKUP("SL",Pitch_Coef!$A:$B,2,FALSE),0),0),0)</f>
        <v/>
      </c>
      <c r="AA60">
        <f>IF(Q60="P",16.5944849573+0.2529999141*N60+0.2665900378*O60+0.2632687105*P60+0.0427586837*I60+0.0534777057*J60+0.009015832*K60+0.0204898106*(O60*P60/100)+1.0091022427*U60+1.0968542297*IF(D60="L",1,0)+0.3771555045*IF(D60="S",1,0)-0.2226159177*IF(E60="L",1,0)+1.21385024*R60-1.1652812274*S60+W60+X60+Z60,10.5965166711+0.2825983581*I60+0.2806503532*J60+0.2027213083*K60+0.1147824982*L60+0.0915305332*M60-0.0088454122*(I60*J60/100)-0.0336045706*(K60*L60/100)+2.8497389733*IF(D60="L",1,0)+4.5116226727*IF(D60="S",1,0)-0.6571546448*IF(E60="L",1,0)+0.0850728147*T60+0.0129488446*(T60*T60)+0.1909373936*IF(OR(F60="Utility",G60="Utility"),T60,0)+0.9656824071*R60-1.7517683256*S60+W60+X60+Y60)</f>
        <v/>
      </c>
      <c r="AB60">
        <f>LOOKUP(AA60,Grade_Scale!$A$2:$A$18,Grade_Scale!$B$2:$B$18)</f>
        <v/>
      </c>
      <c r="AC60">
        <f>LOOKUP(AA60,Grade_Scale!$A$2:$A$18,Grade_Scale!$C$2:$C$18)</f>
        <v/>
      </c>
      <c r="AE60">
        <f>IF(AD60="","",AB60-VLOOKUP(AD60,Grade_Scale!$C$2:$E$18,3,FALSE))</f>
        <v/>
      </c>
    </row>
    <row r="61">
      <c r="Q61">
        <f>IF(OR(B61="SP",B61="RP",B61="CP",B61="SP/RP"),"P","H")</f>
        <v/>
      </c>
      <c r="R61">
        <f>IF(F61="",0,IFNA(VLOOKUP(F61,Trait_Polarity!$A:$C,2,FALSE),0))+IF(G61="",0,IFNA(VLOOKUP(G61,Trait_Polarity!$A:$C,2,FALSE),0))</f>
        <v/>
      </c>
      <c r="S61">
        <f>IF(F61="",0,IFNA(VLOOKUP(F61,Trait_Polarity!$A:$C,3,FALSE),0))+IF(G61="",0,IFNA(VLOOKUP(G61,Trait_Polarity!$A:$C,3,FALSE),0))</f>
        <v/>
      </c>
      <c r="T61">
        <f>IF(Q61="P",0,IFNA(VLOOKUP(IF(C61="","(none)",C61),Secondary_Versatility!$A:$B,2,FALSE),0))</f>
        <v/>
      </c>
      <c r="U61">
        <f>IF(H61="",0,LEN(H61)-LEN(SUBSTITUTE(H61,"|",""))+1)</f>
        <v/>
      </c>
      <c r="V61">
        <f>IF(Q61="P",(N61+O61+P61)/3,0.3*I61+0.3*J61+0.2*K61+0.1*L61+0.1*M61)</f>
        <v/>
      </c>
      <c r="W61">
        <f>IF(Q61="P",IF(F61="",0,IFNA(VLOOKUP(F61,Pitcher_Trait_Coef!$A:$B,2,FALSE),0))+IF(G61="",0,IFNA(VLOOKUP(G61,Pitcher_Trait_Coef!$A:$B,2,FALSE),0)),IF(F61="",0,IFNA(VLOOKUP(F61,Hitter_Trait_Coef!$A:$B,2,FALSE),0))+IF(G61="",0,IFNA(VLOOKUP(G61,Hitter_Trait_Coef!$A:$B,2,FALSE),0)))</f>
        <v/>
      </c>
      <c r="X61">
        <f>IF(Q61="P",IFNA(VLOOKUP(B61,Pitcher_Primary_Coef!$A:$B,2,FALSE),0),IFNA(VLOOKUP(B61,Hitter_Primary_Coef!$A:$B,2,FALSE),0))</f>
        <v/>
      </c>
      <c r="Y61">
        <f>IF(Q61="P",0,IFNA(VLOOKUP(IF(C61="","(none)",C61),Hitter_Secondary_Coef!$A:$B,2,FALSE),0))</f>
        <v/>
      </c>
      <c r="Z61">
        <f>IF(Q61="P",IF(ISNUMBER(SEARCH("2F",H61)),IFNA(VLOOKUP("2F",Pitch_Coef!$A:$B,2,FALSE),0),0)+IF(ISNUMBER(SEARCH("4F",H61)),IFNA(VLOOKUP("4F",Pitch_Coef!$A:$B,2,FALSE),0),0)+IF(ISNUMBER(SEARCH("CB",H61)),IFNA(VLOOKUP("CB",Pitch_Coef!$A:$B,2,FALSE),0),0)+IF(ISNUMBER(SEARCH("CF",H61)),IFNA(VLOOKUP("CF",Pitch_Coef!$A:$B,2,FALSE),0),0)+IF(ISNUMBER(SEARCH("CH",H61)),IFNA(VLOOKUP("CH",Pitch_Coef!$A:$B,2,FALSE),0),0)+IF(ISNUMBER(SEARCH("FK",H61)),IFNA(VLOOKUP("FK",Pitch_Coef!$A:$B,2,FALSE),0),0)+IF(ISNUMBER(SEARCH("SB",H61)),IFNA(VLOOKUP("SB",Pitch_Coef!$A:$B,2,FALSE),0),0)+IF(ISNUMBER(SEARCH("SL",H61)),IFNA(VLOOKUP("SL",Pitch_Coef!$A:$B,2,FALSE),0),0),0)</f>
        <v/>
      </c>
      <c r="AA61">
        <f>IF(Q61="P",16.5944849573+0.2529999141*N61+0.2665900378*O61+0.2632687105*P61+0.0427586837*I61+0.0534777057*J61+0.009015832*K61+0.0204898106*(O61*P61/100)+1.0091022427*U61+1.0968542297*IF(D61="L",1,0)+0.3771555045*IF(D61="S",1,0)-0.2226159177*IF(E61="L",1,0)+1.21385024*R61-1.1652812274*S61+W61+X61+Z61,10.5965166711+0.2825983581*I61+0.2806503532*J61+0.2027213083*K61+0.1147824982*L61+0.0915305332*M61-0.0088454122*(I61*J61/100)-0.0336045706*(K61*L61/100)+2.8497389733*IF(D61="L",1,0)+4.5116226727*IF(D61="S",1,0)-0.6571546448*IF(E61="L",1,0)+0.0850728147*T61+0.0129488446*(T61*T61)+0.1909373936*IF(OR(F61="Utility",G61="Utility"),T61,0)+0.9656824071*R61-1.7517683256*S61+W61+X61+Y61)</f>
        <v/>
      </c>
      <c r="AB61">
        <f>LOOKUP(AA61,Grade_Scale!$A$2:$A$18,Grade_Scale!$B$2:$B$18)</f>
        <v/>
      </c>
      <c r="AC61">
        <f>LOOKUP(AA61,Grade_Scale!$A$2:$A$18,Grade_Scale!$C$2:$C$18)</f>
        <v/>
      </c>
      <c r="AE61">
        <f>IF(AD61="","",AB61-VLOOKUP(AD61,Grade_Scale!$C$2:$E$18,3,FALSE))</f>
        <v/>
      </c>
    </row>
    <row r="62">
      <c r="Q62">
        <f>IF(OR(B62="SP",B62="RP",B62="CP",B62="SP/RP"),"P","H")</f>
        <v/>
      </c>
      <c r="R62">
        <f>IF(F62="",0,IFNA(VLOOKUP(F62,Trait_Polarity!$A:$C,2,FALSE),0))+IF(G62="",0,IFNA(VLOOKUP(G62,Trait_Polarity!$A:$C,2,FALSE),0))</f>
        <v/>
      </c>
      <c r="S62">
        <f>IF(F62="",0,IFNA(VLOOKUP(F62,Trait_Polarity!$A:$C,3,FALSE),0))+IF(G62="",0,IFNA(VLOOKUP(G62,Trait_Polarity!$A:$C,3,FALSE),0))</f>
        <v/>
      </c>
      <c r="T62">
        <f>IF(Q62="P",0,IFNA(VLOOKUP(IF(C62="","(none)",C62),Secondary_Versatility!$A:$B,2,FALSE),0))</f>
        <v/>
      </c>
      <c r="U62">
        <f>IF(H62="",0,LEN(H62)-LEN(SUBSTITUTE(H62,"|",""))+1)</f>
        <v/>
      </c>
      <c r="V62">
        <f>IF(Q62="P",(N62+O62+P62)/3,0.3*I62+0.3*J62+0.2*K62+0.1*L62+0.1*M62)</f>
        <v/>
      </c>
      <c r="W62">
        <f>IF(Q62="P",IF(F62="",0,IFNA(VLOOKUP(F62,Pitcher_Trait_Coef!$A:$B,2,FALSE),0))+IF(G62="",0,IFNA(VLOOKUP(G62,Pitcher_Trait_Coef!$A:$B,2,FALSE),0)),IF(F62="",0,IFNA(VLOOKUP(F62,Hitter_Trait_Coef!$A:$B,2,FALSE),0))+IF(G62="",0,IFNA(VLOOKUP(G62,Hitter_Trait_Coef!$A:$B,2,FALSE),0)))</f>
        <v/>
      </c>
      <c r="X62">
        <f>IF(Q62="P",IFNA(VLOOKUP(B62,Pitcher_Primary_Coef!$A:$B,2,FALSE),0),IFNA(VLOOKUP(B62,Hitter_Primary_Coef!$A:$B,2,FALSE),0))</f>
        <v/>
      </c>
      <c r="Y62">
        <f>IF(Q62="P",0,IFNA(VLOOKUP(IF(C62="","(none)",C62),Hitter_Secondary_Coef!$A:$B,2,FALSE),0))</f>
        <v/>
      </c>
      <c r="Z62">
        <f>IF(Q62="P",IF(ISNUMBER(SEARCH("2F",H62)),IFNA(VLOOKUP("2F",Pitch_Coef!$A:$B,2,FALSE),0),0)+IF(ISNUMBER(SEARCH("4F",H62)),IFNA(VLOOKUP("4F",Pitch_Coef!$A:$B,2,FALSE),0),0)+IF(ISNUMBER(SEARCH("CB",H62)),IFNA(VLOOKUP("CB",Pitch_Coef!$A:$B,2,FALSE),0),0)+IF(ISNUMBER(SEARCH("CF",H62)),IFNA(VLOOKUP("CF",Pitch_Coef!$A:$B,2,FALSE),0),0)+IF(ISNUMBER(SEARCH("CH",H62)),IFNA(VLOOKUP("CH",Pitch_Coef!$A:$B,2,FALSE),0),0)+IF(ISNUMBER(SEARCH("FK",H62)),IFNA(VLOOKUP("FK",Pitch_Coef!$A:$B,2,FALSE),0),0)+IF(ISNUMBER(SEARCH("SB",H62)),IFNA(VLOOKUP("SB",Pitch_Coef!$A:$B,2,FALSE),0),0)+IF(ISNUMBER(SEARCH("SL",H62)),IFNA(VLOOKUP("SL",Pitch_Coef!$A:$B,2,FALSE),0),0),0)</f>
        <v/>
      </c>
      <c r="AA62">
        <f>IF(Q62="P",16.5944849573+0.2529999141*N62+0.2665900378*O62+0.2632687105*P62+0.0427586837*I62+0.0534777057*J62+0.009015832*K62+0.0204898106*(O62*P62/100)+1.0091022427*U62+1.0968542297*IF(D62="L",1,0)+0.3771555045*IF(D62="S",1,0)-0.2226159177*IF(E62="L",1,0)+1.21385024*R62-1.1652812274*S62+W62+X62+Z62,10.5965166711+0.2825983581*I62+0.2806503532*J62+0.2027213083*K62+0.1147824982*L62+0.0915305332*M62-0.0088454122*(I62*J62/100)-0.0336045706*(K62*L62/100)+2.8497389733*IF(D62="L",1,0)+4.5116226727*IF(D62="S",1,0)-0.6571546448*IF(E62="L",1,0)+0.0850728147*T62+0.0129488446*(T62*T62)+0.1909373936*IF(OR(F62="Utility",G62="Utility"),T62,0)+0.9656824071*R62-1.7517683256*S62+W62+X62+Y62)</f>
        <v/>
      </c>
      <c r="AB62">
        <f>LOOKUP(AA62,Grade_Scale!$A$2:$A$18,Grade_Scale!$B$2:$B$18)</f>
        <v/>
      </c>
      <c r="AC62">
        <f>LOOKUP(AA62,Grade_Scale!$A$2:$A$18,Grade_Scale!$C$2:$C$18)</f>
        <v/>
      </c>
      <c r="AE62">
        <f>IF(AD62="","",AB62-VLOOKUP(AD62,Grade_Scale!$C$2:$E$18,3,FALSE))</f>
        <v/>
      </c>
    </row>
    <row r="63">
      <c r="Q63">
        <f>IF(OR(B63="SP",B63="RP",B63="CP",B63="SP/RP"),"P","H")</f>
        <v/>
      </c>
      <c r="R63">
        <f>IF(F63="",0,IFNA(VLOOKUP(F63,Trait_Polarity!$A:$C,2,FALSE),0))+IF(G63="",0,IFNA(VLOOKUP(G63,Trait_Polarity!$A:$C,2,FALSE),0))</f>
        <v/>
      </c>
      <c r="S63">
        <f>IF(F63="",0,IFNA(VLOOKUP(F63,Trait_Polarity!$A:$C,3,FALSE),0))+IF(G63="",0,IFNA(VLOOKUP(G63,Trait_Polarity!$A:$C,3,FALSE),0))</f>
        <v/>
      </c>
      <c r="T63">
        <f>IF(Q63="P",0,IFNA(VLOOKUP(IF(C63="","(none)",C63),Secondary_Versatility!$A:$B,2,FALSE),0))</f>
        <v/>
      </c>
      <c r="U63">
        <f>IF(H63="",0,LEN(H63)-LEN(SUBSTITUTE(H63,"|",""))+1)</f>
        <v/>
      </c>
      <c r="V63">
        <f>IF(Q63="P",(N63+O63+P63)/3,0.3*I63+0.3*J63+0.2*K63+0.1*L63+0.1*M63)</f>
        <v/>
      </c>
      <c r="W63">
        <f>IF(Q63="P",IF(F63="",0,IFNA(VLOOKUP(F63,Pitcher_Trait_Coef!$A:$B,2,FALSE),0))+IF(G63="",0,IFNA(VLOOKUP(G63,Pitcher_Trait_Coef!$A:$B,2,FALSE),0)),IF(F63="",0,IFNA(VLOOKUP(F63,Hitter_Trait_Coef!$A:$B,2,FALSE),0))+IF(G63="",0,IFNA(VLOOKUP(G63,Hitter_Trait_Coef!$A:$B,2,FALSE),0)))</f>
        <v/>
      </c>
      <c r="X63">
        <f>IF(Q63="P",IFNA(VLOOKUP(B63,Pitcher_Primary_Coef!$A:$B,2,FALSE),0),IFNA(VLOOKUP(B63,Hitter_Primary_Coef!$A:$B,2,FALSE),0))</f>
        <v/>
      </c>
      <c r="Y63">
        <f>IF(Q63="P",0,IFNA(VLOOKUP(IF(C63="","(none)",C63),Hitter_Secondary_Coef!$A:$B,2,FALSE),0))</f>
        <v/>
      </c>
      <c r="Z63">
        <f>IF(Q63="P",IF(ISNUMBER(SEARCH("2F",H63)),IFNA(VLOOKUP("2F",Pitch_Coef!$A:$B,2,FALSE),0),0)+IF(ISNUMBER(SEARCH("4F",H63)),IFNA(VLOOKUP("4F",Pitch_Coef!$A:$B,2,FALSE),0),0)+IF(ISNUMBER(SEARCH("CB",H63)),IFNA(VLOOKUP("CB",Pitch_Coef!$A:$B,2,FALSE),0),0)+IF(ISNUMBER(SEARCH("CF",H63)),IFNA(VLOOKUP("CF",Pitch_Coef!$A:$B,2,FALSE),0),0)+IF(ISNUMBER(SEARCH("CH",H63)),IFNA(VLOOKUP("CH",Pitch_Coef!$A:$B,2,FALSE),0),0)+IF(ISNUMBER(SEARCH("FK",H63)),IFNA(VLOOKUP("FK",Pitch_Coef!$A:$B,2,FALSE),0),0)+IF(ISNUMBER(SEARCH("SB",H63)),IFNA(VLOOKUP("SB",Pitch_Coef!$A:$B,2,FALSE),0),0)+IF(ISNUMBER(SEARCH("SL",H63)),IFNA(VLOOKUP("SL",Pitch_Coef!$A:$B,2,FALSE),0),0),0)</f>
        <v/>
      </c>
      <c r="AA63">
        <f>IF(Q63="P",16.5944849573+0.2529999141*N63+0.2665900378*O63+0.2632687105*P63+0.0427586837*I63+0.0534777057*J63+0.009015832*K63+0.0204898106*(O63*P63/100)+1.0091022427*U63+1.0968542297*IF(D63="L",1,0)+0.3771555045*IF(D63="S",1,0)-0.2226159177*IF(E63="L",1,0)+1.21385024*R63-1.1652812274*S63+W63+X63+Z63,10.5965166711+0.2825983581*I63+0.2806503532*J63+0.2027213083*K63+0.1147824982*L63+0.0915305332*M63-0.0088454122*(I63*J63/100)-0.0336045706*(K63*L63/100)+2.8497389733*IF(D63="L",1,0)+4.5116226727*IF(D63="S",1,0)-0.6571546448*IF(E63="L",1,0)+0.0850728147*T63+0.0129488446*(T63*T63)+0.1909373936*IF(OR(F63="Utility",G63="Utility"),T63,0)+0.9656824071*R63-1.7517683256*S63+W63+X63+Y63)</f>
        <v/>
      </c>
      <c r="AB63">
        <f>LOOKUP(AA63,Grade_Scale!$A$2:$A$18,Grade_Scale!$B$2:$B$18)</f>
        <v/>
      </c>
      <c r="AC63">
        <f>LOOKUP(AA63,Grade_Scale!$A$2:$A$18,Grade_Scale!$C$2:$C$18)</f>
        <v/>
      </c>
      <c r="AE63">
        <f>IF(AD63="","",AB63-VLOOKUP(AD63,Grade_Scale!$C$2:$E$18,3,FALSE))</f>
        <v/>
      </c>
    </row>
    <row r="64">
      <c r="Q64">
        <f>IF(OR(B64="SP",B64="RP",B64="CP",B64="SP/RP"),"P","H")</f>
        <v/>
      </c>
      <c r="R64">
        <f>IF(F64="",0,IFNA(VLOOKUP(F64,Trait_Polarity!$A:$C,2,FALSE),0))+IF(G64="",0,IFNA(VLOOKUP(G64,Trait_Polarity!$A:$C,2,FALSE),0))</f>
        <v/>
      </c>
      <c r="S64">
        <f>IF(F64="",0,IFNA(VLOOKUP(F64,Trait_Polarity!$A:$C,3,FALSE),0))+IF(G64="",0,IFNA(VLOOKUP(G64,Trait_Polarity!$A:$C,3,FALSE),0))</f>
        <v/>
      </c>
      <c r="T64">
        <f>IF(Q64="P",0,IFNA(VLOOKUP(IF(C64="","(none)",C64),Secondary_Versatility!$A:$B,2,FALSE),0))</f>
        <v/>
      </c>
      <c r="U64">
        <f>IF(H64="",0,LEN(H64)-LEN(SUBSTITUTE(H64,"|",""))+1)</f>
        <v/>
      </c>
      <c r="V64">
        <f>IF(Q64="P",(N64+O64+P64)/3,0.3*I64+0.3*J64+0.2*K64+0.1*L64+0.1*M64)</f>
        <v/>
      </c>
      <c r="W64">
        <f>IF(Q64="P",IF(F64="",0,IFNA(VLOOKUP(F64,Pitcher_Trait_Coef!$A:$B,2,FALSE),0))+IF(G64="",0,IFNA(VLOOKUP(G64,Pitcher_Trait_Coef!$A:$B,2,FALSE),0)),IF(F64="",0,IFNA(VLOOKUP(F64,Hitter_Trait_Coef!$A:$B,2,FALSE),0))+IF(G64="",0,IFNA(VLOOKUP(G64,Hitter_Trait_Coef!$A:$B,2,FALSE),0)))</f>
        <v/>
      </c>
      <c r="X64">
        <f>IF(Q64="P",IFNA(VLOOKUP(B64,Pitcher_Primary_Coef!$A:$B,2,FALSE),0),IFNA(VLOOKUP(B64,Hitter_Primary_Coef!$A:$B,2,FALSE),0))</f>
        <v/>
      </c>
      <c r="Y64">
        <f>IF(Q64="P",0,IFNA(VLOOKUP(IF(C64="","(none)",C64),Hitter_Secondary_Coef!$A:$B,2,FALSE),0))</f>
        <v/>
      </c>
      <c r="Z64">
        <f>IF(Q64="P",IF(ISNUMBER(SEARCH("2F",H64)),IFNA(VLOOKUP("2F",Pitch_Coef!$A:$B,2,FALSE),0),0)+IF(ISNUMBER(SEARCH("4F",H64)),IFNA(VLOOKUP("4F",Pitch_Coef!$A:$B,2,FALSE),0),0)+IF(ISNUMBER(SEARCH("CB",H64)),IFNA(VLOOKUP("CB",Pitch_Coef!$A:$B,2,FALSE),0),0)+IF(ISNUMBER(SEARCH("CF",H64)),IFNA(VLOOKUP("CF",Pitch_Coef!$A:$B,2,FALSE),0),0)+IF(ISNUMBER(SEARCH("CH",H64)),IFNA(VLOOKUP("CH",Pitch_Coef!$A:$B,2,FALSE),0),0)+IF(ISNUMBER(SEARCH("FK",H64)),IFNA(VLOOKUP("FK",Pitch_Coef!$A:$B,2,FALSE),0),0)+IF(ISNUMBER(SEARCH("SB",H64)),IFNA(VLOOKUP("SB",Pitch_Coef!$A:$B,2,FALSE),0),0)+IF(ISNUMBER(SEARCH("SL",H64)),IFNA(VLOOKUP("SL",Pitch_Coef!$A:$B,2,FALSE),0),0),0)</f>
        <v/>
      </c>
      <c r="AA64">
        <f>IF(Q64="P",16.5944849573+0.2529999141*N64+0.2665900378*O64+0.2632687105*P64+0.0427586837*I64+0.0534777057*J64+0.009015832*K64+0.0204898106*(O64*P64/100)+1.0091022427*U64+1.0968542297*IF(D64="L",1,0)+0.3771555045*IF(D64="S",1,0)-0.2226159177*IF(E64="L",1,0)+1.21385024*R64-1.1652812274*S64+W64+X64+Z64,10.5965166711+0.2825983581*I64+0.2806503532*J64+0.2027213083*K64+0.1147824982*L64+0.0915305332*M64-0.0088454122*(I64*J64/100)-0.0336045706*(K64*L64/100)+2.8497389733*IF(D64="L",1,0)+4.5116226727*IF(D64="S",1,0)-0.6571546448*IF(E64="L",1,0)+0.0850728147*T64+0.0129488446*(T64*T64)+0.1909373936*IF(OR(F64="Utility",G64="Utility"),T64,0)+0.9656824071*R64-1.7517683256*S64+W64+X64+Y64)</f>
        <v/>
      </c>
      <c r="AB64">
        <f>LOOKUP(AA64,Grade_Scale!$A$2:$A$18,Grade_Scale!$B$2:$B$18)</f>
        <v/>
      </c>
      <c r="AC64">
        <f>LOOKUP(AA64,Grade_Scale!$A$2:$A$18,Grade_Scale!$C$2:$C$18)</f>
        <v/>
      </c>
      <c r="AE64">
        <f>IF(AD64="","",AB64-VLOOKUP(AD64,Grade_Scale!$C$2:$E$18,3,FALSE))</f>
        <v/>
      </c>
    </row>
    <row r="65">
      <c r="Q65">
        <f>IF(OR(B65="SP",B65="RP",B65="CP",B65="SP/RP"),"P","H")</f>
        <v/>
      </c>
      <c r="R65">
        <f>IF(F65="",0,IFNA(VLOOKUP(F65,Trait_Polarity!$A:$C,2,FALSE),0))+IF(G65="",0,IFNA(VLOOKUP(G65,Trait_Polarity!$A:$C,2,FALSE),0))</f>
        <v/>
      </c>
      <c r="S65">
        <f>IF(F65="",0,IFNA(VLOOKUP(F65,Trait_Polarity!$A:$C,3,FALSE),0))+IF(G65="",0,IFNA(VLOOKUP(G65,Trait_Polarity!$A:$C,3,FALSE),0))</f>
        <v/>
      </c>
      <c r="T65">
        <f>IF(Q65="P",0,IFNA(VLOOKUP(IF(C65="","(none)",C65),Secondary_Versatility!$A:$B,2,FALSE),0))</f>
        <v/>
      </c>
      <c r="U65">
        <f>IF(H65="",0,LEN(H65)-LEN(SUBSTITUTE(H65,"|",""))+1)</f>
        <v/>
      </c>
      <c r="V65">
        <f>IF(Q65="P",(N65+O65+P65)/3,0.3*I65+0.3*J65+0.2*K65+0.1*L65+0.1*M65)</f>
        <v/>
      </c>
      <c r="W65">
        <f>IF(Q65="P",IF(F65="",0,IFNA(VLOOKUP(F65,Pitcher_Trait_Coef!$A:$B,2,FALSE),0))+IF(G65="",0,IFNA(VLOOKUP(G65,Pitcher_Trait_Coef!$A:$B,2,FALSE),0)),IF(F65="",0,IFNA(VLOOKUP(F65,Hitter_Trait_Coef!$A:$B,2,FALSE),0))+IF(G65="",0,IFNA(VLOOKUP(G65,Hitter_Trait_Coef!$A:$B,2,FALSE),0)))</f>
        <v/>
      </c>
      <c r="X65">
        <f>IF(Q65="P",IFNA(VLOOKUP(B65,Pitcher_Primary_Coef!$A:$B,2,FALSE),0),IFNA(VLOOKUP(B65,Hitter_Primary_Coef!$A:$B,2,FALSE),0))</f>
        <v/>
      </c>
      <c r="Y65">
        <f>IF(Q65="P",0,IFNA(VLOOKUP(IF(C65="","(none)",C65),Hitter_Secondary_Coef!$A:$B,2,FALSE),0))</f>
        <v/>
      </c>
      <c r="Z65">
        <f>IF(Q65="P",IF(ISNUMBER(SEARCH("2F",H65)),IFNA(VLOOKUP("2F",Pitch_Coef!$A:$B,2,FALSE),0),0)+IF(ISNUMBER(SEARCH("4F",H65)),IFNA(VLOOKUP("4F",Pitch_Coef!$A:$B,2,FALSE),0),0)+IF(ISNUMBER(SEARCH("CB",H65)),IFNA(VLOOKUP("CB",Pitch_Coef!$A:$B,2,FALSE),0),0)+IF(ISNUMBER(SEARCH("CF",H65)),IFNA(VLOOKUP("CF",Pitch_Coef!$A:$B,2,FALSE),0),0)+IF(ISNUMBER(SEARCH("CH",H65)),IFNA(VLOOKUP("CH",Pitch_Coef!$A:$B,2,FALSE),0),0)+IF(ISNUMBER(SEARCH("FK",H65)),IFNA(VLOOKUP("FK",Pitch_Coef!$A:$B,2,FALSE),0),0)+IF(ISNUMBER(SEARCH("SB",H65)),IFNA(VLOOKUP("SB",Pitch_Coef!$A:$B,2,FALSE),0),0)+IF(ISNUMBER(SEARCH("SL",H65)),IFNA(VLOOKUP("SL",Pitch_Coef!$A:$B,2,FALSE),0),0),0)</f>
        <v/>
      </c>
      <c r="AA65">
        <f>IF(Q65="P",16.5944849573+0.2529999141*N65+0.2665900378*O65+0.2632687105*P65+0.0427586837*I65+0.0534777057*J65+0.009015832*K65+0.0204898106*(O65*P65/100)+1.0091022427*U65+1.0968542297*IF(D65="L",1,0)+0.3771555045*IF(D65="S",1,0)-0.2226159177*IF(E65="L",1,0)+1.21385024*R65-1.1652812274*S65+W65+X65+Z65,10.5965166711+0.2825983581*I65+0.2806503532*J65+0.2027213083*K65+0.1147824982*L65+0.0915305332*M65-0.0088454122*(I65*J65/100)-0.0336045706*(K65*L65/100)+2.8497389733*IF(D65="L",1,0)+4.5116226727*IF(D65="S",1,0)-0.6571546448*IF(E65="L",1,0)+0.0850728147*T65+0.0129488446*(T65*T65)+0.1909373936*IF(OR(F65="Utility",G65="Utility"),T65,0)+0.9656824071*R65-1.7517683256*S65+W65+X65+Y65)</f>
        <v/>
      </c>
      <c r="AB65">
        <f>LOOKUP(AA65,Grade_Scale!$A$2:$A$18,Grade_Scale!$B$2:$B$18)</f>
        <v/>
      </c>
      <c r="AC65">
        <f>LOOKUP(AA65,Grade_Scale!$A$2:$A$18,Grade_Scale!$C$2:$C$18)</f>
        <v/>
      </c>
      <c r="AE65">
        <f>IF(AD65="","",AB65-VLOOKUP(AD65,Grade_Scale!$C$2:$E$18,3,FALSE))</f>
        <v/>
      </c>
    </row>
    <row r="66">
      <c r="Q66">
        <f>IF(OR(B66="SP",B66="RP",B66="CP",B66="SP/RP"),"P","H")</f>
        <v/>
      </c>
      <c r="R66">
        <f>IF(F66="",0,IFNA(VLOOKUP(F66,Trait_Polarity!$A:$C,2,FALSE),0))+IF(G66="",0,IFNA(VLOOKUP(G66,Trait_Polarity!$A:$C,2,FALSE),0))</f>
        <v/>
      </c>
      <c r="S66">
        <f>IF(F66="",0,IFNA(VLOOKUP(F66,Trait_Polarity!$A:$C,3,FALSE),0))+IF(G66="",0,IFNA(VLOOKUP(G66,Trait_Polarity!$A:$C,3,FALSE),0))</f>
        <v/>
      </c>
      <c r="T66">
        <f>IF(Q66="P",0,IFNA(VLOOKUP(IF(C66="","(none)",C66),Secondary_Versatility!$A:$B,2,FALSE),0))</f>
        <v/>
      </c>
      <c r="U66">
        <f>IF(H66="",0,LEN(H66)-LEN(SUBSTITUTE(H66,"|",""))+1)</f>
        <v/>
      </c>
      <c r="V66">
        <f>IF(Q66="P",(N66+O66+P66)/3,0.3*I66+0.3*J66+0.2*K66+0.1*L66+0.1*M66)</f>
        <v/>
      </c>
      <c r="W66">
        <f>IF(Q66="P",IF(F66="",0,IFNA(VLOOKUP(F66,Pitcher_Trait_Coef!$A:$B,2,FALSE),0))+IF(G66="",0,IFNA(VLOOKUP(G66,Pitcher_Trait_Coef!$A:$B,2,FALSE),0)),IF(F66="",0,IFNA(VLOOKUP(F66,Hitter_Trait_Coef!$A:$B,2,FALSE),0))+IF(G66="",0,IFNA(VLOOKUP(G66,Hitter_Trait_Coef!$A:$B,2,FALSE),0)))</f>
        <v/>
      </c>
      <c r="X66">
        <f>IF(Q66="P",IFNA(VLOOKUP(B66,Pitcher_Primary_Coef!$A:$B,2,FALSE),0),IFNA(VLOOKUP(B66,Hitter_Primary_Coef!$A:$B,2,FALSE),0))</f>
        <v/>
      </c>
      <c r="Y66">
        <f>IF(Q66="P",0,IFNA(VLOOKUP(IF(C66="","(none)",C66),Hitter_Secondary_Coef!$A:$B,2,FALSE),0))</f>
        <v/>
      </c>
      <c r="Z66">
        <f>IF(Q66="P",IF(ISNUMBER(SEARCH("2F",H66)),IFNA(VLOOKUP("2F",Pitch_Coef!$A:$B,2,FALSE),0),0)+IF(ISNUMBER(SEARCH("4F",H66)),IFNA(VLOOKUP("4F",Pitch_Coef!$A:$B,2,FALSE),0),0)+IF(ISNUMBER(SEARCH("CB",H66)),IFNA(VLOOKUP("CB",Pitch_Coef!$A:$B,2,FALSE),0),0)+IF(ISNUMBER(SEARCH("CF",H66)),IFNA(VLOOKUP("CF",Pitch_Coef!$A:$B,2,FALSE),0),0)+IF(ISNUMBER(SEARCH("CH",H66)),IFNA(VLOOKUP("CH",Pitch_Coef!$A:$B,2,FALSE),0),0)+IF(ISNUMBER(SEARCH("FK",H66)),IFNA(VLOOKUP("FK",Pitch_Coef!$A:$B,2,FALSE),0),0)+IF(ISNUMBER(SEARCH("SB",H66)),IFNA(VLOOKUP("SB",Pitch_Coef!$A:$B,2,FALSE),0),0)+IF(ISNUMBER(SEARCH("SL",H66)),IFNA(VLOOKUP("SL",Pitch_Coef!$A:$B,2,FALSE),0),0),0)</f>
        <v/>
      </c>
      <c r="AA66">
        <f>IF(Q66="P",16.5944849573+0.2529999141*N66+0.2665900378*O66+0.2632687105*P66+0.0427586837*I66+0.0534777057*J66+0.009015832*K66+0.0204898106*(O66*P66/100)+1.0091022427*U66+1.0968542297*IF(D66="L",1,0)+0.3771555045*IF(D66="S",1,0)-0.2226159177*IF(E66="L",1,0)+1.21385024*R66-1.1652812274*S66+W66+X66+Z66,10.5965166711+0.2825983581*I66+0.2806503532*J66+0.2027213083*K66+0.1147824982*L66+0.0915305332*M66-0.0088454122*(I66*J66/100)-0.0336045706*(K66*L66/100)+2.8497389733*IF(D66="L",1,0)+4.5116226727*IF(D66="S",1,0)-0.6571546448*IF(E66="L",1,0)+0.0850728147*T66+0.0129488446*(T66*T66)+0.1909373936*IF(OR(F66="Utility",G66="Utility"),T66,0)+0.9656824071*R66-1.7517683256*S66+W66+X66+Y66)</f>
        <v/>
      </c>
      <c r="AB66">
        <f>LOOKUP(AA66,Grade_Scale!$A$2:$A$18,Grade_Scale!$B$2:$B$18)</f>
        <v/>
      </c>
      <c r="AC66">
        <f>LOOKUP(AA66,Grade_Scale!$A$2:$A$18,Grade_Scale!$C$2:$C$18)</f>
        <v/>
      </c>
      <c r="AE66">
        <f>IF(AD66="","",AB66-VLOOKUP(AD66,Grade_Scale!$C$2:$E$18,3,FALSE))</f>
        <v/>
      </c>
    </row>
    <row r="67">
      <c r="Q67">
        <f>IF(OR(B67="SP",B67="RP",B67="CP",B67="SP/RP"),"P","H")</f>
        <v/>
      </c>
      <c r="R67">
        <f>IF(F67="",0,IFNA(VLOOKUP(F67,Trait_Polarity!$A:$C,2,FALSE),0))+IF(G67="",0,IFNA(VLOOKUP(G67,Trait_Polarity!$A:$C,2,FALSE),0))</f>
        <v/>
      </c>
      <c r="S67">
        <f>IF(F67="",0,IFNA(VLOOKUP(F67,Trait_Polarity!$A:$C,3,FALSE),0))+IF(G67="",0,IFNA(VLOOKUP(G67,Trait_Polarity!$A:$C,3,FALSE),0))</f>
        <v/>
      </c>
      <c r="T67">
        <f>IF(Q67="P",0,IFNA(VLOOKUP(IF(C67="","(none)",C67),Secondary_Versatility!$A:$B,2,FALSE),0))</f>
        <v/>
      </c>
      <c r="U67">
        <f>IF(H67="",0,LEN(H67)-LEN(SUBSTITUTE(H67,"|",""))+1)</f>
        <v/>
      </c>
      <c r="V67">
        <f>IF(Q67="P",(N67+O67+P67)/3,0.3*I67+0.3*J67+0.2*K67+0.1*L67+0.1*M67)</f>
        <v/>
      </c>
      <c r="W67">
        <f>IF(Q67="P",IF(F67="",0,IFNA(VLOOKUP(F67,Pitcher_Trait_Coef!$A:$B,2,FALSE),0))+IF(G67="",0,IFNA(VLOOKUP(G67,Pitcher_Trait_Coef!$A:$B,2,FALSE),0)),IF(F67="",0,IFNA(VLOOKUP(F67,Hitter_Trait_Coef!$A:$B,2,FALSE),0))+IF(G67="",0,IFNA(VLOOKUP(G67,Hitter_Trait_Coef!$A:$B,2,FALSE),0)))</f>
        <v/>
      </c>
      <c r="X67">
        <f>IF(Q67="P",IFNA(VLOOKUP(B67,Pitcher_Primary_Coef!$A:$B,2,FALSE),0),IFNA(VLOOKUP(B67,Hitter_Primary_Coef!$A:$B,2,FALSE),0))</f>
        <v/>
      </c>
      <c r="Y67">
        <f>IF(Q67="P",0,IFNA(VLOOKUP(IF(C67="","(none)",C67),Hitter_Secondary_Coef!$A:$B,2,FALSE),0))</f>
        <v/>
      </c>
      <c r="Z67">
        <f>IF(Q67="P",IF(ISNUMBER(SEARCH("2F",H67)),IFNA(VLOOKUP("2F",Pitch_Coef!$A:$B,2,FALSE),0),0)+IF(ISNUMBER(SEARCH("4F",H67)),IFNA(VLOOKUP("4F",Pitch_Coef!$A:$B,2,FALSE),0),0)+IF(ISNUMBER(SEARCH("CB",H67)),IFNA(VLOOKUP("CB",Pitch_Coef!$A:$B,2,FALSE),0),0)+IF(ISNUMBER(SEARCH("CF",H67)),IFNA(VLOOKUP("CF",Pitch_Coef!$A:$B,2,FALSE),0),0)+IF(ISNUMBER(SEARCH("CH",H67)),IFNA(VLOOKUP("CH",Pitch_Coef!$A:$B,2,FALSE),0),0)+IF(ISNUMBER(SEARCH("FK",H67)),IFNA(VLOOKUP("FK",Pitch_Coef!$A:$B,2,FALSE),0),0)+IF(ISNUMBER(SEARCH("SB",H67)),IFNA(VLOOKUP("SB",Pitch_Coef!$A:$B,2,FALSE),0),0)+IF(ISNUMBER(SEARCH("SL",H67)),IFNA(VLOOKUP("SL",Pitch_Coef!$A:$B,2,FALSE),0),0),0)</f>
        <v/>
      </c>
      <c r="AA67">
        <f>IF(Q67="P",16.5944849573+0.2529999141*N67+0.2665900378*O67+0.2632687105*P67+0.0427586837*I67+0.0534777057*J67+0.009015832*K67+0.0204898106*(O67*P67/100)+1.0091022427*U67+1.0968542297*IF(D67="L",1,0)+0.3771555045*IF(D67="S",1,0)-0.2226159177*IF(E67="L",1,0)+1.21385024*R67-1.1652812274*S67+W67+X67+Z67,10.5965166711+0.2825983581*I67+0.2806503532*J67+0.2027213083*K67+0.1147824982*L67+0.0915305332*M67-0.0088454122*(I67*J67/100)-0.0336045706*(K67*L67/100)+2.8497389733*IF(D67="L",1,0)+4.5116226727*IF(D67="S",1,0)-0.6571546448*IF(E67="L",1,0)+0.0850728147*T67+0.0129488446*(T67*T67)+0.1909373936*IF(OR(F67="Utility",G67="Utility"),T67,0)+0.9656824071*R67-1.7517683256*S67+W67+X67+Y67)</f>
        <v/>
      </c>
      <c r="AB67">
        <f>LOOKUP(AA67,Grade_Scale!$A$2:$A$18,Grade_Scale!$B$2:$B$18)</f>
        <v/>
      </c>
      <c r="AC67">
        <f>LOOKUP(AA67,Grade_Scale!$A$2:$A$18,Grade_Scale!$C$2:$C$18)</f>
        <v/>
      </c>
      <c r="AE67">
        <f>IF(AD67="","",AB67-VLOOKUP(AD67,Grade_Scale!$C$2:$E$18,3,FALSE))</f>
        <v/>
      </c>
    </row>
    <row r="68">
      <c r="Q68">
        <f>IF(OR(B68="SP",B68="RP",B68="CP",B68="SP/RP"),"P","H")</f>
        <v/>
      </c>
      <c r="R68">
        <f>IF(F68="",0,IFNA(VLOOKUP(F68,Trait_Polarity!$A:$C,2,FALSE),0))+IF(G68="",0,IFNA(VLOOKUP(G68,Trait_Polarity!$A:$C,2,FALSE),0))</f>
        <v/>
      </c>
      <c r="S68">
        <f>IF(F68="",0,IFNA(VLOOKUP(F68,Trait_Polarity!$A:$C,3,FALSE),0))+IF(G68="",0,IFNA(VLOOKUP(G68,Trait_Polarity!$A:$C,3,FALSE),0))</f>
        <v/>
      </c>
      <c r="T68">
        <f>IF(Q68="P",0,IFNA(VLOOKUP(IF(C68="","(none)",C68),Secondary_Versatility!$A:$B,2,FALSE),0))</f>
        <v/>
      </c>
      <c r="U68">
        <f>IF(H68="",0,LEN(H68)-LEN(SUBSTITUTE(H68,"|",""))+1)</f>
        <v/>
      </c>
      <c r="V68">
        <f>IF(Q68="P",(N68+O68+P68)/3,0.3*I68+0.3*J68+0.2*K68+0.1*L68+0.1*M68)</f>
        <v/>
      </c>
      <c r="W68">
        <f>IF(Q68="P",IF(F68="",0,IFNA(VLOOKUP(F68,Pitcher_Trait_Coef!$A:$B,2,FALSE),0))+IF(G68="",0,IFNA(VLOOKUP(G68,Pitcher_Trait_Coef!$A:$B,2,FALSE),0)),IF(F68="",0,IFNA(VLOOKUP(F68,Hitter_Trait_Coef!$A:$B,2,FALSE),0))+IF(G68="",0,IFNA(VLOOKUP(G68,Hitter_Trait_Coef!$A:$B,2,FALSE),0)))</f>
        <v/>
      </c>
      <c r="X68">
        <f>IF(Q68="P",IFNA(VLOOKUP(B68,Pitcher_Primary_Coef!$A:$B,2,FALSE),0),IFNA(VLOOKUP(B68,Hitter_Primary_Coef!$A:$B,2,FALSE),0))</f>
        <v/>
      </c>
      <c r="Y68">
        <f>IF(Q68="P",0,IFNA(VLOOKUP(IF(C68="","(none)",C68),Hitter_Secondary_Coef!$A:$B,2,FALSE),0))</f>
        <v/>
      </c>
      <c r="Z68">
        <f>IF(Q68="P",IF(ISNUMBER(SEARCH("2F",H68)),IFNA(VLOOKUP("2F",Pitch_Coef!$A:$B,2,FALSE),0),0)+IF(ISNUMBER(SEARCH("4F",H68)),IFNA(VLOOKUP("4F",Pitch_Coef!$A:$B,2,FALSE),0),0)+IF(ISNUMBER(SEARCH("CB",H68)),IFNA(VLOOKUP("CB",Pitch_Coef!$A:$B,2,FALSE),0),0)+IF(ISNUMBER(SEARCH("CF",H68)),IFNA(VLOOKUP("CF",Pitch_Coef!$A:$B,2,FALSE),0),0)+IF(ISNUMBER(SEARCH("CH",H68)),IFNA(VLOOKUP("CH",Pitch_Coef!$A:$B,2,FALSE),0),0)+IF(ISNUMBER(SEARCH("FK",H68)),IFNA(VLOOKUP("FK",Pitch_Coef!$A:$B,2,FALSE),0),0)+IF(ISNUMBER(SEARCH("SB",H68)),IFNA(VLOOKUP("SB",Pitch_Coef!$A:$B,2,FALSE),0),0)+IF(ISNUMBER(SEARCH("SL",H68)),IFNA(VLOOKUP("SL",Pitch_Coef!$A:$B,2,FALSE),0),0),0)</f>
        <v/>
      </c>
      <c r="AA68">
        <f>IF(Q68="P",16.5944849573+0.2529999141*N68+0.2665900378*O68+0.2632687105*P68+0.0427586837*I68+0.0534777057*J68+0.009015832*K68+0.0204898106*(O68*P68/100)+1.0091022427*U68+1.0968542297*IF(D68="L",1,0)+0.3771555045*IF(D68="S",1,0)-0.2226159177*IF(E68="L",1,0)+1.21385024*R68-1.1652812274*S68+W68+X68+Z68,10.5965166711+0.2825983581*I68+0.2806503532*J68+0.2027213083*K68+0.1147824982*L68+0.0915305332*M68-0.0088454122*(I68*J68/100)-0.0336045706*(K68*L68/100)+2.8497389733*IF(D68="L",1,0)+4.5116226727*IF(D68="S",1,0)-0.6571546448*IF(E68="L",1,0)+0.0850728147*T68+0.0129488446*(T68*T68)+0.1909373936*IF(OR(F68="Utility",G68="Utility"),T68,0)+0.9656824071*R68-1.7517683256*S68+W68+X68+Y68)</f>
        <v/>
      </c>
      <c r="AB68">
        <f>LOOKUP(AA68,Grade_Scale!$A$2:$A$18,Grade_Scale!$B$2:$B$18)</f>
        <v/>
      </c>
      <c r="AC68">
        <f>LOOKUP(AA68,Grade_Scale!$A$2:$A$18,Grade_Scale!$C$2:$C$18)</f>
        <v/>
      </c>
      <c r="AE68">
        <f>IF(AD68="","",AB68-VLOOKUP(AD68,Grade_Scale!$C$2:$E$18,3,FALSE))</f>
        <v/>
      </c>
    </row>
    <row r="69">
      <c r="Q69">
        <f>IF(OR(B69="SP",B69="RP",B69="CP",B69="SP/RP"),"P","H")</f>
        <v/>
      </c>
      <c r="R69">
        <f>IF(F69="",0,IFNA(VLOOKUP(F69,Trait_Polarity!$A:$C,2,FALSE),0))+IF(G69="",0,IFNA(VLOOKUP(G69,Trait_Polarity!$A:$C,2,FALSE),0))</f>
        <v/>
      </c>
      <c r="S69">
        <f>IF(F69="",0,IFNA(VLOOKUP(F69,Trait_Polarity!$A:$C,3,FALSE),0))+IF(G69="",0,IFNA(VLOOKUP(G69,Trait_Polarity!$A:$C,3,FALSE),0))</f>
        <v/>
      </c>
      <c r="T69">
        <f>IF(Q69="P",0,IFNA(VLOOKUP(IF(C69="","(none)",C69),Secondary_Versatility!$A:$B,2,FALSE),0))</f>
        <v/>
      </c>
      <c r="U69">
        <f>IF(H69="",0,LEN(H69)-LEN(SUBSTITUTE(H69,"|",""))+1)</f>
        <v/>
      </c>
      <c r="V69">
        <f>IF(Q69="P",(N69+O69+P69)/3,0.3*I69+0.3*J69+0.2*K69+0.1*L69+0.1*M69)</f>
        <v/>
      </c>
      <c r="W69">
        <f>IF(Q69="P",IF(F69="",0,IFNA(VLOOKUP(F69,Pitcher_Trait_Coef!$A:$B,2,FALSE),0))+IF(G69="",0,IFNA(VLOOKUP(G69,Pitcher_Trait_Coef!$A:$B,2,FALSE),0)),IF(F69="",0,IFNA(VLOOKUP(F69,Hitter_Trait_Coef!$A:$B,2,FALSE),0))+IF(G69="",0,IFNA(VLOOKUP(G69,Hitter_Trait_Coef!$A:$B,2,FALSE),0)))</f>
        <v/>
      </c>
      <c r="X69">
        <f>IF(Q69="P",IFNA(VLOOKUP(B69,Pitcher_Primary_Coef!$A:$B,2,FALSE),0),IFNA(VLOOKUP(B69,Hitter_Primary_Coef!$A:$B,2,FALSE),0))</f>
        <v/>
      </c>
      <c r="Y69">
        <f>IF(Q69="P",0,IFNA(VLOOKUP(IF(C69="","(none)",C69),Hitter_Secondary_Coef!$A:$B,2,FALSE),0))</f>
        <v/>
      </c>
      <c r="Z69">
        <f>IF(Q69="P",IF(ISNUMBER(SEARCH("2F",H69)),IFNA(VLOOKUP("2F",Pitch_Coef!$A:$B,2,FALSE),0),0)+IF(ISNUMBER(SEARCH("4F",H69)),IFNA(VLOOKUP("4F",Pitch_Coef!$A:$B,2,FALSE),0),0)+IF(ISNUMBER(SEARCH("CB",H69)),IFNA(VLOOKUP("CB",Pitch_Coef!$A:$B,2,FALSE),0),0)+IF(ISNUMBER(SEARCH("CF",H69)),IFNA(VLOOKUP("CF",Pitch_Coef!$A:$B,2,FALSE),0),0)+IF(ISNUMBER(SEARCH("CH",H69)),IFNA(VLOOKUP("CH",Pitch_Coef!$A:$B,2,FALSE),0),0)+IF(ISNUMBER(SEARCH("FK",H69)),IFNA(VLOOKUP("FK",Pitch_Coef!$A:$B,2,FALSE),0),0)+IF(ISNUMBER(SEARCH("SB",H69)),IFNA(VLOOKUP("SB",Pitch_Coef!$A:$B,2,FALSE),0),0)+IF(ISNUMBER(SEARCH("SL",H69)),IFNA(VLOOKUP("SL",Pitch_Coef!$A:$B,2,FALSE),0),0),0)</f>
        <v/>
      </c>
      <c r="AA69">
        <f>IF(Q69="P",16.5944849573+0.2529999141*N69+0.2665900378*O69+0.2632687105*P69+0.0427586837*I69+0.0534777057*J69+0.009015832*K69+0.0204898106*(O69*P69/100)+1.0091022427*U69+1.0968542297*IF(D69="L",1,0)+0.3771555045*IF(D69="S",1,0)-0.2226159177*IF(E69="L",1,0)+1.21385024*R69-1.1652812274*S69+W69+X69+Z69,10.5965166711+0.2825983581*I69+0.2806503532*J69+0.2027213083*K69+0.1147824982*L69+0.0915305332*M69-0.0088454122*(I69*J69/100)-0.0336045706*(K69*L69/100)+2.8497389733*IF(D69="L",1,0)+4.5116226727*IF(D69="S",1,0)-0.6571546448*IF(E69="L",1,0)+0.0850728147*T69+0.0129488446*(T69*T69)+0.1909373936*IF(OR(F69="Utility",G69="Utility"),T69,0)+0.9656824071*R69-1.7517683256*S69+W69+X69+Y69)</f>
        <v/>
      </c>
      <c r="AB69">
        <f>LOOKUP(AA69,Grade_Scale!$A$2:$A$18,Grade_Scale!$B$2:$B$18)</f>
        <v/>
      </c>
      <c r="AC69">
        <f>LOOKUP(AA69,Grade_Scale!$A$2:$A$18,Grade_Scale!$C$2:$C$18)</f>
        <v/>
      </c>
      <c r="AE69">
        <f>IF(AD69="","",AB69-VLOOKUP(AD69,Grade_Scale!$C$2:$E$18,3,FALSE))</f>
        <v/>
      </c>
    </row>
    <row r="70">
      <c r="Q70">
        <f>IF(OR(B70="SP",B70="RP",B70="CP",B70="SP/RP"),"P","H")</f>
        <v/>
      </c>
      <c r="R70">
        <f>IF(F70="",0,IFNA(VLOOKUP(F70,Trait_Polarity!$A:$C,2,FALSE),0))+IF(G70="",0,IFNA(VLOOKUP(G70,Trait_Polarity!$A:$C,2,FALSE),0))</f>
        <v/>
      </c>
      <c r="S70">
        <f>IF(F70="",0,IFNA(VLOOKUP(F70,Trait_Polarity!$A:$C,3,FALSE),0))+IF(G70="",0,IFNA(VLOOKUP(G70,Trait_Polarity!$A:$C,3,FALSE),0))</f>
        <v/>
      </c>
      <c r="T70">
        <f>IF(Q70="P",0,IFNA(VLOOKUP(IF(C70="","(none)",C70),Secondary_Versatility!$A:$B,2,FALSE),0))</f>
        <v/>
      </c>
      <c r="U70">
        <f>IF(H70="",0,LEN(H70)-LEN(SUBSTITUTE(H70,"|",""))+1)</f>
        <v/>
      </c>
      <c r="V70">
        <f>IF(Q70="P",(N70+O70+P70)/3,0.3*I70+0.3*J70+0.2*K70+0.1*L70+0.1*M70)</f>
        <v/>
      </c>
      <c r="W70">
        <f>IF(Q70="P",IF(F70="",0,IFNA(VLOOKUP(F70,Pitcher_Trait_Coef!$A:$B,2,FALSE),0))+IF(G70="",0,IFNA(VLOOKUP(G70,Pitcher_Trait_Coef!$A:$B,2,FALSE),0)),IF(F70="",0,IFNA(VLOOKUP(F70,Hitter_Trait_Coef!$A:$B,2,FALSE),0))+IF(G70="",0,IFNA(VLOOKUP(G70,Hitter_Trait_Coef!$A:$B,2,FALSE),0)))</f>
        <v/>
      </c>
      <c r="X70">
        <f>IF(Q70="P",IFNA(VLOOKUP(B70,Pitcher_Primary_Coef!$A:$B,2,FALSE),0),IFNA(VLOOKUP(B70,Hitter_Primary_Coef!$A:$B,2,FALSE),0))</f>
        <v/>
      </c>
      <c r="Y70">
        <f>IF(Q70="P",0,IFNA(VLOOKUP(IF(C70="","(none)",C70),Hitter_Secondary_Coef!$A:$B,2,FALSE),0))</f>
        <v/>
      </c>
      <c r="Z70">
        <f>IF(Q70="P",IF(ISNUMBER(SEARCH("2F",H70)),IFNA(VLOOKUP("2F",Pitch_Coef!$A:$B,2,FALSE),0),0)+IF(ISNUMBER(SEARCH("4F",H70)),IFNA(VLOOKUP("4F",Pitch_Coef!$A:$B,2,FALSE),0),0)+IF(ISNUMBER(SEARCH("CB",H70)),IFNA(VLOOKUP("CB",Pitch_Coef!$A:$B,2,FALSE),0),0)+IF(ISNUMBER(SEARCH("CF",H70)),IFNA(VLOOKUP("CF",Pitch_Coef!$A:$B,2,FALSE),0),0)+IF(ISNUMBER(SEARCH("CH",H70)),IFNA(VLOOKUP("CH",Pitch_Coef!$A:$B,2,FALSE),0),0)+IF(ISNUMBER(SEARCH("FK",H70)),IFNA(VLOOKUP("FK",Pitch_Coef!$A:$B,2,FALSE),0),0)+IF(ISNUMBER(SEARCH("SB",H70)),IFNA(VLOOKUP("SB",Pitch_Coef!$A:$B,2,FALSE),0),0)+IF(ISNUMBER(SEARCH("SL",H70)),IFNA(VLOOKUP("SL",Pitch_Coef!$A:$B,2,FALSE),0),0),0)</f>
        <v/>
      </c>
      <c r="AA70">
        <f>IF(Q70="P",16.5944849573+0.2529999141*N70+0.2665900378*O70+0.2632687105*P70+0.0427586837*I70+0.0534777057*J70+0.009015832*K70+0.0204898106*(O70*P70/100)+1.0091022427*U70+1.0968542297*IF(D70="L",1,0)+0.3771555045*IF(D70="S",1,0)-0.2226159177*IF(E70="L",1,0)+1.21385024*R70-1.1652812274*S70+W70+X70+Z70,10.5965166711+0.2825983581*I70+0.2806503532*J70+0.2027213083*K70+0.1147824982*L70+0.0915305332*M70-0.0088454122*(I70*J70/100)-0.0336045706*(K70*L70/100)+2.8497389733*IF(D70="L",1,0)+4.5116226727*IF(D70="S",1,0)-0.6571546448*IF(E70="L",1,0)+0.0850728147*T70+0.0129488446*(T70*T70)+0.1909373936*IF(OR(F70="Utility",G70="Utility"),T70,0)+0.9656824071*R70-1.7517683256*S70+W70+X70+Y70)</f>
        <v/>
      </c>
      <c r="AB70">
        <f>LOOKUP(AA70,Grade_Scale!$A$2:$A$18,Grade_Scale!$B$2:$B$18)</f>
        <v/>
      </c>
      <c r="AC70">
        <f>LOOKUP(AA70,Grade_Scale!$A$2:$A$18,Grade_Scale!$C$2:$C$18)</f>
        <v/>
      </c>
      <c r="AE70">
        <f>IF(AD70="","",AB70-VLOOKUP(AD70,Grade_Scale!$C$2:$E$18,3,FALSE))</f>
        <v/>
      </c>
    </row>
    <row r="71">
      <c r="Q71">
        <f>IF(OR(B71="SP",B71="RP",B71="CP",B71="SP/RP"),"P","H")</f>
        <v/>
      </c>
      <c r="R71">
        <f>IF(F71="",0,IFNA(VLOOKUP(F71,Trait_Polarity!$A:$C,2,FALSE),0))+IF(G71="",0,IFNA(VLOOKUP(G71,Trait_Polarity!$A:$C,2,FALSE),0))</f>
        <v/>
      </c>
      <c r="S71">
        <f>IF(F71="",0,IFNA(VLOOKUP(F71,Trait_Polarity!$A:$C,3,FALSE),0))+IF(G71="",0,IFNA(VLOOKUP(G71,Trait_Polarity!$A:$C,3,FALSE),0))</f>
        <v/>
      </c>
      <c r="T71">
        <f>IF(Q71="P",0,IFNA(VLOOKUP(IF(C71="","(none)",C71),Secondary_Versatility!$A:$B,2,FALSE),0))</f>
        <v/>
      </c>
      <c r="U71">
        <f>IF(H71="",0,LEN(H71)-LEN(SUBSTITUTE(H71,"|",""))+1)</f>
        <v/>
      </c>
      <c r="V71">
        <f>IF(Q71="P",(N71+O71+P71)/3,0.3*I71+0.3*J71+0.2*K71+0.1*L71+0.1*M71)</f>
        <v/>
      </c>
      <c r="W71">
        <f>IF(Q71="P",IF(F71="",0,IFNA(VLOOKUP(F71,Pitcher_Trait_Coef!$A:$B,2,FALSE),0))+IF(G71="",0,IFNA(VLOOKUP(G71,Pitcher_Trait_Coef!$A:$B,2,FALSE),0)),IF(F71="",0,IFNA(VLOOKUP(F71,Hitter_Trait_Coef!$A:$B,2,FALSE),0))+IF(G71="",0,IFNA(VLOOKUP(G71,Hitter_Trait_Coef!$A:$B,2,FALSE),0)))</f>
        <v/>
      </c>
      <c r="X71">
        <f>IF(Q71="P",IFNA(VLOOKUP(B71,Pitcher_Primary_Coef!$A:$B,2,FALSE),0),IFNA(VLOOKUP(B71,Hitter_Primary_Coef!$A:$B,2,FALSE),0))</f>
        <v/>
      </c>
      <c r="Y71">
        <f>IF(Q71="P",0,IFNA(VLOOKUP(IF(C71="","(none)",C71),Hitter_Secondary_Coef!$A:$B,2,FALSE),0))</f>
        <v/>
      </c>
      <c r="Z71">
        <f>IF(Q71="P",IF(ISNUMBER(SEARCH("2F",H71)),IFNA(VLOOKUP("2F",Pitch_Coef!$A:$B,2,FALSE),0),0)+IF(ISNUMBER(SEARCH("4F",H71)),IFNA(VLOOKUP("4F",Pitch_Coef!$A:$B,2,FALSE),0),0)+IF(ISNUMBER(SEARCH("CB",H71)),IFNA(VLOOKUP("CB",Pitch_Coef!$A:$B,2,FALSE),0),0)+IF(ISNUMBER(SEARCH("CF",H71)),IFNA(VLOOKUP("CF",Pitch_Coef!$A:$B,2,FALSE),0),0)+IF(ISNUMBER(SEARCH("CH",H71)),IFNA(VLOOKUP("CH",Pitch_Coef!$A:$B,2,FALSE),0),0)+IF(ISNUMBER(SEARCH("FK",H71)),IFNA(VLOOKUP("FK",Pitch_Coef!$A:$B,2,FALSE),0),0)+IF(ISNUMBER(SEARCH("SB",H71)),IFNA(VLOOKUP("SB",Pitch_Coef!$A:$B,2,FALSE),0),0)+IF(ISNUMBER(SEARCH("SL",H71)),IFNA(VLOOKUP("SL",Pitch_Coef!$A:$B,2,FALSE),0),0),0)</f>
        <v/>
      </c>
      <c r="AA71">
        <f>IF(Q71="P",16.5944849573+0.2529999141*N71+0.2665900378*O71+0.2632687105*P71+0.0427586837*I71+0.0534777057*J71+0.009015832*K71+0.0204898106*(O71*P71/100)+1.0091022427*U71+1.0968542297*IF(D71="L",1,0)+0.3771555045*IF(D71="S",1,0)-0.2226159177*IF(E71="L",1,0)+1.21385024*R71-1.1652812274*S71+W71+X71+Z71,10.5965166711+0.2825983581*I71+0.2806503532*J71+0.2027213083*K71+0.1147824982*L71+0.0915305332*M71-0.0088454122*(I71*J71/100)-0.0336045706*(K71*L71/100)+2.8497389733*IF(D71="L",1,0)+4.5116226727*IF(D71="S",1,0)-0.6571546448*IF(E71="L",1,0)+0.0850728147*T71+0.0129488446*(T71*T71)+0.1909373936*IF(OR(F71="Utility",G71="Utility"),T71,0)+0.9656824071*R71-1.7517683256*S71+W71+X71+Y71)</f>
        <v/>
      </c>
      <c r="AB71">
        <f>LOOKUP(AA71,Grade_Scale!$A$2:$A$18,Grade_Scale!$B$2:$B$18)</f>
        <v/>
      </c>
      <c r="AC71">
        <f>LOOKUP(AA71,Grade_Scale!$A$2:$A$18,Grade_Scale!$C$2:$C$18)</f>
        <v/>
      </c>
      <c r="AE71">
        <f>IF(AD71="","",AB71-VLOOKUP(AD71,Grade_Scale!$C$2:$E$18,3,FALSE))</f>
        <v/>
      </c>
    </row>
    <row r="72">
      <c r="Q72">
        <f>IF(OR(B72="SP",B72="RP",B72="CP",B72="SP/RP"),"P","H")</f>
        <v/>
      </c>
      <c r="R72">
        <f>IF(F72="",0,IFNA(VLOOKUP(F72,Trait_Polarity!$A:$C,2,FALSE),0))+IF(G72="",0,IFNA(VLOOKUP(G72,Trait_Polarity!$A:$C,2,FALSE),0))</f>
        <v/>
      </c>
      <c r="S72">
        <f>IF(F72="",0,IFNA(VLOOKUP(F72,Trait_Polarity!$A:$C,3,FALSE),0))+IF(G72="",0,IFNA(VLOOKUP(G72,Trait_Polarity!$A:$C,3,FALSE),0))</f>
        <v/>
      </c>
      <c r="T72">
        <f>IF(Q72="P",0,IFNA(VLOOKUP(IF(C72="","(none)",C72),Secondary_Versatility!$A:$B,2,FALSE),0))</f>
        <v/>
      </c>
      <c r="U72">
        <f>IF(H72="",0,LEN(H72)-LEN(SUBSTITUTE(H72,"|",""))+1)</f>
        <v/>
      </c>
      <c r="V72">
        <f>IF(Q72="P",(N72+O72+P72)/3,0.3*I72+0.3*J72+0.2*K72+0.1*L72+0.1*M72)</f>
        <v/>
      </c>
      <c r="W72">
        <f>IF(Q72="P",IF(F72="",0,IFNA(VLOOKUP(F72,Pitcher_Trait_Coef!$A:$B,2,FALSE),0))+IF(G72="",0,IFNA(VLOOKUP(G72,Pitcher_Trait_Coef!$A:$B,2,FALSE),0)),IF(F72="",0,IFNA(VLOOKUP(F72,Hitter_Trait_Coef!$A:$B,2,FALSE),0))+IF(G72="",0,IFNA(VLOOKUP(G72,Hitter_Trait_Coef!$A:$B,2,FALSE),0)))</f>
        <v/>
      </c>
      <c r="X72">
        <f>IF(Q72="P",IFNA(VLOOKUP(B72,Pitcher_Primary_Coef!$A:$B,2,FALSE),0),IFNA(VLOOKUP(B72,Hitter_Primary_Coef!$A:$B,2,FALSE),0))</f>
        <v/>
      </c>
      <c r="Y72">
        <f>IF(Q72="P",0,IFNA(VLOOKUP(IF(C72="","(none)",C72),Hitter_Secondary_Coef!$A:$B,2,FALSE),0))</f>
        <v/>
      </c>
      <c r="Z72">
        <f>IF(Q72="P",IF(ISNUMBER(SEARCH("2F",H72)),IFNA(VLOOKUP("2F",Pitch_Coef!$A:$B,2,FALSE),0),0)+IF(ISNUMBER(SEARCH("4F",H72)),IFNA(VLOOKUP("4F",Pitch_Coef!$A:$B,2,FALSE),0),0)+IF(ISNUMBER(SEARCH("CB",H72)),IFNA(VLOOKUP("CB",Pitch_Coef!$A:$B,2,FALSE),0),0)+IF(ISNUMBER(SEARCH("CF",H72)),IFNA(VLOOKUP("CF",Pitch_Coef!$A:$B,2,FALSE),0),0)+IF(ISNUMBER(SEARCH("CH",H72)),IFNA(VLOOKUP("CH",Pitch_Coef!$A:$B,2,FALSE),0),0)+IF(ISNUMBER(SEARCH("FK",H72)),IFNA(VLOOKUP("FK",Pitch_Coef!$A:$B,2,FALSE),0),0)+IF(ISNUMBER(SEARCH("SB",H72)),IFNA(VLOOKUP("SB",Pitch_Coef!$A:$B,2,FALSE),0),0)+IF(ISNUMBER(SEARCH("SL",H72)),IFNA(VLOOKUP("SL",Pitch_Coef!$A:$B,2,FALSE),0),0),0)</f>
        <v/>
      </c>
      <c r="AA72">
        <f>IF(Q72="P",16.5944849573+0.2529999141*N72+0.2665900378*O72+0.2632687105*P72+0.0427586837*I72+0.0534777057*J72+0.009015832*K72+0.0204898106*(O72*P72/100)+1.0091022427*U72+1.0968542297*IF(D72="L",1,0)+0.3771555045*IF(D72="S",1,0)-0.2226159177*IF(E72="L",1,0)+1.21385024*R72-1.1652812274*S72+W72+X72+Z72,10.5965166711+0.2825983581*I72+0.2806503532*J72+0.2027213083*K72+0.1147824982*L72+0.0915305332*M72-0.0088454122*(I72*J72/100)-0.0336045706*(K72*L72/100)+2.8497389733*IF(D72="L",1,0)+4.5116226727*IF(D72="S",1,0)-0.6571546448*IF(E72="L",1,0)+0.0850728147*T72+0.0129488446*(T72*T72)+0.1909373936*IF(OR(F72="Utility",G72="Utility"),T72,0)+0.9656824071*R72-1.7517683256*S72+W72+X72+Y72)</f>
        <v/>
      </c>
      <c r="AB72">
        <f>LOOKUP(AA72,Grade_Scale!$A$2:$A$18,Grade_Scale!$B$2:$B$18)</f>
        <v/>
      </c>
      <c r="AC72">
        <f>LOOKUP(AA72,Grade_Scale!$A$2:$A$18,Grade_Scale!$C$2:$C$18)</f>
        <v/>
      </c>
      <c r="AE72">
        <f>IF(AD72="","",AB72-VLOOKUP(AD72,Grade_Scale!$C$2:$E$18,3,FALSE))</f>
        <v/>
      </c>
    </row>
    <row r="73">
      <c r="Q73">
        <f>IF(OR(B73="SP",B73="RP",B73="CP",B73="SP/RP"),"P","H")</f>
        <v/>
      </c>
      <c r="R73">
        <f>IF(F73="",0,IFNA(VLOOKUP(F73,Trait_Polarity!$A:$C,2,FALSE),0))+IF(G73="",0,IFNA(VLOOKUP(G73,Trait_Polarity!$A:$C,2,FALSE),0))</f>
        <v/>
      </c>
      <c r="S73">
        <f>IF(F73="",0,IFNA(VLOOKUP(F73,Trait_Polarity!$A:$C,3,FALSE),0))+IF(G73="",0,IFNA(VLOOKUP(G73,Trait_Polarity!$A:$C,3,FALSE),0))</f>
        <v/>
      </c>
      <c r="T73">
        <f>IF(Q73="P",0,IFNA(VLOOKUP(IF(C73="","(none)",C73),Secondary_Versatility!$A:$B,2,FALSE),0))</f>
        <v/>
      </c>
      <c r="U73">
        <f>IF(H73="",0,LEN(H73)-LEN(SUBSTITUTE(H73,"|",""))+1)</f>
        <v/>
      </c>
      <c r="V73">
        <f>IF(Q73="P",(N73+O73+P73)/3,0.3*I73+0.3*J73+0.2*K73+0.1*L73+0.1*M73)</f>
        <v/>
      </c>
      <c r="W73">
        <f>IF(Q73="P",IF(F73="",0,IFNA(VLOOKUP(F73,Pitcher_Trait_Coef!$A:$B,2,FALSE),0))+IF(G73="",0,IFNA(VLOOKUP(G73,Pitcher_Trait_Coef!$A:$B,2,FALSE),0)),IF(F73="",0,IFNA(VLOOKUP(F73,Hitter_Trait_Coef!$A:$B,2,FALSE),0))+IF(G73="",0,IFNA(VLOOKUP(G73,Hitter_Trait_Coef!$A:$B,2,FALSE),0)))</f>
        <v/>
      </c>
      <c r="X73">
        <f>IF(Q73="P",IFNA(VLOOKUP(B73,Pitcher_Primary_Coef!$A:$B,2,FALSE),0),IFNA(VLOOKUP(B73,Hitter_Primary_Coef!$A:$B,2,FALSE),0))</f>
        <v/>
      </c>
      <c r="Y73">
        <f>IF(Q73="P",0,IFNA(VLOOKUP(IF(C73="","(none)",C73),Hitter_Secondary_Coef!$A:$B,2,FALSE),0))</f>
        <v/>
      </c>
      <c r="Z73">
        <f>IF(Q73="P",IF(ISNUMBER(SEARCH("2F",H73)),IFNA(VLOOKUP("2F",Pitch_Coef!$A:$B,2,FALSE),0),0)+IF(ISNUMBER(SEARCH("4F",H73)),IFNA(VLOOKUP("4F",Pitch_Coef!$A:$B,2,FALSE),0),0)+IF(ISNUMBER(SEARCH("CB",H73)),IFNA(VLOOKUP("CB",Pitch_Coef!$A:$B,2,FALSE),0),0)+IF(ISNUMBER(SEARCH("CF",H73)),IFNA(VLOOKUP("CF",Pitch_Coef!$A:$B,2,FALSE),0),0)+IF(ISNUMBER(SEARCH("CH",H73)),IFNA(VLOOKUP("CH",Pitch_Coef!$A:$B,2,FALSE),0),0)+IF(ISNUMBER(SEARCH("FK",H73)),IFNA(VLOOKUP("FK",Pitch_Coef!$A:$B,2,FALSE),0),0)+IF(ISNUMBER(SEARCH("SB",H73)),IFNA(VLOOKUP("SB",Pitch_Coef!$A:$B,2,FALSE),0),0)+IF(ISNUMBER(SEARCH("SL",H73)),IFNA(VLOOKUP("SL",Pitch_Coef!$A:$B,2,FALSE),0),0),0)</f>
        <v/>
      </c>
      <c r="AA73">
        <f>IF(Q73="P",16.5944849573+0.2529999141*N73+0.2665900378*O73+0.2632687105*P73+0.0427586837*I73+0.0534777057*J73+0.009015832*K73+0.0204898106*(O73*P73/100)+1.0091022427*U73+1.0968542297*IF(D73="L",1,0)+0.3771555045*IF(D73="S",1,0)-0.2226159177*IF(E73="L",1,0)+1.21385024*R73-1.1652812274*S73+W73+X73+Z73,10.5965166711+0.2825983581*I73+0.2806503532*J73+0.2027213083*K73+0.1147824982*L73+0.0915305332*M73-0.0088454122*(I73*J73/100)-0.0336045706*(K73*L73/100)+2.8497389733*IF(D73="L",1,0)+4.5116226727*IF(D73="S",1,0)-0.6571546448*IF(E73="L",1,0)+0.0850728147*T73+0.0129488446*(T73*T73)+0.1909373936*IF(OR(F73="Utility",G73="Utility"),T73,0)+0.9656824071*R73-1.7517683256*S73+W73+X73+Y73)</f>
        <v/>
      </c>
      <c r="AB73">
        <f>LOOKUP(AA73,Grade_Scale!$A$2:$A$18,Grade_Scale!$B$2:$B$18)</f>
        <v/>
      </c>
      <c r="AC73">
        <f>LOOKUP(AA73,Grade_Scale!$A$2:$A$18,Grade_Scale!$C$2:$C$18)</f>
        <v/>
      </c>
      <c r="AE73">
        <f>IF(AD73="","",AB73-VLOOKUP(AD73,Grade_Scale!$C$2:$E$18,3,FALSE))</f>
        <v/>
      </c>
    </row>
    <row r="74">
      <c r="Q74">
        <f>IF(OR(B74="SP",B74="RP",B74="CP",B74="SP/RP"),"P","H")</f>
        <v/>
      </c>
      <c r="R74">
        <f>IF(F74="",0,IFNA(VLOOKUP(F74,Trait_Polarity!$A:$C,2,FALSE),0))+IF(G74="",0,IFNA(VLOOKUP(G74,Trait_Polarity!$A:$C,2,FALSE),0))</f>
        <v/>
      </c>
      <c r="S74">
        <f>IF(F74="",0,IFNA(VLOOKUP(F74,Trait_Polarity!$A:$C,3,FALSE),0))+IF(G74="",0,IFNA(VLOOKUP(G74,Trait_Polarity!$A:$C,3,FALSE),0))</f>
        <v/>
      </c>
      <c r="T74">
        <f>IF(Q74="P",0,IFNA(VLOOKUP(IF(C74="","(none)",C74),Secondary_Versatility!$A:$B,2,FALSE),0))</f>
        <v/>
      </c>
      <c r="U74">
        <f>IF(H74="",0,LEN(H74)-LEN(SUBSTITUTE(H74,"|",""))+1)</f>
        <v/>
      </c>
      <c r="V74">
        <f>IF(Q74="P",(N74+O74+P74)/3,0.3*I74+0.3*J74+0.2*K74+0.1*L74+0.1*M74)</f>
        <v/>
      </c>
      <c r="W74">
        <f>IF(Q74="P",IF(F74="",0,IFNA(VLOOKUP(F74,Pitcher_Trait_Coef!$A:$B,2,FALSE),0))+IF(G74="",0,IFNA(VLOOKUP(G74,Pitcher_Trait_Coef!$A:$B,2,FALSE),0)),IF(F74="",0,IFNA(VLOOKUP(F74,Hitter_Trait_Coef!$A:$B,2,FALSE),0))+IF(G74="",0,IFNA(VLOOKUP(G74,Hitter_Trait_Coef!$A:$B,2,FALSE),0)))</f>
        <v/>
      </c>
      <c r="X74">
        <f>IF(Q74="P",IFNA(VLOOKUP(B74,Pitcher_Primary_Coef!$A:$B,2,FALSE),0),IFNA(VLOOKUP(B74,Hitter_Primary_Coef!$A:$B,2,FALSE),0))</f>
        <v/>
      </c>
      <c r="Y74">
        <f>IF(Q74="P",0,IFNA(VLOOKUP(IF(C74="","(none)",C74),Hitter_Secondary_Coef!$A:$B,2,FALSE),0))</f>
        <v/>
      </c>
      <c r="Z74">
        <f>IF(Q74="P",IF(ISNUMBER(SEARCH("2F",H74)),IFNA(VLOOKUP("2F",Pitch_Coef!$A:$B,2,FALSE),0),0)+IF(ISNUMBER(SEARCH("4F",H74)),IFNA(VLOOKUP("4F",Pitch_Coef!$A:$B,2,FALSE),0),0)+IF(ISNUMBER(SEARCH("CB",H74)),IFNA(VLOOKUP("CB",Pitch_Coef!$A:$B,2,FALSE),0),0)+IF(ISNUMBER(SEARCH("CF",H74)),IFNA(VLOOKUP("CF",Pitch_Coef!$A:$B,2,FALSE),0),0)+IF(ISNUMBER(SEARCH("CH",H74)),IFNA(VLOOKUP("CH",Pitch_Coef!$A:$B,2,FALSE),0),0)+IF(ISNUMBER(SEARCH("FK",H74)),IFNA(VLOOKUP("FK",Pitch_Coef!$A:$B,2,FALSE),0),0)+IF(ISNUMBER(SEARCH("SB",H74)),IFNA(VLOOKUP("SB",Pitch_Coef!$A:$B,2,FALSE),0),0)+IF(ISNUMBER(SEARCH("SL",H74)),IFNA(VLOOKUP("SL",Pitch_Coef!$A:$B,2,FALSE),0),0),0)</f>
        <v/>
      </c>
      <c r="AA74">
        <f>IF(Q74="P",16.5944849573+0.2529999141*N74+0.2665900378*O74+0.2632687105*P74+0.0427586837*I74+0.0534777057*J74+0.009015832*K74+0.0204898106*(O74*P74/100)+1.0091022427*U74+1.0968542297*IF(D74="L",1,0)+0.3771555045*IF(D74="S",1,0)-0.2226159177*IF(E74="L",1,0)+1.21385024*R74-1.1652812274*S74+W74+X74+Z74,10.5965166711+0.2825983581*I74+0.2806503532*J74+0.2027213083*K74+0.1147824982*L74+0.0915305332*M74-0.0088454122*(I74*J74/100)-0.0336045706*(K74*L74/100)+2.8497389733*IF(D74="L",1,0)+4.5116226727*IF(D74="S",1,0)-0.6571546448*IF(E74="L",1,0)+0.0850728147*T74+0.0129488446*(T74*T74)+0.1909373936*IF(OR(F74="Utility",G74="Utility"),T74,0)+0.9656824071*R74-1.7517683256*S74+W74+X74+Y74)</f>
        <v/>
      </c>
      <c r="AB74">
        <f>LOOKUP(AA74,Grade_Scale!$A$2:$A$18,Grade_Scale!$B$2:$B$18)</f>
        <v/>
      </c>
      <c r="AC74">
        <f>LOOKUP(AA74,Grade_Scale!$A$2:$A$18,Grade_Scale!$C$2:$C$18)</f>
        <v/>
      </c>
      <c r="AE74">
        <f>IF(AD74="","",AB74-VLOOKUP(AD74,Grade_Scale!$C$2:$E$18,3,FALSE))</f>
        <v/>
      </c>
    </row>
    <row r="75">
      <c r="Q75">
        <f>IF(OR(B75="SP",B75="RP",B75="CP",B75="SP/RP"),"P","H")</f>
        <v/>
      </c>
      <c r="R75">
        <f>IF(F75="",0,IFNA(VLOOKUP(F75,Trait_Polarity!$A:$C,2,FALSE),0))+IF(G75="",0,IFNA(VLOOKUP(G75,Trait_Polarity!$A:$C,2,FALSE),0))</f>
        <v/>
      </c>
      <c r="S75">
        <f>IF(F75="",0,IFNA(VLOOKUP(F75,Trait_Polarity!$A:$C,3,FALSE),0))+IF(G75="",0,IFNA(VLOOKUP(G75,Trait_Polarity!$A:$C,3,FALSE),0))</f>
        <v/>
      </c>
      <c r="T75">
        <f>IF(Q75="P",0,IFNA(VLOOKUP(IF(C75="","(none)",C75),Secondary_Versatility!$A:$B,2,FALSE),0))</f>
        <v/>
      </c>
      <c r="U75">
        <f>IF(H75="",0,LEN(H75)-LEN(SUBSTITUTE(H75,"|",""))+1)</f>
        <v/>
      </c>
      <c r="V75">
        <f>IF(Q75="P",(N75+O75+P75)/3,0.3*I75+0.3*J75+0.2*K75+0.1*L75+0.1*M75)</f>
        <v/>
      </c>
      <c r="W75">
        <f>IF(Q75="P",IF(F75="",0,IFNA(VLOOKUP(F75,Pitcher_Trait_Coef!$A:$B,2,FALSE),0))+IF(G75="",0,IFNA(VLOOKUP(G75,Pitcher_Trait_Coef!$A:$B,2,FALSE),0)),IF(F75="",0,IFNA(VLOOKUP(F75,Hitter_Trait_Coef!$A:$B,2,FALSE),0))+IF(G75="",0,IFNA(VLOOKUP(G75,Hitter_Trait_Coef!$A:$B,2,FALSE),0)))</f>
        <v/>
      </c>
      <c r="X75">
        <f>IF(Q75="P",IFNA(VLOOKUP(B75,Pitcher_Primary_Coef!$A:$B,2,FALSE),0),IFNA(VLOOKUP(B75,Hitter_Primary_Coef!$A:$B,2,FALSE),0))</f>
        <v/>
      </c>
      <c r="Y75">
        <f>IF(Q75="P",0,IFNA(VLOOKUP(IF(C75="","(none)",C75),Hitter_Secondary_Coef!$A:$B,2,FALSE),0))</f>
        <v/>
      </c>
      <c r="Z75">
        <f>IF(Q75="P",IF(ISNUMBER(SEARCH("2F",H75)),IFNA(VLOOKUP("2F",Pitch_Coef!$A:$B,2,FALSE),0),0)+IF(ISNUMBER(SEARCH("4F",H75)),IFNA(VLOOKUP("4F",Pitch_Coef!$A:$B,2,FALSE),0),0)+IF(ISNUMBER(SEARCH("CB",H75)),IFNA(VLOOKUP("CB",Pitch_Coef!$A:$B,2,FALSE),0),0)+IF(ISNUMBER(SEARCH("CF",H75)),IFNA(VLOOKUP("CF",Pitch_Coef!$A:$B,2,FALSE),0),0)+IF(ISNUMBER(SEARCH("CH",H75)),IFNA(VLOOKUP("CH",Pitch_Coef!$A:$B,2,FALSE),0),0)+IF(ISNUMBER(SEARCH("FK",H75)),IFNA(VLOOKUP("FK",Pitch_Coef!$A:$B,2,FALSE),0),0)+IF(ISNUMBER(SEARCH("SB",H75)),IFNA(VLOOKUP("SB",Pitch_Coef!$A:$B,2,FALSE),0),0)+IF(ISNUMBER(SEARCH("SL",H75)),IFNA(VLOOKUP("SL",Pitch_Coef!$A:$B,2,FALSE),0),0),0)</f>
        <v/>
      </c>
      <c r="AA75">
        <f>IF(Q75="P",16.5944849573+0.2529999141*N75+0.2665900378*O75+0.2632687105*P75+0.0427586837*I75+0.0534777057*J75+0.009015832*K75+0.0204898106*(O75*P75/100)+1.0091022427*U75+1.0968542297*IF(D75="L",1,0)+0.3771555045*IF(D75="S",1,0)-0.2226159177*IF(E75="L",1,0)+1.21385024*R75-1.1652812274*S75+W75+X75+Z75,10.5965166711+0.2825983581*I75+0.2806503532*J75+0.2027213083*K75+0.1147824982*L75+0.0915305332*M75-0.0088454122*(I75*J75/100)-0.0336045706*(K75*L75/100)+2.8497389733*IF(D75="L",1,0)+4.5116226727*IF(D75="S",1,0)-0.6571546448*IF(E75="L",1,0)+0.0850728147*T75+0.0129488446*(T75*T75)+0.1909373936*IF(OR(F75="Utility",G75="Utility"),T75,0)+0.9656824071*R75-1.7517683256*S75+W75+X75+Y75)</f>
        <v/>
      </c>
      <c r="AB75">
        <f>LOOKUP(AA75,Grade_Scale!$A$2:$A$18,Grade_Scale!$B$2:$B$18)</f>
        <v/>
      </c>
      <c r="AC75">
        <f>LOOKUP(AA75,Grade_Scale!$A$2:$A$18,Grade_Scale!$C$2:$C$18)</f>
        <v/>
      </c>
      <c r="AE75">
        <f>IF(AD75="","",AB75-VLOOKUP(AD75,Grade_Scale!$C$2:$E$18,3,FALSE))</f>
        <v/>
      </c>
    </row>
    <row r="76">
      <c r="Q76">
        <f>IF(OR(B76="SP",B76="RP",B76="CP",B76="SP/RP"),"P","H")</f>
        <v/>
      </c>
      <c r="R76">
        <f>IF(F76="",0,IFNA(VLOOKUP(F76,Trait_Polarity!$A:$C,2,FALSE),0))+IF(G76="",0,IFNA(VLOOKUP(G76,Trait_Polarity!$A:$C,2,FALSE),0))</f>
        <v/>
      </c>
      <c r="S76">
        <f>IF(F76="",0,IFNA(VLOOKUP(F76,Trait_Polarity!$A:$C,3,FALSE),0))+IF(G76="",0,IFNA(VLOOKUP(G76,Trait_Polarity!$A:$C,3,FALSE),0))</f>
        <v/>
      </c>
      <c r="T76">
        <f>IF(Q76="P",0,IFNA(VLOOKUP(IF(C76="","(none)",C76),Secondary_Versatility!$A:$B,2,FALSE),0))</f>
        <v/>
      </c>
      <c r="U76">
        <f>IF(H76="",0,LEN(H76)-LEN(SUBSTITUTE(H76,"|",""))+1)</f>
        <v/>
      </c>
      <c r="V76">
        <f>IF(Q76="P",(N76+O76+P76)/3,0.3*I76+0.3*J76+0.2*K76+0.1*L76+0.1*M76)</f>
        <v/>
      </c>
      <c r="W76">
        <f>IF(Q76="P",IF(F76="",0,IFNA(VLOOKUP(F76,Pitcher_Trait_Coef!$A:$B,2,FALSE),0))+IF(G76="",0,IFNA(VLOOKUP(G76,Pitcher_Trait_Coef!$A:$B,2,FALSE),0)),IF(F76="",0,IFNA(VLOOKUP(F76,Hitter_Trait_Coef!$A:$B,2,FALSE),0))+IF(G76="",0,IFNA(VLOOKUP(G76,Hitter_Trait_Coef!$A:$B,2,FALSE),0)))</f>
        <v/>
      </c>
      <c r="X76">
        <f>IF(Q76="P",IFNA(VLOOKUP(B76,Pitcher_Primary_Coef!$A:$B,2,FALSE),0),IFNA(VLOOKUP(B76,Hitter_Primary_Coef!$A:$B,2,FALSE),0))</f>
        <v/>
      </c>
      <c r="Y76">
        <f>IF(Q76="P",0,IFNA(VLOOKUP(IF(C76="","(none)",C76),Hitter_Secondary_Coef!$A:$B,2,FALSE),0))</f>
        <v/>
      </c>
      <c r="Z76">
        <f>IF(Q76="P",IF(ISNUMBER(SEARCH("2F",H76)),IFNA(VLOOKUP("2F",Pitch_Coef!$A:$B,2,FALSE),0),0)+IF(ISNUMBER(SEARCH("4F",H76)),IFNA(VLOOKUP("4F",Pitch_Coef!$A:$B,2,FALSE),0),0)+IF(ISNUMBER(SEARCH("CB",H76)),IFNA(VLOOKUP("CB",Pitch_Coef!$A:$B,2,FALSE),0),0)+IF(ISNUMBER(SEARCH("CF",H76)),IFNA(VLOOKUP("CF",Pitch_Coef!$A:$B,2,FALSE),0),0)+IF(ISNUMBER(SEARCH("CH",H76)),IFNA(VLOOKUP("CH",Pitch_Coef!$A:$B,2,FALSE),0),0)+IF(ISNUMBER(SEARCH("FK",H76)),IFNA(VLOOKUP("FK",Pitch_Coef!$A:$B,2,FALSE),0),0)+IF(ISNUMBER(SEARCH("SB",H76)),IFNA(VLOOKUP("SB",Pitch_Coef!$A:$B,2,FALSE),0),0)+IF(ISNUMBER(SEARCH("SL",H76)),IFNA(VLOOKUP("SL",Pitch_Coef!$A:$B,2,FALSE),0),0),0)</f>
        <v/>
      </c>
      <c r="AA76">
        <f>IF(Q76="P",16.5944849573+0.2529999141*N76+0.2665900378*O76+0.2632687105*P76+0.0427586837*I76+0.0534777057*J76+0.009015832*K76+0.0204898106*(O76*P76/100)+1.0091022427*U76+1.0968542297*IF(D76="L",1,0)+0.3771555045*IF(D76="S",1,0)-0.2226159177*IF(E76="L",1,0)+1.21385024*R76-1.1652812274*S76+W76+X76+Z76,10.5965166711+0.2825983581*I76+0.2806503532*J76+0.2027213083*K76+0.1147824982*L76+0.0915305332*M76-0.0088454122*(I76*J76/100)-0.0336045706*(K76*L76/100)+2.8497389733*IF(D76="L",1,0)+4.5116226727*IF(D76="S",1,0)-0.6571546448*IF(E76="L",1,0)+0.0850728147*T76+0.0129488446*(T76*T76)+0.1909373936*IF(OR(F76="Utility",G76="Utility"),T76,0)+0.9656824071*R76-1.7517683256*S76+W76+X76+Y76)</f>
        <v/>
      </c>
      <c r="AB76">
        <f>LOOKUP(AA76,Grade_Scale!$A$2:$A$18,Grade_Scale!$B$2:$B$18)</f>
        <v/>
      </c>
      <c r="AC76">
        <f>LOOKUP(AA76,Grade_Scale!$A$2:$A$18,Grade_Scale!$C$2:$C$18)</f>
        <v/>
      </c>
      <c r="AE76">
        <f>IF(AD76="","",AB76-VLOOKUP(AD76,Grade_Scale!$C$2:$E$18,3,FALSE))</f>
        <v/>
      </c>
    </row>
    <row r="77">
      <c r="Q77">
        <f>IF(OR(B77="SP",B77="RP",B77="CP",B77="SP/RP"),"P","H")</f>
        <v/>
      </c>
      <c r="R77">
        <f>IF(F77="",0,IFNA(VLOOKUP(F77,Trait_Polarity!$A:$C,2,FALSE),0))+IF(G77="",0,IFNA(VLOOKUP(G77,Trait_Polarity!$A:$C,2,FALSE),0))</f>
        <v/>
      </c>
      <c r="S77">
        <f>IF(F77="",0,IFNA(VLOOKUP(F77,Trait_Polarity!$A:$C,3,FALSE),0))+IF(G77="",0,IFNA(VLOOKUP(G77,Trait_Polarity!$A:$C,3,FALSE),0))</f>
        <v/>
      </c>
      <c r="T77">
        <f>IF(Q77="P",0,IFNA(VLOOKUP(IF(C77="","(none)",C77),Secondary_Versatility!$A:$B,2,FALSE),0))</f>
        <v/>
      </c>
      <c r="U77">
        <f>IF(H77="",0,LEN(H77)-LEN(SUBSTITUTE(H77,"|",""))+1)</f>
        <v/>
      </c>
      <c r="V77">
        <f>IF(Q77="P",(N77+O77+P77)/3,0.3*I77+0.3*J77+0.2*K77+0.1*L77+0.1*M77)</f>
        <v/>
      </c>
      <c r="W77">
        <f>IF(Q77="P",IF(F77="",0,IFNA(VLOOKUP(F77,Pitcher_Trait_Coef!$A:$B,2,FALSE),0))+IF(G77="",0,IFNA(VLOOKUP(G77,Pitcher_Trait_Coef!$A:$B,2,FALSE),0)),IF(F77="",0,IFNA(VLOOKUP(F77,Hitter_Trait_Coef!$A:$B,2,FALSE),0))+IF(G77="",0,IFNA(VLOOKUP(G77,Hitter_Trait_Coef!$A:$B,2,FALSE),0)))</f>
        <v/>
      </c>
      <c r="X77">
        <f>IF(Q77="P",IFNA(VLOOKUP(B77,Pitcher_Primary_Coef!$A:$B,2,FALSE),0),IFNA(VLOOKUP(B77,Hitter_Primary_Coef!$A:$B,2,FALSE),0))</f>
        <v/>
      </c>
      <c r="Y77">
        <f>IF(Q77="P",0,IFNA(VLOOKUP(IF(C77="","(none)",C77),Hitter_Secondary_Coef!$A:$B,2,FALSE),0))</f>
        <v/>
      </c>
      <c r="Z77">
        <f>IF(Q77="P",IF(ISNUMBER(SEARCH("2F",H77)),IFNA(VLOOKUP("2F",Pitch_Coef!$A:$B,2,FALSE),0),0)+IF(ISNUMBER(SEARCH("4F",H77)),IFNA(VLOOKUP("4F",Pitch_Coef!$A:$B,2,FALSE),0),0)+IF(ISNUMBER(SEARCH("CB",H77)),IFNA(VLOOKUP("CB",Pitch_Coef!$A:$B,2,FALSE),0),0)+IF(ISNUMBER(SEARCH("CF",H77)),IFNA(VLOOKUP("CF",Pitch_Coef!$A:$B,2,FALSE),0),0)+IF(ISNUMBER(SEARCH("CH",H77)),IFNA(VLOOKUP("CH",Pitch_Coef!$A:$B,2,FALSE),0),0)+IF(ISNUMBER(SEARCH("FK",H77)),IFNA(VLOOKUP("FK",Pitch_Coef!$A:$B,2,FALSE),0),0)+IF(ISNUMBER(SEARCH("SB",H77)),IFNA(VLOOKUP("SB",Pitch_Coef!$A:$B,2,FALSE),0),0)+IF(ISNUMBER(SEARCH("SL",H77)),IFNA(VLOOKUP("SL",Pitch_Coef!$A:$B,2,FALSE),0),0),0)</f>
        <v/>
      </c>
      <c r="AA77">
        <f>IF(Q77="P",16.5944849573+0.2529999141*N77+0.2665900378*O77+0.2632687105*P77+0.0427586837*I77+0.0534777057*J77+0.009015832*K77+0.0204898106*(O77*P77/100)+1.0091022427*U77+1.0968542297*IF(D77="L",1,0)+0.3771555045*IF(D77="S",1,0)-0.2226159177*IF(E77="L",1,0)+1.21385024*R77-1.1652812274*S77+W77+X77+Z77,10.5965166711+0.2825983581*I77+0.2806503532*J77+0.2027213083*K77+0.1147824982*L77+0.0915305332*M77-0.0088454122*(I77*J77/100)-0.0336045706*(K77*L77/100)+2.8497389733*IF(D77="L",1,0)+4.5116226727*IF(D77="S",1,0)-0.6571546448*IF(E77="L",1,0)+0.0850728147*T77+0.0129488446*(T77*T77)+0.1909373936*IF(OR(F77="Utility",G77="Utility"),T77,0)+0.9656824071*R77-1.7517683256*S77+W77+X77+Y77)</f>
        <v/>
      </c>
      <c r="AB77">
        <f>LOOKUP(AA77,Grade_Scale!$A$2:$A$18,Grade_Scale!$B$2:$B$18)</f>
        <v/>
      </c>
      <c r="AC77">
        <f>LOOKUP(AA77,Grade_Scale!$A$2:$A$18,Grade_Scale!$C$2:$C$18)</f>
        <v/>
      </c>
      <c r="AE77">
        <f>IF(AD77="","",AB77-VLOOKUP(AD77,Grade_Scale!$C$2:$E$18,3,FALSE))</f>
        <v/>
      </c>
    </row>
    <row r="78">
      <c r="Q78">
        <f>IF(OR(B78="SP",B78="RP",B78="CP",B78="SP/RP"),"P","H")</f>
        <v/>
      </c>
      <c r="R78">
        <f>IF(F78="",0,IFNA(VLOOKUP(F78,Trait_Polarity!$A:$C,2,FALSE),0))+IF(G78="",0,IFNA(VLOOKUP(G78,Trait_Polarity!$A:$C,2,FALSE),0))</f>
        <v/>
      </c>
      <c r="S78">
        <f>IF(F78="",0,IFNA(VLOOKUP(F78,Trait_Polarity!$A:$C,3,FALSE),0))+IF(G78="",0,IFNA(VLOOKUP(G78,Trait_Polarity!$A:$C,3,FALSE),0))</f>
        <v/>
      </c>
      <c r="T78">
        <f>IF(Q78="P",0,IFNA(VLOOKUP(IF(C78="","(none)",C78),Secondary_Versatility!$A:$B,2,FALSE),0))</f>
        <v/>
      </c>
      <c r="U78">
        <f>IF(H78="",0,LEN(H78)-LEN(SUBSTITUTE(H78,"|",""))+1)</f>
        <v/>
      </c>
      <c r="V78">
        <f>IF(Q78="P",(N78+O78+P78)/3,0.3*I78+0.3*J78+0.2*K78+0.1*L78+0.1*M78)</f>
        <v/>
      </c>
      <c r="W78">
        <f>IF(Q78="P",IF(F78="",0,IFNA(VLOOKUP(F78,Pitcher_Trait_Coef!$A:$B,2,FALSE),0))+IF(G78="",0,IFNA(VLOOKUP(G78,Pitcher_Trait_Coef!$A:$B,2,FALSE),0)),IF(F78="",0,IFNA(VLOOKUP(F78,Hitter_Trait_Coef!$A:$B,2,FALSE),0))+IF(G78="",0,IFNA(VLOOKUP(G78,Hitter_Trait_Coef!$A:$B,2,FALSE),0)))</f>
        <v/>
      </c>
      <c r="X78">
        <f>IF(Q78="P",IFNA(VLOOKUP(B78,Pitcher_Primary_Coef!$A:$B,2,FALSE),0),IFNA(VLOOKUP(B78,Hitter_Primary_Coef!$A:$B,2,FALSE),0))</f>
        <v/>
      </c>
      <c r="Y78">
        <f>IF(Q78="P",0,IFNA(VLOOKUP(IF(C78="","(none)",C78),Hitter_Secondary_Coef!$A:$B,2,FALSE),0))</f>
        <v/>
      </c>
      <c r="Z78">
        <f>IF(Q78="P",IF(ISNUMBER(SEARCH("2F",H78)),IFNA(VLOOKUP("2F",Pitch_Coef!$A:$B,2,FALSE),0),0)+IF(ISNUMBER(SEARCH("4F",H78)),IFNA(VLOOKUP("4F",Pitch_Coef!$A:$B,2,FALSE),0),0)+IF(ISNUMBER(SEARCH("CB",H78)),IFNA(VLOOKUP("CB",Pitch_Coef!$A:$B,2,FALSE),0),0)+IF(ISNUMBER(SEARCH("CF",H78)),IFNA(VLOOKUP("CF",Pitch_Coef!$A:$B,2,FALSE),0),0)+IF(ISNUMBER(SEARCH("CH",H78)),IFNA(VLOOKUP("CH",Pitch_Coef!$A:$B,2,FALSE),0),0)+IF(ISNUMBER(SEARCH("FK",H78)),IFNA(VLOOKUP("FK",Pitch_Coef!$A:$B,2,FALSE),0),0)+IF(ISNUMBER(SEARCH("SB",H78)),IFNA(VLOOKUP("SB",Pitch_Coef!$A:$B,2,FALSE),0),0)+IF(ISNUMBER(SEARCH("SL",H78)),IFNA(VLOOKUP("SL",Pitch_Coef!$A:$B,2,FALSE),0),0),0)</f>
        <v/>
      </c>
      <c r="AA78">
        <f>IF(Q78="P",16.5944849573+0.2529999141*N78+0.2665900378*O78+0.2632687105*P78+0.0427586837*I78+0.0534777057*J78+0.009015832*K78+0.0204898106*(O78*P78/100)+1.0091022427*U78+1.0968542297*IF(D78="L",1,0)+0.3771555045*IF(D78="S",1,0)-0.2226159177*IF(E78="L",1,0)+1.21385024*R78-1.1652812274*S78+W78+X78+Z78,10.5965166711+0.2825983581*I78+0.2806503532*J78+0.2027213083*K78+0.1147824982*L78+0.0915305332*M78-0.0088454122*(I78*J78/100)-0.0336045706*(K78*L78/100)+2.8497389733*IF(D78="L",1,0)+4.5116226727*IF(D78="S",1,0)-0.6571546448*IF(E78="L",1,0)+0.0850728147*T78+0.0129488446*(T78*T78)+0.1909373936*IF(OR(F78="Utility",G78="Utility"),T78,0)+0.9656824071*R78-1.7517683256*S78+W78+X78+Y78)</f>
        <v/>
      </c>
      <c r="AB78">
        <f>LOOKUP(AA78,Grade_Scale!$A$2:$A$18,Grade_Scale!$B$2:$B$18)</f>
        <v/>
      </c>
      <c r="AC78">
        <f>LOOKUP(AA78,Grade_Scale!$A$2:$A$18,Grade_Scale!$C$2:$C$18)</f>
        <v/>
      </c>
      <c r="AE78">
        <f>IF(AD78="","",AB78-VLOOKUP(AD78,Grade_Scale!$C$2:$E$18,3,FALSE))</f>
        <v/>
      </c>
    </row>
    <row r="79">
      <c r="Q79">
        <f>IF(OR(B79="SP",B79="RP",B79="CP",B79="SP/RP"),"P","H")</f>
        <v/>
      </c>
      <c r="R79">
        <f>IF(F79="",0,IFNA(VLOOKUP(F79,Trait_Polarity!$A:$C,2,FALSE),0))+IF(G79="",0,IFNA(VLOOKUP(G79,Trait_Polarity!$A:$C,2,FALSE),0))</f>
        <v/>
      </c>
      <c r="S79">
        <f>IF(F79="",0,IFNA(VLOOKUP(F79,Trait_Polarity!$A:$C,3,FALSE),0))+IF(G79="",0,IFNA(VLOOKUP(G79,Trait_Polarity!$A:$C,3,FALSE),0))</f>
        <v/>
      </c>
      <c r="T79">
        <f>IF(Q79="P",0,IFNA(VLOOKUP(IF(C79="","(none)",C79),Secondary_Versatility!$A:$B,2,FALSE),0))</f>
        <v/>
      </c>
      <c r="U79">
        <f>IF(H79="",0,LEN(H79)-LEN(SUBSTITUTE(H79,"|",""))+1)</f>
        <v/>
      </c>
      <c r="V79">
        <f>IF(Q79="P",(N79+O79+P79)/3,0.3*I79+0.3*J79+0.2*K79+0.1*L79+0.1*M79)</f>
        <v/>
      </c>
      <c r="W79">
        <f>IF(Q79="P",IF(F79="",0,IFNA(VLOOKUP(F79,Pitcher_Trait_Coef!$A:$B,2,FALSE),0))+IF(G79="",0,IFNA(VLOOKUP(G79,Pitcher_Trait_Coef!$A:$B,2,FALSE),0)),IF(F79="",0,IFNA(VLOOKUP(F79,Hitter_Trait_Coef!$A:$B,2,FALSE),0))+IF(G79="",0,IFNA(VLOOKUP(G79,Hitter_Trait_Coef!$A:$B,2,FALSE),0)))</f>
        <v/>
      </c>
      <c r="X79">
        <f>IF(Q79="P",IFNA(VLOOKUP(B79,Pitcher_Primary_Coef!$A:$B,2,FALSE),0),IFNA(VLOOKUP(B79,Hitter_Primary_Coef!$A:$B,2,FALSE),0))</f>
        <v/>
      </c>
      <c r="Y79">
        <f>IF(Q79="P",0,IFNA(VLOOKUP(IF(C79="","(none)",C79),Hitter_Secondary_Coef!$A:$B,2,FALSE),0))</f>
        <v/>
      </c>
      <c r="Z79">
        <f>IF(Q79="P",IF(ISNUMBER(SEARCH("2F",H79)),IFNA(VLOOKUP("2F",Pitch_Coef!$A:$B,2,FALSE),0),0)+IF(ISNUMBER(SEARCH("4F",H79)),IFNA(VLOOKUP("4F",Pitch_Coef!$A:$B,2,FALSE),0),0)+IF(ISNUMBER(SEARCH("CB",H79)),IFNA(VLOOKUP("CB",Pitch_Coef!$A:$B,2,FALSE),0),0)+IF(ISNUMBER(SEARCH("CF",H79)),IFNA(VLOOKUP("CF",Pitch_Coef!$A:$B,2,FALSE),0),0)+IF(ISNUMBER(SEARCH("CH",H79)),IFNA(VLOOKUP("CH",Pitch_Coef!$A:$B,2,FALSE),0),0)+IF(ISNUMBER(SEARCH("FK",H79)),IFNA(VLOOKUP("FK",Pitch_Coef!$A:$B,2,FALSE),0),0)+IF(ISNUMBER(SEARCH("SB",H79)),IFNA(VLOOKUP("SB",Pitch_Coef!$A:$B,2,FALSE),0),0)+IF(ISNUMBER(SEARCH("SL",H79)),IFNA(VLOOKUP("SL",Pitch_Coef!$A:$B,2,FALSE),0),0),0)</f>
        <v/>
      </c>
      <c r="AA79">
        <f>IF(Q79="P",16.5944849573+0.2529999141*N79+0.2665900378*O79+0.2632687105*P79+0.0427586837*I79+0.0534777057*J79+0.009015832*K79+0.0204898106*(O79*P79/100)+1.0091022427*U79+1.0968542297*IF(D79="L",1,0)+0.3771555045*IF(D79="S",1,0)-0.2226159177*IF(E79="L",1,0)+1.21385024*R79-1.1652812274*S79+W79+X79+Z79,10.5965166711+0.2825983581*I79+0.2806503532*J79+0.2027213083*K79+0.1147824982*L79+0.0915305332*M79-0.0088454122*(I79*J79/100)-0.0336045706*(K79*L79/100)+2.8497389733*IF(D79="L",1,0)+4.5116226727*IF(D79="S",1,0)-0.6571546448*IF(E79="L",1,0)+0.0850728147*T79+0.0129488446*(T79*T79)+0.1909373936*IF(OR(F79="Utility",G79="Utility"),T79,0)+0.9656824071*R79-1.7517683256*S79+W79+X79+Y79)</f>
        <v/>
      </c>
      <c r="AB79">
        <f>LOOKUP(AA79,Grade_Scale!$A$2:$A$18,Grade_Scale!$B$2:$B$18)</f>
        <v/>
      </c>
      <c r="AC79">
        <f>LOOKUP(AA79,Grade_Scale!$A$2:$A$18,Grade_Scale!$C$2:$C$18)</f>
        <v/>
      </c>
      <c r="AE79">
        <f>IF(AD79="","",AB79-VLOOKUP(AD79,Grade_Scale!$C$2:$E$18,3,FALSE))</f>
        <v/>
      </c>
    </row>
    <row r="80">
      <c r="Q80">
        <f>IF(OR(B80="SP",B80="RP",B80="CP",B80="SP/RP"),"P","H")</f>
        <v/>
      </c>
      <c r="R80">
        <f>IF(F80="",0,IFNA(VLOOKUP(F80,Trait_Polarity!$A:$C,2,FALSE),0))+IF(G80="",0,IFNA(VLOOKUP(G80,Trait_Polarity!$A:$C,2,FALSE),0))</f>
        <v/>
      </c>
      <c r="S80">
        <f>IF(F80="",0,IFNA(VLOOKUP(F80,Trait_Polarity!$A:$C,3,FALSE),0))+IF(G80="",0,IFNA(VLOOKUP(G80,Trait_Polarity!$A:$C,3,FALSE),0))</f>
        <v/>
      </c>
      <c r="T80">
        <f>IF(Q80="P",0,IFNA(VLOOKUP(IF(C80="","(none)",C80),Secondary_Versatility!$A:$B,2,FALSE),0))</f>
        <v/>
      </c>
      <c r="U80">
        <f>IF(H80="",0,LEN(H80)-LEN(SUBSTITUTE(H80,"|",""))+1)</f>
        <v/>
      </c>
      <c r="V80">
        <f>IF(Q80="P",(N80+O80+P80)/3,0.3*I80+0.3*J80+0.2*K80+0.1*L80+0.1*M80)</f>
        <v/>
      </c>
      <c r="W80">
        <f>IF(Q80="P",IF(F80="",0,IFNA(VLOOKUP(F80,Pitcher_Trait_Coef!$A:$B,2,FALSE),0))+IF(G80="",0,IFNA(VLOOKUP(G80,Pitcher_Trait_Coef!$A:$B,2,FALSE),0)),IF(F80="",0,IFNA(VLOOKUP(F80,Hitter_Trait_Coef!$A:$B,2,FALSE),0))+IF(G80="",0,IFNA(VLOOKUP(G80,Hitter_Trait_Coef!$A:$B,2,FALSE),0)))</f>
        <v/>
      </c>
      <c r="X80">
        <f>IF(Q80="P",IFNA(VLOOKUP(B80,Pitcher_Primary_Coef!$A:$B,2,FALSE),0),IFNA(VLOOKUP(B80,Hitter_Primary_Coef!$A:$B,2,FALSE),0))</f>
        <v/>
      </c>
      <c r="Y80">
        <f>IF(Q80="P",0,IFNA(VLOOKUP(IF(C80="","(none)",C80),Hitter_Secondary_Coef!$A:$B,2,FALSE),0))</f>
        <v/>
      </c>
      <c r="Z80">
        <f>IF(Q80="P",IF(ISNUMBER(SEARCH("2F",H80)),IFNA(VLOOKUP("2F",Pitch_Coef!$A:$B,2,FALSE),0),0)+IF(ISNUMBER(SEARCH("4F",H80)),IFNA(VLOOKUP("4F",Pitch_Coef!$A:$B,2,FALSE),0),0)+IF(ISNUMBER(SEARCH("CB",H80)),IFNA(VLOOKUP("CB",Pitch_Coef!$A:$B,2,FALSE),0),0)+IF(ISNUMBER(SEARCH("CF",H80)),IFNA(VLOOKUP("CF",Pitch_Coef!$A:$B,2,FALSE),0),0)+IF(ISNUMBER(SEARCH("CH",H80)),IFNA(VLOOKUP("CH",Pitch_Coef!$A:$B,2,FALSE),0),0)+IF(ISNUMBER(SEARCH("FK",H80)),IFNA(VLOOKUP("FK",Pitch_Coef!$A:$B,2,FALSE),0),0)+IF(ISNUMBER(SEARCH("SB",H80)),IFNA(VLOOKUP("SB",Pitch_Coef!$A:$B,2,FALSE),0),0)+IF(ISNUMBER(SEARCH("SL",H80)),IFNA(VLOOKUP("SL",Pitch_Coef!$A:$B,2,FALSE),0),0),0)</f>
        <v/>
      </c>
      <c r="AA80">
        <f>IF(Q80="P",16.5944849573+0.2529999141*N80+0.2665900378*O80+0.2632687105*P80+0.0427586837*I80+0.0534777057*J80+0.009015832*K80+0.0204898106*(O80*P80/100)+1.0091022427*U80+1.0968542297*IF(D80="L",1,0)+0.3771555045*IF(D80="S",1,0)-0.2226159177*IF(E80="L",1,0)+1.21385024*R80-1.1652812274*S80+W80+X80+Z80,10.5965166711+0.2825983581*I80+0.2806503532*J80+0.2027213083*K80+0.1147824982*L80+0.0915305332*M80-0.0088454122*(I80*J80/100)-0.0336045706*(K80*L80/100)+2.8497389733*IF(D80="L",1,0)+4.5116226727*IF(D80="S",1,0)-0.6571546448*IF(E80="L",1,0)+0.0850728147*T80+0.0129488446*(T80*T80)+0.1909373936*IF(OR(F80="Utility",G80="Utility"),T80,0)+0.9656824071*R80-1.7517683256*S80+W80+X80+Y80)</f>
        <v/>
      </c>
      <c r="AB80">
        <f>LOOKUP(AA80,Grade_Scale!$A$2:$A$18,Grade_Scale!$B$2:$B$18)</f>
        <v/>
      </c>
      <c r="AC80">
        <f>LOOKUP(AA80,Grade_Scale!$A$2:$A$18,Grade_Scale!$C$2:$C$18)</f>
        <v/>
      </c>
      <c r="AE80">
        <f>IF(AD80="","",AB80-VLOOKUP(AD80,Grade_Scale!$C$2:$E$18,3,FALSE))</f>
        <v/>
      </c>
    </row>
    <row r="81">
      <c r="Q81">
        <f>IF(OR(B81="SP",B81="RP",B81="CP",B81="SP/RP"),"P","H")</f>
        <v/>
      </c>
      <c r="R81">
        <f>IF(F81="",0,IFNA(VLOOKUP(F81,Trait_Polarity!$A:$C,2,FALSE),0))+IF(G81="",0,IFNA(VLOOKUP(G81,Trait_Polarity!$A:$C,2,FALSE),0))</f>
        <v/>
      </c>
      <c r="S81">
        <f>IF(F81="",0,IFNA(VLOOKUP(F81,Trait_Polarity!$A:$C,3,FALSE),0))+IF(G81="",0,IFNA(VLOOKUP(G81,Trait_Polarity!$A:$C,3,FALSE),0))</f>
        <v/>
      </c>
      <c r="T81">
        <f>IF(Q81="P",0,IFNA(VLOOKUP(IF(C81="","(none)",C81),Secondary_Versatility!$A:$B,2,FALSE),0))</f>
        <v/>
      </c>
      <c r="U81">
        <f>IF(H81="",0,LEN(H81)-LEN(SUBSTITUTE(H81,"|",""))+1)</f>
        <v/>
      </c>
      <c r="V81">
        <f>IF(Q81="P",(N81+O81+P81)/3,0.3*I81+0.3*J81+0.2*K81+0.1*L81+0.1*M81)</f>
        <v/>
      </c>
      <c r="W81">
        <f>IF(Q81="P",IF(F81="",0,IFNA(VLOOKUP(F81,Pitcher_Trait_Coef!$A:$B,2,FALSE),0))+IF(G81="",0,IFNA(VLOOKUP(G81,Pitcher_Trait_Coef!$A:$B,2,FALSE),0)),IF(F81="",0,IFNA(VLOOKUP(F81,Hitter_Trait_Coef!$A:$B,2,FALSE),0))+IF(G81="",0,IFNA(VLOOKUP(G81,Hitter_Trait_Coef!$A:$B,2,FALSE),0)))</f>
        <v/>
      </c>
      <c r="X81">
        <f>IF(Q81="P",IFNA(VLOOKUP(B81,Pitcher_Primary_Coef!$A:$B,2,FALSE),0),IFNA(VLOOKUP(B81,Hitter_Primary_Coef!$A:$B,2,FALSE),0))</f>
        <v/>
      </c>
      <c r="Y81">
        <f>IF(Q81="P",0,IFNA(VLOOKUP(IF(C81="","(none)",C81),Hitter_Secondary_Coef!$A:$B,2,FALSE),0))</f>
        <v/>
      </c>
      <c r="Z81">
        <f>IF(Q81="P",IF(ISNUMBER(SEARCH("2F",H81)),IFNA(VLOOKUP("2F",Pitch_Coef!$A:$B,2,FALSE),0),0)+IF(ISNUMBER(SEARCH("4F",H81)),IFNA(VLOOKUP("4F",Pitch_Coef!$A:$B,2,FALSE),0),0)+IF(ISNUMBER(SEARCH("CB",H81)),IFNA(VLOOKUP("CB",Pitch_Coef!$A:$B,2,FALSE),0),0)+IF(ISNUMBER(SEARCH("CF",H81)),IFNA(VLOOKUP("CF",Pitch_Coef!$A:$B,2,FALSE),0),0)+IF(ISNUMBER(SEARCH("CH",H81)),IFNA(VLOOKUP("CH",Pitch_Coef!$A:$B,2,FALSE),0),0)+IF(ISNUMBER(SEARCH("FK",H81)),IFNA(VLOOKUP("FK",Pitch_Coef!$A:$B,2,FALSE),0),0)+IF(ISNUMBER(SEARCH("SB",H81)),IFNA(VLOOKUP("SB",Pitch_Coef!$A:$B,2,FALSE),0),0)+IF(ISNUMBER(SEARCH("SL",H81)),IFNA(VLOOKUP("SL",Pitch_Coef!$A:$B,2,FALSE),0),0),0)</f>
        <v/>
      </c>
      <c r="AA81">
        <f>IF(Q81="P",16.5944849573+0.2529999141*N81+0.2665900378*O81+0.2632687105*P81+0.0427586837*I81+0.0534777057*J81+0.009015832*K81+0.0204898106*(O81*P81/100)+1.0091022427*U81+1.0968542297*IF(D81="L",1,0)+0.3771555045*IF(D81="S",1,0)-0.2226159177*IF(E81="L",1,0)+1.21385024*R81-1.1652812274*S81+W81+X81+Z81,10.5965166711+0.2825983581*I81+0.2806503532*J81+0.2027213083*K81+0.1147824982*L81+0.0915305332*M81-0.0088454122*(I81*J81/100)-0.0336045706*(K81*L81/100)+2.8497389733*IF(D81="L",1,0)+4.5116226727*IF(D81="S",1,0)-0.6571546448*IF(E81="L",1,0)+0.0850728147*T81+0.0129488446*(T81*T81)+0.1909373936*IF(OR(F81="Utility",G81="Utility"),T81,0)+0.9656824071*R81-1.7517683256*S81+W81+X81+Y81)</f>
        <v/>
      </c>
      <c r="AB81">
        <f>LOOKUP(AA81,Grade_Scale!$A$2:$A$18,Grade_Scale!$B$2:$B$18)</f>
        <v/>
      </c>
      <c r="AC81">
        <f>LOOKUP(AA81,Grade_Scale!$A$2:$A$18,Grade_Scale!$C$2:$C$18)</f>
        <v/>
      </c>
      <c r="AE81">
        <f>IF(AD81="","",AB81-VLOOKUP(AD81,Grade_Scale!$C$2:$E$18,3,FALSE))</f>
        <v/>
      </c>
    </row>
    <row r="82">
      <c r="Q82">
        <f>IF(OR(B82="SP",B82="RP",B82="CP",B82="SP/RP"),"P","H")</f>
        <v/>
      </c>
      <c r="R82">
        <f>IF(F82="",0,IFNA(VLOOKUP(F82,Trait_Polarity!$A:$C,2,FALSE),0))+IF(G82="",0,IFNA(VLOOKUP(G82,Trait_Polarity!$A:$C,2,FALSE),0))</f>
        <v/>
      </c>
      <c r="S82">
        <f>IF(F82="",0,IFNA(VLOOKUP(F82,Trait_Polarity!$A:$C,3,FALSE),0))+IF(G82="",0,IFNA(VLOOKUP(G82,Trait_Polarity!$A:$C,3,FALSE),0))</f>
        <v/>
      </c>
      <c r="T82">
        <f>IF(Q82="P",0,IFNA(VLOOKUP(IF(C82="","(none)",C82),Secondary_Versatility!$A:$B,2,FALSE),0))</f>
        <v/>
      </c>
      <c r="U82">
        <f>IF(H82="",0,LEN(H82)-LEN(SUBSTITUTE(H82,"|",""))+1)</f>
        <v/>
      </c>
      <c r="V82">
        <f>IF(Q82="P",(N82+O82+P82)/3,0.3*I82+0.3*J82+0.2*K82+0.1*L82+0.1*M82)</f>
        <v/>
      </c>
      <c r="W82">
        <f>IF(Q82="P",IF(F82="",0,IFNA(VLOOKUP(F82,Pitcher_Trait_Coef!$A:$B,2,FALSE),0))+IF(G82="",0,IFNA(VLOOKUP(G82,Pitcher_Trait_Coef!$A:$B,2,FALSE),0)),IF(F82="",0,IFNA(VLOOKUP(F82,Hitter_Trait_Coef!$A:$B,2,FALSE),0))+IF(G82="",0,IFNA(VLOOKUP(G82,Hitter_Trait_Coef!$A:$B,2,FALSE),0)))</f>
        <v/>
      </c>
      <c r="X82">
        <f>IF(Q82="P",IFNA(VLOOKUP(B82,Pitcher_Primary_Coef!$A:$B,2,FALSE),0),IFNA(VLOOKUP(B82,Hitter_Primary_Coef!$A:$B,2,FALSE),0))</f>
        <v/>
      </c>
      <c r="Y82">
        <f>IF(Q82="P",0,IFNA(VLOOKUP(IF(C82="","(none)",C82),Hitter_Secondary_Coef!$A:$B,2,FALSE),0))</f>
        <v/>
      </c>
      <c r="Z82">
        <f>IF(Q82="P",IF(ISNUMBER(SEARCH("2F",H82)),IFNA(VLOOKUP("2F",Pitch_Coef!$A:$B,2,FALSE),0),0)+IF(ISNUMBER(SEARCH("4F",H82)),IFNA(VLOOKUP("4F",Pitch_Coef!$A:$B,2,FALSE),0),0)+IF(ISNUMBER(SEARCH("CB",H82)),IFNA(VLOOKUP("CB",Pitch_Coef!$A:$B,2,FALSE),0),0)+IF(ISNUMBER(SEARCH("CF",H82)),IFNA(VLOOKUP("CF",Pitch_Coef!$A:$B,2,FALSE),0),0)+IF(ISNUMBER(SEARCH("CH",H82)),IFNA(VLOOKUP("CH",Pitch_Coef!$A:$B,2,FALSE),0),0)+IF(ISNUMBER(SEARCH("FK",H82)),IFNA(VLOOKUP("FK",Pitch_Coef!$A:$B,2,FALSE),0),0)+IF(ISNUMBER(SEARCH("SB",H82)),IFNA(VLOOKUP("SB",Pitch_Coef!$A:$B,2,FALSE),0),0)+IF(ISNUMBER(SEARCH("SL",H82)),IFNA(VLOOKUP("SL",Pitch_Coef!$A:$B,2,FALSE),0),0),0)</f>
        <v/>
      </c>
      <c r="AA82">
        <f>IF(Q82="P",16.5944849573+0.2529999141*N82+0.2665900378*O82+0.2632687105*P82+0.0427586837*I82+0.0534777057*J82+0.009015832*K82+0.0204898106*(O82*P82/100)+1.0091022427*U82+1.0968542297*IF(D82="L",1,0)+0.3771555045*IF(D82="S",1,0)-0.2226159177*IF(E82="L",1,0)+1.21385024*R82-1.1652812274*S82+W82+X82+Z82,10.5965166711+0.2825983581*I82+0.2806503532*J82+0.2027213083*K82+0.1147824982*L82+0.0915305332*M82-0.0088454122*(I82*J82/100)-0.0336045706*(K82*L82/100)+2.8497389733*IF(D82="L",1,0)+4.5116226727*IF(D82="S",1,0)-0.6571546448*IF(E82="L",1,0)+0.0850728147*T82+0.0129488446*(T82*T82)+0.1909373936*IF(OR(F82="Utility",G82="Utility"),T82,0)+0.9656824071*R82-1.7517683256*S82+W82+X82+Y82)</f>
        <v/>
      </c>
      <c r="AB82">
        <f>LOOKUP(AA82,Grade_Scale!$A$2:$A$18,Grade_Scale!$B$2:$B$18)</f>
        <v/>
      </c>
      <c r="AC82">
        <f>LOOKUP(AA82,Grade_Scale!$A$2:$A$18,Grade_Scale!$C$2:$C$18)</f>
        <v/>
      </c>
      <c r="AE82">
        <f>IF(AD82="","",AB82-VLOOKUP(AD82,Grade_Scale!$C$2:$E$18,3,FALSE))</f>
        <v/>
      </c>
    </row>
    <row r="83">
      <c r="Q83">
        <f>IF(OR(B83="SP",B83="RP",B83="CP",B83="SP/RP"),"P","H")</f>
        <v/>
      </c>
      <c r="R83">
        <f>IF(F83="",0,IFNA(VLOOKUP(F83,Trait_Polarity!$A:$C,2,FALSE),0))+IF(G83="",0,IFNA(VLOOKUP(G83,Trait_Polarity!$A:$C,2,FALSE),0))</f>
        <v/>
      </c>
      <c r="S83">
        <f>IF(F83="",0,IFNA(VLOOKUP(F83,Trait_Polarity!$A:$C,3,FALSE),0))+IF(G83="",0,IFNA(VLOOKUP(G83,Trait_Polarity!$A:$C,3,FALSE),0))</f>
        <v/>
      </c>
      <c r="T83">
        <f>IF(Q83="P",0,IFNA(VLOOKUP(IF(C83="","(none)",C83),Secondary_Versatility!$A:$B,2,FALSE),0))</f>
        <v/>
      </c>
      <c r="U83">
        <f>IF(H83="",0,LEN(H83)-LEN(SUBSTITUTE(H83,"|",""))+1)</f>
        <v/>
      </c>
      <c r="V83">
        <f>IF(Q83="P",(N83+O83+P83)/3,0.3*I83+0.3*J83+0.2*K83+0.1*L83+0.1*M83)</f>
        <v/>
      </c>
      <c r="W83">
        <f>IF(Q83="P",IF(F83="",0,IFNA(VLOOKUP(F83,Pitcher_Trait_Coef!$A:$B,2,FALSE),0))+IF(G83="",0,IFNA(VLOOKUP(G83,Pitcher_Trait_Coef!$A:$B,2,FALSE),0)),IF(F83="",0,IFNA(VLOOKUP(F83,Hitter_Trait_Coef!$A:$B,2,FALSE),0))+IF(G83="",0,IFNA(VLOOKUP(G83,Hitter_Trait_Coef!$A:$B,2,FALSE),0)))</f>
        <v/>
      </c>
      <c r="X83">
        <f>IF(Q83="P",IFNA(VLOOKUP(B83,Pitcher_Primary_Coef!$A:$B,2,FALSE),0),IFNA(VLOOKUP(B83,Hitter_Primary_Coef!$A:$B,2,FALSE),0))</f>
        <v/>
      </c>
      <c r="Y83">
        <f>IF(Q83="P",0,IFNA(VLOOKUP(IF(C83="","(none)",C83),Hitter_Secondary_Coef!$A:$B,2,FALSE),0))</f>
        <v/>
      </c>
      <c r="Z83">
        <f>IF(Q83="P",IF(ISNUMBER(SEARCH("2F",H83)),IFNA(VLOOKUP("2F",Pitch_Coef!$A:$B,2,FALSE),0),0)+IF(ISNUMBER(SEARCH("4F",H83)),IFNA(VLOOKUP("4F",Pitch_Coef!$A:$B,2,FALSE),0),0)+IF(ISNUMBER(SEARCH("CB",H83)),IFNA(VLOOKUP("CB",Pitch_Coef!$A:$B,2,FALSE),0),0)+IF(ISNUMBER(SEARCH("CF",H83)),IFNA(VLOOKUP("CF",Pitch_Coef!$A:$B,2,FALSE),0),0)+IF(ISNUMBER(SEARCH("CH",H83)),IFNA(VLOOKUP("CH",Pitch_Coef!$A:$B,2,FALSE),0),0)+IF(ISNUMBER(SEARCH("FK",H83)),IFNA(VLOOKUP("FK",Pitch_Coef!$A:$B,2,FALSE),0),0)+IF(ISNUMBER(SEARCH("SB",H83)),IFNA(VLOOKUP("SB",Pitch_Coef!$A:$B,2,FALSE),0),0)+IF(ISNUMBER(SEARCH("SL",H83)),IFNA(VLOOKUP("SL",Pitch_Coef!$A:$B,2,FALSE),0),0),0)</f>
        <v/>
      </c>
      <c r="AA83">
        <f>IF(Q83="P",16.5944849573+0.2529999141*N83+0.2665900378*O83+0.2632687105*P83+0.0427586837*I83+0.0534777057*J83+0.009015832*K83+0.0204898106*(O83*P83/100)+1.0091022427*U83+1.0968542297*IF(D83="L",1,0)+0.3771555045*IF(D83="S",1,0)-0.2226159177*IF(E83="L",1,0)+1.21385024*R83-1.1652812274*S83+W83+X83+Z83,10.5965166711+0.2825983581*I83+0.2806503532*J83+0.2027213083*K83+0.1147824982*L83+0.0915305332*M83-0.0088454122*(I83*J83/100)-0.0336045706*(K83*L83/100)+2.8497389733*IF(D83="L",1,0)+4.5116226727*IF(D83="S",1,0)-0.6571546448*IF(E83="L",1,0)+0.0850728147*T83+0.0129488446*(T83*T83)+0.1909373936*IF(OR(F83="Utility",G83="Utility"),T83,0)+0.9656824071*R83-1.7517683256*S83+W83+X83+Y83)</f>
        <v/>
      </c>
      <c r="AB83">
        <f>LOOKUP(AA83,Grade_Scale!$A$2:$A$18,Grade_Scale!$B$2:$B$18)</f>
        <v/>
      </c>
      <c r="AC83">
        <f>LOOKUP(AA83,Grade_Scale!$A$2:$A$18,Grade_Scale!$C$2:$C$18)</f>
        <v/>
      </c>
      <c r="AE83">
        <f>IF(AD83="","",AB83-VLOOKUP(AD83,Grade_Scale!$C$2:$E$18,3,FALSE))</f>
        <v/>
      </c>
    </row>
    <row r="84">
      <c r="Q84">
        <f>IF(OR(B84="SP",B84="RP",B84="CP",B84="SP/RP"),"P","H")</f>
        <v/>
      </c>
      <c r="R84">
        <f>IF(F84="",0,IFNA(VLOOKUP(F84,Trait_Polarity!$A:$C,2,FALSE),0))+IF(G84="",0,IFNA(VLOOKUP(G84,Trait_Polarity!$A:$C,2,FALSE),0))</f>
        <v/>
      </c>
      <c r="S84">
        <f>IF(F84="",0,IFNA(VLOOKUP(F84,Trait_Polarity!$A:$C,3,FALSE),0))+IF(G84="",0,IFNA(VLOOKUP(G84,Trait_Polarity!$A:$C,3,FALSE),0))</f>
        <v/>
      </c>
      <c r="T84">
        <f>IF(Q84="P",0,IFNA(VLOOKUP(IF(C84="","(none)",C84),Secondary_Versatility!$A:$B,2,FALSE),0))</f>
        <v/>
      </c>
      <c r="U84">
        <f>IF(H84="",0,LEN(H84)-LEN(SUBSTITUTE(H84,"|",""))+1)</f>
        <v/>
      </c>
      <c r="V84">
        <f>IF(Q84="P",(N84+O84+P84)/3,0.3*I84+0.3*J84+0.2*K84+0.1*L84+0.1*M84)</f>
        <v/>
      </c>
      <c r="W84">
        <f>IF(Q84="P",IF(F84="",0,IFNA(VLOOKUP(F84,Pitcher_Trait_Coef!$A:$B,2,FALSE),0))+IF(G84="",0,IFNA(VLOOKUP(G84,Pitcher_Trait_Coef!$A:$B,2,FALSE),0)),IF(F84="",0,IFNA(VLOOKUP(F84,Hitter_Trait_Coef!$A:$B,2,FALSE),0))+IF(G84="",0,IFNA(VLOOKUP(G84,Hitter_Trait_Coef!$A:$B,2,FALSE),0)))</f>
        <v/>
      </c>
      <c r="X84">
        <f>IF(Q84="P",IFNA(VLOOKUP(B84,Pitcher_Primary_Coef!$A:$B,2,FALSE),0),IFNA(VLOOKUP(B84,Hitter_Primary_Coef!$A:$B,2,FALSE),0))</f>
        <v/>
      </c>
      <c r="Y84">
        <f>IF(Q84="P",0,IFNA(VLOOKUP(IF(C84="","(none)",C84),Hitter_Secondary_Coef!$A:$B,2,FALSE),0))</f>
        <v/>
      </c>
      <c r="Z84">
        <f>IF(Q84="P",IF(ISNUMBER(SEARCH("2F",H84)),IFNA(VLOOKUP("2F",Pitch_Coef!$A:$B,2,FALSE),0),0)+IF(ISNUMBER(SEARCH("4F",H84)),IFNA(VLOOKUP("4F",Pitch_Coef!$A:$B,2,FALSE),0),0)+IF(ISNUMBER(SEARCH("CB",H84)),IFNA(VLOOKUP("CB",Pitch_Coef!$A:$B,2,FALSE),0),0)+IF(ISNUMBER(SEARCH("CF",H84)),IFNA(VLOOKUP("CF",Pitch_Coef!$A:$B,2,FALSE),0),0)+IF(ISNUMBER(SEARCH("CH",H84)),IFNA(VLOOKUP("CH",Pitch_Coef!$A:$B,2,FALSE),0),0)+IF(ISNUMBER(SEARCH("FK",H84)),IFNA(VLOOKUP("FK",Pitch_Coef!$A:$B,2,FALSE),0),0)+IF(ISNUMBER(SEARCH("SB",H84)),IFNA(VLOOKUP("SB",Pitch_Coef!$A:$B,2,FALSE),0),0)+IF(ISNUMBER(SEARCH("SL",H84)),IFNA(VLOOKUP("SL",Pitch_Coef!$A:$B,2,FALSE),0),0),0)</f>
        <v/>
      </c>
      <c r="AA84">
        <f>IF(Q84="P",16.5944849573+0.2529999141*N84+0.2665900378*O84+0.2632687105*P84+0.0427586837*I84+0.0534777057*J84+0.009015832*K84+0.0204898106*(O84*P84/100)+1.0091022427*U84+1.0968542297*IF(D84="L",1,0)+0.3771555045*IF(D84="S",1,0)-0.2226159177*IF(E84="L",1,0)+1.21385024*R84-1.1652812274*S84+W84+X84+Z84,10.5965166711+0.2825983581*I84+0.2806503532*J84+0.2027213083*K84+0.1147824982*L84+0.0915305332*M84-0.0088454122*(I84*J84/100)-0.0336045706*(K84*L84/100)+2.8497389733*IF(D84="L",1,0)+4.5116226727*IF(D84="S",1,0)-0.6571546448*IF(E84="L",1,0)+0.0850728147*T84+0.0129488446*(T84*T84)+0.1909373936*IF(OR(F84="Utility",G84="Utility"),T84,0)+0.9656824071*R84-1.7517683256*S84+W84+X84+Y84)</f>
        <v/>
      </c>
      <c r="AB84">
        <f>LOOKUP(AA84,Grade_Scale!$A$2:$A$18,Grade_Scale!$B$2:$B$18)</f>
        <v/>
      </c>
      <c r="AC84">
        <f>LOOKUP(AA84,Grade_Scale!$A$2:$A$18,Grade_Scale!$C$2:$C$18)</f>
        <v/>
      </c>
      <c r="AE84">
        <f>IF(AD84="","",AB84-VLOOKUP(AD84,Grade_Scale!$C$2:$E$18,3,FALSE))</f>
        <v/>
      </c>
    </row>
    <row r="85">
      <c r="Q85">
        <f>IF(OR(B85="SP",B85="RP",B85="CP",B85="SP/RP"),"P","H")</f>
        <v/>
      </c>
      <c r="R85">
        <f>IF(F85="",0,IFNA(VLOOKUP(F85,Trait_Polarity!$A:$C,2,FALSE),0))+IF(G85="",0,IFNA(VLOOKUP(G85,Trait_Polarity!$A:$C,2,FALSE),0))</f>
        <v/>
      </c>
      <c r="S85">
        <f>IF(F85="",0,IFNA(VLOOKUP(F85,Trait_Polarity!$A:$C,3,FALSE),0))+IF(G85="",0,IFNA(VLOOKUP(G85,Trait_Polarity!$A:$C,3,FALSE),0))</f>
        <v/>
      </c>
      <c r="T85">
        <f>IF(Q85="P",0,IFNA(VLOOKUP(IF(C85="","(none)",C85),Secondary_Versatility!$A:$B,2,FALSE),0))</f>
        <v/>
      </c>
      <c r="U85">
        <f>IF(H85="",0,LEN(H85)-LEN(SUBSTITUTE(H85,"|",""))+1)</f>
        <v/>
      </c>
      <c r="V85">
        <f>IF(Q85="P",(N85+O85+P85)/3,0.3*I85+0.3*J85+0.2*K85+0.1*L85+0.1*M85)</f>
        <v/>
      </c>
      <c r="W85">
        <f>IF(Q85="P",IF(F85="",0,IFNA(VLOOKUP(F85,Pitcher_Trait_Coef!$A:$B,2,FALSE),0))+IF(G85="",0,IFNA(VLOOKUP(G85,Pitcher_Trait_Coef!$A:$B,2,FALSE),0)),IF(F85="",0,IFNA(VLOOKUP(F85,Hitter_Trait_Coef!$A:$B,2,FALSE),0))+IF(G85="",0,IFNA(VLOOKUP(G85,Hitter_Trait_Coef!$A:$B,2,FALSE),0)))</f>
        <v/>
      </c>
      <c r="X85">
        <f>IF(Q85="P",IFNA(VLOOKUP(B85,Pitcher_Primary_Coef!$A:$B,2,FALSE),0),IFNA(VLOOKUP(B85,Hitter_Primary_Coef!$A:$B,2,FALSE),0))</f>
        <v/>
      </c>
      <c r="Y85">
        <f>IF(Q85="P",0,IFNA(VLOOKUP(IF(C85="","(none)",C85),Hitter_Secondary_Coef!$A:$B,2,FALSE),0))</f>
        <v/>
      </c>
      <c r="Z85">
        <f>IF(Q85="P",IF(ISNUMBER(SEARCH("2F",H85)),IFNA(VLOOKUP("2F",Pitch_Coef!$A:$B,2,FALSE),0),0)+IF(ISNUMBER(SEARCH("4F",H85)),IFNA(VLOOKUP("4F",Pitch_Coef!$A:$B,2,FALSE),0),0)+IF(ISNUMBER(SEARCH("CB",H85)),IFNA(VLOOKUP("CB",Pitch_Coef!$A:$B,2,FALSE),0),0)+IF(ISNUMBER(SEARCH("CF",H85)),IFNA(VLOOKUP("CF",Pitch_Coef!$A:$B,2,FALSE),0),0)+IF(ISNUMBER(SEARCH("CH",H85)),IFNA(VLOOKUP("CH",Pitch_Coef!$A:$B,2,FALSE),0),0)+IF(ISNUMBER(SEARCH("FK",H85)),IFNA(VLOOKUP("FK",Pitch_Coef!$A:$B,2,FALSE),0),0)+IF(ISNUMBER(SEARCH("SB",H85)),IFNA(VLOOKUP("SB",Pitch_Coef!$A:$B,2,FALSE),0),0)+IF(ISNUMBER(SEARCH("SL",H85)),IFNA(VLOOKUP("SL",Pitch_Coef!$A:$B,2,FALSE),0),0),0)</f>
        <v/>
      </c>
      <c r="AA85">
        <f>IF(Q85="P",16.5944849573+0.2529999141*N85+0.2665900378*O85+0.2632687105*P85+0.0427586837*I85+0.0534777057*J85+0.009015832*K85+0.0204898106*(O85*P85/100)+1.0091022427*U85+1.0968542297*IF(D85="L",1,0)+0.3771555045*IF(D85="S",1,0)-0.2226159177*IF(E85="L",1,0)+1.21385024*R85-1.1652812274*S85+W85+X85+Z85,10.5965166711+0.2825983581*I85+0.2806503532*J85+0.2027213083*K85+0.1147824982*L85+0.0915305332*M85-0.0088454122*(I85*J85/100)-0.0336045706*(K85*L85/100)+2.8497389733*IF(D85="L",1,0)+4.5116226727*IF(D85="S",1,0)-0.6571546448*IF(E85="L",1,0)+0.0850728147*T85+0.0129488446*(T85*T85)+0.1909373936*IF(OR(F85="Utility",G85="Utility"),T85,0)+0.9656824071*R85-1.7517683256*S85+W85+X85+Y85)</f>
        <v/>
      </c>
      <c r="AB85">
        <f>LOOKUP(AA85,Grade_Scale!$A$2:$A$18,Grade_Scale!$B$2:$B$18)</f>
        <v/>
      </c>
      <c r="AC85">
        <f>LOOKUP(AA85,Grade_Scale!$A$2:$A$18,Grade_Scale!$C$2:$C$18)</f>
        <v/>
      </c>
      <c r="AE85">
        <f>IF(AD85="","",AB85-VLOOKUP(AD85,Grade_Scale!$C$2:$E$18,3,FALSE))</f>
        <v/>
      </c>
    </row>
    <row r="86">
      <c r="Q86">
        <f>IF(OR(B86="SP",B86="RP",B86="CP",B86="SP/RP"),"P","H")</f>
        <v/>
      </c>
      <c r="R86">
        <f>IF(F86="",0,IFNA(VLOOKUP(F86,Trait_Polarity!$A:$C,2,FALSE),0))+IF(G86="",0,IFNA(VLOOKUP(G86,Trait_Polarity!$A:$C,2,FALSE),0))</f>
        <v/>
      </c>
      <c r="S86">
        <f>IF(F86="",0,IFNA(VLOOKUP(F86,Trait_Polarity!$A:$C,3,FALSE),0))+IF(G86="",0,IFNA(VLOOKUP(G86,Trait_Polarity!$A:$C,3,FALSE),0))</f>
        <v/>
      </c>
      <c r="T86">
        <f>IF(Q86="P",0,IFNA(VLOOKUP(IF(C86="","(none)",C86),Secondary_Versatility!$A:$B,2,FALSE),0))</f>
        <v/>
      </c>
      <c r="U86">
        <f>IF(H86="",0,LEN(H86)-LEN(SUBSTITUTE(H86,"|",""))+1)</f>
        <v/>
      </c>
      <c r="V86">
        <f>IF(Q86="P",(N86+O86+P86)/3,0.3*I86+0.3*J86+0.2*K86+0.1*L86+0.1*M86)</f>
        <v/>
      </c>
      <c r="W86">
        <f>IF(Q86="P",IF(F86="",0,IFNA(VLOOKUP(F86,Pitcher_Trait_Coef!$A:$B,2,FALSE),0))+IF(G86="",0,IFNA(VLOOKUP(G86,Pitcher_Trait_Coef!$A:$B,2,FALSE),0)),IF(F86="",0,IFNA(VLOOKUP(F86,Hitter_Trait_Coef!$A:$B,2,FALSE),0))+IF(G86="",0,IFNA(VLOOKUP(G86,Hitter_Trait_Coef!$A:$B,2,FALSE),0)))</f>
        <v/>
      </c>
      <c r="X86">
        <f>IF(Q86="P",IFNA(VLOOKUP(B86,Pitcher_Primary_Coef!$A:$B,2,FALSE),0),IFNA(VLOOKUP(B86,Hitter_Primary_Coef!$A:$B,2,FALSE),0))</f>
        <v/>
      </c>
      <c r="Y86">
        <f>IF(Q86="P",0,IFNA(VLOOKUP(IF(C86="","(none)",C86),Hitter_Secondary_Coef!$A:$B,2,FALSE),0))</f>
        <v/>
      </c>
      <c r="Z86">
        <f>IF(Q86="P",IF(ISNUMBER(SEARCH("2F",H86)),IFNA(VLOOKUP("2F",Pitch_Coef!$A:$B,2,FALSE),0),0)+IF(ISNUMBER(SEARCH("4F",H86)),IFNA(VLOOKUP("4F",Pitch_Coef!$A:$B,2,FALSE),0),0)+IF(ISNUMBER(SEARCH("CB",H86)),IFNA(VLOOKUP("CB",Pitch_Coef!$A:$B,2,FALSE),0),0)+IF(ISNUMBER(SEARCH("CF",H86)),IFNA(VLOOKUP("CF",Pitch_Coef!$A:$B,2,FALSE),0),0)+IF(ISNUMBER(SEARCH("CH",H86)),IFNA(VLOOKUP("CH",Pitch_Coef!$A:$B,2,FALSE),0),0)+IF(ISNUMBER(SEARCH("FK",H86)),IFNA(VLOOKUP("FK",Pitch_Coef!$A:$B,2,FALSE),0),0)+IF(ISNUMBER(SEARCH("SB",H86)),IFNA(VLOOKUP("SB",Pitch_Coef!$A:$B,2,FALSE),0),0)+IF(ISNUMBER(SEARCH("SL",H86)),IFNA(VLOOKUP("SL",Pitch_Coef!$A:$B,2,FALSE),0),0),0)</f>
        <v/>
      </c>
      <c r="AA86">
        <f>IF(Q86="P",16.5944849573+0.2529999141*N86+0.2665900378*O86+0.2632687105*P86+0.0427586837*I86+0.0534777057*J86+0.009015832*K86+0.0204898106*(O86*P86/100)+1.0091022427*U86+1.0968542297*IF(D86="L",1,0)+0.3771555045*IF(D86="S",1,0)-0.2226159177*IF(E86="L",1,0)+1.21385024*R86-1.1652812274*S86+W86+X86+Z86,10.5965166711+0.2825983581*I86+0.2806503532*J86+0.2027213083*K86+0.1147824982*L86+0.0915305332*M86-0.0088454122*(I86*J86/100)-0.0336045706*(K86*L86/100)+2.8497389733*IF(D86="L",1,0)+4.5116226727*IF(D86="S",1,0)-0.6571546448*IF(E86="L",1,0)+0.0850728147*T86+0.0129488446*(T86*T86)+0.1909373936*IF(OR(F86="Utility",G86="Utility"),T86,0)+0.9656824071*R86-1.7517683256*S86+W86+X86+Y86)</f>
        <v/>
      </c>
      <c r="AB86">
        <f>LOOKUP(AA86,Grade_Scale!$A$2:$A$18,Grade_Scale!$B$2:$B$18)</f>
        <v/>
      </c>
      <c r="AC86">
        <f>LOOKUP(AA86,Grade_Scale!$A$2:$A$18,Grade_Scale!$C$2:$C$18)</f>
        <v/>
      </c>
      <c r="AE86">
        <f>IF(AD86="","",AB86-VLOOKUP(AD86,Grade_Scale!$C$2:$E$18,3,FALSE))</f>
        <v/>
      </c>
    </row>
    <row r="87">
      <c r="Q87">
        <f>IF(OR(B87="SP",B87="RP",B87="CP",B87="SP/RP"),"P","H")</f>
        <v/>
      </c>
      <c r="R87">
        <f>IF(F87="",0,IFNA(VLOOKUP(F87,Trait_Polarity!$A:$C,2,FALSE),0))+IF(G87="",0,IFNA(VLOOKUP(G87,Trait_Polarity!$A:$C,2,FALSE),0))</f>
        <v/>
      </c>
      <c r="S87">
        <f>IF(F87="",0,IFNA(VLOOKUP(F87,Trait_Polarity!$A:$C,3,FALSE),0))+IF(G87="",0,IFNA(VLOOKUP(G87,Trait_Polarity!$A:$C,3,FALSE),0))</f>
        <v/>
      </c>
      <c r="T87">
        <f>IF(Q87="P",0,IFNA(VLOOKUP(IF(C87="","(none)",C87),Secondary_Versatility!$A:$B,2,FALSE),0))</f>
        <v/>
      </c>
      <c r="U87">
        <f>IF(H87="",0,LEN(H87)-LEN(SUBSTITUTE(H87,"|",""))+1)</f>
        <v/>
      </c>
      <c r="V87">
        <f>IF(Q87="P",(N87+O87+P87)/3,0.3*I87+0.3*J87+0.2*K87+0.1*L87+0.1*M87)</f>
        <v/>
      </c>
      <c r="W87">
        <f>IF(Q87="P",IF(F87="",0,IFNA(VLOOKUP(F87,Pitcher_Trait_Coef!$A:$B,2,FALSE),0))+IF(G87="",0,IFNA(VLOOKUP(G87,Pitcher_Trait_Coef!$A:$B,2,FALSE),0)),IF(F87="",0,IFNA(VLOOKUP(F87,Hitter_Trait_Coef!$A:$B,2,FALSE),0))+IF(G87="",0,IFNA(VLOOKUP(G87,Hitter_Trait_Coef!$A:$B,2,FALSE),0)))</f>
        <v/>
      </c>
      <c r="X87">
        <f>IF(Q87="P",IFNA(VLOOKUP(B87,Pitcher_Primary_Coef!$A:$B,2,FALSE),0),IFNA(VLOOKUP(B87,Hitter_Primary_Coef!$A:$B,2,FALSE),0))</f>
        <v/>
      </c>
      <c r="Y87">
        <f>IF(Q87="P",0,IFNA(VLOOKUP(IF(C87="","(none)",C87),Hitter_Secondary_Coef!$A:$B,2,FALSE),0))</f>
        <v/>
      </c>
      <c r="Z87">
        <f>IF(Q87="P",IF(ISNUMBER(SEARCH("2F",H87)),IFNA(VLOOKUP("2F",Pitch_Coef!$A:$B,2,FALSE),0),0)+IF(ISNUMBER(SEARCH("4F",H87)),IFNA(VLOOKUP("4F",Pitch_Coef!$A:$B,2,FALSE),0),0)+IF(ISNUMBER(SEARCH("CB",H87)),IFNA(VLOOKUP("CB",Pitch_Coef!$A:$B,2,FALSE),0),0)+IF(ISNUMBER(SEARCH("CF",H87)),IFNA(VLOOKUP("CF",Pitch_Coef!$A:$B,2,FALSE),0),0)+IF(ISNUMBER(SEARCH("CH",H87)),IFNA(VLOOKUP("CH",Pitch_Coef!$A:$B,2,FALSE),0),0)+IF(ISNUMBER(SEARCH("FK",H87)),IFNA(VLOOKUP("FK",Pitch_Coef!$A:$B,2,FALSE),0),0)+IF(ISNUMBER(SEARCH("SB",H87)),IFNA(VLOOKUP("SB",Pitch_Coef!$A:$B,2,FALSE),0),0)+IF(ISNUMBER(SEARCH("SL",H87)),IFNA(VLOOKUP("SL",Pitch_Coef!$A:$B,2,FALSE),0),0),0)</f>
        <v/>
      </c>
      <c r="AA87">
        <f>IF(Q87="P",16.5944849573+0.2529999141*N87+0.2665900378*O87+0.2632687105*P87+0.0427586837*I87+0.0534777057*J87+0.009015832*K87+0.0204898106*(O87*P87/100)+1.0091022427*U87+1.0968542297*IF(D87="L",1,0)+0.3771555045*IF(D87="S",1,0)-0.2226159177*IF(E87="L",1,0)+1.21385024*R87-1.1652812274*S87+W87+X87+Z87,10.5965166711+0.2825983581*I87+0.2806503532*J87+0.2027213083*K87+0.1147824982*L87+0.0915305332*M87-0.0088454122*(I87*J87/100)-0.0336045706*(K87*L87/100)+2.8497389733*IF(D87="L",1,0)+4.5116226727*IF(D87="S",1,0)-0.6571546448*IF(E87="L",1,0)+0.0850728147*T87+0.0129488446*(T87*T87)+0.1909373936*IF(OR(F87="Utility",G87="Utility"),T87,0)+0.9656824071*R87-1.7517683256*S87+W87+X87+Y87)</f>
        <v/>
      </c>
      <c r="AB87">
        <f>LOOKUP(AA87,Grade_Scale!$A$2:$A$18,Grade_Scale!$B$2:$B$18)</f>
        <v/>
      </c>
      <c r="AC87">
        <f>LOOKUP(AA87,Grade_Scale!$A$2:$A$18,Grade_Scale!$C$2:$C$18)</f>
        <v/>
      </c>
      <c r="AE87">
        <f>IF(AD87="","",AB87-VLOOKUP(AD87,Grade_Scale!$C$2:$E$18,3,FALSE))</f>
        <v/>
      </c>
    </row>
    <row r="88">
      <c r="Q88">
        <f>IF(OR(B88="SP",B88="RP",B88="CP",B88="SP/RP"),"P","H")</f>
        <v/>
      </c>
      <c r="R88">
        <f>IF(F88="",0,IFNA(VLOOKUP(F88,Trait_Polarity!$A:$C,2,FALSE),0))+IF(G88="",0,IFNA(VLOOKUP(G88,Trait_Polarity!$A:$C,2,FALSE),0))</f>
        <v/>
      </c>
      <c r="S88">
        <f>IF(F88="",0,IFNA(VLOOKUP(F88,Trait_Polarity!$A:$C,3,FALSE),0))+IF(G88="",0,IFNA(VLOOKUP(G88,Trait_Polarity!$A:$C,3,FALSE),0))</f>
        <v/>
      </c>
      <c r="T88">
        <f>IF(Q88="P",0,IFNA(VLOOKUP(IF(C88="","(none)",C88),Secondary_Versatility!$A:$B,2,FALSE),0))</f>
        <v/>
      </c>
      <c r="U88">
        <f>IF(H88="",0,LEN(H88)-LEN(SUBSTITUTE(H88,"|",""))+1)</f>
        <v/>
      </c>
      <c r="V88">
        <f>IF(Q88="P",(N88+O88+P88)/3,0.3*I88+0.3*J88+0.2*K88+0.1*L88+0.1*M88)</f>
        <v/>
      </c>
      <c r="W88">
        <f>IF(Q88="P",IF(F88="",0,IFNA(VLOOKUP(F88,Pitcher_Trait_Coef!$A:$B,2,FALSE),0))+IF(G88="",0,IFNA(VLOOKUP(G88,Pitcher_Trait_Coef!$A:$B,2,FALSE),0)),IF(F88="",0,IFNA(VLOOKUP(F88,Hitter_Trait_Coef!$A:$B,2,FALSE),0))+IF(G88="",0,IFNA(VLOOKUP(G88,Hitter_Trait_Coef!$A:$B,2,FALSE),0)))</f>
        <v/>
      </c>
      <c r="X88">
        <f>IF(Q88="P",IFNA(VLOOKUP(B88,Pitcher_Primary_Coef!$A:$B,2,FALSE),0),IFNA(VLOOKUP(B88,Hitter_Primary_Coef!$A:$B,2,FALSE),0))</f>
        <v/>
      </c>
      <c r="Y88">
        <f>IF(Q88="P",0,IFNA(VLOOKUP(IF(C88="","(none)",C88),Hitter_Secondary_Coef!$A:$B,2,FALSE),0))</f>
        <v/>
      </c>
      <c r="Z88">
        <f>IF(Q88="P",IF(ISNUMBER(SEARCH("2F",H88)),IFNA(VLOOKUP("2F",Pitch_Coef!$A:$B,2,FALSE),0),0)+IF(ISNUMBER(SEARCH("4F",H88)),IFNA(VLOOKUP("4F",Pitch_Coef!$A:$B,2,FALSE),0),0)+IF(ISNUMBER(SEARCH("CB",H88)),IFNA(VLOOKUP("CB",Pitch_Coef!$A:$B,2,FALSE),0),0)+IF(ISNUMBER(SEARCH("CF",H88)),IFNA(VLOOKUP("CF",Pitch_Coef!$A:$B,2,FALSE),0),0)+IF(ISNUMBER(SEARCH("CH",H88)),IFNA(VLOOKUP("CH",Pitch_Coef!$A:$B,2,FALSE),0),0)+IF(ISNUMBER(SEARCH("FK",H88)),IFNA(VLOOKUP("FK",Pitch_Coef!$A:$B,2,FALSE),0),0)+IF(ISNUMBER(SEARCH("SB",H88)),IFNA(VLOOKUP("SB",Pitch_Coef!$A:$B,2,FALSE),0),0)+IF(ISNUMBER(SEARCH("SL",H88)),IFNA(VLOOKUP("SL",Pitch_Coef!$A:$B,2,FALSE),0),0),0)</f>
        <v/>
      </c>
      <c r="AA88">
        <f>IF(Q88="P",16.5944849573+0.2529999141*N88+0.2665900378*O88+0.2632687105*P88+0.0427586837*I88+0.0534777057*J88+0.009015832*K88+0.0204898106*(O88*P88/100)+1.0091022427*U88+1.0968542297*IF(D88="L",1,0)+0.3771555045*IF(D88="S",1,0)-0.2226159177*IF(E88="L",1,0)+1.21385024*R88-1.1652812274*S88+W88+X88+Z88,10.5965166711+0.2825983581*I88+0.2806503532*J88+0.2027213083*K88+0.1147824982*L88+0.0915305332*M88-0.0088454122*(I88*J88/100)-0.0336045706*(K88*L88/100)+2.8497389733*IF(D88="L",1,0)+4.5116226727*IF(D88="S",1,0)-0.6571546448*IF(E88="L",1,0)+0.0850728147*T88+0.0129488446*(T88*T88)+0.1909373936*IF(OR(F88="Utility",G88="Utility"),T88,0)+0.9656824071*R88-1.7517683256*S88+W88+X88+Y88)</f>
        <v/>
      </c>
      <c r="AB88">
        <f>LOOKUP(AA88,Grade_Scale!$A$2:$A$18,Grade_Scale!$B$2:$B$18)</f>
        <v/>
      </c>
      <c r="AC88">
        <f>LOOKUP(AA88,Grade_Scale!$A$2:$A$18,Grade_Scale!$C$2:$C$18)</f>
        <v/>
      </c>
      <c r="AE88">
        <f>IF(AD88="","",AB88-VLOOKUP(AD88,Grade_Scale!$C$2:$E$18,3,FALSE))</f>
        <v/>
      </c>
    </row>
    <row r="89">
      <c r="Q89">
        <f>IF(OR(B89="SP",B89="RP",B89="CP",B89="SP/RP"),"P","H")</f>
        <v/>
      </c>
      <c r="R89">
        <f>IF(F89="",0,IFNA(VLOOKUP(F89,Trait_Polarity!$A:$C,2,FALSE),0))+IF(G89="",0,IFNA(VLOOKUP(G89,Trait_Polarity!$A:$C,2,FALSE),0))</f>
        <v/>
      </c>
      <c r="S89">
        <f>IF(F89="",0,IFNA(VLOOKUP(F89,Trait_Polarity!$A:$C,3,FALSE),0))+IF(G89="",0,IFNA(VLOOKUP(G89,Trait_Polarity!$A:$C,3,FALSE),0))</f>
        <v/>
      </c>
      <c r="T89">
        <f>IF(Q89="P",0,IFNA(VLOOKUP(IF(C89="","(none)",C89),Secondary_Versatility!$A:$B,2,FALSE),0))</f>
        <v/>
      </c>
      <c r="U89">
        <f>IF(H89="",0,LEN(H89)-LEN(SUBSTITUTE(H89,"|",""))+1)</f>
        <v/>
      </c>
      <c r="V89">
        <f>IF(Q89="P",(N89+O89+P89)/3,0.3*I89+0.3*J89+0.2*K89+0.1*L89+0.1*M89)</f>
        <v/>
      </c>
      <c r="W89">
        <f>IF(Q89="P",IF(F89="",0,IFNA(VLOOKUP(F89,Pitcher_Trait_Coef!$A:$B,2,FALSE),0))+IF(G89="",0,IFNA(VLOOKUP(G89,Pitcher_Trait_Coef!$A:$B,2,FALSE),0)),IF(F89="",0,IFNA(VLOOKUP(F89,Hitter_Trait_Coef!$A:$B,2,FALSE),0))+IF(G89="",0,IFNA(VLOOKUP(G89,Hitter_Trait_Coef!$A:$B,2,FALSE),0)))</f>
        <v/>
      </c>
      <c r="X89">
        <f>IF(Q89="P",IFNA(VLOOKUP(B89,Pitcher_Primary_Coef!$A:$B,2,FALSE),0),IFNA(VLOOKUP(B89,Hitter_Primary_Coef!$A:$B,2,FALSE),0))</f>
        <v/>
      </c>
      <c r="Y89">
        <f>IF(Q89="P",0,IFNA(VLOOKUP(IF(C89="","(none)",C89),Hitter_Secondary_Coef!$A:$B,2,FALSE),0))</f>
        <v/>
      </c>
      <c r="Z89">
        <f>IF(Q89="P",IF(ISNUMBER(SEARCH("2F",H89)),IFNA(VLOOKUP("2F",Pitch_Coef!$A:$B,2,FALSE),0),0)+IF(ISNUMBER(SEARCH("4F",H89)),IFNA(VLOOKUP("4F",Pitch_Coef!$A:$B,2,FALSE),0),0)+IF(ISNUMBER(SEARCH("CB",H89)),IFNA(VLOOKUP("CB",Pitch_Coef!$A:$B,2,FALSE),0),0)+IF(ISNUMBER(SEARCH("CF",H89)),IFNA(VLOOKUP("CF",Pitch_Coef!$A:$B,2,FALSE),0),0)+IF(ISNUMBER(SEARCH("CH",H89)),IFNA(VLOOKUP("CH",Pitch_Coef!$A:$B,2,FALSE),0),0)+IF(ISNUMBER(SEARCH("FK",H89)),IFNA(VLOOKUP("FK",Pitch_Coef!$A:$B,2,FALSE),0),0)+IF(ISNUMBER(SEARCH("SB",H89)),IFNA(VLOOKUP("SB",Pitch_Coef!$A:$B,2,FALSE),0),0)+IF(ISNUMBER(SEARCH("SL",H89)),IFNA(VLOOKUP("SL",Pitch_Coef!$A:$B,2,FALSE),0),0),0)</f>
        <v/>
      </c>
      <c r="AA89">
        <f>IF(Q89="P",16.5944849573+0.2529999141*N89+0.2665900378*O89+0.2632687105*P89+0.0427586837*I89+0.0534777057*J89+0.009015832*K89+0.0204898106*(O89*P89/100)+1.0091022427*U89+1.0968542297*IF(D89="L",1,0)+0.3771555045*IF(D89="S",1,0)-0.2226159177*IF(E89="L",1,0)+1.21385024*R89-1.1652812274*S89+W89+X89+Z89,10.5965166711+0.2825983581*I89+0.2806503532*J89+0.2027213083*K89+0.1147824982*L89+0.0915305332*M89-0.0088454122*(I89*J89/100)-0.0336045706*(K89*L89/100)+2.8497389733*IF(D89="L",1,0)+4.5116226727*IF(D89="S",1,0)-0.6571546448*IF(E89="L",1,0)+0.0850728147*T89+0.0129488446*(T89*T89)+0.1909373936*IF(OR(F89="Utility",G89="Utility"),T89,0)+0.9656824071*R89-1.7517683256*S89+W89+X89+Y89)</f>
        <v/>
      </c>
      <c r="AB89">
        <f>LOOKUP(AA89,Grade_Scale!$A$2:$A$18,Grade_Scale!$B$2:$B$18)</f>
        <v/>
      </c>
      <c r="AC89">
        <f>LOOKUP(AA89,Grade_Scale!$A$2:$A$18,Grade_Scale!$C$2:$C$18)</f>
        <v/>
      </c>
      <c r="AE89">
        <f>IF(AD89="","",AB89-VLOOKUP(AD89,Grade_Scale!$C$2:$E$18,3,FALSE))</f>
        <v/>
      </c>
    </row>
    <row r="90">
      <c r="Q90">
        <f>IF(OR(B90="SP",B90="RP",B90="CP",B90="SP/RP"),"P","H")</f>
        <v/>
      </c>
      <c r="R90">
        <f>IF(F90="",0,IFNA(VLOOKUP(F90,Trait_Polarity!$A:$C,2,FALSE),0))+IF(G90="",0,IFNA(VLOOKUP(G90,Trait_Polarity!$A:$C,2,FALSE),0))</f>
        <v/>
      </c>
      <c r="S90">
        <f>IF(F90="",0,IFNA(VLOOKUP(F90,Trait_Polarity!$A:$C,3,FALSE),0))+IF(G90="",0,IFNA(VLOOKUP(G90,Trait_Polarity!$A:$C,3,FALSE),0))</f>
        <v/>
      </c>
      <c r="T90">
        <f>IF(Q90="P",0,IFNA(VLOOKUP(IF(C90="","(none)",C90),Secondary_Versatility!$A:$B,2,FALSE),0))</f>
        <v/>
      </c>
      <c r="U90">
        <f>IF(H90="",0,LEN(H90)-LEN(SUBSTITUTE(H90,"|",""))+1)</f>
        <v/>
      </c>
      <c r="V90">
        <f>IF(Q90="P",(N90+O90+P90)/3,0.3*I90+0.3*J90+0.2*K90+0.1*L90+0.1*M90)</f>
        <v/>
      </c>
      <c r="W90">
        <f>IF(Q90="P",IF(F90="",0,IFNA(VLOOKUP(F90,Pitcher_Trait_Coef!$A:$B,2,FALSE),0))+IF(G90="",0,IFNA(VLOOKUP(G90,Pitcher_Trait_Coef!$A:$B,2,FALSE),0)),IF(F90="",0,IFNA(VLOOKUP(F90,Hitter_Trait_Coef!$A:$B,2,FALSE),0))+IF(G90="",0,IFNA(VLOOKUP(G90,Hitter_Trait_Coef!$A:$B,2,FALSE),0)))</f>
        <v/>
      </c>
      <c r="X90">
        <f>IF(Q90="P",IFNA(VLOOKUP(B90,Pitcher_Primary_Coef!$A:$B,2,FALSE),0),IFNA(VLOOKUP(B90,Hitter_Primary_Coef!$A:$B,2,FALSE),0))</f>
        <v/>
      </c>
      <c r="Y90">
        <f>IF(Q90="P",0,IFNA(VLOOKUP(IF(C90="","(none)",C90),Hitter_Secondary_Coef!$A:$B,2,FALSE),0))</f>
        <v/>
      </c>
      <c r="Z90">
        <f>IF(Q90="P",IF(ISNUMBER(SEARCH("2F",H90)),IFNA(VLOOKUP("2F",Pitch_Coef!$A:$B,2,FALSE),0),0)+IF(ISNUMBER(SEARCH("4F",H90)),IFNA(VLOOKUP("4F",Pitch_Coef!$A:$B,2,FALSE),0),0)+IF(ISNUMBER(SEARCH("CB",H90)),IFNA(VLOOKUP("CB",Pitch_Coef!$A:$B,2,FALSE),0),0)+IF(ISNUMBER(SEARCH("CF",H90)),IFNA(VLOOKUP("CF",Pitch_Coef!$A:$B,2,FALSE),0),0)+IF(ISNUMBER(SEARCH("CH",H90)),IFNA(VLOOKUP("CH",Pitch_Coef!$A:$B,2,FALSE),0),0)+IF(ISNUMBER(SEARCH("FK",H90)),IFNA(VLOOKUP("FK",Pitch_Coef!$A:$B,2,FALSE),0),0)+IF(ISNUMBER(SEARCH("SB",H90)),IFNA(VLOOKUP("SB",Pitch_Coef!$A:$B,2,FALSE),0),0)+IF(ISNUMBER(SEARCH("SL",H90)),IFNA(VLOOKUP("SL",Pitch_Coef!$A:$B,2,FALSE),0),0),0)</f>
        <v/>
      </c>
      <c r="AA90">
        <f>IF(Q90="P",16.5944849573+0.2529999141*N90+0.2665900378*O90+0.2632687105*P90+0.0427586837*I90+0.0534777057*J90+0.009015832*K90+0.0204898106*(O90*P90/100)+1.0091022427*U90+1.0968542297*IF(D90="L",1,0)+0.3771555045*IF(D90="S",1,0)-0.2226159177*IF(E90="L",1,0)+1.21385024*R90-1.1652812274*S90+W90+X90+Z90,10.5965166711+0.2825983581*I90+0.2806503532*J90+0.2027213083*K90+0.1147824982*L90+0.0915305332*M90-0.0088454122*(I90*J90/100)-0.0336045706*(K90*L90/100)+2.8497389733*IF(D90="L",1,0)+4.5116226727*IF(D90="S",1,0)-0.6571546448*IF(E90="L",1,0)+0.0850728147*T90+0.0129488446*(T90*T90)+0.1909373936*IF(OR(F90="Utility",G90="Utility"),T90,0)+0.9656824071*R90-1.7517683256*S90+W90+X90+Y90)</f>
        <v/>
      </c>
      <c r="AB90">
        <f>LOOKUP(AA90,Grade_Scale!$A$2:$A$18,Grade_Scale!$B$2:$B$18)</f>
        <v/>
      </c>
      <c r="AC90">
        <f>LOOKUP(AA90,Grade_Scale!$A$2:$A$18,Grade_Scale!$C$2:$C$18)</f>
        <v/>
      </c>
      <c r="AE90">
        <f>IF(AD90="","",AB90-VLOOKUP(AD90,Grade_Scale!$C$2:$E$18,3,FALSE))</f>
        <v/>
      </c>
    </row>
    <row r="91">
      <c r="Q91">
        <f>IF(OR(B91="SP",B91="RP",B91="CP",B91="SP/RP"),"P","H")</f>
        <v/>
      </c>
      <c r="R91">
        <f>IF(F91="",0,IFNA(VLOOKUP(F91,Trait_Polarity!$A:$C,2,FALSE),0))+IF(G91="",0,IFNA(VLOOKUP(G91,Trait_Polarity!$A:$C,2,FALSE),0))</f>
        <v/>
      </c>
      <c r="S91">
        <f>IF(F91="",0,IFNA(VLOOKUP(F91,Trait_Polarity!$A:$C,3,FALSE),0))+IF(G91="",0,IFNA(VLOOKUP(G91,Trait_Polarity!$A:$C,3,FALSE),0))</f>
        <v/>
      </c>
      <c r="T91">
        <f>IF(Q91="P",0,IFNA(VLOOKUP(IF(C91="","(none)",C91),Secondary_Versatility!$A:$B,2,FALSE),0))</f>
        <v/>
      </c>
      <c r="U91">
        <f>IF(H91="",0,LEN(H91)-LEN(SUBSTITUTE(H91,"|",""))+1)</f>
        <v/>
      </c>
      <c r="V91">
        <f>IF(Q91="P",(N91+O91+P91)/3,0.3*I91+0.3*J91+0.2*K91+0.1*L91+0.1*M91)</f>
        <v/>
      </c>
      <c r="W91">
        <f>IF(Q91="P",IF(F91="",0,IFNA(VLOOKUP(F91,Pitcher_Trait_Coef!$A:$B,2,FALSE),0))+IF(G91="",0,IFNA(VLOOKUP(G91,Pitcher_Trait_Coef!$A:$B,2,FALSE),0)),IF(F91="",0,IFNA(VLOOKUP(F91,Hitter_Trait_Coef!$A:$B,2,FALSE),0))+IF(G91="",0,IFNA(VLOOKUP(G91,Hitter_Trait_Coef!$A:$B,2,FALSE),0)))</f>
        <v/>
      </c>
      <c r="X91">
        <f>IF(Q91="P",IFNA(VLOOKUP(B91,Pitcher_Primary_Coef!$A:$B,2,FALSE),0),IFNA(VLOOKUP(B91,Hitter_Primary_Coef!$A:$B,2,FALSE),0))</f>
        <v/>
      </c>
      <c r="Y91">
        <f>IF(Q91="P",0,IFNA(VLOOKUP(IF(C91="","(none)",C91),Hitter_Secondary_Coef!$A:$B,2,FALSE),0))</f>
        <v/>
      </c>
      <c r="Z91">
        <f>IF(Q91="P",IF(ISNUMBER(SEARCH("2F",H91)),IFNA(VLOOKUP("2F",Pitch_Coef!$A:$B,2,FALSE),0),0)+IF(ISNUMBER(SEARCH("4F",H91)),IFNA(VLOOKUP("4F",Pitch_Coef!$A:$B,2,FALSE),0),0)+IF(ISNUMBER(SEARCH("CB",H91)),IFNA(VLOOKUP("CB",Pitch_Coef!$A:$B,2,FALSE),0),0)+IF(ISNUMBER(SEARCH("CF",H91)),IFNA(VLOOKUP("CF",Pitch_Coef!$A:$B,2,FALSE),0),0)+IF(ISNUMBER(SEARCH("CH",H91)),IFNA(VLOOKUP("CH",Pitch_Coef!$A:$B,2,FALSE),0),0)+IF(ISNUMBER(SEARCH("FK",H91)),IFNA(VLOOKUP("FK",Pitch_Coef!$A:$B,2,FALSE),0),0)+IF(ISNUMBER(SEARCH("SB",H91)),IFNA(VLOOKUP("SB",Pitch_Coef!$A:$B,2,FALSE),0),0)+IF(ISNUMBER(SEARCH("SL",H91)),IFNA(VLOOKUP("SL",Pitch_Coef!$A:$B,2,FALSE),0),0),0)</f>
        <v/>
      </c>
      <c r="AA91">
        <f>IF(Q91="P",16.5944849573+0.2529999141*N91+0.2665900378*O91+0.2632687105*P91+0.0427586837*I91+0.0534777057*J91+0.009015832*K91+0.0204898106*(O91*P91/100)+1.0091022427*U91+1.0968542297*IF(D91="L",1,0)+0.3771555045*IF(D91="S",1,0)-0.2226159177*IF(E91="L",1,0)+1.21385024*R91-1.1652812274*S91+W91+X91+Z91,10.5965166711+0.2825983581*I91+0.2806503532*J91+0.2027213083*K91+0.1147824982*L91+0.0915305332*M91-0.0088454122*(I91*J91/100)-0.0336045706*(K91*L91/100)+2.8497389733*IF(D91="L",1,0)+4.5116226727*IF(D91="S",1,0)-0.6571546448*IF(E91="L",1,0)+0.0850728147*T91+0.0129488446*(T91*T91)+0.1909373936*IF(OR(F91="Utility",G91="Utility"),T91,0)+0.9656824071*R91-1.7517683256*S91+W91+X91+Y91)</f>
        <v/>
      </c>
      <c r="AB91">
        <f>LOOKUP(AA91,Grade_Scale!$A$2:$A$18,Grade_Scale!$B$2:$B$18)</f>
        <v/>
      </c>
      <c r="AC91">
        <f>LOOKUP(AA91,Grade_Scale!$A$2:$A$18,Grade_Scale!$C$2:$C$18)</f>
        <v/>
      </c>
      <c r="AE91">
        <f>IF(AD91="","",AB91-VLOOKUP(AD91,Grade_Scale!$C$2:$E$18,3,FALSE))</f>
        <v/>
      </c>
    </row>
    <row r="92">
      <c r="Q92">
        <f>IF(OR(B92="SP",B92="RP",B92="CP",B92="SP/RP"),"P","H")</f>
        <v/>
      </c>
      <c r="R92">
        <f>IF(F92="",0,IFNA(VLOOKUP(F92,Trait_Polarity!$A:$C,2,FALSE),0))+IF(G92="",0,IFNA(VLOOKUP(G92,Trait_Polarity!$A:$C,2,FALSE),0))</f>
        <v/>
      </c>
      <c r="S92">
        <f>IF(F92="",0,IFNA(VLOOKUP(F92,Trait_Polarity!$A:$C,3,FALSE),0))+IF(G92="",0,IFNA(VLOOKUP(G92,Trait_Polarity!$A:$C,3,FALSE),0))</f>
        <v/>
      </c>
      <c r="T92">
        <f>IF(Q92="P",0,IFNA(VLOOKUP(IF(C92="","(none)",C92),Secondary_Versatility!$A:$B,2,FALSE),0))</f>
        <v/>
      </c>
      <c r="U92">
        <f>IF(H92="",0,LEN(H92)-LEN(SUBSTITUTE(H92,"|",""))+1)</f>
        <v/>
      </c>
      <c r="V92">
        <f>IF(Q92="P",(N92+O92+P92)/3,0.3*I92+0.3*J92+0.2*K92+0.1*L92+0.1*M92)</f>
        <v/>
      </c>
      <c r="W92">
        <f>IF(Q92="P",IF(F92="",0,IFNA(VLOOKUP(F92,Pitcher_Trait_Coef!$A:$B,2,FALSE),0))+IF(G92="",0,IFNA(VLOOKUP(G92,Pitcher_Trait_Coef!$A:$B,2,FALSE),0)),IF(F92="",0,IFNA(VLOOKUP(F92,Hitter_Trait_Coef!$A:$B,2,FALSE),0))+IF(G92="",0,IFNA(VLOOKUP(G92,Hitter_Trait_Coef!$A:$B,2,FALSE),0)))</f>
        <v/>
      </c>
      <c r="X92">
        <f>IF(Q92="P",IFNA(VLOOKUP(B92,Pitcher_Primary_Coef!$A:$B,2,FALSE),0),IFNA(VLOOKUP(B92,Hitter_Primary_Coef!$A:$B,2,FALSE),0))</f>
        <v/>
      </c>
      <c r="Y92">
        <f>IF(Q92="P",0,IFNA(VLOOKUP(IF(C92="","(none)",C92),Hitter_Secondary_Coef!$A:$B,2,FALSE),0))</f>
        <v/>
      </c>
      <c r="Z92">
        <f>IF(Q92="P",IF(ISNUMBER(SEARCH("2F",H92)),IFNA(VLOOKUP("2F",Pitch_Coef!$A:$B,2,FALSE),0),0)+IF(ISNUMBER(SEARCH("4F",H92)),IFNA(VLOOKUP("4F",Pitch_Coef!$A:$B,2,FALSE),0),0)+IF(ISNUMBER(SEARCH("CB",H92)),IFNA(VLOOKUP("CB",Pitch_Coef!$A:$B,2,FALSE),0),0)+IF(ISNUMBER(SEARCH("CF",H92)),IFNA(VLOOKUP("CF",Pitch_Coef!$A:$B,2,FALSE),0),0)+IF(ISNUMBER(SEARCH("CH",H92)),IFNA(VLOOKUP("CH",Pitch_Coef!$A:$B,2,FALSE),0),0)+IF(ISNUMBER(SEARCH("FK",H92)),IFNA(VLOOKUP("FK",Pitch_Coef!$A:$B,2,FALSE),0),0)+IF(ISNUMBER(SEARCH("SB",H92)),IFNA(VLOOKUP("SB",Pitch_Coef!$A:$B,2,FALSE),0),0)+IF(ISNUMBER(SEARCH("SL",H92)),IFNA(VLOOKUP("SL",Pitch_Coef!$A:$B,2,FALSE),0),0),0)</f>
        <v/>
      </c>
      <c r="AA92">
        <f>IF(Q92="P",16.5944849573+0.2529999141*N92+0.2665900378*O92+0.2632687105*P92+0.0427586837*I92+0.0534777057*J92+0.009015832*K92+0.0204898106*(O92*P92/100)+1.0091022427*U92+1.0968542297*IF(D92="L",1,0)+0.3771555045*IF(D92="S",1,0)-0.2226159177*IF(E92="L",1,0)+1.21385024*R92-1.1652812274*S92+W92+X92+Z92,10.5965166711+0.2825983581*I92+0.2806503532*J92+0.2027213083*K92+0.1147824982*L92+0.0915305332*M92-0.0088454122*(I92*J92/100)-0.0336045706*(K92*L92/100)+2.8497389733*IF(D92="L",1,0)+4.5116226727*IF(D92="S",1,0)-0.6571546448*IF(E92="L",1,0)+0.0850728147*T92+0.0129488446*(T92*T92)+0.1909373936*IF(OR(F92="Utility",G92="Utility"),T92,0)+0.9656824071*R92-1.7517683256*S92+W92+X92+Y92)</f>
        <v/>
      </c>
      <c r="AB92">
        <f>LOOKUP(AA92,Grade_Scale!$A$2:$A$18,Grade_Scale!$B$2:$B$18)</f>
        <v/>
      </c>
      <c r="AC92">
        <f>LOOKUP(AA92,Grade_Scale!$A$2:$A$18,Grade_Scale!$C$2:$C$18)</f>
        <v/>
      </c>
      <c r="AE92">
        <f>IF(AD92="","",AB92-VLOOKUP(AD92,Grade_Scale!$C$2:$E$18,3,FALSE))</f>
        <v/>
      </c>
    </row>
    <row r="93">
      <c r="Q93">
        <f>IF(OR(B93="SP",B93="RP",B93="CP",B93="SP/RP"),"P","H")</f>
        <v/>
      </c>
      <c r="R93">
        <f>IF(F93="",0,IFNA(VLOOKUP(F93,Trait_Polarity!$A:$C,2,FALSE),0))+IF(G93="",0,IFNA(VLOOKUP(G93,Trait_Polarity!$A:$C,2,FALSE),0))</f>
        <v/>
      </c>
      <c r="S93">
        <f>IF(F93="",0,IFNA(VLOOKUP(F93,Trait_Polarity!$A:$C,3,FALSE),0))+IF(G93="",0,IFNA(VLOOKUP(G93,Trait_Polarity!$A:$C,3,FALSE),0))</f>
        <v/>
      </c>
      <c r="T93">
        <f>IF(Q93="P",0,IFNA(VLOOKUP(IF(C93="","(none)",C93),Secondary_Versatility!$A:$B,2,FALSE),0))</f>
        <v/>
      </c>
      <c r="U93">
        <f>IF(H93="",0,LEN(H93)-LEN(SUBSTITUTE(H93,"|",""))+1)</f>
        <v/>
      </c>
      <c r="V93">
        <f>IF(Q93="P",(N93+O93+P93)/3,0.3*I93+0.3*J93+0.2*K93+0.1*L93+0.1*M93)</f>
        <v/>
      </c>
      <c r="W93">
        <f>IF(Q93="P",IF(F93="",0,IFNA(VLOOKUP(F93,Pitcher_Trait_Coef!$A:$B,2,FALSE),0))+IF(G93="",0,IFNA(VLOOKUP(G93,Pitcher_Trait_Coef!$A:$B,2,FALSE),0)),IF(F93="",0,IFNA(VLOOKUP(F93,Hitter_Trait_Coef!$A:$B,2,FALSE),0))+IF(G93="",0,IFNA(VLOOKUP(G93,Hitter_Trait_Coef!$A:$B,2,FALSE),0)))</f>
        <v/>
      </c>
      <c r="X93">
        <f>IF(Q93="P",IFNA(VLOOKUP(B93,Pitcher_Primary_Coef!$A:$B,2,FALSE),0),IFNA(VLOOKUP(B93,Hitter_Primary_Coef!$A:$B,2,FALSE),0))</f>
        <v/>
      </c>
      <c r="Y93">
        <f>IF(Q93="P",0,IFNA(VLOOKUP(IF(C93="","(none)",C93),Hitter_Secondary_Coef!$A:$B,2,FALSE),0))</f>
        <v/>
      </c>
      <c r="Z93">
        <f>IF(Q93="P",IF(ISNUMBER(SEARCH("2F",H93)),IFNA(VLOOKUP("2F",Pitch_Coef!$A:$B,2,FALSE),0),0)+IF(ISNUMBER(SEARCH("4F",H93)),IFNA(VLOOKUP("4F",Pitch_Coef!$A:$B,2,FALSE),0),0)+IF(ISNUMBER(SEARCH("CB",H93)),IFNA(VLOOKUP("CB",Pitch_Coef!$A:$B,2,FALSE),0),0)+IF(ISNUMBER(SEARCH("CF",H93)),IFNA(VLOOKUP("CF",Pitch_Coef!$A:$B,2,FALSE),0),0)+IF(ISNUMBER(SEARCH("CH",H93)),IFNA(VLOOKUP("CH",Pitch_Coef!$A:$B,2,FALSE),0),0)+IF(ISNUMBER(SEARCH("FK",H93)),IFNA(VLOOKUP("FK",Pitch_Coef!$A:$B,2,FALSE),0),0)+IF(ISNUMBER(SEARCH("SB",H93)),IFNA(VLOOKUP("SB",Pitch_Coef!$A:$B,2,FALSE),0),0)+IF(ISNUMBER(SEARCH("SL",H93)),IFNA(VLOOKUP("SL",Pitch_Coef!$A:$B,2,FALSE),0),0),0)</f>
        <v/>
      </c>
      <c r="AA93">
        <f>IF(Q93="P",16.5944849573+0.2529999141*N93+0.2665900378*O93+0.2632687105*P93+0.0427586837*I93+0.0534777057*J93+0.009015832*K93+0.0204898106*(O93*P93/100)+1.0091022427*U93+1.0968542297*IF(D93="L",1,0)+0.3771555045*IF(D93="S",1,0)-0.2226159177*IF(E93="L",1,0)+1.21385024*R93-1.1652812274*S93+W93+X93+Z93,10.5965166711+0.2825983581*I93+0.2806503532*J93+0.2027213083*K93+0.1147824982*L93+0.0915305332*M93-0.0088454122*(I93*J93/100)-0.0336045706*(K93*L93/100)+2.8497389733*IF(D93="L",1,0)+4.5116226727*IF(D93="S",1,0)-0.6571546448*IF(E93="L",1,0)+0.0850728147*T93+0.0129488446*(T93*T93)+0.1909373936*IF(OR(F93="Utility",G93="Utility"),T93,0)+0.9656824071*R93-1.7517683256*S93+W93+X93+Y93)</f>
        <v/>
      </c>
      <c r="AB93">
        <f>LOOKUP(AA93,Grade_Scale!$A$2:$A$18,Grade_Scale!$B$2:$B$18)</f>
        <v/>
      </c>
      <c r="AC93">
        <f>LOOKUP(AA93,Grade_Scale!$A$2:$A$18,Grade_Scale!$C$2:$C$18)</f>
        <v/>
      </c>
      <c r="AE93">
        <f>IF(AD93="","",AB93-VLOOKUP(AD93,Grade_Scale!$C$2:$E$18,3,FALSE))</f>
        <v/>
      </c>
    </row>
    <row r="94">
      <c r="Q94">
        <f>IF(OR(B94="SP",B94="RP",B94="CP",B94="SP/RP"),"P","H")</f>
        <v/>
      </c>
      <c r="R94">
        <f>IF(F94="",0,IFNA(VLOOKUP(F94,Trait_Polarity!$A:$C,2,FALSE),0))+IF(G94="",0,IFNA(VLOOKUP(G94,Trait_Polarity!$A:$C,2,FALSE),0))</f>
        <v/>
      </c>
      <c r="S94">
        <f>IF(F94="",0,IFNA(VLOOKUP(F94,Trait_Polarity!$A:$C,3,FALSE),0))+IF(G94="",0,IFNA(VLOOKUP(G94,Trait_Polarity!$A:$C,3,FALSE),0))</f>
        <v/>
      </c>
      <c r="T94">
        <f>IF(Q94="P",0,IFNA(VLOOKUP(IF(C94="","(none)",C94),Secondary_Versatility!$A:$B,2,FALSE),0))</f>
        <v/>
      </c>
      <c r="U94">
        <f>IF(H94="",0,LEN(H94)-LEN(SUBSTITUTE(H94,"|",""))+1)</f>
        <v/>
      </c>
      <c r="V94">
        <f>IF(Q94="P",(N94+O94+P94)/3,0.3*I94+0.3*J94+0.2*K94+0.1*L94+0.1*M94)</f>
        <v/>
      </c>
      <c r="W94">
        <f>IF(Q94="P",IF(F94="",0,IFNA(VLOOKUP(F94,Pitcher_Trait_Coef!$A:$B,2,FALSE),0))+IF(G94="",0,IFNA(VLOOKUP(G94,Pitcher_Trait_Coef!$A:$B,2,FALSE),0)),IF(F94="",0,IFNA(VLOOKUP(F94,Hitter_Trait_Coef!$A:$B,2,FALSE),0))+IF(G94="",0,IFNA(VLOOKUP(G94,Hitter_Trait_Coef!$A:$B,2,FALSE),0)))</f>
        <v/>
      </c>
      <c r="X94">
        <f>IF(Q94="P",IFNA(VLOOKUP(B94,Pitcher_Primary_Coef!$A:$B,2,FALSE),0),IFNA(VLOOKUP(B94,Hitter_Primary_Coef!$A:$B,2,FALSE),0))</f>
        <v/>
      </c>
      <c r="Y94">
        <f>IF(Q94="P",0,IFNA(VLOOKUP(IF(C94="","(none)",C94),Hitter_Secondary_Coef!$A:$B,2,FALSE),0))</f>
        <v/>
      </c>
      <c r="Z94">
        <f>IF(Q94="P",IF(ISNUMBER(SEARCH("2F",H94)),IFNA(VLOOKUP("2F",Pitch_Coef!$A:$B,2,FALSE),0),0)+IF(ISNUMBER(SEARCH("4F",H94)),IFNA(VLOOKUP("4F",Pitch_Coef!$A:$B,2,FALSE),0),0)+IF(ISNUMBER(SEARCH("CB",H94)),IFNA(VLOOKUP("CB",Pitch_Coef!$A:$B,2,FALSE),0),0)+IF(ISNUMBER(SEARCH("CF",H94)),IFNA(VLOOKUP("CF",Pitch_Coef!$A:$B,2,FALSE),0),0)+IF(ISNUMBER(SEARCH("CH",H94)),IFNA(VLOOKUP("CH",Pitch_Coef!$A:$B,2,FALSE),0),0)+IF(ISNUMBER(SEARCH("FK",H94)),IFNA(VLOOKUP("FK",Pitch_Coef!$A:$B,2,FALSE),0),0)+IF(ISNUMBER(SEARCH("SB",H94)),IFNA(VLOOKUP("SB",Pitch_Coef!$A:$B,2,FALSE),0),0)+IF(ISNUMBER(SEARCH("SL",H94)),IFNA(VLOOKUP("SL",Pitch_Coef!$A:$B,2,FALSE),0),0),0)</f>
        <v/>
      </c>
      <c r="AA94">
        <f>IF(Q94="P",16.5944849573+0.2529999141*N94+0.2665900378*O94+0.2632687105*P94+0.0427586837*I94+0.0534777057*J94+0.009015832*K94+0.0204898106*(O94*P94/100)+1.0091022427*U94+1.0968542297*IF(D94="L",1,0)+0.3771555045*IF(D94="S",1,0)-0.2226159177*IF(E94="L",1,0)+1.21385024*R94-1.1652812274*S94+W94+X94+Z94,10.5965166711+0.2825983581*I94+0.2806503532*J94+0.2027213083*K94+0.1147824982*L94+0.0915305332*M94-0.0088454122*(I94*J94/100)-0.0336045706*(K94*L94/100)+2.8497389733*IF(D94="L",1,0)+4.5116226727*IF(D94="S",1,0)-0.6571546448*IF(E94="L",1,0)+0.0850728147*T94+0.0129488446*(T94*T94)+0.1909373936*IF(OR(F94="Utility",G94="Utility"),T94,0)+0.9656824071*R94-1.7517683256*S94+W94+X94+Y94)</f>
        <v/>
      </c>
      <c r="AB94">
        <f>LOOKUP(AA94,Grade_Scale!$A$2:$A$18,Grade_Scale!$B$2:$B$18)</f>
        <v/>
      </c>
      <c r="AC94">
        <f>LOOKUP(AA94,Grade_Scale!$A$2:$A$18,Grade_Scale!$C$2:$C$18)</f>
        <v/>
      </c>
      <c r="AE94">
        <f>IF(AD94="","",AB94-VLOOKUP(AD94,Grade_Scale!$C$2:$E$18,3,FALSE))</f>
        <v/>
      </c>
    </row>
    <row r="95">
      <c r="Q95">
        <f>IF(OR(B95="SP",B95="RP",B95="CP",B95="SP/RP"),"P","H")</f>
        <v/>
      </c>
      <c r="R95">
        <f>IF(F95="",0,IFNA(VLOOKUP(F95,Trait_Polarity!$A:$C,2,FALSE),0))+IF(G95="",0,IFNA(VLOOKUP(G95,Trait_Polarity!$A:$C,2,FALSE),0))</f>
        <v/>
      </c>
      <c r="S95">
        <f>IF(F95="",0,IFNA(VLOOKUP(F95,Trait_Polarity!$A:$C,3,FALSE),0))+IF(G95="",0,IFNA(VLOOKUP(G95,Trait_Polarity!$A:$C,3,FALSE),0))</f>
        <v/>
      </c>
      <c r="T95">
        <f>IF(Q95="P",0,IFNA(VLOOKUP(IF(C95="","(none)",C95),Secondary_Versatility!$A:$B,2,FALSE),0))</f>
        <v/>
      </c>
      <c r="U95">
        <f>IF(H95="",0,LEN(H95)-LEN(SUBSTITUTE(H95,"|",""))+1)</f>
        <v/>
      </c>
      <c r="V95">
        <f>IF(Q95="P",(N95+O95+P95)/3,0.3*I95+0.3*J95+0.2*K95+0.1*L95+0.1*M95)</f>
        <v/>
      </c>
      <c r="W95">
        <f>IF(Q95="P",IF(F95="",0,IFNA(VLOOKUP(F95,Pitcher_Trait_Coef!$A:$B,2,FALSE),0))+IF(G95="",0,IFNA(VLOOKUP(G95,Pitcher_Trait_Coef!$A:$B,2,FALSE),0)),IF(F95="",0,IFNA(VLOOKUP(F95,Hitter_Trait_Coef!$A:$B,2,FALSE),0))+IF(G95="",0,IFNA(VLOOKUP(G95,Hitter_Trait_Coef!$A:$B,2,FALSE),0)))</f>
        <v/>
      </c>
      <c r="X95">
        <f>IF(Q95="P",IFNA(VLOOKUP(B95,Pitcher_Primary_Coef!$A:$B,2,FALSE),0),IFNA(VLOOKUP(B95,Hitter_Primary_Coef!$A:$B,2,FALSE),0))</f>
        <v/>
      </c>
      <c r="Y95">
        <f>IF(Q95="P",0,IFNA(VLOOKUP(IF(C95="","(none)",C95),Hitter_Secondary_Coef!$A:$B,2,FALSE),0))</f>
        <v/>
      </c>
      <c r="Z95">
        <f>IF(Q95="P",IF(ISNUMBER(SEARCH("2F",H95)),IFNA(VLOOKUP("2F",Pitch_Coef!$A:$B,2,FALSE),0),0)+IF(ISNUMBER(SEARCH("4F",H95)),IFNA(VLOOKUP("4F",Pitch_Coef!$A:$B,2,FALSE),0),0)+IF(ISNUMBER(SEARCH("CB",H95)),IFNA(VLOOKUP("CB",Pitch_Coef!$A:$B,2,FALSE),0),0)+IF(ISNUMBER(SEARCH("CF",H95)),IFNA(VLOOKUP("CF",Pitch_Coef!$A:$B,2,FALSE),0),0)+IF(ISNUMBER(SEARCH("CH",H95)),IFNA(VLOOKUP("CH",Pitch_Coef!$A:$B,2,FALSE),0),0)+IF(ISNUMBER(SEARCH("FK",H95)),IFNA(VLOOKUP("FK",Pitch_Coef!$A:$B,2,FALSE),0),0)+IF(ISNUMBER(SEARCH("SB",H95)),IFNA(VLOOKUP("SB",Pitch_Coef!$A:$B,2,FALSE),0),0)+IF(ISNUMBER(SEARCH("SL",H95)),IFNA(VLOOKUP("SL",Pitch_Coef!$A:$B,2,FALSE),0),0),0)</f>
        <v/>
      </c>
      <c r="AA95">
        <f>IF(Q95="P",16.5944849573+0.2529999141*N95+0.2665900378*O95+0.2632687105*P95+0.0427586837*I95+0.0534777057*J95+0.009015832*K95+0.0204898106*(O95*P95/100)+1.0091022427*U95+1.0968542297*IF(D95="L",1,0)+0.3771555045*IF(D95="S",1,0)-0.2226159177*IF(E95="L",1,0)+1.21385024*R95-1.1652812274*S95+W95+X95+Z95,10.5965166711+0.2825983581*I95+0.2806503532*J95+0.2027213083*K95+0.1147824982*L95+0.0915305332*M95-0.0088454122*(I95*J95/100)-0.0336045706*(K95*L95/100)+2.8497389733*IF(D95="L",1,0)+4.5116226727*IF(D95="S",1,0)-0.6571546448*IF(E95="L",1,0)+0.0850728147*T95+0.0129488446*(T95*T95)+0.1909373936*IF(OR(F95="Utility",G95="Utility"),T95,0)+0.9656824071*R95-1.7517683256*S95+W95+X95+Y95)</f>
        <v/>
      </c>
      <c r="AB95">
        <f>LOOKUP(AA95,Grade_Scale!$A$2:$A$18,Grade_Scale!$B$2:$B$18)</f>
        <v/>
      </c>
      <c r="AC95">
        <f>LOOKUP(AA95,Grade_Scale!$A$2:$A$18,Grade_Scale!$C$2:$C$18)</f>
        <v/>
      </c>
      <c r="AE95">
        <f>IF(AD95="","",AB95-VLOOKUP(AD95,Grade_Scale!$C$2:$E$18,3,FALSE))</f>
        <v/>
      </c>
    </row>
    <row r="96">
      <c r="Q96">
        <f>IF(OR(B96="SP",B96="RP",B96="CP",B96="SP/RP"),"P","H")</f>
        <v/>
      </c>
      <c r="R96">
        <f>IF(F96="",0,IFNA(VLOOKUP(F96,Trait_Polarity!$A:$C,2,FALSE),0))+IF(G96="",0,IFNA(VLOOKUP(G96,Trait_Polarity!$A:$C,2,FALSE),0))</f>
        <v/>
      </c>
      <c r="S96">
        <f>IF(F96="",0,IFNA(VLOOKUP(F96,Trait_Polarity!$A:$C,3,FALSE),0))+IF(G96="",0,IFNA(VLOOKUP(G96,Trait_Polarity!$A:$C,3,FALSE),0))</f>
        <v/>
      </c>
      <c r="T96">
        <f>IF(Q96="P",0,IFNA(VLOOKUP(IF(C96="","(none)",C96),Secondary_Versatility!$A:$B,2,FALSE),0))</f>
        <v/>
      </c>
      <c r="U96">
        <f>IF(H96="",0,LEN(H96)-LEN(SUBSTITUTE(H96,"|",""))+1)</f>
        <v/>
      </c>
      <c r="V96">
        <f>IF(Q96="P",(N96+O96+P96)/3,0.3*I96+0.3*J96+0.2*K96+0.1*L96+0.1*M96)</f>
        <v/>
      </c>
      <c r="W96">
        <f>IF(Q96="P",IF(F96="",0,IFNA(VLOOKUP(F96,Pitcher_Trait_Coef!$A:$B,2,FALSE),0))+IF(G96="",0,IFNA(VLOOKUP(G96,Pitcher_Trait_Coef!$A:$B,2,FALSE),0)),IF(F96="",0,IFNA(VLOOKUP(F96,Hitter_Trait_Coef!$A:$B,2,FALSE),0))+IF(G96="",0,IFNA(VLOOKUP(G96,Hitter_Trait_Coef!$A:$B,2,FALSE),0)))</f>
        <v/>
      </c>
      <c r="X96">
        <f>IF(Q96="P",IFNA(VLOOKUP(B96,Pitcher_Primary_Coef!$A:$B,2,FALSE),0),IFNA(VLOOKUP(B96,Hitter_Primary_Coef!$A:$B,2,FALSE),0))</f>
        <v/>
      </c>
      <c r="Y96">
        <f>IF(Q96="P",0,IFNA(VLOOKUP(IF(C96="","(none)",C96),Hitter_Secondary_Coef!$A:$B,2,FALSE),0))</f>
        <v/>
      </c>
      <c r="Z96">
        <f>IF(Q96="P",IF(ISNUMBER(SEARCH("2F",H96)),IFNA(VLOOKUP("2F",Pitch_Coef!$A:$B,2,FALSE),0),0)+IF(ISNUMBER(SEARCH("4F",H96)),IFNA(VLOOKUP("4F",Pitch_Coef!$A:$B,2,FALSE),0),0)+IF(ISNUMBER(SEARCH("CB",H96)),IFNA(VLOOKUP("CB",Pitch_Coef!$A:$B,2,FALSE),0),0)+IF(ISNUMBER(SEARCH("CF",H96)),IFNA(VLOOKUP("CF",Pitch_Coef!$A:$B,2,FALSE),0),0)+IF(ISNUMBER(SEARCH("CH",H96)),IFNA(VLOOKUP("CH",Pitch_Coef!$A:$B,2,FALSE),0),0)+IF(ISNUMBER(SEARCH("FK",H96)),IFNA(VLOOKUP("FK",Pitch_Coef!$A:$B,2,FALSE),0),0)+IF(ISNUMBER(SEARCH("SB",H96)),IFNA(VLOOKUP("SB",Pitch_Coef!$A:$B,2,FALSE),0),0)+IF(ISNUMBER(SEARCH("SL",H96)),IFNA(VLOOKUP("SL",Pitch_Coef!$A:$B,2,FALSE),0),0),0)</f>
        <v/>
      </c>
      <c r="AA96">
        <f>IF(Q96="P",16.5944849573+0.2529999141*N96+0.2665900378*O96+0.2632687105*P96+0.0427586837*I96+0.0534777057*J96+0.009015832*K96+0.0204898106*(O96*P96/100)+1.0091022427*U96+1.0968542297*IF(D96="L",1,0)+0.3771555045*IF(D96="S",1,0)-0.2226159177*IF(E96="L",1,0)+1.21385024*R96-1.1652812274*S96+W96+X96+Z96,10.5965166711+0.2825983581*I96+0.2806503532*J96+0.2027213083*K96+0.1147824982*L96+0.0915305332*M96-0.0088454122*(I96*J96/100)-0.0336045706*(K96*L96/100)+2.8497389733*IF(D96="L",1,0)+4.5116226727*IF(D96="S",1,0)-0.6571546448*IF(E96="L",1,0)+0.0850728147*T96+0.0129488446*(T96*T96)+0.1909373936*IF(OR(F96="Utility",G96="Utility"),T96,0)+0.9656824071*R96-1.7517683256*S96+W96+X96+Y96)</f>
        <v/>
      </c>
      <c r="AB96">
        <f>LOOKUP(AA96,Grade_Scale!$A$2:$A$18,Grade_Scale!$B$2:$B$18)</f>
        <v/>
      </c>
      <c r="AC96">
        <f>LOOKUP(AA96,Grade_Scale!$A$2:$A$18,Grade_Scale!$C$2:$C$18)</f>
        <v/>
      </c>
      <c r="AE96">
        <f>IF(AD96="","",AB96-VLOOKUP(AD96,Grade_Scale!$C$2:$E$18,3,FALSE))</f>
        <v/>
      </c>
    </row>
    <row r="97">
      <c r="Q97">
        <f>IF(OR(B97="SP",B97="RP",B97="CP",B97="SP/RP"),"P","H")</f>
        <v/>
      </c>
      <c r="R97">
        <f>IF(F97="",0,IFNA(VLOOKUP(F97,Trait_Polarity!$A:$C,2,FALSE),0))+IF(G97="",0,IFNA(VLOOKUP(G97,Trait_Polarity!$A:$C,2,FALSE),0))</f>
        <v/>
      </c>
      <c r="S97">
        <f>IF(F97="",0,IFNA(VLOOKUP(F97,Trait_Polarity!$A:$C,3,FALSE),0))+IF(G97="",0,IFNA(VLOOKUP(G97,Trait_Polarity!$A:$C,3,FALSE),0))</f>
        <v/>
      </c>
      <c r="T97">
        <f>IF(Q97="P",0,IFNA(VLOOKUP(IF(C97="","(none)",C97),Secondary_Versatility!$A:$B,2,FALSE),0))</f>
        <v/>
      </c>
      <c r="U97">
        <f>IF(H97="",0,LEN(H97)-LEN(SUBSTITUTE(H97,"|",""))+1)</f>
        <v/>
      </c>
      <c r="V97">
        <f>IF(Q97="P",(N97+O97+P97)/3,0.3*I97+0.3*J97+0.2*K97+0.1*L97+0.1*M97)</f>
        <v/>
      </c>
      <c r="W97">
        <f>IF(Q97="P",IF(F97="",0,IFNA(VLOOKUP(F97,Pitcher_Trait_Coef!$A:$B,2,FALSE),0))+IF(G97="",0,IFNA(VLOOKUP(G97,Pitcher_Trait_Coef!$A:$B,2,FALSE),0)),IF(F97="",0,IFNA(VLOOKUP(F97,Hitter_Trait_Coef!$A:$B,2,FALSE),0))+IF(G97="",0,IFNA(VLOOKUP(G97,Hitter_Trait_Coef!$A:$B,2,FALSE),0)))</f>
        <v/>
      </c>
      <c r="X97">
        <f>IF(Q97="P",IFNA(VLOOKUP(B97,Pitcher_Primary_Coef!$A:$B,2,FALSE),0),IFNA(VLOOKUP(B97,Hitter_Primary_Coef!$A:$B,2,FALSE),0))</f>
        <v/>
      </c>
      <c r="Y97">
        <f>IF(Q97="P",0,IFNA(VLOOKUP(IF(C97="","(none)",C97),Hitter_Secondary_Coef!$A:$B,2,FALSE),0))</f>
        <v/>
      </c>
      <c r="Z97">
        <f>IF(Q97="P",IF(ISNUMBER(SEARCH("2F",H97)),IFNA(VLOOKUP("2F",Pitch_Coef!$A:$B,2,FALSE),0),0)+IF(ISNUMBER(SEARCH("4F",H97)),IFNA(VLOOKUP("4F",Pitch_Coef!$A:$B,2,FALSE),0),0)+IF(ISNUMBER(SEARCH("CB",H97)),IFNA(VLOOKUP("CB",Pitch_Coef!$A:$B,2,FALSE),0),0)+IF(ISNUMBER(SEARCH("CF",H97)),IFNA(VLOOKUP("CF",Pitch_Coef!$A:$B,2,FALSE),0),0)+IF(ISNUMBER(SEARCH("CH",H97)),IFNA(VLOOKUP("CH",Pitch_Coef!$A:$B,2,FALSE),0),0)+IF(ISNUMBER(SEARCH("FK",H97)),IFNA(VLOOKUP("FK",Pitch_Coef!$A:$B,2,FALSE),0),0)+IF(ISNUMBER(SEARCH("SB",H97)),IFNA(VLOOKUP("SB",Pitch_Coef!$A:$B,2,FALSE),0),0)+IF(ISNUMBER(SEARCH("SL",H97)),IFNA(VLOOKUP("SL",Pitch_Coef!$A:$B,2,FALSE),0),0),0)</f>
        <v/>
      </c>
      <c r="AA97">
        <f>IF(Q97="P",16.5944849573+0.2529999141*N97+0.2665900378*O97+0.2632687105*P97+0.0427586837*I97+0.0534777057*J97+0.009015832*K97+0.0204898106*(O97*P97/100)+1.0091022427*U97+1.0968542297*IF(D97="L",1,0)+0.3771555045*IF(D97="S",1,0)-0.2226159177*IF(E97="L",1,0)+1.21385024*R97-1.1652812274*S97+W97+X97+Z97,10.5965166711+0.2825983581*I97+0.2806503532*J97+0.2027213083*K97+0.1147824982*L97+0.0915305332*M97-0.0088454122*(I97*J97/100)-0.0336045706*(K97*L97/100)+2.8497389733*IF(D97="L",1,0)+4.5116226727*IF(D97="S",1,0)-0.6571546448*IF(E97="L",1,0)+0.0850728147*T97+0.0129488446*(T97*T97)+0.1909373936*IF(OR(F97="Utility",G97="Utility"),T97,0)+0.9656824071*R97-1.7517683256*S97+W97+X97+Y97)</f>
        <v/>
      </c>
      <c r="AB97">
        <f>LOOKUP(AA97,Grade_Scale!$A$2:$A$18,Grade_Scale!$B$2:$B$18)</f>
        <v/>
      </c>
      <c r="AC97">
        <f>LOOKUP(AA97,Grade_Scale!$A$2:$A$18,Grade_Scale!$C$2:$C$18)</f>
        <v/>
      </c>
      <c r="AE97">
        <f>IF(AD97="","",AB97-VLOOKUP(AD97,Grade_Scale!$C$2:$E$18,3,FALSE))</f>
        <v/>
      </c>
    </row>
    <row r="98">
      <c r="Q98">
        <f>IF(OR(B98="SP",B98="RP",B98="CP",B98="SP/RP"),"P","H")</f>
        <v/>
      </c>
      <c r="R98">
        <f>IF(F98="",0,IFNA(VLOOKUP(F98,Trait_Polarity!$A:$C,2,FALSE),0))+IF(G98="",0,IFNA(VLOOKUP(G98,Trait_Polarity!$A:$C,2,FALSE),0))</f>
        <v/>
      </c>
      <c r="S98">
        <f>IF(F98="",0,IFNA(VLOOKUP(F98,Trait_Polarity!$A:$C,3,FALSE),0))+IF(G98="",0,IFNA(VLOOKUP(G98,Trait_Polarity!$A:$C,3,FALSE),0))</f>
        <v/>
      </c>
      <c r="T98">
        <f>IF(Q98="P",0,IFNA(VLOOKUP(IF(C98="","(none)",C98),Secondary_Versatility!$A:$B,2,FALSE),0))</f>
        <v/>
      </c>
      <c r="U98">
        <f>IF(H98="",0,LEN(H98)-LEN(SUBSTITUTE(H98,"|",""))+1)</f>
        <v/>
      </c>
      <c r="V98">
        <f>IF(Q98="P",(N98+O98+P98)/3,0.3*I98+0.3*J98+0.2*K98+0.1*L98+0.1*M98)</f>
        <v/>
      </c>
      <c r="W98">
        <f>IF(Q98="P",IF(F98="",0,IFNA(VLOOKUP(F98,Pitcher_Trait_Coef!$A:$B,2,FALSE),0))+IF(G98="",0,IFNA(VLOOKUP(G98,Pitcher_Trait_Coef!$A:$B,2,FALSE),0)),IF(F98="",0,IFNA(VLOOKUP(F98,Hitter_Trait_Coef!$A:$B,2,FALSE),0))+IF(G98="",0,IFNA(VLOOKUP(G98,Hitter_Trait_Coef!$A:$B,2,FALSE),0)))</f>
        <v/>
      </c>
      <c r="X98">
        <f>IF(Q98="P",IFNA(VLOOKUP(B98,Pitcher_Primary_Coef!$A:$B,2,FALSE),0),IFNA(VLOOKUP(B98,Hitter_Primary_Coef!$A:$B,2,FALSE),0))</f>
        <v/>
      </c>
      <c r="Y98">
        <f>IF(Q98="P",0,IFNA(VLOOKUP(IF(C98="","(none)",C98),Hitter_Secondary_Coef!$A:$B,2,FALSE),0))</f>
        <v/>
      </c>
      <c r="Z98">
        <f>IF(Q98="P",IF(ISNUMBER(SEARCH("2F",H98)),IFNA(VLOOKUP("2F",Pitch_Coef!$A:$B,2,FALSE),0),0)+IF(ISNUMBER(SEARCH("4F",H98)),IFNA(VLOOKUP("4F",Pitch_Coef!$A:$B,2,FALSE),0),0)+IF(ISNUMBER(SEARCH("CB",H98)),IFNA(VLOOKUP("CB",Pitch_Coef!$A:$B,2,FALSE),0),0)+IF(ISNUMBER(SEARCH("CF",H98)),IFNA(VLOOKUP("CF",Pitch_Coef!$A:$B,2,FALSE),0),0)+IF(ISNUMBER(SEARCH("CH",H98)),IFNA(VLOOKUP("CH",Pitch_Coef!$A:$B,2,FALSE),0),0)+IF(ISNUMBER(SEARCH("FK",H98)),IFNA(VLOOKUP("FK",Pitch_Coef!$A:$B,2,FALSE),0),0)+IF(ISNUMBER(SEARCH("SB",H98)),IFNA(VLOOKUP("SB",Pitch_Coef!$A:$B,2,FALSE),0),0)+IF(ISNUMBER(SEARCH("SL",H98)),IFNA(VLOOKUP("SL",Pitch_Coef!$A:$B,2,FALSE),0),0),0)</f>
        <v/>
      </c>
      <c r="AA98">
        <f>IF(Q98="P",16.5944849573+0.2529999141*N98+0.2665900378*O98+0.2632687105*P98+0.0427586837*I98+0.0534777057*J98+0.009015832*K98+0.0204898106*(O98*P98/100)+1.0091022427*U98+1.0968542297*IF(D98="L",1,0)+0.3771555045*IF(D98="S",1,0)-0.2226159177*IF(E98="L",1,0)+1.21385024*R98-1.1652812274*S98+W98+X98+Z98,10.5965166711+0.2825983581*I98+0.2806503532*J98+0.2027213083*K98+0.1147824982*L98+0.0915305332*M98-0.0088454122*(I98*J98/100)-0.0336045706*(K98*L98/100)+2.8497389733*IF(D98="L",1,0)+4.5116226727*IF(D98="S",1,0)-0.6571546448*IF(E98="L",1,0)+0.0850728147*T98+0.0129488446*(T98*T98)+0.1909373936*IF(OR(F98="Utility",G98="Utility"),T98,0)+0.9656824071*R98-1.7517683256*S98+W98+X98+Y98)</f>
        <v/>
      </c>
      <c r="AB98">
        <f>LOOKUP(AA98,Grade_Scale!$A$2:$A$18,Grade_Scale!$B$2:$B$18)</f>
        <v/>
      </c>
      <c r="AC98">
        <f>LOOKUP(AA98,Grade_Scale!$A$2:$A$18,Grade_Scale!$C$2:$C$18)</f>
        <v/>
      </c>
      <c r="AE98">
        <f>IF(AD98="","",AB98-VLOOKUP(AD98,Grade_Scale!$C$2:$E$18,3,FALSE))</f>
        <v/>
      </c>
    </row>
    <row r="99">
      <c r="Q99">
        <f>IF(OR(B99="SP",B99="RP",B99="CP",B99="SP/RP"),"P","H")</f>
        <v/>
      </c>
      <c r="R99">
        <f>IF(F99="",0,IFNA(VLOOKUP(F99,Trait_Polarity!$A:$C,2,FALSE),0))+IF(G99="",0,IFNA(VLOOKUP(G99,Trait_Polarity!$A:$C,2,FALSE),0))</f>
        <v/>
      </c>
      <c r="S99">
        <f>IF(F99="",0,IFNA(VLOOKUP(F99,Trait_Polarity!$A:$C,3,FALSE),0))+IF(G99="",0,IFNA(VLOOKUP(G99,Trait_Polarity!$A:$C,3,FALSE),0))</f>
        <v/>
      </c>
      <c r="T99">
        <f>IF(Q99="P",0,IFNA(VLOOKUP(IF(C99="","(none)",C99),Secondary_Versatility!$A:$B,2,FALSE),0))</f>
        <v/>
      </c>
      <c r="U99">
        <f>IF(H99="",0,LEN(H99)-LEN(SUBSTITUTE(H99,"|",""))+1)</f>
        <v/>
      </c>
      <c r="V99">
        <f>IF(Q99="P",(N99+O99+P99)/3,0.3*I99+0.3*J99+0.2*K99+0.1*L99+0.1*M99)</f>
        <v/>
      </c>
      <c r="W99">
        <f>IF(Q99="P",IF(F99="",0,IFNA(VLOOKUP(F99,Pitcher_Trait_Coef!$A:$B,2,FALSE),0))+IF(G99="",0,IFNA(VLOOKUP(G99,Pitcher_Trait_Coef!$A:$B,2,FALSE),0)),IF(F99="",0,IFNA(VLOOKUP(F99,Hitter_Trait_Coef!$A:$B,2,FALSE),0))+IF(G99="",0,IFNA(VLOOKUP(G99,Hitter_Trait_Coef!$A:$B,2,FALSE),0)))</f>
        <v/>
      </c>
      <c r="X99">
        <f>IF(Q99="P",IFNA(VLOOKUP(B99,Pitcher_Primary_Coef!$A:$B,2,FALSE),0),IFNA(VLOOKUP(B99,Hitter_Primary_Coef!$A:$B,2,FALSE),0))</f>
        <v/>
      </c>
      <c r="Y99">
        <f>IF(Q99="P",0,IFNA(VLOOKUP(IF(C99="","(none)",C99),Hitter_Secondary_Coef!$A:$B,2,FALSE),0))</f>
        <v/>
      </c>
      <c r="Z99">
        <f>IF(Q99="P",IF(ISNUMBER(SEARCH("2F",H99)),IFNA(VLOOKUP("2F",Pitch_Coef!$A:$B,2,FALSE),0),0)+IF(ISNUMBER(SEARCH("4F",H99)),IFNA(VLOOKUP("4F",Pitch_Coef!$A:$B,2,FALSE),0),0)+IF(ISNUMBER(SEARCH("CB",H99)),IFNA(VLOOKUP("CB",Pitch_Coef!$A:$B,2,FALSE),0),0)+IF(ISNUMBER(SEARCH("CF",H99)),IFNA(VLOOKUP("CF",Pitch_Coef!$A:$B,2,FALSE),0),0)+IF(ISNUMBER(SEARCH("CH",H99)),IFNA(VLOOKUP("CH",Pitch_Coef!$A:$B,2,FALSE),0),0)+IF(ISNUMBER(SEARCH("FK",H99)),IFNA(VLOOKUP("FK",Pitch_Coef!$A:$B,2,FALSE),0),0)+IF(ISNUMBER(SEARCH("SB",H99)),IFNA(VLOOKUP("SB",Pitch_Coef!$A:$B,2,FALSE),0),0)+IF(ISNUMBER(SEARCH("SL",H99)),IFNA(VLOOKUP("SL",Pitch_Coef!$A:$B,2,FALSE),0),0),0)</f>
        <v/>
      </c>
      <c r="AA99">
        <f>IF(Q99="P",16.5944849573+0.2529999141*N99+0.2665900378*O99+0.2632687105*P99+0.0427586837*I99+0.0534777057*J99+0.009015832*K99+0.0204898106*(O99*P99/100)+1.0091022427*U99+1.0968542297*IF(D99="L",1,0)+0.3771555045*IF(D99="S",1,0)-0.2226159177*IF(E99="L",1,0)+1.21385024*R99-1.1652812274*S99+W99+X99+Z99,10.5965166711+0.2825983581*I99+0.2806503532*J99+0.2027213083*K99+0.1147824982*L99+0.0915305332*M99-0.0088454122*(I99*J99/100)-0.0336045706*(K99*L99/100)+2.8497389733*IF(D99="L",1,0)+4.5116226727*IF(D99="S",1,0)-0.6571546448*IF(E99="L",1,0)+0.0850728147*T99+0.0129488446*(T99*T99)+0.1909373936*IF(OR(F99="Utility",G99="Utility"),T99,0)+0.9656824071*R99-1.7517683256*S99+W99+X99+Y99)</f>
        <v/>
      </c>
      <c r="AB99">
        <f>LOOKUP(AA99,Grade_Scale!$A$2:$A$18,Grade_Scale!$B$2:$B$18)</f>
        <v/>
      </c>
      <c r="AC99">
        <f>LOOKUP(AA99,Grade_Scale!$A$2:$A$18,Grade_Scale!$C$2:$C$18)</f>
        <v/>
      </c>
      <c r="AE99">
        <f>IF(AD99="","",AB99-VLOOKUP(AD99,Grade_Scale!$C$2:$E$18,3,FALSE))</f>
        <v/>
      </c>
    </row>
    <row r="100">
      <c r="Q100">
        <f>IF(OR(B100="SP",B100="RP",B100="CP",B100="SP/RP"),"P","H")</f>
        <v/>
      </c>
      <c r="R100">
        <f>IF(F100="",0,IFNA(VLOOKUP(F100,Trait_Polarity!$A:$C,2,FALSE),0))+IF(G100="",0,IFNA(VLOOKUP(G100,Trait_Polarity!$A:$C,2,FALSE),0))</f>
        <v/>
      </c>
      <c r="S100">
        <f>IF(F100="",0,IFNA(VLOOKUP(F100,Trait_Polarity!$A:$C,3,FALSE),0))+IF(G100="",0,IFNA(VLOOKUP(G100,Trait_Polarity!$A:$C,3,FALSE),0))</f>
        <v/>
      </c>
      <c r="T100">
        <f>IF(Q100="P",0,IFNA(VLOOKUP(IF(C100="","(none)",C100),Secondary_Versatility!$A:$B,2,FALSE),0))</f>
        <v/>
      </c>
      <c r="U100">
        <f>IF(H100="",0,LEN(H100)-LEN(SUBSTITUTE(H100,"|",""))+1)</f>
        <v/>
      </c>
      <c r="V100">
        <f>IF(Q100="P",(N100+O100+P100)/3,0.3*I100+0.3*J100+0.2*K100+0.1*L100+0.1*M100)</f>
        <v/>
      </c>
      <c r="W100">
        <f>IF(Q100="P",IF(F100="",0,IFNA(VLOOKUP(F100,Pitcher_Trait_Coef!$A:$B,2,FALSE),0))+IF(G100="",0,IFNA(VLOOKUP(G100,Pitcher_Trait_Coef!$A:$B,2,FALSE),0)),IF(F100="",0,IFNA(VLOOKUP(F100,Hitter_Trait_Coef!$A:$B,2,FALSE),0))+IF(G100="",0,IFNA(VLOOKUP(G100,Hitter_Trait_Coef!$A:$B,2,FALSE),0)))</f>
        <v/>
      </c>
      <c r="X100">
        <f>IF(Q100="P",IFNA(VLOOKUP(B100,Pitcher_Primary_Coef!$A:$B,2,FALSE),0),IFNA(VLOOKUP(B100,Hitter_Primary_Coef!$A:$B,2,FALSE),0))</f>
        <v/>
      </c>
      <c r="Y100">
        <f>IF(Q100="P",0,IFNA(VLOOKUP(IF(C100="","(none)",C100),Hitter_Secondary_Coef!$A:$B,2,FALSE),0))</f>
        <v/>
      </c>
      <c r="Z100">
        <f>IF(Q100="P",IF(ISNUMBER(SEARCH("2F",H100)),IFNA(VLOOKUP("2F",Pitch_Coef!$A:$B,2,FALSE),0),0)+IF(ISNUMBER(SEARCH("4F",H100)),IFNA(VLOOKUP("4F",Pitch_Coef!$A:$B,2,FALSE),0),0)+IF(ISNUMBER(SEARCH("CB",H100)),IFNA(VLOOKUP("CB",Pitch_Coef!$A:$B,2,FALSE),0),0)+IF(ISNUMBER(SEARCH("CF",H100)),IFNA(VLOOKUP("CF",Pitch_Coef!$A:$B,2,FALSE),0),0)+IF(ISNUMBER(SEARCH("CH",H100)),IFNA(VLOOKUP("CH",Pitch_Coef!$A:$B,2,FALSE),0),0)+IF(ISNUMBER(SEARCH("FK",H100)),IFNA(VLOOKUP("FK",Pitch_Coef!$A:$B,2,FALSE),0),0)+IF(ISNUMBER(SEARCH("SB",H100)),IFNA(VLOOKUP("SB",Pitch_Coef!$A:$B,2,FALSE),0),0)+IF(ISNUMBER(SEARCH("SL",H100)),IFNA(VLOOKUP("SL",Pitch_Coef!$A:$B,2,FALSE),0),0),0)</f>
        <v/>
      </c>
      <c r="AA100">
        <f>IF(Q100="P",16.5944849573+0.2529999141*N100+0.2665900378*O100+0.2632687105*P100+0.0427586837*I100+0.0534777057*J100+0.009015832*K100+0.0204898106*(O100*P100/100)+1.0091022427*U100+1.0968542297*IF(D100="L",1,0)+0.3771555045*IF(D100="S",1,0)-0.2226159177*IF(E100="L",1,0)+1.21385024*R100-1.1652812274*S100+W100+X100+Z100,10.5965166711+0.2825983581*I100+0.2806503532*J100+0.2027213083*K100+0.1147824982*L100+0.0915305332*M100-0.0088454122*(I100*J100/100)-0.0336045706*(K100*L100/100)+2.8497389733*IF(D100="L",1,0)+4.5116226727*IF(D100="S",1,0)-0.6571546448*IF(E100="L",1,0)+0.0850728147*T100+0.0129488446*(T100*T100)+0.1909373936*IF(OR(F100="Utility",G100="Utility"),T100,0)+0.9656824071*R100-1.7517683256*S100+W100+X100+Y100)</f>
        <v/>
      </c>
      <c r="AB100">
        <f>LOOKUP(AA100,Grade_Scale!$A$2:$A$18,Grade_Scale!$B$2:$B$18)</f>
        <v/>
      </c>
      <c r="AC100">
        <f>LOOKUP(AA100,Grade_Scale!$A$2:$A$18,Grade_Scale!$C$2:$C$18)</f>
        <v/>
      </c>
      <c r="AE100">
        <f>IF(AD100="","",AB100-VLOOKUP(AD100,Grade_Scale!$C$2:$E$18,3,FALSE))</f>
        <v/>
      </c>
    </row>
    <row r="101">
      <c r="Q101">
        <f>IF(OR(B101="SP",B101="RP",B101="CP",B101="SP/RP"),"P","H")</f>
        <v/>
      </c>
      <c r="R101">
        <f>IF(F101="",0,IFNA(VLOOKUP(F101,Trait_Polarity!$A:$C,2,FALSE),0))+IF(G101="",0,IFNA(VLOOKUP(G101,Trait_Polarity!$A:$C,2,FALSE),0))</f>
        <v/>
      </c>
      <c r="S101">
        <f>IF(F101="",0,IFNA(VLOOKUP(F101,Trait_Polarity!$A:$C,3,FALSE),0))+IF(G101="",0,IFNA(VLOOKUP(G101,Trait_Polarity!$A:$C,3,FALSE),0))</f>
        <v/>
      </c>
      <c r="T101">
        <f>IF(Q101="P",0,IFNA(VLOOKUP(IF(C101="","(none)",C101),Secondary_Versatility!$A:$B,2,FALSE),0))</f>
        <v/>
      </c>
      <c r="U101">
        <f>IF(H101="",0,LEN(H101)-LEN(SUBSTITUTE(H101,"|",""))+1)</f>
        <v/>
      </c>
      <c r="V101">
        <f>IF(Q101="P",(N101+O101+P101)/3,0.3*I101+0.3*J101+0.2*K101+0.1*L101+0.1*M101)</f>
        <v/>
      </c>
      <c r="W101">
        <f>IF(Q101="P",IF(F101="",0,IFNA(VLOOKUP(F101,Pitcher_Trait_Coef!$A:$B,2,FALSE),0))+IF(G101="",0,IFNA(VLOOKUP(G101,Pitcher_Trait_Coef!$A:$B,2,FALSE),0)),IF(F101="",0,IFNA(VLOOKUP(F101,Hitter_Trait_Coef!$A:$B,2,FALSE),0))+IF(G101="",0,IFNA(VLOOKUP(G101,Hitter_Trait_Coef!$A:$B,2,FALSE),0)))</f>
        <v/>
      </c>
      <c r="X101">
        <f>IF(Q101="P",IFNA(VLOOKUP(B101,Pitcher_Primary_Coef!$A:$B,2,FALSE),0),IFNA(VLOOKUP(B101,Hitter_Primary_Coef!$A:$B,2,FALSE),0))</f>
        <v/>
      </c>
      <c r="Y101">
        <f>IF(Q101="P",0,IFNA(VLOOKUP(IF(C101="","(none)",C101),Hitter_Secondary_Coef!$A:$B,2,FALSE),0))</f>
        <v/>
      </c>
      <c r="Z101">
        <f>IF(Q101="P",IF(ISNUMBER(SEARCH("2F",H101)),IFNA(VLOOKUP("2F",Pitch_Coef!$A:$B,2,FALSE),0),0)+IF(ISNUMBER(SEARCH("4F",H101)),IFNA(VLOOKUP("4F",Pitch_Coef!$A:$B,2,FALSE),0),0)+IF(ISNUMBER(SEARCH("CB",H101)),IFNA(VLOOKUP("CB",Pitch_Coef!$A:$B,2,FALSE),0),0)+IF(ISNUMBER(SEARCH("CF",H101)),IFNA(VLOOKUP("CF",Pitch_Coef!$A:$B,2,FALSE),0),0)+IF(ISNUMBER(SEARCH("CH",H101)),IFNA(VLOOKUP("CH",Pitch_Coef!$A:$B,2,FALSE),0),0)+IF(ISNUMBER(SEARCH("FK",H101)),IFNA(VLOOKUP("FK",Pitch_Coef!$A:$B,2,FALSE),0),0)+IF(ISNUMBER(SEARCH("SB",H101)),IFNA(VLOOKUP("SB",Pitch_Coef!$A:$B,2,FALSE),0),0)+IF(ISNUMBER(SEARCH("SL",H101)),IFNA(VLOOKUP("SL",Pitch_Coef!$A:$B,2,FALSE),0),0),0)</f>
        <v/>
      </c>
      <c r="AA101">
        <f>IF(Q101="P",16.5944849573+0.2529999141*N101+0.2665900378*O101+0.2632687105*P101+0.0427586837*I101+0.0534777057*J101+0.009015832*K101+0.0204898106*(O101*P101/100)+1.0091022427*U101+1.0968542297*IF(D101="L",1,0)+0.3771555045*IF(D101="S",1,0)-0.2226159177*IF(E101="L",1,0)+1.21385024*R101-1.1652812274*S101+W101+X101+Z101,10.5965166711+0.2825983581*I101+0.2806503532*J101+0.2027213083*K101+0.1147824982*L101+0.0915305332*M101-0.0088454122*(I101*J101/100)-0.0336045706*(K101*L101/100)+2.8497389733*IF(D101="L",1,0)+4.5116226727*IF(D101="S",1,0)-0.6571546448*IF(E101="L",1,0)+0.0850728147*T101+0.0129488446*(T101*T101)+0.1909373936*IF(OR(F101="Utility",G101="Utility"),T101,0)+0.9656824071*R101-1.7517683256*S101+W101+X101+Y101)</f>
        <v/>
      </c>
      <c r="AB101">
        <f>LOOKUP(AA101,Grade_Scale!$A$2:$A$18,Grade_Scale!$B$2:$B$18)</f>
        <v/>
      </c>
      <c r="AC101">
        <f>LOOKUP(AA101,Grade_Scale!$A$2:$A$18,Grade_Scale!$C$2:$C$18)</f>
        <v/>
      </c>
      <c r="AE101">
        <f>IF(AD101="","",AB101-VLOOKUP(AD101,Grade_Scale!$C$2:$E$18,3,FALSE))</f>
        <v/>
      </c>
    </row>
    <row r="102">
      <c r="Q102">
        <f>IF(OR(B102="SP",B102="RP",B102="CP",B102="SP/RP"),"P","H")</f>
        <v/>
      </c>
      <c r="R102">
        <f>IF(F102="",0,IFNA(VLOOKUP(F102,Trait_Polarity!$A:$C,2,FALSE),0))+IF(G102="",0,IFNA(VLOOKUP(G102,Trait_Polarity!$A:$C,2,FALSE),0))</f>
        <v/>
      </c>
      <c r="S102">
        <f>IF(F102="",0,IFNA(VLOOKUP(F102,Trait_Polarity!$A:$C,3,FALSE),0))+IF(G102="",0,IFNA(VLOOKUP(G102,Trait_Polarity!$A:$C,3,FALSE),0))</f>
        <v/>
      </c>
      <c r="T102">
        <f>IF(Q102="P",0,IFNA(VLOOKUP(IF(C102="","(none)",C102),Secondary_Versatility!$A:$B,2,FALSE),0))</f>
        <v/>
      </c>
      <c r="U102">
        <f>IF(H102="",0,LEN(H102)-LEN(SUBSTITUTE(H102,"|",""))+1)</f>
        <v/>
      </c>
      <c r="V102">
        <f>IF(Q102="P",(N102+O102+P102)/3,0.3*I102+0.3*J102+0.2*K102+0.1*L102+0.1*M102)</f>
        <v/>
      </c>
      <c r="W102">
        <f>IF(Q102="P",IF(F102="",0,IFNA(VLOOKUP(F102,Pitcher_Trait_Coef!$A:$B,2,FALSE),0))+IF(G102="",0,IFNA(VLOOKUP(G102,Pitcher_Trait_Coef!$A:$B,2,FALSE),0)),IF(F102="",0,IFNA(VLOOKUP(F102,Hitter_Trait_Coef!$A:$B,2,FALSE),0))+IF(G102="",0,IFNA(VLOOKUP(G102,Hitter_Trait_Coef!$A:$B,2,FALSE),0)))</f>
        <v/>
      </c>
      <c r="X102">
        <f>IF(Q102="P",IFNA(VLOOKUP(B102,Pitcher_Primary_Coef!$A:$B,2,FALSE),0),IFNA(VLOOKUP(B102,Hitter_Primary_Coef!$A:$B,2,FALSE),0))</f>
        <v/>
      </c>
      <c r="Y102">
        <f>IF(Q102="P",0,IFNA(VLOOKUP(IF(C102="","(none)",C102),Hitter_Secondary_Coef!$A:$B,2,FALSE),0))</f>
        <v/>
      </c>
      <c r="Z102">
        <f>IF(Q102="P",IF(ISNUMBER(SEARCH("2F",H102)),IFNA(VLOOKUP("2F",Pitch_Coef!$A:$B,2,FALSE),0),0)+IF(ISNUMBER(SEARCH("4F",H102)),IFNA(VLOOKUP("4F",Pitch_Coef!$A:$B,2,FALSE),0),0)+IF(ISNUMBER(SEARCH("CB",H102)),IFNA(VLOOKUP("CB",Pitch_Coef!$A:$B,2,FALSE),0),0)+IF(ISNUMBER(SEARCH("CF",H102)),IFNA(VLOOKUP("CF",Pitch_Coef!$A:$B,2,FALSE),0),0)+IF(ISNUMBER(SEARCH("CH",H102)),IFNA(VLOOKUP("CH",Pitch_Coef!$A:$B,2,FALSE),0),0)+IF(ISNUMBER(SEARCH("FK",H102)),IFNA(VLOOKUP("FK",Pitch_Coef!$A:$B,2,FALSE),0),0)+IF(ISNUMBER(SEARCH("SB",H102)),IFNA(VLOOKUP("SB",Pitch_Coef!$A:$B,2,FALSE),0),0)+IF(ISNUMBER(SEARCH("SL",H102)),IFNA(VLOOKUP("SL",Pitch_Coef!$A:$B,2,FALSE),0),0),0)</f>
        <v/>
      </c>
      <c r="AA102">
        <f>IF(Q102="P",16.5944849573+0.2529999141*N102+0.2665900378*O102+0.2632687105*P102+0.0427586837*I102+0.0534777057*J102+0.009015832*K102+0.0204898106*(O102*P102/100)+1.0091022427*U102+1.0968542297*IF(D102="L",1,0)+0.3771555045*IF(D102="S",1,0)-0.2226159177*IF(E102="L",1,0)+1.21385024*R102-1.1652812274*S102+W102+X102+Z102,10.5965166711+0.2825983581*I102+0.2806503532*J102+0.2027213083*K102+0.1147824982*L102+0.0915305332*M102-0.0088454122*(I102*J102/100)-0.0336045706*(K102*L102/100)+2.8497389733*IF(D102="L",1,0)+4.5116226727*IF(D102="S",1,0)-0.6571546448*IF(E102="L",1,0)+0.0850728147*T102+0.0129488446*(T102*T102)+0.1909373936*IF(OR(F102="Utility",G102="Utility"),T102,0)+0.9656824071*R102-1.7517683256*S102+W102+X102+Y102)</f>
        <v/>
      </c>
      <c r="AB102">
        <f>LOOKUP(AA102,Grade_Scale!$A$2:$A$18,Grade_Scale!$B$2:$B$18)</f>
        <v/>
      </c>
      <c r="AC102">
        <f>LOOKUP(AA102,Grade_Scale!$A$2:$A$18,Grade_Scale!$C$2:$C$18)</f>
        <v/>
      </c>
      <c r="AE102">
        <f>IF(AD102="","",AB102-VLOOKUP(AD102,Grade_Scale!$C$2:$E$18,3,FALSE))</f>
        <v/>
      </c>
    </row>
    <row r="103">
      <c r="Q103">
        <f>IF(OR(B103="SP",B103="RP",B103="CP",B103="SP/RP"),"P","H")</f>
        <v/>
      </c>
      <c r="R103">
        <f>IF(F103="",0,IFNA(VLOOKUP(F103,Trait_Polarity!$A:$C,2,FALSE),0))+IF(G103="",0,IFNA(VLOOKUP(G103,Trait_Polarity!$A:$C,2,FALSE),0))</f>
        <v/>
      </c>
      <c r="S103">
        <f>IF(F103="",0,IFNA(VLOOKUP(F103,Trait_Polarity!$A:$C,3,FALSE),0))+IF(G103="",0,IFNA(VLOOKUP(G103,Trait_Polarity!$A:$C,3,FALSE),0))</f>
        <v/>
      </c>
      <c r="T103">
        <f>IF(Q103="P",0,IFNA(VLOOKUP(IF(C103="","(none)",C103),Secondary_Versatility!$A:$B,2,FALSE),0))</f>
        <v/>
      </c>
      <c r="U103">
        <f>IF(H103="",0,LEN(H103)-LEN(SUBSTITUTE(H103,"|",""))+1)</f>
        <v/>
      </c>
      <c r="V103">
        <f>IF(Q103="P",(N103+O103+P103)/3,0.3*I103+0.3*J103+0.2*K103+0.1*L103+0.1*M103)</f>
        <v/>
      </c>
      <c r="W103">
        <f>IF(Q103="P",IF(F103="",0,IFNA(VLOOKUP(F103,Pitcher_Trait_Coef!$A:$B,2,FALSE),0))+IF(G103="",0,IFNA(VLOOKUP(G103,Pitcher_Trait_Coef!$A:$B,2,FALSE),0)),IF(F103="",0,IFNA(VLOOKUP(F103,Hitter_Trait_Coef!$A:$B,2,FALSE),0))+IF(G103="",0,IFNA(VLOOKUP(G103,Hitter_Trait_Coef!$A:$B,2,FALSE),0)))</f>
        <v/>
      </c>
      <c r="X103">
        <f>IF(Q103="P",IFNA(VLOOKUP(B103,Pitcher_Primary_Coef!$A:$B,2,FALSE),0),IFNA(VLOOKUP(B103,Hitter_Primary_Coef!$A:$B,2,FALSE),0))</f>
        <v/>
      </c>
      <c r="Y103">
        <f>IF(Q103="P",0,IFNA(VLOOKUP(IF(C103="","(none)",C103),Hitter_Secondary_Coef!$A:$B,2,FALSE),0))</f>
        <v/>
      </c>
      <c r="Z103">
        <f>IF(Q103="P",IF(ISNUMBER(SEARCH("2F",H103)),IFNA(VLOOKUP("2F",Pitch_Coef!$A:$B,2,FALSE),0),0)+IF(ISNUMBER(SEARCH("4F",H103)),IFNA(VLOOKUP("4F",Pitch_Coef!$A:$B,2,FALSE),0),0)+IF(ISNUMBER(SEARCH("CB",H103)),IFNA(VLOOKUP("CB",Pitch_Coef!$A:$B,2,FALSE),0),0)+IF(ISNUMBER(SEARCH("CF",H103)),IFNA(VLOOKUP("CF",Pitch_Coef!$A:$B,2,FALSE),0),0)+IF(ISNUMBER(SEARCH("CH",H103)),IFNA(VLOOKUP("CH",Pitch_Coef!$A:$B,2,FALSE),0),0)+IF(ISNUMBER(SEARCH("FK",H103)),IFNA(VLOOKUP("FK",Pitch_Coef!$A:$B,2,FALSE),0),0)+IF(ISNUMBER(SEARCH("SB",H103)),IFNA(VLOOKUP("SB",Pitch_Coef!$A:$B,2,FALSE),0),0)+IF(ISNUMBER(SEARCH("SL",H103)),IFNA(VLOOKUP("SL",Pitch_Coef!$A:$B,2,FALSE),0),0),0)</f>
        <v/>
      </c>
      <c r="AA103">
        <f>IF(Q103="P",16.5944849573+0.2529999141*N103+0.2665900378*O103+0.2632687105*P103+0.0427586837*I103+0.0534777057*J103+0.009015832*K103+0.0204898106*(O103*P103/100)+1.0091022427*U103+1.0968542297*IF(D103="L",1,0)+0.3771555045*IF(D103="S",1,0)-0.2226159177*IF(E103="L",1,0)+1.21385024*R103-1.1652812274*S103+W103+X103+Z103,10.5965166711+0.2825983581*I103+0.2806503532*J103+0.2027213083*K103+0.1147824982*L103+0.0915305332*M103-0.0088454122*(I103*J103/100)-0.0336045706*(K103*L103/100)+2.8497389733*IF(D103="L",1,0)+4.5116226727*IF(D103="S",1,0)-0.6571546448*IF(E103="L",1,0)+0.0850728147*T103+0.0129488446*(T103*T103)+0.1909373936*IF(OR(F103="Utility",G103="Utility"),T103,0)+0.9656824071*R103-1.7517683256*S103+W103+X103+Y103)</f>
        <v/>
      </c>
      <c r="AB103">
        <f>LOOKUP(AA103,Grade_Scale!$A$2:$A$18,Grade_Scale!$B$2:$B$18)</f>
        <v/>
      </c>
      <c r="AC103">
        <f>LOOKUP(AA103,Grade_Scale!$A$2:$A$18,Grade_Scale!$C$2:$C$18)</f>
        <v/>
      </c>
      <c r="AE103">
        <f>IF(AD103="","",AB103-VLOOKUP(AD103,Grade_Scale!$C$2:$E$18,3,FALSE))</f>
        <v/>
      </c>
    </row>
    <row r="104">
      <c r="Q104">
        <f>IF(OR(B104="SP",B104="RP",B104="CP",B104="SP/RP"),"P","H")</f>
        <v/>
      </c>
      <c r="R104">
        <f>IF(F104="",0,IFNA(VLOOKUP(F104,Trait_Polarity!$A:$C,2,FALSE),0))+IF(G104="",0,IFNA(VLOOKUP(G104,Trait_Polarity!$A:$C,2,FALSE),0))</f>
        <v/>
      </c>
      <c r="S104">
        <f>IF(F104="",0,IFNA(VLOOKUP(F104,Trait_Polarity!$A:$C,3,FALSE),0))+IF(G104="",0,IFNA(VLOOKUP(G104,Trait_Polarity!$A:$C,3,FALSE),0))</f>
        <v/>
      </c>
      <c r="T104">
        <f>IF(Q104="P",0,IFNA(VLOOKUP(IF(C104="","(none)",C104),Secondary_Versatility!$A:$B,2,FALSE),0))</f>
        <v/>
      </c>
      <c r="U104">
        <f>IF(H104="",0,LEN(H104)-LEN(SUBSTITUTE(H104,"|",""))+1)</f>
        <v/>
      </c>
      <c r="V104">
        <f>IF(Q104="P",(N104+O104+P104)/3,0.3*I104+0.3*J104+0.2*K104+0.1*L104+0.1*M104)</f>
        <v/>
      </c>
      <c r="W104">
        <f>IF(Q104="P",IF(F104="",0,IFNA(VLOOKUP(F104,Pitcher_Trait_Coef!$A:$B,2,FALSE),0))+IF(G104="",0,IFNA(VLOOKUP(G104,Pitcher_Trait_Coef!$A:$B,2,FALSE),0)),IF(F104="",0,IFNA(VLOOKUP(F104,Hitter_Trait_Coef!$A:$B,2,FALSE),0))+IF(G104="",0,IFNA(VLOOKUP(G104,Hitter_Trait_Coef!$A:$B,2,FALSE),0)))</f>
        <v/>
      </c>
      <c r="X104">
        <f>IF(Q104="P",IFNA(VLOOKUP(B104,Pitcher_Primary_Coef!$A:$B,2,FALSE),0),IFNA(VLOOKUP(B104,Hitter_Primary_Coef!$A:$B,2,FALSE),0))</f>
        <v/>
      </c>
      <c r="Y104">
        <f>IF(Q104="P",0,IFNA(VLOOKUP(IF(C104="","(none)",C104),Hitter_Secondary_Coef!$A:$B,2,FALSE),0))</f>
        <v/>
      </c>
      <c r="Z104">
        <f>IF(Q104="P",IF(ISNUMBER(SEARCH("2F",H104)),IFNA(VLOOKUP("2F",Pitch_Coef!$A:$B,2,FALSE),0),0)+IF(ISNUMBER(SEARCH("4F",H104)),IFNA(VLOOKUP("4F",Pitch_Coef!$A:$B,2,FALSE),0),0)+IF(ISNUMBER(SEARCH("CB",H104)),IFNA(VLOOKUP("CB",Pitch_Coef!$A:$B,2,FALSE),0),0)+IF(ISNUMBER(SEARCH("CF",H104)),IFNA(VLOOKUP("CF",Pitch_Coef!$A:$B,2,FALSE),0),0)+IF(ISNUMBER(SEARCH("CH",H104)),IFNA(VLOOKUP("CH",Pitch_Coef!$A:$B,2,FALSE),0),0)+IF(ISNUMBER(SEARCH("FK",H104)),IFNA(VLOOKUP("FK",Pitch_Coef!$A:$B,2,FALSE),0),0)+IF(ISNUMBER(SEARCH("SB",H104)),IFNA(VLOOKUP("SB",Pitch_Coef!$A:$B,2,FALSE),0),0)+IF(ISNUMBER(SEARCH("SL",H104)),IFNA(VLOOKUP("SL",Pitch_Coef!$A:$B,2,FALSE),0),0),0)</f>
        <v/>
      </c>
      <c r="AA104">
        <f>IF(Q104="P",16.5944849573+0.2529999141*N104+0.2665900378*O104+0.2632687105*P104+0.0427586837*I104+0.0534777057*J104+0.009015832*K104+0.0204898106*(O104*P104/100)+1.0091022427*U104+1.0968542297*IF(D104="L",1,0)+0.3771555045*IF(D104="S",1,0)-0.2226159177*IF(E104="L",1,0)+1.21385024*R104-1.1652812274*S104+W104+X104+Z104,10.5965166711+0.2825983581*I104+0.2806503532*J104+0.2027213083*K104+0.1147824982*L104+0.0915305332*M104-0.0088454122*(I104*J104/100)-0.0336045706*(K104*L104/100)+2.8497389733*IF(D104="L",1,0)+4.5116226727*IF(D104="S",1,0)-0.6571546448*IF(E104="L",1,0)+0.0850728147*T104+0.0129488446*(T104*T104)+0.1909373936*IF(OR(F104="Utility",G104="Utility"),T104,0)+0.9656824071*R104-1.7517683256*S104+W104+X104+Y104)</f>
        <v/>
      </c>
      <c r="AB104">
        <f>LOOKUP(AA104,Grade_Scale!$A$2:$A$18,Grade_Scale!$B$2:$B$18)</f>
        <v/>
      </c>
      <c r="AC104">
        <f>LOOKUP(AA104,Grade_Scale!$A$2:$A$18,Grade_Scale!$C$2:$C$18)</f>
        <v/>
      </c>
      <c r="AE104">
        <f>IF(AD104="","",AB104-VLOOKUP(AD104,Grade_Scale!$C$2:$E$18,3,FALSE))</f>
        <v/>
      </c>
    </row>
    <row r="105">
      <c r="Q105">
        <f>IF(OR(B105="SP",B105="RP",B105="CP",B105="SP/RP"),"P","H")</f>
        <v/>
      </c>
      <c r="R105">
        <f>IF(F105="",0,IFNA(VLOOKUP(F105,Trait_Polarity!$A:$C,2,FALSE),0))+IF(G105="",0,IFNA(VLOOKUP(G105,Trait_Polarity!$A:$C,2,FALSE),0))</f>
        <v/>
      </c>
      <c r="S105">
        <f>IF(F105="",0,IFNA(VLOOKUP(F105,Trait_Polarity!$A:$C,3,FALSE),0))+IF(G105="",0,IFNA(VLOOKUP(G105,Trait_Polarity!$A:$C,3,FALSE),0))</f>
        <v/>
      </c>
      <c r="T105">
        <f>IF(Q105="P",0,IFNA(VLOOKUP(IF(C105="","(none)",C105),Secondary_Versatility!$A:$B,2,FALSE),0))</f>
        <v/>
      </c>
      <c r="U105">
        <f>IF(H105="",0,LEN(H105)-LEN(SUBSTITUTE(H105,"|",""))+1)</f>
        <v/>
      </c>
      <c r="V105">
        <f>IF(Q105="P",(N105+O105+P105)/3,0.3*I105+0.3*J105+0.2*K105+0.1*L105+0.1*M105)</f>
        <v/>
      </c>
      <c r="W105">
        <f>IF(Q105="P",IF(F105="",0,IFNA(VLOOKUP(F105,Pitcher_Trait_Coef!$A:$B,2,FALSE),0))+IF(G105="",0,IFNA(VLOOKUP(G105,Pitcher_Trait_Coef!$A:$B,2,FALSE),0)),IF(F105="",0,IFNA(VLOOKUP(F105,Hitter_Trait_Coef!$A:$B,2,FALSE),0))+IF(G105="",0,IFNA(VLOOKUP(G105,Hitter_Trait_Coef!$A:$B,2,FALSE),0)))</f>
        <v/>
      </c>
      <c r="X105">
        <f>IF(Q105="P",IFNA(VLOOKUP(B105,Pitcher_Primary_Coef!$A:$B,2,FALSE),0),IFNA(VLOOKUP(B105,Hitter_Primary_Coef!$A:$B,2,FALSE),0))</f>
        <v/>
      </c>
      <c r="Y105">
        <f>IF(Q105="P",0,IFNA(VLOOKUP(IF(C105="","(none)",C105),Hitter_Secondary_Coef!$A:$B,2,FALSE),0))</f>
        <v/>
      </c>
      <c r="Z105">
        <f>IF(Q105="P",IF(ISNUMBER(SEARCH("2F",H105)),IFNA(VLOOKUP("2F",Pitch_Coef!$A:$B,2,FALSE),0),0)+IF(ISNUMBER(SEARCH("4F",H105)),IFNA(VLOOKUP("4F",Pitch_Coef!$A:$B,2,FALSE),0),0)+IF(ISNUMBER(SEARCH("CB",H105)),IFNA(VLOOKUP("CB",Pitch_Coef!$A:$B,2,FALSE),0),0)+IF(ISNUMBER(SEARCH("CF",H105)),IFNA(VLOOKUP("CF",Pitch_Coef!$A:$B,2,FALSE),0),0)+IF(ISNUMBER(SEARCH("CH",H105)),IFNA(VLOOKUP("CH",Pitch_Coef!$A:$B,2,FALSE),0),0)+IF(ISNUMBER(SEARCH("FK",H105)),IFNA(VLOOKUP("FK",Pitch_Coef!$A:$B,2,FALSE),0),0)+IF(ISNUMBER(SEARCH("SB",H105)),IFNA(VLOOKUP("SB",Pitch_Coef!$A:$B,2,FALSE),0),0)+IF(ISNUMBER(SEARCH("SL",H105)),IFNA(VLOOKUP("SL",Pitch_Coef!$A:$B,2,FALSE),0),0),0)</f>
        <v/>
      </c>
      <c r="AA105">
        <f>IF(Q105="P",16.5944849573+0.2529999141*N105+0.2665900378*O105+0.2632687105*P105+0.0427586837*I105+0.0534777057*J105+0.009015832*K105+0.0204898106*(O105*P105/100)+1.0091022427*U105+1.0968542297*IF(D105="L",1,0)+0.3771555045*IF(D105="S",1,0)-0.2226159177*IF(E105="L",1,0)+1.21385024*R105-1.1652812274*S105+W105+X105+Z105,10.5965166711+0.2825983581*I105+0.2806503532*J105+0.2027213083*K105+0.1147824982*L105+0.0915305332*M105-0.0088454122*(I105*J105/100)-0.0336045706*(K105*L105/100)+2.8497389733*IF(D105="L",1,0)+4.5116226727*IF(D105="S",1,0)-0.6571546448*IF(E105="L",1,0)+0.0850728147*T105+0.0129488446*(T105*T105)+0.1909373936*IF(OR(F105="Utility",G105="Utility"),T105,0)+0.9656824071*R105-1.7517683256*S105+W105+X105+Y105)</f>
        <v/>
      </c>
      <c r="AB105">
        <f>LOOKUP(AA105,Grade_Scale!$A$2:$A$18,Grade_Scale!$B$2:$B$18)</f>
        <v/>
      </c>
      <c r="AC105">
        <f>LOOKUP(AA105,Grade_Scale!$A$2:$A$18,Grade_Scale!$C$2:$C$18)</f>
        <v/>
      </c>
      <c r="AE105">
        <f>IF(AD105="","",AB105-VLOOKUP(AD105,Grade_Scale!$C$2:$E$18,3,FALSE))</f>
        <v/>
      </c>
    </row>
    <row r="106">
      <c r="Q106">
        <f>IF(OR(B106="SP",B106="RP",B106="CP",B106="SP/RP"),"P","H")</f>
        <v/>
      </c>
      <c r="R106">
        <f>IF(F106="",0,IFNA(VLOOKUP(F106,Trait_Polarity!$A:$C,2,FALSE),0))+IF(G106="",0,IFNA(VLOOKUP(G106,Trait_Polarity!$A:$C,2,FALSE),0))</f>
        <v/>
      </c>
      <c r="S106">
        <f>IF(F106="",0,IFNA(VLOOKUP(F106,Trait_Polarity!$A:$C,3,FALSE),0))+IF(G106="",0,IFNA(VLOOKUP(G106,Trait_Polarity!$A:$C,3,FALSE),0))</f>
        <v/>
      </c>
      <c r="T106">
        <f>IF(Q106="P",0,IFNA(VLOOKUP(IF(C106="","(none)",C106),Secondary_Versatility!$A:$B,2,FALSE),0))</f>
        <v/>
      </c>
      <c r="U106">
        <f>IF(H106="",0,LEN(H106)-LEN(SUBSTITUTE(H106,"|",""))+1)</f>
        <v/>
      </c>
      <c r="V106">
        <f>IF(Q106="P",(N106+O106+P106)/3,0.3*I106+0.3*J106+0.2*K106+0.1*L106+0.1*M106)</f>
        <v/>
      </c>
      <c r="W106">
        <f>IF(Q106="P",IF(F106="",0,IFNA(VLOOKUP(F106,Pitcher_Trait_Coef!$A:$B,2,FALSE),0))+IF(G106="",0,IFNA(VLOOKUP(G106,Pitcher_Trait_Coef!$A:$B,2,FALSE),0)),IF(F106="",0,IFNA(VLOOKUP(F106,Hitter_Trait_Coef!$A:$B,2,FALSE),0))+IF(G106="",0,IFNA(VLOOKUP(G106,Hitter_Trait_Coef!$A:$B,2,FALSE),0)))</f>
        <v/>
      </c>
      <c r="X106">
        <f>IF(Q106="P",IFNA(VLOOKUP(B106,Pitcher_Primary_Coef!$A:$B,2,FALSE),0),IFNA(VLOOKUP(B106,Hitter_Primary_Coef!$A:$B,2,FALSE),0))</f>
        <v/>
      </c>
      <c r="Y106">
        <f>IF(Q106="P",0,IFNA(VLOOKUP(IF(C106="","(none)",C106),Hitter_Secondary_Coef!$A:$B,2,FALSE),0))</f>
        <v/>
      </c>
      <c r="Z106">
        <f>IF(Q106="P",IF(ISNUMBER(SEARCH("2F",H106)),IFNA(VLOOKUP("2F",Pitch_Coef!$A:$B,2,FALSE),0),0)+IF(ISNUMBER(SEARCH("4F",H106)),IFNA(VLOOKUP("4F",Pitch_Coef!$A:$B,2,FALSE),0),0)+IF(ISNUMBER(SEARCH("CB",H106)),IFNA(VLOOKUP("CB",Pitch_Coef!$A:$B,2,FALSE),0),0)+IF(ISNUMBER(SEARCH("CF",H106)),IFNA(VLOOKUP("CF",Pitch_Coef!$A:$B,2,FALSE),0),0)+IF(ISNUMBER(SEARCH("CH",H106)),IFNA(VLOOKUP("CH",Pitch_Coef!$A:$B,2,FALSE),0),0)+IF(ISNUMBER(SEARCH("FK",H106)),IFNA(VLOOKUP("FK",Pitch_Coef!$A:$B,2,FALSE),0),0)+IF(ISNUMBER(SEARCH("SB",H106)),IFNA(VLOOKUP("SB",Pitch_Coef!$A:$B,2,FALSE),0),0)+IF(ISNUMBER(SEARCH("SL",H106)),IFNA(VLOOKUP("SL",Pitch_Coef!$A:$B,2,FALSE),0),0),0)</f>
        <v/>
      </c>
      <c r="AA106">
        <f>IF(Q106="P",16.5944849573+0.2529999141*N106+0.2665900378*O106+0.2632687105*P106+0.0427586837*I106+0.0534777057*J106+0.009015832*K106+0.0204898106*(O106*P106/100)+1.0091022427*U106+1.0968542297*IF(D106="L",1,0)+0.3771555045*IF(D106="S",1,0)-0.2226159177*IF(E106="L",1,0)+1.21385024*R106-1.1652812274*S106+W106+X106+Z106,10.5965166711+0.2825983581*I106+0.2806503532*J106+0.2027213083*K106+0.1147824982*L106+0.0915305332*M106-0.0088454122*(I106*J106/100)-0.0336045706*(K106*L106/100)+2.8497389733*IF(D106="L",1,0)+4.5116226727*IF(D106="S",1,0)-0.6571546448*IF(E106="L",1,0)+0.0850728147*T106+0.0129488446*(T106*T106)+0.1909373936*IF(OR(F106="Utility",G106="Utility"),T106,0)+0.9656824071*R106-1.7517683256*S106+W106+X106+Y106)</f>
        <v/>
      </c>
      <c r="AB106">
        <f>LOOKUP(AA106,Grade_Scale!$A$2:$A$18,Grade_Scale!$B$2:$B$18)</f>
        <v/>
      </c>
      <c r="AC106">
        <f>LOOKUP(AA106,Grade_Scale!$A$2:$A$18,Grade_Scale!$C$2:$C$18)</f>
        <v/>
      </c>
      <c r="AE106">
        <f>IF(AD106="","",AB106-VLOOKUP(AD106,Grade_Scale!$C$2:$E$18,3,FALSE))</f>
        <v/>
      </c>
    </row>
    <row r="107">
      <c r="Q107">
        <f>IF(OR(B107="SP",B107="RP",B107="CP",B107="SP/RP"),"P","H")</f>
        <v/>
      </c>
      <c r="R107">
        <f>IF(F107="",0,IFNA(VLOOKUP(F107,Trait_Polarity!$A:$C,2,FALSE),0))+IF(G107="",0,IFNA(VLOOKUP(G107,Trait_Polarity!$A:$C,2,FALSE),0))</f>
        <v/>
      </c>
      <c r="S107">
        <f>IF(F107="",0,IFNA(VLOOKUP(F107,Trait_Polarity!$A:$C,3,FALSE),0))+IF(G107="",0,IFNA(VLOOKUP(G107,Trait_Polarity!$A:$C,3,FALSE),0))</f>
        <v/>
      </c>
      <c r="T107">
        <f>IF(Q107="P",0,IFNA(VLOOKUP(IF(C107="","(none)",C107),Secondary_Versatility!$A:$B,2,FALSE),0))</f>
        <v/>
      </c>
      <c r="U107">
        <f>IF(H107="",0,LEN(H107)-LEN(SUBSTITUTE(H107,"|",""))+1)</f>
        <v/>
      </c>
      <c r="V107">
        <f>IF(Q107="P",(N107+O107+P107)/3,0.3*I107+0.3*J107+0.2*K107+0.1*L107+0.1*M107)</f>
        <v/>
      </c>
      <c r="W107">
        <f>IF(Q107="P",IF(F107="",0,IFNA(VLOOKUP(F107,Pitcher_Trait_Coef!$A:$B,2,FALSE),0))+IF(G107="",0,IFNA(VLOOKUP(G107,Pitcher_Trait_Coef!$A:$B,2,FALSE),0)),IF(F107="",0,IFNA(VLOOKUP(F107,Hitter_Trait_Coef!$A:$B,2,FALSE),0))+IF(G107="",0,IFNA(VLOOKUP(G107,Hitter_Trait_Coef!$A:$B,2,FALSE),0)))</f>
        <v/>
      </c>
      <c r="X107">
        <f>IF(Q107="P",IFNA(VLOOKUP(B107,Pitcher_Primary_Coef!$A:$B,2,FALSE),0),IFNA(VLOOKUP(B107,Hitter_Primary_Coef!$A:$B,2,FALSE),0))</f>
        <v/>
      </c>
      <c r="Y107">
        <f>IF(Q107="P",0,IFNA(VLOOKUP(IF(C107="","(none)",C107),Hitter_Secondary_Coef!$A:$B,2,FALSE),0))</f>
        <v/>
      </c>
      <c r="Z107">
        <f>IF(Q107="P",IF(ISNUMBER(SEARCH("2F",H107)),IFNA(VLOOKUP("2F",Pitch_Coef!$A:$B,2,FALSE),0),0)+IF(ISNUMBER(SEARCH("4F",H107)),IFNA(VLOOKUP("4F",Pitch_Coef!$A:$B,2,FALSE),0),0)+IF(ISNUMBER(SEARCH("CB",H107)),IFNA(VLOOKUP("CB",Pitch_Coef!$A:$B,2,FALSE),0),0)+IF(ISNUMBER(SEARCH("CF",H107)),IFNA(VLOOKUP("CF",Pitch_Coef!$A:$B,2,FALSE),0),0)+IF(ISNUMBER(SEARCH("CH",H107)),IFNA(VLOOKUP("CH",Pitch_Coef!$A:$B,2,FALSE),0),0)+IF(ISNUMBER(SEARCH("FK",H107)),IFNA(VLOOKUP("FK",Pitch_Coef!$A:$B,2,FALSE),0),0)+IF(ISNUMBER(SEARCH("SB",H107)),IFNA(VLOOKUP("SB",Pitch_Coef!$A:$B,2,FALSE),0),0)+IF(ISNUMBER(SEARCH("SL",H107)),IFNA(VLOOKUP("SL",Pitch_Coef!$A:$B,2,FALSE),0),0),0)</f>
        <v/>
      </c>
      <c r="AA107">
        <f>IF(Q107="P",16.5944849573+0.2529999141*N107+0.2665900378*O107+0.2632687105*P107+0.0427586837*I107+0.0534777057*J107+0.009015832*K107+0.0204898106*(O107*P107/100)+1.0091022427*U107+1.0968542297*IF(D107="L",1,0)+0.3771555045*IF(D107="S",1,0)-0.2226159177*IF(E107="L",1,0)+1.21385024*R107-1.1652812274*S107+W107+X107+Z107,10.5965166711+0.2825983581*I107+0.2806503532*J107+0.2027213083*K107+0.1147824982*L107+0.0915305332*M107-0.0088454122*(I107*J107/100)-0.0336045706*(K107*L107/100)+2.8497389733*IF(D107="L",1,0)+4.5116226727*IF(D107="S",1,0)-0.6571546448*IF(E107="L",1,0)+0.0850728147*T107+0.0129488446*(T107*T107)+0.1909373936*IF(OR(F107="Utility",G107="Utility"),T107,0)+0.9656824071*R107-1.7517683256*S107+W107+X107+Y107)</f>
        <v/>
      </c>
      <c r="AB107">
        <f>LOOKUP(AA107,Grade_Scale!$A$2:$A$18,Grade_Scale!$B$2:$B$18)</f>
        <v/>
      </c>
      <c r="AC107">
        <f>LOOKUP(AA107,Grade_Scale!$A$2:$A$18,Grade_Scale!$C$2:$C$18)</f>
        <v/>
      </c>
      <c r="AE107">
        <f>IF(AD107="","",AB107-VLOOKUP(AD107,Grade_Scale!$C$2:$E$18,3,FALSE))</f>
        <v/>
      </c>
    </row>
    <row r="108">
      <c r="Q108">
        <f>IF(OR(B108="SP",B108="RP",B108="CP",B108="SP/RP"),"P","H")</f>
        <v/>
      </c>
      <c r="R108">
        <f>IF(F108="",0,IFNA(VLOOKUP(F108,Trait_Polarity!$A:$C,2,FALSE),0))+IF(G108="",0,IFNA(VLOOKUP(G108,Trait_Polarity!$A:$C,2,FALSE),0))</f>
        <v/>
      </c>
      <c r="S108">
        <f>IF(F108="",0,IFNA(VLOOKUP(F108,Trait_Polarity!$A:$C,3,FALSE),0))+IF(G108="",0,IFNA(VLOOKUP(G108,Trait_Polarity!$A:$C,3,FALSE),0))</f>
        <v/>
      </c>
      <c r="T108">
        <f>IF(Q108="P",0,IFNA(VLOOKUP(IF(C108="","(none)",C108),Secondary_Versatility!$A:$B,2,FALSE),0))</f>
        <v/>
      </c>
      <c r="U108">
        <f>IF(H108="",0,LEN(H108)-LEN(SUBSTITUTE(H108,"|",""))+1)</f>
        <v/>
      </c>
      <c r="V108">
        <f>IF(Q108="P",(N108+O108+P108)/3,0.3*I108+0.3*J108+0.2*K108+0.1*L108+0.1*M108)</f>
        <v/>
      </c>
      <c r="W108">
        <f>IF(Q108="P",IF(F108="",0,IFNA(VLOOKUP(F108,Pitcher_Trait_Coef!$A:$B,2,FALSE),0))+IF(G108="",0,IFNA(VLOOKUP(G108,Pitcher_Trait_Coef!$A:$B,2,FALSE),0)),IF(F108="",0,IFNA(VLOOKUP(F108,Hitter_Trait_Coef!$A:$B,2,FALSE),0))+IF(G108="",0,IFNA(VLOOKUP(G108,Hitter_Trait_Coef!$A:$B,2,FALSE),0)))</f>
        <v/>
      </c>
      <c r="X108">
        <f>IF(Q108="P",IFNA(VLOOKUP(B108,Pitcher_Primary_Coef!$A:$B,2,FALSE),0),IFNA(VLOOKUP(B108,Hitter_Primary_Coef!$A:$B,2,FALSE),0))</f>
        <v/>
      </c>
      <c r="Y108">
        <f>IF(Q108="P",0,IFNA(VLOOKUP(IF(C108="","(none)",C108),Hitter_Secondary_Coef!$A:$B,2,FALSE),0))</f>
        <v/>
      </c>
      <c r="Z108">
        <f>IF(Q108="P",IF(ISNUMBER(SEARCH("2F",H108)),IFNA(VLOOKUP("2F",Pitch_Coef!$A:$B,2,FALSE),0),0)+IF(ISNUMBER(SEARCH("4F",H108)),IFNA(VLOOKUP("4F",Pitch_Coef!$A:$B,2,FALSE),0),0)+IF(ISNUMBER(SEARCH("CB",H108)),IFNA(VLOOKUP("CB",Pitch_Coef!$A:$B,2,FALSE),0),0)+IF(ISNUMBER(SEARCH("CF",H108)),IFNA(VLOOKUP("CF",Pitch_Coef!$A:$B,2,FALSE),0),0)+IF(ISNUMBER(SEARCH("CH",H108)),IFNA(VLOOKUP("CH",Pitch_Coef!$A:$B,2,FALSE),0),0)+IF(ISNUMBER(SEARCH("FK",H108)),IFNA(VLOOKUP("FK",Pitch_Coef!$A:$B,2,FALSE),0),0)+IF(ISNUMBER(SEARCH("SB",H108)),IFNA(VLOOKUP("SB",Pitch_Coef!$A:$B,2,FALSE),0),0)+IF(ISNUMBER(SEARCH("SL",H108)),IFNA(VLOOKUP("SL",Pitch_Coef!$A:$B,2,FALSE),0),0),0)</f>
        <v/>
      </c>
      <c r="AA108">
        <f>IF(Q108="P",16.5944849573+0.2529999141*N108+0.2665900378*O108+0.2632687105*P108+0.0427586837*I108+0.0534777057*J108+0.009015832*K108+0.0204898106*(O108*P108/100)+1.0091022427*U108+1.0968542297*IF(D108="L",1,0)+0.3771555045*IF(D108="S",1,0)-0.2226159177*IF(E108="L",1,0)+1.21385024*R108-1.1652812274*S108+W108+X108+Z108,10.5965166711+0.2825983581*I108+0.2806503532*J108+0.2027213083*K108+0.1147824982*L108+0.0915305332*M108-0.0088454122*(I108*J108/100)-0.0336045706*(K108*L108/100)+2.8497389733*IF(D108="L",1,0)+4.5116226727*IF(D108="S",1,0)-0.6571546448*IF(E108="L",1,0)+0.0850728147*T108+0.0129488446*(T108*T108)+0.1909373936*IF(OR(F108="Utility",G108="Utility"),T108,0)+0.9656824071*R108-1.7517683256*S108+W108+X108+Y108)</f>
        <v/>
      </c>
      <c r="AB108">
        <f>LOOKUP(AA108,Grade_Scale!$A$2:$A$18,Grade_Scale!$B$2:$B$18)</f>
        <v/>
      </c>
      <c r="AC108">
        <f>LOOKUP(AA108,Grade_Scale!$A$2:$A$18,Grade_Scale!$C$2:$C$18)</f>
        <v/>
      </c>
      <c r="AE108">
        <f>IF(AD108="","",AB108-VLOOKUP(AD108,Grade_Scale!$C$2:$E$18,3,FALSE))</f>
        <v/>
      </c>
    </row>
    <row r="109">
      <c r="Q109">
        <f>IF(OR(B109="SP",B109="RP",B109="CP",B109="SP/RP"),"P","H")</f>
        <v/>
      </c>
      <c r="R109">
        <f>IF(F109="",0,IFNA(VLOOKUP(F109,Trait_Polarity!$A:$C,2,FALSE),0))+IF(G109="",0,IFNA(VLOOKUP(G109,Trait_Polarity!$A:$C,2,FALSE),0))</f>
        <v/>
      </c>
      <c r="S109">
        <f>IF(F109="",0,IFNA(VLOOKUP(F109,Trait_Polarity!$A:$C,3,FALSE),0))+IF(G109="",0,IFNA(VLOOKUP(G109,Trait_Polarity!$A:$C,3,FALSE),0))</f>
        <v/>
      </c>
      <c r="T109">
        <f>IF(Q109="P",0,IFNA(VLOOKUP(IF(C109="","(none)",C109),Secondary_Versatility!$A:$B,2,FALSE),0))</f>
        <v/>
      </c>
      <c r="U109">
        <f>IF(H109="",0,LEN(H109)-LEN(SUBSTITUTE(H109,"|",""))+1)</f>
        <v/>
      </c>
      <c r="V109">
        <f>IF(Q109="P",(N109+O109+P109)/3,0.3*I109+0.3*J109+0.2*K109+0.1*L109+0.1*M109)</f>
        <v/>
      </c>
      <c r="W109">
        <f>IF(Q109="P",IF(F109="",0,IFNA(VLOOKUP(F109,Pitcher_Trait_Coef!$A:$B,2,FALSE),0))+IF(G109="",0,IFNA(VLOOKUP(G109,Pitcher_Trait_Coef!$A:$B,2,FALSE),0)),IF(F109="",0,IFNA(VLOOKUP(F109,Hitter_Trait_Coef!$A:$B,2,FALSE),0))+IF(G109="",0,IFNA(VLOOKUP(G109,Hitter_Trait_Coef!$A:$B,2,FALSE),0)))</f>
        <v/>
      </c>
      <c r="X109">
        <f>IF(Q109="P",IFNA(VLOOKUP(B109,Pitcher_Primary_Coef!$A:$B,2,FALSE),0),IFNA(VLOOKUP(B109,Hitter_Primary_Coef!$A:$B,2,FALSE),0))</f>
        <v/>
      </c>
      <c r="Y109">
        <f>IF(Q109="P",0,IFNA(VLOOKUP(IF(C109="","(none)",C109),Hitter_Secondary_Coef!$A:$B,2,FALSE),0))</f>
        <v/>
      </c>
      <c r="Z109">
        <f>IF(Q109="P",IF(ISNUMBER(SEARCH("2F",H109)),IFNA(VLOOKUP("2F",Pitch_Coef!$A:$B,2,FALSE),0),0)+IF(ISNUMBER(SEARCH("4F",H109)),IFNA(VLOOKUP("4F",Pitch_Coef!$A:$B,2,FALSE),0),0)+IF(ISNUMBER(SEARCH("CB",H109)),IFNA(VLOOKUP("CB",Pitch_Coef!$A:$B,2,FALSE),0),0)+IF(ISNUMBER(SEARCH("CF",H109)),IFNA(VLOOKUP("CF",Pitch_Coef!$A:$B,2,FALSE),0),0)+IF(ISNUMBER(SEARCH("CH",H109)),IFNA(VLOOKUP("CH",Pitch_Coef!$A:$B,2,FALSE),0),0)+IF(ISNUMBER(SEARCH("FK",H109)),IFNA(VLOOKUP("FK",Pitch_Coef!$A:$B,2,FALSE),0),0)+IF(ISNUMBER(SEARCH("SB",H109)),IFNA(VLOOKUP("SB",Pitch_Coef!$A:$B,2,FALSE),0),0)+IF(ISNUMBER(SEARCH("SL",H109)),IFNA(VLOOKUP("SL",Pitch_Coef!$A:$B,2,FALSE),0),0),0)</f>
        <v/>
      </c>
      <c r="AA109">
        <f>IF(Q109="P",16.5944849573+0.2529999141*N109+0.2665900378*O109+0.2632687105*P109+0.0427586837*I109+0.0534777057*J109+0.009015832*K109+0.0204898106*(O109*P109/100)+1.0091022427*U109+1.0968542297*IF(D109="L",1,0)+0.3771555045*IF(D109="S",1,0)-0.2226159177*IF(E109="L",1,0)+1.21385024*R109-1.1652812274*S109+W109+X109+Z109,10.5965166711+0.2825983581*I109+0.2806503532*J109+0.2027213083*K109+0.1147824982*L109+0.0915305332*M109-0.0088454122*(I109*J109/100)-0.0336045706*(K109*L109/100)+2.8497389733*IF(D109="L",1,0)+4.5116226727*IF(D109="S",1,0)-0.6571546448*IF(E109="L",1,0)+0.0850728147*T109+0.0129488446*(T109*T109)+0.1909373936*IF(OR(F109="Utility",G109="Utility"),T109,0)+0.9656824071*R109-1.7517683256*S109+W109+X109+Y109)</f>
        <v/>
      </c>
      <c r="AB109">
        <f>LOOKUP(AA109,Grade_Scale!$A$2:$A$18,Grade_Scale!$B$2:$B$18)</f>
        <v/>
      </c>
      <c r="AC109">
        <f>LOOKUP(AA109,Grade_Scale!$A$2:$A$18,Grade_Scale!$C$2:$C$18)</f>
        <v/>
      </c>
      <c r="AE109">
        <f>IF(AD109="","",AB109-VLOOKUP(AD109,Grade_Scale!$C$2:$E$18,3,FALSE))</f>
        <v/>
      </c>
    </row>
    <row r="110">
      <c r="Q110">
        <f>IF(OR(B110="SP",B110="RP",B110="CP",B110="SP/RP"),"P","H")</f>
        <v/>
      </c>
      <c r="R110">
        <f>IF(F110="",0,IFNA(VLOOKUP(F110,Trait_Polarity!$A:$C,2,FALSE),0))+IF(G110="",0,IFNA(VLOOKUP(G110,Trait_Polarity!$A:$C,2,FALSE),0))</f>
        <v/>
      </c>
      <c r="S110">
        <f>IF(F110="",0,IFNA(VLOOKUP(F110,Trait_Polarity!$A:$C,3,FALSE),0))+IF(G110="",0,IFNA(VLOOKUP(G110,Trait_Polarity!$A:$C,3,FALSE),0))</f>
        <v/>
      </c>
      <c r="T110">
        <f>IF(Q110="P",0,IFNA(VLOOKUP(IF(C110="","(none)",C110),Secondary_Versatility!$A:$B,2,FALSE),0))</f>
        <v/>
      </c>
      <c r="U110">
        <f>IF(H110="",0,LEN(H110)-LEN(SUBSTITUTE(H110,"|",""))+1)</f>
        <v/>
      </c>
      <c r="V110">
        <f>IF(Q110="P",(N110+O110+P110)/3,0.3*I110+0.3*J110+0.2*K110+0.1*L110+0.1*M110)</f>
        <v/>
      </c>
      <c r="W110">
        <f>IF(Q110="P",IF(F110="",0,IFNA(VLOOKUP(F110,Pitcher_Trait_Coef!$A:$B,2,FALSE),0))+IF(G110="",0,IFNA(VLOOKUP(G110,Pitcher_Trait_Coef!$A:$B,2,FALSE),0)),IF(F110="",0,IFNA(VLOOKUP(F110,Hitter_Trait_Coef!$A:$B,2,FALSE),0))+IF(G110="",0,IFNA(VLOOKUP(G110,Hitter_Trait_Coef!$A:$B,2,FALSE),0)))</f>
        <v/>
      </c>
      <c r="X110">
        <f>IF(Q110="P",IFNA(VLOOKUP(B110,Pitcher_Primary_Coef!$A:$B,2,FALSE),0),IFNA(VLOOKUP(B110,Hitter_Primary_Coef!$A:$B,2,FALSE),0))</f>
        <v/>
      </c>
      <c r="Y110">
        <f>IF(Q110="P",0,IFNA(VLOOKUP(IF(C110="","(none)",C110),Hitter_Secondary_Coef!$A:$B,2,FALSE),0))</f>
        <v/>
      </c>
      <c r="Z110">
        <f>IF(Q110="P",IF(ISNUMBER(SEARCH("2F",H110)),IFNA(VLOOKUP("2F",Pitch_Coef!$A:$B,2,FALSE),0),0)+IF(ISNUMBER(SEARCH("4F",H110)),IFNA(VLOOKUP("4F",Pitch_Coef!$A:$B,2,FALSE),0),0)+IF(ISNUMBER(SEARCH("CB",H110)),IFNA(VLOOKUP("CB",Pitch_Coef!$A:$B,2,FALSE),0),0)+IF(ISNUMBER(SEARCH("CF",H110)),IFNA(VLOOKUP("CF",Pitch_Coef!$A:$B,2,FALSE),0),0)+IF(ISNUMBER(SEARCH("CH",H110)),IFNA(VLOOKUP("CH",Pitch_Coef!$A:$B,2,FALSE),0),0)+IF(ISNUMBER(SEARCH("FK",H110)),IFNA(VLOOKUP("FK",Pitch_Coef!$A:$B,2,FALSE),0),0)+IF(ISNUMBER(SEARCH("SB",H110)),IFNA(VLOOKUP("SB",Pitch_Coef!$A:$B,2,FALSE),0),0)+IF(ISNUMBER(SEARCH("SL",H110)),IFNA(VLOOKUP("SL",Pitch_Coef!$A:$B,2,FALSE),0),0),0)</f>
        <v/>
      </c>
      <c r="AA110">
        <f>IF(Q110="P",16.5944849573+0.2529999141*N110+0.2665900378*O110+0.2632687105*P110+0.0427586837*I110+0.0534777057*J110+0.009015832*K110+0.0204898106*(O110*P110/100)+1.0091022427*U110+1.0968542297*IF(D110="L",1,0)+0.3771555045*IF(D110="S",1,0)-0.2226159177*IF(E110="L",1,0)+1.21385024*R110-1.1652812274*S110+W110+X110+Z110,10.5965166711+0.2825983581*I110+0.2806503532*J110+0.2027213083*K110+0.1147824982*L110+0.0915305332*M110-0.0088454122*(I110*J110/100)-0.0336045706*(K110*L110/100)+2.8497389733*IF(D110="L",1,0)+4.5116226727*IF(D110="S",1,0)-0.6571546448*IF(E110="L",1,0)+0.0850728147*T110+0.0129488446*(T110*T110)+0.1909373936*IF(OR(F110="Utility",G110="Utility"),T110,0)+0.9656824071*R110-1.7517683256*S110+W110+X110+Y110)</f>
        <v/>
      </c>
      <c r="AB110">
        <f>LOOKUP(AA110,Grade_Scale!$A$2:$A$18,Grade_Scale!$B$2:$B$18)</f>
        <v/>
      </c>
      <c r="AC110">
        <f>LOOKUP(AA110,Grade_Scale!$A$2:$A$18,Grade_Scale!$C$2:$C$18)</f>
        <v/>
      </c>
      <c r="AE110">
        <f>IF(AD110="","",AB110-VLOOKUP(AD110,Grade_Scale!$C$2:$E$18,3,FALSE))</f>
        <v/>
      </c>
    </row>
    <row r="111">
      <c r="Q111">
        <f>IF(OR(B111="SP",B111="RP",B111="CP",B111="SP/RP"),"P","H")</f>
        <v/>
      </c>
      <c r="R111">
        <f>IF(F111="",0,IFNA(VLOOKUP(F111,Trait_Polarity!$A:$C,2,FALSE),0))+IF(G111="",0,IFNA(VLOOKUP(G111,Trait_Polarity!$A:$C,2,FALSE),0))</f>
        <v/>
      </c>
      <c r="S111">
        <f>IF(F111="",0,IFNA(VLOOKUP(F111,Trait_Polarity!$A:$C,3,FALSE),0))+IF(G111="",0,IFNA(VLOOKUP(G111,Trait_Polarity!$A:$C,3,FALSE),0))</f>
        <v/>
      </c>
      <c r="T111">
        <f>IF(Q111="P",0,IFNA(VLOOKUP(IF(C111="","(none)",C111),Secondary_Versatility!$A:$B,2,FALSE),0))</f>
        <v/>
      </c>
      <c r="U111">
        <f>IF(H111="",0,LEN(H111)-LEN(SUBSTITUTE(H111,"|",""))+1)</f>
        <v/>
      </c>
      <c r="V111">
        <f>IF(Q111="P",(N111+O111+P111)/3,0.3*I111+0.3*J111+0.2*K111+0.1*L111+0.1*M111)</f>
        <v/>
      </c>
      <c r="W111">
        <f>IF(Q111="P",IF(F111="",0,IFNA(VLOOKUP(F111,Pitcher_Trait_Coef!$A:$B,2,FALSE),0))+IF(G111="",0,IFNA(VLOOKUP(G111,Pitcher_Trait_Coef!$A:$B,2,FALSE),0)),IF(F111="",0,IFNA(VLOOKUP(F111,Hitter_Trait_Coef!$A:$B,2,FALSE),0))+IF(G111="",0,IFNA(VLOOKUP(G111,Hitter_Trait_Coef!$A:$B,2,FALSE),0)))</f>
        <v/>
      </c>
      <c r="X111">
        <f>IF(Q111="P",IFNA(VLOOKUP(B111,Pitcher_Primary_Coef!$A:$B,2,FALSE),0),IFNA(VLOOKUP(B111,Hitter_Primary_Coef!$A:$B,2,FALSE),0))</f>
        <v/>
      </c>
      <c r="Y111">
        <f>IF(Q111="P",0,IFNA(VLOOKUP(IF(C111="","(none)",C111),Hitter_Secondary_Coef!$A:$B,2,FALSE),0))</f>
        <v/>
      </c>
      <c r="Z111">
        <f>IF(Q111="P",IF(ISNUMBER(SEARCH("2F",H111)),IFNA(VLOOKUP("2F",Pitch_Coef!$A:$B,2,FALSE),0),0)+IF(ISNUMBER(SEARCH("4F",H111)),IFNA(VLOOKUP("4F",Pitch_Coef!$A:$B,2,FALSE),0),0)+IF(ISNUMBER(SEARCH("CB",H111)),IFNA(VLOOKUP("CB",Pitch_Coef!$A:$B,2,FALSE),0),0)+IF(ISNUMBER(SEARCH("CF",H111)),IFNA(VLOOKUP("CF",Pitch_Coef!$A:$B,2,FALSE),0),0)+IF(ISNUMBER(SEARCH("CH",H111)),IFNA(VLOOKUP("CH",Pitch_Coef!$A:$B,2,FALSE),0),0)+IF(ISNUMBER(SEARCH("FK",H111)),IFNA(VLOOKUP("FK",Pitch_Coef!$A:$B,2,FALSE),0),0)+IF(ISNUMBER(SEARCH("SB",H111)),IFNA(VLOOKUP("SB",Pitch_Coef!$A:$B,2,FALSE),0),0)+IF(ISNUMBER(SEARCH("SL",H111)),IFNA(VLOOKUP("SL",Pitch_Coef!$A:$B,2,FALSE),0),0),0)</f>
        <v/>
      </c>
      <c r="AA111">
        <f>IF(Q111="P",16.5944849573+0.2529999141*N111+0.2665900378*O111+0.2632687105*P111+0.0427586837*I111+0.0534777057*J111+0.009015832*K111+0.0204898106*(O111*P111/100)+1.0091022427*U111+1.0968542297*IF(D111="L",1,0)+0.3771555045*IF(D111="S",1,0)-0.2226159177*IF(E111="L",1,0)+1.21385024*R111-1.1652812274*S111+W111+X111+Z111,10.5965166711+0.2825983581*I111+0.2806503532*J111+0.2027213083*K111+0.1147824982*L111+0.0915305332*M111-0.0088454122*(I111*J111/100)-0.0336045706*(K111*L111/100)+2.8497389733*IF(D111="L",1,0)+4.5116226727*IF(D111="S",1,0)-0.6571546448*IF(E111="L",1,0)+0.0850728147*T111+0.0129488446*(T111*T111)+0.1909373936*IF(OR(F111="Utility",G111="Utility"),T111,0)+0.9656824071*R111-1.7517683256*S111+W111+X111+Y111)</f>
        <v/>
      </c>
      <c r="AB111">
        <f>LOOKUP(AA111,Grade_Scale!$A$2:$A$18,Grade_Scale!$B$2:$B$18)</f>
        <v/>
      </c>
      <c r="AC111">
        <f>LOOKUP(AA111,Grade_Scale!$A$2:$A$18,Grade_Scale!$C$2:$C$18)</f>
        <v/>
      </c>
      <c r="AE111">
        <f>IF(AD111="","",AB111-VLOOKUP(AD111,Grade_Scale!$C$2:$E$18,3,FALSE))</f>
        <v/>
      </c>
    </row>
    <row r="112">
      <c r="Q112">
        <f>IF(OR(B112="SP",B112="RP",B112="CP",B112="SP/RP"),"P","H")</f>
        <v/>
      </c>
      <c r="R112">
        <f>IF(F112="",0,IFNA(VLOOKUP(F112,Trait_Polarity!$A:$C,2,FALSE),0))+IF(G112="",0,IFNA(VLOOKUP(G112,Trait_Polarity!$A:$C,2,FALSE),0))</f>
        <v/>
      </c>
      <c r="S112">
        <f>IF(F112="",0,IFNA(VLOOKUP(F112,Trait_Polarity!$A:$C,3,FALSE),0))+IF(G112="",0,IFNA(VLOOKUP(G112,Trait_Polarity!$A:$C,3,FALSE),0))</f>
        <v/>
      </c>
      <c r="T112">
        <f>IF(Q112="P",0,IFNA(VLOOKUP(IF(C112="","(none)",C112),Secondary_Versatility!$A:$B,2,FALSE),0))</f>
        <v/>
      </c>
      <c r="U112">
        <f>IF(H112="",0,LEN(H112)-LEN(SUBSTITUTE(H112,"|",""))+1)</f>
        <v/>
      </c>
      <c r="V112">
        <f>IF(Q112="P",(N112+O112+P112)/3,0.3*I112+0.3*J112+0.2*K112+0.1*L112+0.1*M112)</f>
        <v/>
      </c>
      <c r="W112">
        <f>IF(Q112="P",IF(F112="",0,IFNA(VLOOKUP(F112,Pitcher_Trait_Coef!$A:$B,2,FALSE),0))+IF(G112="",0,IFNA(VLOOKUP(G112,Pitcher_Trait_Coef!$A:$B,2,FALSE),0)),IF(F112="",0,IFNA(VLOOKUP(F112,Hitter_Trait_Coef!$A:$B,2,FALSE),0))+IF(G112="",0,IFNA(VLOOKUP(G112,Hitter_Trait_Coef!$A:$B,2,FALSE),0)))</f>
        <v/>
      </c>
      <c r="X112">
        <f>IF(Q112="P",IFNA(VLOOKUP(B112,Pitcher_Primary_Coef!$A:$B,2,FALSE),0),IFNA(VLOOKUP(B112,Hitter_Primary_Coef!$A:$B,2,FALSE),0))</f>
        <v/>
      </c>
      <c r="Y112">
        <f>IF(Q112="P",0,IFNA(VLOOKUP(IF(C112="","(none)",C112),Hitter_Secondary_Coef!$A:$B,2,FALSE),0))</f>
        <v/>
      </c>
      <c r="Z112">
        <f>IF(Q112="P",IF(ISNUMBER(SEARCH("2F",H112)),IFNA(VLOOKUP("2F",Pitch_Coef!$A:$B,2,FALSE),0),0)+IF(ISNUMBER(SEARCH("4F",H112)),IFNA(VLOOKUP("4F",Pitch_Coef!$A:$B,2,FALSE),0),0)+IF(ISNUMBER(SEARCH("CB",H112)),IFNA(VLOOKUP("CB",Pitch_Coef!$A:$B,2,FALSE),0),0)+IF(ISNUMBER(SEARCH("CF",H112)),IFNA(VLOOKUP("CF",Pitch_Coef!$A:$B,2,FALSE),0),0)+IF(ISNUMBER(SEARCH("CH",H112)),IFNA(VLOOKUP("CH",Pitch_Coef!$A:$B,2,FALSE),0),0)+IF(ISNUMBER(SEARCH("FK",H112)),IFNA(VLOOKUP("FK",Pitch_Coef!$A:$B,2,FALSE),0),0)+IF(ISNUMBER(SEARCH("SB",H112)),IFNA(VLOOKUP("SB",Pitch_Coef!$A:$B,2,FALSE),0),0)+IF(ISNUMBER(SEARCH("SL",H112)),IFNA(VLOOKUP("SL",Pitch_Coef!$A:$B,2,FALSE),0),0),0)</f>
        <v/>
      </c>
      <c r="AA112">
        <f>IF(Q112="P",16.5944849573+0.2529999141*N112+0.2665900378*O112+0.2632687105*P112+0.0427586837*I112+0.0534777057*J112+0.009015832*K112+0.0204898106*(O112*P112/100)+1.0091022427*U112+1.0968542297*IF(D112="L",1,0)+0.3771555045*IF(D112="S",1,0)-0.2226159177*IF(E112="L",1,0)+1.21385024*R112-1.1652812274*S112+W112+X112+Z112,10.5965166711+0.2825983581*I112+0.2806503532*J112+0.2027213083*K112+0.1147824982*L112+0.0915305332*M112-0.0088454122*(I112*J112/100)-0.0336045706*(K112*L112/100)+2.8497389733*IF(D112="L",1,0)+4.5116226727*IF(D112="S",1,0)-0.6571546448*IF(E112="L",1,0)+0.0850728147*T112+0.0129488446*(T112*T112)+0.1909373936*IF(OR(F112="Utility",G112="Utility"),T112,0)+0.9656824071*R112-1.7517683256*S112+W112+X112+Y112)</f>
        <v/>
      </c>
      <c r="AB112">
        <f>LOOKUP(AA112,Grade_Scale!$A$2:$A$18,Grade_Scale!$B$2:$B$18)</f>
        <v/>
      </c>
      <c r="AC112">
        <f>LOOKUP(AA112,Grade_Scale!$A$2:$A$18,Grade_Scale!$C$2:$C$18)</f>
        <v/>
      </c>
      <c r="AE112">
        <f>IF(AD112="","",AB112-VLOOKUP(AD112,Grade_Scale!$C$2:$E$18,3,FALSE))</f>
        <v/>
      </c>
    </row>
    <row r="113">
      <c r="Q113">
        <f>IF(OR(B113="SP",B113="RP",B113="CP",B113="SP/RP"),"P","H")</f>
        <v/>
      </c>
      <c r="R113">
        <f>IF(F113="",0,IFNA(VLOOKUP(F113,Trait_Polarity!$A:$C,2,FALSE),0))+IF(G113="",0,IFNA(VLOOKUP(G113,Trait_Polarity!$A:$C,2,FALSE),0))</f>
        <v/>
      </c>
      <c r="S113">
        <f>IF(F113="",0,IFNA(VLOOKUP(F113,Trait_Polarity!$A:$C,3,FALSE),0))+IF(G113="",0,IFNA(VLOOKUP(G113,Trait_Polarity!$A:$C,3,FALSE),0))</f>
        <v/>
      </c>
      <c r="T113">
        <f>IF(Q113="P",0,IFNA(VLOOKUP(IF(C113="","(none)",C113),Secondary_Versatility!$A:$B,2,FALSE),0))</f>
        <v/>
      </c>
      <c r="U113">
        <f>IF(H113="",0,LEN(H113)-LEN(SUBSTITUTE(H113,"|",""))+1)</f>
        <v/>
      </c>
      <c r="V113">
        <f>IF(Q113="P",(N113+O113+P113)/3,0.3*I113+0.3*J113+0.2*K113+0.1*L113+0.1*M113)</f>
        <v/>
      </c>
      <c r="W113">
        <f>IF(Q113="P",IF(F113="",0,IFNA(VLOOKUP(F113,Pitcher_Trait_Coef!$A:$B,2,FALSE),0))+IF(G113="",0,IFNA(VLOOKUP(G113,Pitcher_Trait_Coef!$A:$B,2,FALSE),0)),IF(F113="",0,IFNA(VLOOKUP(F113,Hitter_Trait_Coef!$A:$B,2,FALSE),0))+IF(G113="",0,IFNA(VLOOKUP(G113,Hitter_Trait_Coef!$A:$B,2,FALSE),0)))</f>
        <v/>
      </c>
      <c r="X113">
        <f>IF(Q113="P",IFNA(VLOOKUP(B113,Pitcher_Primary_Coef!$A:$B,2,FALSE),0),IFNA(VLOOKUP(B113,Hitter_Primary_Coef!$A:$B,2,FALSE),0))</f>
        <v/>
      </c>
      <c r="Y113">
        <f>IF(Q113="P",0,IFNA(VLOOKUP(IF(C113="","(none)",C113),Hitter_Secondary_Coef!$A:$B,2,FALSE),0))</f>
        <v/>
      </c>
      <c r="Z113">
        <f>IF(Q113="P",IF(ISNUMBER(SEARCH("2F",H113)),IFNA(VLOOKUP("2F",Pitch_Coef!$A:$B,2,FALSE),0),0)+IF(ISNUMBER(SEARCH("4F",H113)),IFNA(VLOOKUP("4F",Pitch_Coef!$A:$B,2,FALSE),0),0)+IF(ISNUMBER(SEARCH("CB",H113)),IFNA(VLOOKUP("CB",Pitch_Coef!$A:$B,2,FALSE),0),0)+IF(ISNUMBER(SEARCH("CF",H113)),IFNA(VLOOKUP("CF",Pitch_Coef!$A:$B,2,FALSE),0),0)+IF(ISNUMBER(SEARCH("CH",H113)),IFNA(VLOOKUP("CH",Pitch_Coef!$A:$B,2,FALSE),0),0)+IF(ISNUMBER(SEARCH("FK",H113)),IFNA(VLOOKUP("FK",Pitch_Coef!$A:$B,2,FALSE),0),0)+IF(ISNUMBER(SEARCH("SB",H113)),IFNA(VLOOKUP("SB",Pitch_Coef!$A:$B,2,FALSE),0),0)+IF(ISNUMBER(SEARCH("SL",H113)),IFNA(VLOOKUP("SL",Pitch_Coef!$A:$B,2,FALSE),0),0),0)</f>
        <v/>
      </c>
      <c r="AA113">
        <f>IF(Q113="P",16.5944849573+0.2529999141*N113+0.2665900378*O113+0.2632687105*P113+0.0427586837*I113+0.0534777057*J113+0.009015832*K113+0.0204898106*(O113*P113/100)+1.0091022427*U113+1.0968542297*IF(D113="L",1,0)+0.3771555045*IF(D113="S",1,0)-0.2226159177*IF(E113="L",1,0)+1.21385024*R113-1.1652812274*S113+W113+X113+Z113,10.5965166711+0.2825983581*I113+0.2806503532*J113+0.2027213083*K113+0.1147824982*L113+0.0915305332*M113-0.0088454122*(I113*J113/100)-0.0336045706*(K113*L113/100)+2.8497389733*IF(D113="L",1,0)+4.5116226727*IF(D113="S",1,0)-0.6571546448*IF(E113="L",1,0)+0.0850728147*T113+0.0129488446*(T113*T113)+0.1909373936*IF(OR(F113="Utility",G113="Utility"),T113,0)+0.9656824071*R113-1.7517683256*S113+W113+X113+Y113)</f>
        <v/>
      </c>
      <c r="AB113">
        <f>LOOKUP(AA113,Grade_Scale!$A$2:$A$18,Grade_Scale!$B$2:$B$18)</f>
        <v/>
      </c>
      <c r="AC113">
        <f>LOOKUP(AA113,Grade_Scale!$A$2:$A$18,Grade_Scale!$C$2:$C$18)</f>
        <v/>
      </c>
      <c r="AE113">
        <f>IF(AD113="","",AB113-VLOOKUP(AD113,Grade_Scale!$C$2:$E$18,3,FALSE))</f>
        <v/>
      </c>
    </row>
    <row r="114">
      <c r="Q114">
        <f>IF(OR(B114="SP",B114="RP",B114="CP",B114="SP/RP"),"P","H")</f>
        <v/>
      </c>
      <c r="R114">
        <f>IF(F114="",0,IFNA(VLOOKUP(F114,Trait_Polarity!$A:$C,2,FALSE),0))+IF(G114="",0,IFNA(VLOOKUP(G114,Trait_Polarity!$A:$C,2,FALSE),0))</f>
        <v/>
      </c>
      <c r="S114">
        <f>IF(F114="",0,IFNA(VLOOKUP(F114,Trait_Polarity!$A:$C,3,FALSE),0))+IF(G114="",0,IFNA(VLOOKUP(G114,Trait_Polarity!$A:$C,3,FALSE),0))</f>
        <v/>
      </c>
      <c r="T114">
        <f>IF(Q114="P",0,IFNA(VLOOKUP(IF(C114="","(none)",C114),Secondary_Versatility!$A:$B,2,FALSE),0))</f>
        <v/>
      </c>
      <c r="U114">
        <f>IF(H114="",0,LEN(H114)-LEN(SUBSTITUTE(H114,"|",""))+1)</f>
        <v/>
      </c>
      <c r="V114">
        <f>IF(Q114="P",(N114+O114+P114)/3,0.3*I114+0.3*J114+0.2*K114+0.1*L114+0.1*M114)</f>
        <v/>
      </c>
      <c r="W114">
        <f>IF(Q114="P",IF(F114="",0,IFNA(VLOOKUP(F114,Pitcher_Trait_Coef!$A:$B,2,FALSE),0))+IF(G114="",0,IFNA(VLOOKUP(G114,Pitcher_Trait_Coef!$A:$B,2,FALSE),0)),IF(F114="",0,IFNA(VLOOKUP(F114,Hitter_Trait_Coef!$A:$B,2,FALSE),0))+IF(G114="",0,IFNA(VLOOKUP(G114,Hitter_Trait_Coef!$A:$B,2,FALSE),0)))</f>
        <v/>
      </c>
      <c r="X114">
        <f>IF(Q114="P",IFNA(VLOOKUP(B114,Pitcher_Primary_Coef!$A:$B,2,FALSE),0),IFNA(VLOOKUP(B114,Hitter_Primary_Coef!$A:$B,2,FALSE),0))</f>
        <v/>
      </c>
      <c r="Y114">
        <f>IF(Q114="P",0,IFNA(VLOOKUP(IF(C114="","(none)",C114),Hitter_Secondary_Coef!$A:$B,2,FALSE),0))</f>
        <v/>
      </c>
      <c r="Z114">
        <f>IF(Q114="P",IF(ISNUMBER(SEARCH("2F",H114)),IFNA(VLOOKUP("2F",Pitch_Coef!$A:$B,2,FALSE),0),0)+IF(ISNUMBER(SEARCH("4F",H114)),IFNA(VLOOKUP("4F",Pitch_Coef!$A:$B,2,FALSE),0),0)+IF(ISNUMBER(SEARCH("CB",H114)),IFNA(VLOOKUP("CB",Pitch_Coef!$A:$B,2,FALSE),0),0)+IF(ISNUMBER(SEARCH("CF",H114)),IFNA(VLOOKUP("CF",Pitch_Coef!$A:$B,2,FALSE),0),0)+IF(ISNUMBER(SEARCH("CH",H114)),IFNA(VLOOKUP("CH",Pitch_Coef!$A:$B,2,FALSE),0),0)+IF(ISNUMBER(SEARCH("FK",H114)),IFNA(VLOOKUP("FK",Pitch_Coef!$A:$B,2,FALSE),0),0)+IF(ISNUMBER(SEARCH("SB",H114)),IFNA(VLOOKUP("SB",Pitch_Coef!$A:$B,2,FALSE),0),0)+IF(ISNUMBER(SEARCH("SL",H114)),IFNA(VLOOKUP("SL",Pitch_Coef!$A:$B,2,FALSE),0),0),0)</f>
        <v/>
      </c>
      <c r="AA114">
        <f>IF(Q114="P",16.5944849573+0.2529999141*N114+0.2665900378*O114+0.2632687105*P114+0.0427586837*I114+0.0534777057*J114+0.009015832*K114+0.0204898106*(O114*P114/100)+1.0091022427*U114+1.0968542297*IF(D114="L",1,0)+0.3771555045*IF(D114="S",1,0)-0.2226159177*IF(E114="L",1,0)+1.21385024*R114-1.1652812274*S114+W114+X114+Z114,10.5965166711+0.2825983581*I114+0.2806503532*J114+0.2027213083*K114+0.1147824982*L114+0.0915305332*M114-0.0088454122*(I114*J114/100)-0.0336045706*(K114*L114/100)+2.8497389733*IF(D114="L",1,0)+4.5116226727*IF(D114="S",1,0)-0.6571546448*IF(E114="L",1,0)+0.0850728147*T114+0.0129488446*(T114*T114)+0.1909373936*IF(OR(F114="Utility",G114="Utility"),T114,0)+0.9656824071*R114-1.7517683256*S114+W114+X114+Y114)</f>
        <v/>
      </c>
      <c r="AB114">
        <f>LOOKUP(AA114,Grade_Scale!$A$2:$A$18,Grade_Scale!$B$2:$B$18)</f>
        <v/>
      </c>
      <c r="AC114">
        <f>LOOKUP(AA114,Grade_Scale!$A$2:$A$18,Grade_Scale!$C$2:$C$18)</f>
        <v/>
      </c>
      <c r="AE114">
        <f>IF(AD114="","",AB114-VLOOKUP(AD114,Grade_Scale!$C$2:$E$18,3,FALSE))</f>
        <v/>
      </c>
    </row>
    <row r="115">
      <c r="Q115">
        <f>IF(OR(B115="SP",B115="RP",B115="CP",B115="SP/RP"),"P","H")</f>
        <v/>
      </c>
      <c r="R115">
        <f>IF(F115="",0,IFNA(VLOOKUP(F115,Trait_Polarity!$A:$C,2,FALSE),0))+IF(G115="",0,IFNA(VLOOKUP(G115,Trait_Polarity!$A:$C,2,FALSE),0))</f>
        <v/>
      </c>
      <c r="S115">
        <f>IF(F115="",0,IFNA(VLOOKUP(F115,Trait_Polarity!$A:$C,3,FALSE),0))+IF(G115="",0,IFNA(VLOOKUP(G115,Trait_Polarity!$A:$C,3,FALSE),0))</f>
        <v/>
      </c>
      <c r="T115">
        <f>IF(Q115="P",0,IFNA(VLOOKUP(IF(C115="","(none)",C115),Secondary_Versatility!$A:$B,2,FALSE),0))</f>
        <v/>
      </c>
      <c r="U115">
        <f>IF(H115="",0,LEN(H115)-LEN(SUBSTITUTE(H115,"|",""))+1)</f>
        <v/>
      </c>
      <c r="V115">
        <f>IF(Q115="P",(N115+O115+P115)/3,0.3*I115+0.3*J115+0.2*K115+0.1*L115+0.1*M115)</f>
        <v/>
      </c>
      <c r="W115">
        <f>IF(Q115="P",IF(F115="",0,IFNA(VLOOKUP(F115,Pitcher_Trait_Coef!$A:$B,2,FALSE),0))+IF(G115="",0,IFNA(VLOOKUP(G115,Pitcher_Trait_Coef!$A:$B,2,FALSE),0)),IF(F115="",0,IFNA(VLOOKUP(F115,Hitter_Trait_Coef!$A:$B,2,FALSE),0))+IF(G115="",0,IFNA(VLOOKUP(G115,Hitter_Trait_Coef!$A:$B,2,FALSE),0)))</f>
        <v/>
      </c>
      <c r="X115">
        <f>IF(Q115="P",IFNA(VLOOKUP(B115,Pitcher_Primary_Coef!$A:$B,2,FALSE),0),IFNA(VLOOKUP(B115,Hitter_Primary_Coef!$A:$B,2,FALSE),0))</f>
        <v/>
      </c>
      <c r="Y115">
        <f>IF(Q115="P",0,IFNA(VLOOKUP(IF(C115="","(none)",C115),Hitter_Secondary_Coef!$A:$B,2,FALSE),0))</f>
        <v/>
      </c>
      <c r="Z115">
        <f>IF(Q115="P",IF(ISNUMBER(SEARCH("2F",H115)),IFNA(VLOOKUP("2F",Pitch_Coef!$A:$B,2,FALSE),0),0)+IF(ISNUMBER(SEARCH("4F",H115)),IFNA(VLOOKUP("4F",Pitch_Coef!$A:$B,2,FALSE),0),0)+IF(ISNUMBER(SEARCH("CB",H115)),IFNA(VLOOKUP("CB",Pitch_Coef!$A:$B,2,FALSE),0),0)+IF(ISNUMBER(SEARCH("CF",H115)),IFNA(VLOOKUP("CF",Pitch_Coef!$A:$B,2,FALSE),0),0)+IF(ISNUMBER(SEARCH("CH",H115)),IFNA(VLOOKUP("CH",Pitch_Coef!$A:$B,2,FALSE),0),0)+IF(ISNUMBER(SEARCH("FK",H115)),IFNA(VLOOKUP("FK",Pitch_Coef!$A:$B,2,FALSE),0),0)+IF(ISNUMBER(SEARCH("SB",H115)),IFNA(VLOOKUP("SB",Pitch_Coef!$A:$B,2,FALSE),0),0)+IF(ISNUMBER(SEARCH("SL",H115)),IFNA(VLOOKUP("SL",Pitch_Coef!$A:$B,2,FALSE),0),0),0)</f>
        <v/>
      </c>
      <c r="AA115">
        <f>IF(Q115="P",16.5944849573+0.2529999141*N115+0.2665900378*O115+0.2632687105*P115+0.0427586837*I115+0.0534777057*J115+0.009015832*K115+0.0204898106*(O115*P115/100)+1.0091022427*U115+1.0968542297*IF(D115="L",1,0)+0.3771555045*IF(D115="S",1,0)-0.2226159177*IF(E115="L",1,0)+1.21385024*R115-1.1652812274*S115+W115+X115+Z115,10.5965166711+0.2825983581*I115+0.2806503532*J115+0.2027213083*K115+0.1147824982*L115+0.0915305332*M115-0.0088454122*(I115*J115/100)-0.0336045706*(K115*L115/100)+2.8497389733*IF(D115="L",1,0)+4.5116226727*IF(D115="S",1,0)-0.6571546448*IF(E115="L",1,0)+0.0850728147*T115+0.0129488446*(T115*T115)+0.1909373936*IF(OR(F115="Utility",G115="Utility"),T115,0)+0.9656824071*R115-1.7517683256*S115+W115+X115+Y115)</f>
        <v/>
      </c>
      <c r="AB115">
        <f>LOOKUP(AA115,Grade_Scale!$A$2:$A$18,Grade_Scale!$B$2:$B$18)</f>
        <v/>
      </c>
      <c r="AC115">
        <f>LOOKUP(AA115,Grade_Scale!$A$2:$A$18,Grade_Scale!$C$2:$C$18)</f>
        <v/>
      </c>
      <c r="AE115">
        <f>IF(AD115="","",AB115-VLOOKUP(AD115,Grade_Scale!$C$2:$E$18,3,FALSE))</f>
        <v/>
      </c>
    </row>
    <row r="116">
      <c r="Q116">
        <f>IF(OR(B116="SP",B116="RP",B116="CP",B116="SP/RP"),"P","H")</f>
        <v/>
      </c>
      <c r="R116">
        <f>IF(F116="",0,IFNA(VLOOKUP(F116,Trait_Polarity!$A:$C,2,FALSE),0))+IF(G116="",0,IFNA(VLOOKUP(G116,Trait_Polarity!$A:$C,2,FALSE),0))</f>
        <v/>
      </c>
      <c r="S116">
        <f>IF(F116="",0,IFNA(VLOOKUP(F116,Trait_Polarity!$A:$C,3,FALSE),0))+IF(G116="",0,IFNA(VLOOKUP(G116,Trait_Polarity!$A:$C,3,FALSE),0))</f>
        <v/>
      </c>
      <c r="T116">
        <f>IF(Q116="P",0,IFNA(VLOOKUP(IF(C116="","(none)",C116),Secondary_Versatility!$A:$B,2,FALSE),0))</f>
        <v/>
      </c>
      <c r="U116">
        <f>IF(H116="",0,LEN(H116)-LEN(SUBSTITUTE(H116,"|",""))+1)</f>
        <v/>
      </c>
      <c r="V116">
        <f>IF(Q116="P",(N116+O116+P116)/3,0.3*I116+0.3*J116+0.2*K116+0.1*L116+0.1*M116)</f>
        <v/>
      </c>
      <c r="W116">
        <f>IF(Q116="P",IF(F116="",0,IFNA(VLOOKUP(F116,Pitcher_Trait_Coef!$A:$B,2,FALSE),0))+IF(G116="",0,IFNA(VLOOKUP(G116,Pitcher_Trait_Coef!$A:$B,2,FALSE),0)),IF(F116="",0,IFNA(VLOOKUP(F116,Hitter_Trait_Coef!$A:$B,2,FALSE),0))+IF(G116="",0,IFNA(VLOOKUP(G116,Hitter_Trait_Coef!$A:$B,2,FALSE),0)))</f>
        <v/>
      </c>
      <c r="X116">
        <f>IF(Q116="P",IFNA(VLOOKUP(B116,Pitcher_Primary_Coef!$A:$B,2,FALSE),0),IFNA(VLOOKUP(B116,Hitter_Primary_Coef!$A:$B,2,FALSE),0))</f>
        <v/>
      </c>
      <c r="Y116">
        <f>IF(Q116="P",0,IFNA(VLOOKUP(IF(C116="","(none)",C116),Hitter_Secondary_Coef!$A:$B,2,FALSE),0))</f>
        <v/>
      </c>
      <c r="Z116">
        <f>IF(Q116="P",IF(ISNUMBER(SEARCH("2F",H116)),IFNA(VLOOKUP("2F",Pitch_Coef!$A:$B,2,FALSE),0),0)+IF(ISNUMBER(SEARCH("4F",H116)),IFNA(VLOOKUP("4F",Pitch_Coef!$A:$B,2,FALSE),0),0)+IF(ISNUMBER(SEARCH("CB",H116)),IFNA(VLOOKUP("CB",Pitch_Coef!$A:$B,2,FALSE),0),0)+IF(ISNUMBER(SEARCH("CF",H116)),IFNA(VLOOKUP("CF",Pitch_Coef!$A:$B,2,FALSE),0),0)+IF(ISNUMBER(SEARCH("CH",H116)),IFNA(VLOOKUP("CH",Pitch_Coef!$A:$B,2,FALSE),0),0)+IF(ISNUMBER(SEARCH("FK",H116)),IFNA(VLOOKUP("FK",Pitch_Coef!$A:$B,2,FALSE),0),0)+IF(ISNUMBER(SEARCH("SB",H116)),IFNA(VLOOKUP("SB",Pitch_Coef!$A:$B,2,FALSE),0),0)+IF(ISNUMBER(SEARCH("SL",H116)),IFNA(VLOOKUP("SL",Pitch_Coef!$A:$B,2,FALSE),0),0),0)</f>
        <v/>
      </c>
      <c r="AA116">
        <f>IF(Q116="P",16.5944849573+0.2529999141*N116+0.2665900378*O116+0.2632687105*P116+0.0427586837*I116+0.0534777057*J116+0.009015832*K116+0.0204898106*(O116*P116/100)+1.0091022427*U116+1.0968542297*IF(D116="L",1,0)+0.3771555045*IF(D116="S",1,0)-0.2226159177*IF(E116="L",1,0)+1.21385024*R116-1.1652812274*S116+W116+X116+Z116,10.5965166711+0.2825983581*I116+0.2806503532*J116+0.2027213083*K116+0.1147824982*L116+0.0915305332*M116-0.0088454122*(I116*J116/100)-0.0336045706*(K116*L116/100)+2.8497389733*IF(D116="L",1,0)+4.5116226727*IF(D116="S",1,0)-0.6571546448*IF(E116="L",1,0)+0.0850728147*T116+0.0129488446*(T116*T116)+0.1909373936*IF(OR(F116="Utility",G116="Utility"),T116,0)+0.9656824071*R116-1.7517683256*S116+W116+X116+Y116)</f>
        <v/>
      </c>
      <c r="AB116">
        <f>LOOKUP(AA116,Grade_Scale!$A$2:$A$18,Grade_Scale!$B$2:$B$18)</f>
        <v/>
      </c>
      <c r="AC116">
        <f>LOOKUP(AA116,Grade_Scale!$A$2:$A$18,Grade_Scale!$C$2:$C$18)</f>
        <v/>
      </c>
      <c r="AE116">
        <f>IF(AD116="","",AB116-VLOOKUP(AD116,Grade_Scale!$C$2:$E$18,3,FALSE))</f>
        <v/>
      </c>
    </row>
    <row r="117">
      <c r="Q117">
        <f>IF(OR(B117="SP",B117="RP",B117="CP",B117="SP/RP"),"P","H")</f>
        <v/>
      </c>
      <c r="R117">
        <f>IF(F117="",0,IFNA(VLOOKUP(F117,Trait_Polarity!$A:$C,2,FALSE),0))+IF(G117="",0,IFNA(VLOOKUP(G117,Trait_Polarity!$A:$C,2,FALSE),0))</f>
        <v/>
      </c>
      <c r="S117">
        <f>IF(F117="",0,IFNA(VLOOKUP(F117,Trait_Polarity!$A:$C,3,FALSE),0))+IF(G117="",0,IFNA(VLOOKUP(G117,Trait_Polarity!$A:$C,3,FALSE),0))</f>
        <v/>
      </c>
      <c r="T117">
        <f>IF(Q117="P",0,IFNA(VLOOKUP(IF(C117="","(none)",C117),Secondary_Versatility!$A:$B,2,FALSE),0))</f>
        <v/>
      </c>
      <c r="U117">
        <f>IF(H117="",0,LEN(H117)-LEN(SUBSTITUTE(H117,"|",""))+1)</f>
        <v/>
      </c>
      <c r="V117">
        <f>IF(Q117="P",(N117+O117+P117)/3,0.3*I117+0.3*J117+0.2*K117+0.1*L117+0.1*M117)</f>
        <v/>
      </c>
      <c r="W117">
        <f>IF(Q117="P",IF(F117="",0,IFNA(VLOOKUP(F117,Pitcher_Trait_Coef!$A:$B,2,FALSE),0))+IF(G117="",0,IFNA(VLOOKUP(G117,Pitcher_Trait_Coef!$A:$B,2,FALSE),0)),IF(F117="",0,IFNA(VLOOKUP(F117,Hitter_Trait_Coef!$A:$B,2,FALSE),0))+IF(G117="",0,IFNA(VLOOKUP(G117,Hitter_Trait_Coef!$A:$B,2,FALSE),0)))</f>
        <v/>
      </c>
      <c r="X117">
        <f>IF(Q117="P",IFNA(VLOOKUP(B117,Pitcher_Primary_Coef!$A:$B,2,FALSE),0),IFNA(VLOOKUP(B117,Hitter_Primary_Coef!$A:$B,2,FALSE),0))</f>
        <v/>
      </c>
      <c r="Y117">
        <f>IF(Q117="P",0,IFNA(VLOOKUP(IF(C117="","(none)",C117),Hitter_Secondary_Coef!$A:$B,2,FALSE),0))</f>
        <v/>
      </c>
      <c r="Z117">
        <f>IF(Q117="P",IF(ISNUMBER(SEARCH("2F",H117)),IFNA(VLOOKUP("2F",Pitch_Coef!$A:$B,2,FALSE),0),0)+IF(ISNUMBER(SEARCH("4F",H117)),IFNA(VLOOKUP("4F",Pitch_Coef!$A:$B,2,FALSE),0),0)+IF(ISNUMBER(SEARCH("CB",H117)),IFNA(VLOOKUP("CB",Pitch_Coef!$A:$B,2,FALSE),0),0)+IF(ISNUMBER(SEARCH("CF",H117)),IFNA(VLOOKUP("CF",Pitch_Coef!$A:$B,2,FALSE),0),0)+IF(ISNUMBER(SEARCH("CH",H117)),IFNA(VLOOKUP("CH",Pitch_Coef!$A:$B,2,FALSE),0),0)+IF(ISNUMBER(SEARCH("FK",H117)),IFNA(VLOOKUP("FK",Pitch_Coef!$A:$B,2,FALSE),0),0)+IF(ISNUMBER(SEARCH("SB",H117)),IFNA(VLOOKUP("SB",Pitch_Coef!$A:$B,2,FALSE),0),0)+IF(ISNUMBER(SEARCH("SL",H117)),IFNA(VLOOKUP("SL",Pitch_Coef!$A:$B,2,FALSE),0),0),0)</f>
        <v/>
      </c>
      <c r="AA117">
        <f>IF(Q117="P",16.5944849573+0.2529999141*N117+0.2665900378*O117+0.2632687105*P117+0.0427586837*I117+0.0534777057*J117+0.009015832*K117+0.0204898106*(O117*P117/100)+1.0091022427*U117+1.0968542297*IF(D117="L",1,0)+0.3771555045*IF(D117="S",1,0)-0.2226159177*IF(E117="L",1,0)+1.21385024*R117-1.1652812274*S117+W117+X117+Z117,10.5965166711+0.2825983581*I117+0.2806503532*J117+0.2027213083*K117+0.1147824982*L117+0.0915305332*M117-0.0088454122*(I117*J117/100)-0.0336045706*(K117*L117/100)+2.8497389733*IF(D117="L",1,0)+4.5116226727*IF(D117="S",1,0)-0.6571546448*IF(E117="L",1,0)+0.0850728147*T117+0.0129488446*(T117*T117)+0.1909373936*IF(OR(F117="Utility",G117="Utility"),T117,0)+0.9656824071*R117-1.7517683256*S117+W117+X117+Y117)</f>
        <v/>
      </c>
      <c r="AB117">
        <f>LOOKUP(AA117,Grade_Scale!$A$2:$A$18,Grade_Scale!$B$2:$B$18)</f>
        <v/>
      </c>
      <c r="AC117">
        <f>LOOKUP(AA117,Grade_Scale!$A$2:$A$18,Grade_Scale!$C$2:$C$18)</f>
        <v/>
      </c>
      <c r="AE117">
        <f>IF(AD117="","",AB117-VLOOKUP(AD117,Grade_Scale!$C$2:$E$18,3,FALSE))</f>
        <v/>
      </c>
    </row>
    <row r="118">
      <c r="Q118">
        <f>IF(OR(B118="SP",B118="RP",B118="CP",B118="SP/RP"),"P","H")</f>
        <v/>
      </c>
      <c r="R118">
        <f>IF(F118="",0,IFNA(VLOOKUP(F118,Trait_Polarity!$A:$C,2,FALSE),0))+IF(G118="",0,IFNA(VLOOKUP(G118,Trait_Polarity!$A:$C,2,FALSE),0))</f>
        <v/>
      </c>
      <c r="S118">
        <f>IF(F118="",0,IFNA(VLOOKUP(F118,Trait_Polarity!$A:$C,3,FALSE),0))+IF(G118="",0,IFNA(VLOOKUP(G118,Trait_Polarity!$A:$C,3,FALSE),0))</f>
        <v/>
      </c>
      <c r="T118">
        <f>IF(Q118="P",0,IFNA(VLOOKUP(IF(C118="","(none)",C118),Secondary_Versatility!$A:$B,2,FALSE),0))</f>
        <v/>
      </c>
      <c r="U118">
        <f>IF(H118="",0,LEN(H118)-LEN(SUBSTITUTE(H118,"|",""))+1)</f>
        <v/>
      </c>
      <c r="V118">
        <f>IF(Q118="P",(N118+O118+P118)/3,0.3*I118+0.3*J118+0.2*K118+0.1*L118+0.1*M118)</f>
        <v/>
      </c>
      <c r="W118">
        <f>IF(Q118="P",IF(F118="",0,IFNA(VLOOKUP(F118,Pitcher_Trait_Coef!$A:$B,2,FALSE),0))+IF(G118="",0,IFNA(VLOOKUP(G118,Pitcher_Trait_Coef!$A:$B,2,FALSE),0)),IF(F118="",0,IFNA(VLOOKUP(F118,Hitter_Trait_Coef!$A:$B,2,FALSE),0))+IF(G118="",0,IFNA(VLOOKUP(G118,Hitter_Trait_Coef!$A:$B,2,FALSE),0)))</f>
        <v/>
      </c>
      <c r="X118">
        <f>IF(Q118="P",IFNA(VLOOKUP(B118,Pitcher_Primary_Coef!$A:$B,2,FALSE),0),IFNA(VLOOKUP(B118,Hitter_Primary_Coef!$A:$B,2,FALSE),0))</f>
        <v/>
      </c>
      <c r="Y118">
        <f>IF(Q118="P",0,IFNA(VLOOKUP(IF(C118="","(none)",C118),Hitter_Secondary_Coef!$A:$B,2,FALSE),0))</f>
        <v/>
      </c>
      <c r="Z118">
        <f>IF(Q118="P",IF(ISNUMBER(SEARCH("2F",H118)),IFNA(VLOOKUP("2F",Pitch_Coef!$A:$B,2,FALSE),0),0)+IF(ISNUMBER(SEARCH("4F",H118)),IFNA(VLOOKUP("4F",Pitch_Coef!$A:$B,2,FALSE),0),0)+IF(ISNUMBER(SEARCH("CB",H118)),IFNA(VLOOKUP("CB",Pitch_Coef!$A:$B,2,FALSE),0),0)+IF(ISNUMBER(SEARCH("CF",H118)),IFNA(VLOOKUP("CF",Pitch_Coef!$A:$B,2,FALSE),0),0)+IF(ISNUMBER(SEARCH("CH",H118)),IFNA(VLOOKUP("CH",Pitch_Coef!$A:$B,2,FALSE),0),0)+IF(ISNUMBER(SEARCH("FK",H118)),IFNA(VLOOKUP("FK",Pitch_Coef!$A:$B,2,FALSE),0),0)+IF(ISNUMBER(SEARCH("SB",H118)),IFNA(VLOOKUP("SB",Pitch_Coef!$A:$B,2,FALSE),0),0)+IF(ISNUMBER(SEARCH("SL",H118)),IFNA(VLOOKUP("SL",Pitch_Coef!$A:$B,2,FALSE),0),0),0)</f>
        <v/>
      </c>
      <c r="AA118">
        <f>IF(Q118="P",16.5944849573+0.2529999141*N118+0.2665900378*O118+0.2632687105*P118+0.0427586837*I118+0.0534777057*J118+0.009015832*K118+0.0204898106*(O118*P118/100)+1.0091022427*U118+1.0968542297*IF(D118="L",1,0)+0.3771555045*IF(D118="S",1,0)-0.2226159177*IF(E118="L",1,0)+1.21385024*R118-1.1652812274*S118+W118+X118+Z118,10.5965166711+0.2825983581*I118+0.2806503532*J118+0.2027213083*K118+0.1147824982*L118+0.0915305332*M118-0.0088454122*(I118*J118/100)-0.0336045706*(K118*L118/100)+2.8497389733*IF(D118="L",1,0)+4.5116226727*IF(D118="S",1,0)-0.6571546448*IF(E118="L",1,0)+0.0850728147*T118+0.0129488446*(T118*T118)+0.1909373936*IF(OR(F118="Utility",G118="Utility"),T118,0)+0.9656824071*R118-1.7517683256*S118+W118+X118+Y118)</f>
        <v/>
      </c>
      <c r="AB118">
        <f>LOOKUP(AA118,Grade_Scale!$A$2:$A$18,Grade_Scale!$B$2:$B$18)</f>
        <v/>
      </c>
      <c r="AC118">
        <f>LOOKUP(AA118,Grade_Scale!$A$2:$A$18,Grade_Scale!$C$2:$C$18)</f>
        <v/>
      </c>
      <c r="AE118">
        <f>IF(AD118="","",AB118-VLOOKUP(AD118,Grade_Scale!$C$2:$E$18,3,FALSE))</f>
        <v/>
      </c>
    </row>
    <row r="119">
      <c r="Q119">
        <f>IF(OR(B119="SP",B119="RP",B119="CP",B119="SP/RP"),"P","H")</f>
        <v/>
      </c>
      <c r="R119">
        <f>IF(F119="",0,IFNA(VLOOKUP(F119,Trait_Polarity!$A:$C,2,FALSE),0))+IF(G119="",0,IFNA(VLOOKUP(G119,Trait_Polarity!$A:$C,2,FALSE),0))</f>
        <v/>
      </c>
      <c r="S119">
        <f>IF(F119="",0,IFNA(VLOOKUP(F119,Trait_Polarity!$A:$C,3,FALSE),0))+IF(G119="",0,IFNA(VLOOKUP(G119,Trait_Polarity!$A:$C,3,FALSE),0))</f>
        <v/>
      </c>
      <c r="T119">
        <f>IF(Q119="P",0,IFNA(VLOOKUP(IF(C119="","(none)",C119),Secondary_Versatility!$A:$B,2,FALSE),0))</f>
        <v/>
      </c>
      <c r="U119">
        <f>IF(H119="",0,LEN(H119)-LEN(SUBSTITUTE(H119,"|",""))+1)</f>
        <v/>
      </c>
      <c r="V119">
        <f>IF(Q119="P",(N119+O119+P119)/3,0.3*I119+0.3*J119+0.2*K119+0.1*L119+0.1*M119)</f>
        <v/>
      </c>
      <c r="W119">
        <f>IF(Q119="P",IF(F119="",0,IFNA(VLOOKUP(F119,Pitcher_Trait_Coef!$A:$B,2,FALSE),0))+IF(G119="",0,IFNA(VLOOKUP(G119,Pitcher_Trait_Coef!$A:$B,2,FALSE),0)),IF(F119="",0,IFNA(VLOOKUP(F119,Hitter_Trait_Coef!$A:$B,2,FALSE),0))+IF(G119="",0,IFNA(VLOOKUP(G119,Hitter_Trait_Coef!$A:$B,2,FALSE),0)))</f>
        <v/>
      </c>
      <c r="X119">
        <f>IF(Q119="P",IFNA(VLOOKUP(B119,Pitcher_Primary_Coef!$A:$B,2,FALSE),0),IFNA(VLOOKUP(B119,Hitter_Primary_Coef!$A:$B,2,FALSE),0))</f>
        <v/>
      </c>
      <c r="Y119">
        <f>IF(Q119="P",0,IFNA(VLOOKUP(IF(C119="","(none)",C119),Hitter_Secondary_Coef!$A:$B,2,FALSE),0))</f>
        <v/>
      </c>
      <c r="Z119">
        <f>IF(Q119="P",IF(ISNUMBER(SEARCH("2F",H119)),IFNA(VLOOKUP("2F",Pitch_Coef!$A:$B,2,FALSE),0),0)+IF(ISNUMBER(SEARCH("4F",H119)),IFNA(VLOOKUP("4F",Pitch_Coef!$A:$B,2,FALSE),0),0)+IF(ISNUMBER(SEARCH("CB",H119)),IFNA(VLOOKUP("CB",Pitch_Coef!$A:$B,2,FALSE),0),0)+IF(ISNUMBER(SEARCH("CF",H119)),IFNA(VLOOKUP("CF",Pitch_Coef!$A:$B,2,FALSE),0),0)+IF(ISNUMBER(SEARCH("CH",H119)),IFNA(VLOOKUP("CH",Pitch_Coef!$A:$B,2,FALSE),0),0)+IF(ISNUMBER(SEARCH("FK",H119)),IFNA(VLOOKUP("FK",Pitch_Coef!$A:$B,2,FALSE),0),0)+IF(ISNUMBER(SEARCH("SB",H119)),IFNA(VLOOKUP("SB",Pitch_Coef!$A:$B,2,FALSE),0),0)+IF(ISNUMBER(SEARCH("SL",H119)),IFNA(VLOOKUP("SL",Pitch_Coef!$A:$B,2,FALSE),0),0),0)</f>
        <v/>
      </c>
      <c r="AA119">
        <f>IF(Q119="P",16.5944849573+0.2529999141*N119+0.2665900378*O119+0.2632687105*P119+0.0427586837*I119+0.0534777057*J119+0.009015832*K119+0.0204898106*(O119*P119/100)+1.0091022427*U119+1.0968542297*IF(D119="L",1,0)+0.3771555045*IF(D119="S",1,0)-0.2226159177*IF(E119="L",1,0)+1.21385024*R119-1.1652812274*S119+W119+X119+Z119,10.5965166711+0.2825983581*I119+0.2806503532*J119+0.2027213083*K119+0.1147824982*L119+0.0915305332*M119-0.0088454122*(I119*J119/100)-0.0336045706*(K119*L119/100)+2.8497389733*IF(D119="L",1,0)+4.5116226727*IF(D119="S",1,0)-0.6571546448*IF(E119="L",1,0)+0.0850728147*T119+0.0129488446*(T119*T119)+0.1909373936*IF(OR(F119="Utility",G119="Utility"),T119,0)+0.9656824071*R119-1.7517683256*S119+W119+X119+Y119)</f>
        <v/>
      </c>
      <c r="AB119">
        <f>LOOKUP(AA119,Grade_Scale!$A$2:$A$18,Grade_Scale!$B$2:$B$18)</f>
        <v/>
      </c>
      <c r="AC119">
        <f>LOOKUP(AA119,Grade_Scale!$A$2:$A$18,Grade_Scale!$C$2:$C$18)</f>
        <v/>
      </c>
      <c r="AE119">
        <f>IF(AD119="","",AB119-VLOOKUP(AD119,Grade_Scale!$C$2:$E$18,3,FALSE))</f>
        <v/>
      </c>
    </row>
    <row r="120">
      <c r="Q120">
        <f>IF(OR(B120="SP",B120="RP",B120="CP",B120="SP/RP"),"P","H")</f>
        <v/>
      </c>
      <c r="R120">
        <f>IF(F120="",0,IFNA(VLOOKUP(F120,Trait_Polarity!$A:$C,2,FALSE),0))+IF(G120="",0,IFNA(VLOOKUP(G120,Trait_Polarity!$A:$C,2,FALSE),0))</f>
        <v/>
      </c>
      <c r="S120">
        <f>IF(F120="",0,IFNA(VLOOKUP(F120,Trait_Polarity!$A:$C,3,FALSE),0))+IF(G120="",0,IFNA(VLOOKUP(G120,Trait_Polarity!$A:$C,3,FALSE),0))</f>
        <v/>
      </c>
      <c r="T120">
        <f>IF(Q120="P",0,IFNA(VLOOKUP(IF(C120="","(none)",C120),Secondary_Versatility!$A:$B,2,FALSE),0))</f>
        <v/>
      </c>
      <c r="U120">
        <f>IF(H120="",0,LEN(H120)-LEN(SUBSTITUTE(H120,"|",""))+1)</f>
        <v/>
      </c>
      <c r="V120">
        <f>IF(Q120="P",(N120+O120+P120)/3,0.3*I120+0.3*J120+0.2*K120+0.1*L120+0.1*M120)</f>
        <v/>
      </c>
      <c r="W120">
        <f>IF(Q120="P",IF(F120="",0,IFNA(VLOOKUP(F120,Pitcher_Trait_Coef!$A:$B,2,FALSE),0))+IF(G120="",0,IFNA(VLOOKUP(G120,Pitcher_Trait_Coef!$A:$B,2,FALSE),0)),IF(F120="",0,IFNA(VLOOKUP(F120,Hitter_Trait_Coef!$A:$B,2,FALSE),0))+IF(G120="",0,IFNA(VLOOKUP(G120,Hitter_Trait_Coef!$A:$B,2,FALSE),0)))</f>
        <v/>
      </c>
      <c r="X120">
        <f>IF(Q120="P",IFNA(VLOOKUP(B120,Pitcher_Primary_Coef!$A:$B,2,FALSE),0),IFNA(VLOOKUP(B120,Hitter_Primary_Coef!$A:$B,2,FALSE),0))</f>
        <v/>
      </c>
      <c r="Y120">
        <f>IF(Q120="P",0,IFNA(VLOOKUP(IF(C120="","(none)",C120),Hitter_Secondary_Coef!$A:$B,2,FALSE),0))</f>
        <v/>
      </c>
      <c r="Z120">
        <f>IF(Q120="P",IF(ISNUMBER(SEARCH("2F",H120)),IFNA(VLOOKUP("2F",Pitch_Coef!$A:$B,2,FALSE),0),0)+IF(ISNUMBER(SEARCH("4F",H120)),IFNA(VLOOKUP("4F",Pitch_Coef!$A:$B,2,FALSE),0),0)+IF(ISNUMBER(SEARCH("CB",H120)),IFNA(VLOOKUP("CB",Pitch_Coef!$A:$B,2,FALSE),0),0)+IF(ISNUMBER(SEARCH("CF",H120)),IFNA(VLOOKUP("CF",Pitch_Coef!$A:$B,2,FALSE),0),0)+IF(ISNUMBER(SEARCH("CH",H120)),IFNA(VLOOKUP("CH",Pitch_Coef!$A:$B,2,FALSE),0),0)+IF(ISNUMBER(SEARCH("FK",H120)),IFNA(VLOOKUP("FK",Pitch_Coef!$A:$B,2,FALSE),0),0)+IF(ISNUMBER(SEARCH("SB",H120)),IFNA(VLOOKUP("SB",Pitch_Coef!$A:$B,2,FALSE),0),0)+IF(ISNUMBER(SEARCH("SL",H120)),IFNA(VLOOKUP("SL",Pitch_Coef!$A:$B,2,FALSE),0),0),0)</f>
        <v/>
      </c>
      <c r="AA120">
        <f>IF(Q120="P",16.5944849573+0.2529999141*N120+0.2665900378*O120+0.2632687105*P120+0.0427586837*I120+0.0534777057*J120+0.009015832*K120+0.0204898106*(O120*P120/100)+1.0091022427*U120+1.0968542297*IF(D120="L",1,0)+0.3771555045*IF(D120="S",1,0)-0.2226159177*IF(E120="L",1,0)+1.21385024*R120-1.1652812274*S120+W120+X120+Z120,10.5965166711+0.2825983581*I120+0.2806503532*J120+0.2027213083*K120+0.1147824982*L120+0.0915305332*M120-0.0088454122*(I120*J120/100)-0.0336045706*(K120*L120/100)+2.8497389733*IF(D120="L",1,0)+4.5116226727*IF(D120="S",1,0)-0.6571546448*IF(E120="L",1,0)+0.0850728147*T120+0.0129488446*(T120*T120)+0.1909373936*IF(OR(F120="Utility",G120="Utility"),T120,0)+0.9656824071*R120-1.7517683256*S120+W120+X120+Y120)</f>
        <v/>
      </c>
      <c r="AB120">
        <f>LOOKUP(AA120,Grade_Scale!$A$2:$A$18,Grade_Scale!$B$2:$B$18)</f>
        <v/>
      </c>
      <c r="AC120">
        <f>LOOKUP(AA120,Grade_Scale!$A$2:$A$18,Grade_Scale!$C$2:$C$18)</f>
        <v/>
      </c>
      <c r="AE120">
        <f>IF(AD120="","",AB120-VLOOKUP(AD120,Grade_Scale!$C$2:$E$18,3,FALSE))</f>
        <v/>
      </c>
    </row>
    <row r="121">
      <c r="Q121">
        <f>IF(OR(B121="SP",B121="RP",B121="CP",B121="SP/RP"),"P","H")</f>
        <v/>
      </c>
      <c r="R121">
        <f>IF(F121="",0,IFNA(VLOOKUP(F121,Trait_Polarity!$A:$C,2,FALSE),0))+IF(G121="",0,IFNA(VLOOKUP(G121,Trait_Polarity!$A:$C,2,FALSE),0))</f>
        <v/>
      </c>
      <c r="S121">
        <f>IF(F121="",0,IFNA(VLOOKUP(F121,Trait_Polarity!$A:$C,3,FALSE),0))+IF(G121="",0,IFNA(VLOOKUP(G121,Trait_Polarity!$A:$C,3,FALSE),0))</f>
        <v/>
      </c>
      <c r="T121">
        <f>IF(Q121="P",0,IFNA(VLOOKUP(IF(C121="","(none)",C121),Secondary_Versatility!$A:$B,2,FALSE),0))</f>
        <v/>
      </c>
      <c r="U121">
        <f>IF(H121="",0,LEN(H121)-LEN(SUBSTITUTE(H121,"|",""))+1)</f>
        <v/>
      </c>
      <c r="V121">
        <f>IF(Q121="P",(N121+O121+P121)/3,0.3*I121+0.3*J121+0.2*K121+0.1*L121+0.1*M121)</f>
        <v/>
      </c>
      <c r="W121">
        <f>IF(Q121="P",IF(F121="",0,IFNA(VLOOKUP(F121,Pitcher_Trait_Coef!$A:$B,2,FALSE),0))+IF(G121="",0,IFNA(VLOOKUP(G121,Pitcher_Trait_Coef!$A:$B,2,FALSE),0)),IF(F121="",0,IFNA(VLOOKUP(F121,Hitter_Trait_Coef!$A:$B,2,FALSE),0))+IF(G121="",0,IFNA(VLOOKUP(G121,Hitter_Trait_Coef!$A:$B,2,FALSE),0)))</f>
        <v/>
      </c>
      <c r="X121">
        <f>IF(Q121="P",IFNA(VLOOKUP(B121,Pitcher_Primary_Coef!$A:$B,2,FALSE),0),IFNA(VLOOKUP(B121,Hitter_Primary_Coef!$A:$B,2,FALSE),0))</f>
        <v/>
      </c>
      <c r="Y121">
        <f>IF(Q121="P",0,IFNA(VLOOKUP(IF(C121="","(none)",C121),Hitter_Secondary_Coef!$A:$B,2,FALSE),0))</f>
        <v/>
      </c>
      <c r="Z121">
        <f>IF(Q121="P",IF(ISNUMBER(SEARCH("2F",H121)),IFNA(VLOOKUP("2F",Pitch_Coef!$A:$B,2,FALSE),0),0)+IF(ISNUMBER(SEARCH("4F",H121)),IFNA(VLOOKUP("4F",Pitch_Coef!$A:$B,2,FALSE),0),0)+IF(ISNUMBER(SEARCH("CB",H121)),IFNA(VLOOKUP("CB",Pitch_Coef!$A:$B,2,FALSE),0),0)+IF(ISNUMBER(SEARCH("CF",H121)),IFNA(VLOOKUP("CF",Pitch_Coef!$A:$B,2,FALSE),0),0)+IF(ISNUMBER(SEARCH("CH",H121)),IFNA(VLOOKUP("CH",Pitch_Coef!$A:$B,2,FALSE),0),0)+IF(ISNUMBER(SEARCH("FK",H121)),IFNA(VLOOKUP("FK",Pitch_Coef!$A:$B,2,FALSE),0),0)+IF(ISNUMBER(SEARCH("SB",H121)),IFNA(VLOOKUP("SB",Pitch_Coef!$A:$B,2,FALSE),0),0)+IF(ISNUMBER(SEARCH("SL",H121)),IFNA(VLOOKUP("SL",Pitch_Coef!$A:$B,2,FALSE),0),0),0)</f>
        <v/>
      </c>
      <c r="AA121">
        <f>IF(Q121="P",16.5944849573+0.2529999141*N121+0.2665900378*O121+0.2632687105*P121+0.0427586837*I121+0.0534777057*J121+0.009015832*K121+0.0204898106*(O121*P121/100)+1.0091022427*U121+1.0968542297*IF(D121="L",1,0)+0.3771555045*IF(D121="S",1,0)-0.2226159177*IF(E121="L",1,0)+1.21385024*R121-1.1652812274*S121+W121+X121+Z121,10.5965166711+0.2825983581*I121+0.2806503532*J121+0.2027213083*K121+0.1147824982*L121+0.0915305332*M121-0.0088454122*(I121*J121/100)-0.0336045706*(K121*L121/100)+2.8497389733*IF(D121="L",1,0)+4.5116226727*IF(D121="S",1,0)-0.6571546448*IF(E121="L",1,0)+0.0850728147*T121+0.0129488446*(T121*T121)+0.1909373936*IF(OR(F121="Utility",G121="Utility"),T121,0)+0.9656824071*R121-1.7517683256*S121+W121+X121+Y121)</f>
        <v/>
      </c>
      <c r="AB121">
        <f>LOOKUP(AA121,Grade_Scale!$A$2:$A$18,Grade_Scale!$B$2:$B$18)</f>
        <v/>
      </c>
      <c r="AC121">
        <f>LOOKUP(AA121,Grade_Scale!$A$2:$A$18,Grade_Scale!$C$2:$C$18)</f>
        <v/>
      </c>
      <c r="AE121">
        <f>IF(AD121="","",AB121-VLOOKUP(AD121,Grade_Scale!$C$2:$E$18,3,FALSE))</f>
        <v/>
      </c>
    </row>
    <row r="122">
      <c r="Q122">
        <f>IF(OR(B122="SP",B122="RP",B122="CP",B122="SP/RP"),"P","H")</f>
        <v/>
      </c>
      <c r="R122">
        <f>IF(F122="",0,IFNA(VLOOKUP(F122,Trait_Polarity!$A:$C,2,FALSE),0))+IF(G122="",0,IFNA(VLOOKUP(G122,Trait_Polarity!$A:$C,2,FALSE),0))</f>
        <v/>
      </c>
      <c r="S122">
        <f>IF(F122="",0,IFNA(VLOOKUP(F122,Trait_Polarity!$A:$C,3,FALSE),0))+IF(G122="",0,IFNA(VLOOKUP(G122,Trait_Polarity!$A:$C,3,FALSE),0))</f>
        <v/>
      </c>
      <c r="T122">
        <f>IF(Q122="P",0,IFNA(VLOOKUP(IF(C122="","(none)",C122),Secondary_Versatility!$A:$B,2,FALSE),0))</f>
        <v/>
      </c>
      <c r="U122">
        <f>IF(H122="",0,LEN(H122)-LEN(SUBSTITUTE(H122,"|",""))+1)</f>
        <v/>
      </c>
      <c r="V122">
        <f>IF(Q122="P",(N122+O122+P122)/3,0.3*I122+0.3*J122+0.2*K122+0.1*L122+0.1*M122)</f>
        <v/>
      </c>
      <c r="W122">
        <f>IF(Q122="P",IF(F122="",0,IFNA(VLOOKUP(F122,Pitcher_Trait_Coef!$A:$B,2,FALSE),0))+IF(G122="",0,IFNA(VLOOKUP(G122,Pitcher_Trait_Coef!$A:$B,2,FALSE),0)),IF(F122="",0,IFNA(VLOOKUP(F122,Hitter_Trait_Coef!$A:$B,2,FALSE),0))+IF(G122="",0,IFNA(VLOOKUP(G122,Hitter_Trait_Coef!$A:$B,2,FALSE),0)))</f>
        <v/>
      </c>
      <c r="X122">
        <f>IF(Q122="P",IFNA(VLOOKUP(B122,Pitcher_Primary_Coef!$A:$B,2,FALSE),0),IFNA(VLOOKUP(B122,Hitter_Primary_Coef!$A:$B,2,FALSE),0))</f>
        <v/>
      </c>
      <c r="Y122">
        <f>IF(Q122="P",0,IFNA(VLOOKUP(IF(C122="","(none)",C122),Hitter_Secondary_Coef!$A:$B,2,FALSE),0))</f>
        <v/>
      </c>
      <c r="Z122">
        <f>IF(Q122="P",IF(ISNUMBER(SEARCH("2F",H122)),IFNA(VLOOKUP("2F",Pitch_Coef!$A:$B,2,FALSE),0),0)+IF(ISNUMBER(SEARCH("4F",H122)),IFNA(VLOOKUP("4F",Pitch_Coef!$A:$B,2,FALSE),0),0)+IF(ISNUMBER(SEARCH("CB",H122)),IFNA(VLOOKUP("CB",Pitch_Coef!$A:$B,2,FALSE),0),0)+IF(ISNUMBER(SEARCH("CF",H122)),IFNA(VLOOKUP("CF",Pitch_Coef!$A:$B,2,FALSE),0),0)+IF(ISNUMBER(SEARCH("CH",H122)),IFNA(VLOOKUP("CH",Pitch_Coef!$A:$B,2,FALSE),0),0)+IF(ISNUMBER(SEARCH("FK",H122)),IFNA(VLOOKUP("FK",Pitch_Coef!$A:$B,2,FALSE),0),0)+IF(ISNUMBER(SEARCH("SB",H122)),IFNA(VLOOKUP("SB",Pitch_Coef!$A:$B,2,FALSE),0),0)+IF(ISNUMBER(SEARCH("SL",H122)),IFNA(VLOOKUP("SL",Pitch_Coef!$A:$B,2,FALSE),0),0),0)</f>
        <v/>
      </c>
      <c r="AA122">
        <f>IF(Q122="P",16.5944849573+0.2529999141*N122+0.2665900378*O122+0.2632687105*P122+0.0427586837*I122+0.0534777057*J122+0.009015832*K122+0.0204898106*(O122*P122/100)+1.0091022427*U122+1.0968542297*IF(D122="L",1,0)+0.3771555045*IF(D122="S",1,0)-0.2226159177*IF(E122="L",1,0)+1.21385024*R122-1.1652812274*S122+W122+X122+Z122,10.5965166711+0.2825983581*I122+0.2806503532*J122+0.2027213083*K122+0.1147824982*L122+0.0915305332*M122-0.0088454122*(I122*J122/100)-0.0336045706*(K122*L122/100)+2.8497389733*IF(D122="L",1,0)+4.5116226727*IF(D122="S",1,0)-0.6571546448*IF(E122="L",1,0)+0.0850728147*T122+0.0129488446*(T122*T122)+0.1909373936*IF(OR(F122="Utility",G122="Utility"),T122,0)+0.9656824071*R122-1.7517683256*S122+W122+X122+Y122)</f>
        <v/>
      </c>
      <c r="AB122">
        <f>LOOKUP(AA122,Grade_Scale!$A$2:$A$18,Grade_Scale!$B$2:$B$18)</f>
        <v/>
      </c>
      <c r="AC122">
        <f>LOOKUP(AA122,Grade_Scale!$A$2:$A$18,Grade_Scale!$C$2:$C$18)</f>
        <v/>
      </c>
      <c r="AE122">
        <f>IF(AD122="","",AB122-VLOOKUP(AD122,Grade_Scale!$C$2:$E$18,3,FALSE))</f>
        <v/>
      </c>
    </row>
    <row r="123">
      <c r="Q123">
        <f>IF(OR(B123="SP",B123="RP",B123="CP",B123="SP/RP"),"P","H")</f>
        <v/>
      </c>
      <c r="R123">
        <f>IF(F123="",0,IFNA(VLOOKUP(F123,Trait_Polarity!$A:$C,2,FALSE),0))+IF(G123="",0,IFNA(VLOOKUP(G123,Trait_Polarity!$A:$C,2,FALSE),0))</f>
        <v/>
      </c>
      <c r="S123">
        <f>IF(F123="",0,IFNA(VLOOKUP(F123,Trait_Polarity!$A:$C,3,FALSE),0))+IF(G123="",0,IFNA(VLOOKUP(G123,Trait_Polarity!$A:$C,3,FALSE),0))</f>
        <v/>
      </c>
      <c r="T123">
        <f>IF(Q123="P",0,IFNA(VLOOKUP(IF(C123="","(none)",C123),Secondary_Versatility!$A:$B,2,FALSE),0))</f>
        <v/>
      </c>
      <c r="U123">
        <f>IF(H123="",0,LEN(H123)-LEN(SUBSTITUTE(H123,"|",""))+1)</f>
        <v/>
      </c>
      <c r="V123">
        <f>IF(Q123="P",(N123+O123+P123)/3,0.3*I123+0.3*J123+0.2*K123+0.1*L123+0.1*M123)</f>
        <v/>
      </c>
      <c r="W123">
        <f>IF(Q123="P",IF(F123="",0,IFNA(VLOOKUP(F123,Pitcher_Trait_Coef!$A:$B,2,FALSE),0))+IF(G123="",0,IFNA(VLOOKUP(G123,Pitcher_Trait_Coef!$A:$B,2,FALSE),0)),IF(F123="",0,IFNA(VLOOKUP(F123,Hitter_Trait_Coef!$A:$B,2,FALSE),0))+IF(G123="",0,IFNA(VLOOKUP(G123,Hitter_Trait_Coef!$A:$B,2,FALSE),0)))</f>
        <v/>
      </c>
      <c r="X123">
        <f>IF(Q123="P",IFNA(VLOOKUP(B123,Pitcher_Primary_Coef!$A:$B,2,FALSE),0),IFNA(VLOOKUP(B123,Hitter_Primary_Coef!$A:$B,2,FALSE),0))</f>
        <v/>
      </c>
      <c r="Y123">
        <f>IF(Q123="P",0,IFNA(VLOOKUP(IF(C123="","(none)",C123),Hitter_Secondary_Coef!$A:$B,2,FALSE),0))</f>
        <v/>
      </c>
      <c r="Z123">
        <f>IF(Q123="P",IF(ISNUMBER(SEARCH("2F",H123)),IFNA(VLOOKUP("2F",Pitch_Coef!$A:$B,2,FALSE),0),0)+IF(ISNUMBER(SEARCH("4F",H123)),IFNA(VLOOKUP("4F",Pitch_Coef!$A:$B,2,FALSE),0),0)+IF(ISNUMBER(SEARCH("CB",H123)),IFNA(VLOOKUP("CB",Pitch_Coef!$A:$B,2,FALSE),0),0)+IF(ISNUMBER(SEARCH("CF",H123)),IFNA(VLOOKUP("CF",Pitch_Coef!$A:$B,2,FALSE),0),0)+IF(ISNUMBER(SEARCH("CH",H123)),IFNA(VLOOKUP("CH",Pitch_Coef!$A:$B,2,FALSE),0),0)+IF(ISNUMBER(SEARCH("FK",H123)),IFNA(VLOOKUP("FK",Pitch_Coef!$A:$B,2,FALSE),0),0)+IF(ISNUMBER(SEARCH("SB",H123)),IFNA(VLOOKUP("SB",Pitch_Coef!$A:$B,2,FALSE),0),0)+IF(ISNUMBER(SEARCH("SL",H123)),IFNA(VLOOKUP("SL",Pitch_Coef!$A:$B,2,FALSE),0),0),0)</f>
        <v/>
      </c>
      <c r="AA123">
        <f>IF(Q123="P",16.5944849573+0.2529999141*N123+0.2665900378*O123+0.2632687105*P123+0.0427586837*I123+0.0534777057*J123+0.009015832*K123+0.0204898106*(O123*P123/100)+1.0091022427*U123+1.0968542297*IF(D123="L",1,0)+0.3771555045*IF(D123="S",1,0)-0.2226159177*IF(E123="L",1,0)+1.21385024*R123-1.1652812274*S123+W123+X123+Z123,10.5965166711+0.2825983581*I123+0.2806503532*J123+0.2027213083*K123+0.1147824982*L123+0.0915305332*M123-0.0088454122*(I123*J123/100)-0.0336045706*(K123*L123/100)+2.8497389733*IF(D123="L",1,0)+4.5116226727*IF(D123="S",1,0)-0.6571546448*IF(E123="L",1,0)+0.0850728147*T123+0.0129488446*(T123*T123)+0.1909373936*IF(OR(F123="Utility",G123="Utility"),T123,0)+0.9656824071*R123-1.7517683256*S123+W123+X123+Y123)</f>
        <v/>
      </c>
      <c r="AB123">
        <f>LOOKUP(AA123,Grade_Scale!$A$2:$A$18,Grade_Scale!$B$2:$B$18)</f>
        <v/>
      </c>
      <c r="AC123">
        <f>LOOKUP(AA123,Grade_Scale!$A$2:$A$18,Grade_Scale!$C$2:$C$18)</f>
        <v/>
      </c>
      <c r="AE123">
        <f>IF(AD123="","",AB123-VLOOKUP(AD123,Grade_Scale!$C$2:$E$18,3,FALSE))</f>
        <v/>
      </c>
    </row>
    <row r="124">
      <c r="Q124">
        <f>IF(OR(B124="SP",B124="RP",B124="CP",B124="SP/RP"),"P","H")</f>
        <v/>
      </c>
      <c r="R124">
        <f>IF(F124="",0,IFNA(VLOOKUP(F124,Trait_Polarity!$A:$C,2,FALSE),0))+IF(G124="",0,IFNA(VLOOKUP(G124,Trait_Polarity!$A:$C,2,FALSE),0))</f>
        <v/>
      </c>
      <c r="S124">
        <f>IF(F124="",0,IFNA(VLOOKUP(F124,Trait_Polarity!$A:$C,3,FALSE),0))+IF(G124="",0,IFNA(VLOOKUP(G124,Trait_Polarity!$A:$C,3,FALSE),0))</f>
        <v/>
      </c>
      <c r="T124">
        <f>IF(Q124="P",0,IFNA(VLOOKUP(IF(C124="","(none)",C124),Secondary_Versatility!$A:$B,2,FALSE),0))</f>
        <v/>
      </c>
      <c r="U124">
        <f>IF(H124="",0,LEN(H124)-LEN(SUBSTITUTE(H124,"|",""))+1)</f>
        <v/>
      </c>
      <c r="V124">
        <f>IF(Q124="P",(N124+O124+P124)/3,0.3*I124+0.3*J124+0.2*K124+0.1*L124+0.1*M124)</f>
        <v/>
      </c>
      <c r="W124">
        <f>IF(Q124="P",IF(F124="",0,IFNA(VLOOKUP(F124,Pitcher_Trait_Coef!$A:$B,2,FALSE),0))+IF(G124="",0,IFNA(VLOOKUP(G124,Pitcher_Trait_Coef!$A:$B,2,FALSE),0)),IF(F124="",0,IFNA(VLOOKUP(F124,Hitter_Trait_Coef!$A:$B,2,FALSE),0))+IF(G124="",0,IFNA(VLOOKUP(G124,Hitter_Trait_Coef!$A:$B,2,FALSE),0)))</f>
        <v/>
      </c>
      <c r="X124">
        <f>IF(Q124="P",IFNA(VLOOKUP(B124,Pitcher_Primary_Coef!$A:$B,2,FALSE),0),IFNA(VLOOKUP(B124,Hitter_Primary_Coef!$A:$B,2,FALSE),0))</f>
        <v/>
      </c>
      <c r="Y124">
        <f>IF(Q124="P",0,IFNA(VLOOKUP(IF(C124="","(none)",C124),Hitter_Secondary_Coef!$A:$B,2,FALSE),0))</f>
        <v/>
      </c>
      <c r="Z124">
        <f>IF(Q124="P",IF(ISNUMBER(SEARCH("2F",H124)),IFNA(VLOOKUP("2F",Pitch_Coef!$A:$B,2,FALSE),0),0)+IF(ISNUMBER(SEARCH("4F",H124)),IFNA(VLOOKUP("4F",Pitch_Coef!$A:$B,2,FALSE),0),0)+IF(ISNUMBER(SEARCH("CB",H124)),IFNA(VLOOKUP("CB",Pitch_Coef!$A:$B,2,FALSE),0),0)+IF(ISNUMBER(SEARCH("CF",H124)),IFNA(VLOOKUP("CF",Pitch_Coef!$A:$B,2,FALSE),0),0)+IF(ISNUMBER(SEARCH("CH",H124)),IFNA(VLOOKUP("CH",Pitch_Coef!$A:$B,2,FALSE),0),0)+IF(ISNUMBER(SEARCH("FK",H124)),IFNA(VLOOKUP("FK",Pitch_Coef!$A:$B,2,FALSE),0),0)+IF(ISNUMBER(SEARCH("SB",H124)),IFNA(VLOOKUP("SB",Pitch_Coef!$A:$B,2,FALSE),0),0)+IF(ISNUMBER(SEARCH("SL",H124)),IFNA(VLOOKUP("SL",Pitch_Coef!$A:$B,2,FALSE),0),0),0)</f>
        <v/>
      </c>
      <c r="AA124">
        <f>IF(Q124="P",16.5944849573+0.2529999141*N124+0.2665900378*O124+0.2632687105*P124+0.0427586837*I124+0.0534777057*J124+0.009015832*K124+0.0204898106*(O124*P124/100)+1.0091022427*U124+1.0968542297*IF(D124="L",1,0)+0.3771555045*IF(D124="S",1,0)-0.2226159177*IF(E124="L",1,0)+1.21385024*R124-1.1652812274*S124+W124+X124+Z124,10.5965166711+0.2825983581*I124+0.2806503532*J124+0.2027213083*K124+0.1147824982*L124+0.0915305332*M124-0.0088454122*(I124*J124/100)-0.0336045706*(K124*L124/100)+2.8497389733*IF(D124="L",1,0)+4.5116226727*IF(D124="S",1,0)-0.6571546448*IF(E124="L",1,0)+0.0850728147*T124+0.0129488446*(T124*T124)+0.1909373936*IF(OR(F124="Utility",G124="Utility"),T124,0)+0.9656824071*R124-1.7517683256*S124+W124+X124+Y124)</f>
        <v/>
      </c>
      <c r="AB124">
        <f>LOOKUP(AA124,Grade_Scale!$A$2:$A$18,Grade_Scale!$B$2:$B$18)</f>
        <v/>
      </c>
      <c r="AC124">
        <f>LOOKUP(AA124,Grade_Scale!$A$2:$A$18,Grade_Scale!$C$2:$C$18)</f>
        <v/>
      </c>
      <c r="AE124">
        <f>IF(AD124="","",AB124-VLOOKUP(AD124,Grade_Scale!$C$2:$E$18,3,FALSE))</f>
        <v/>
      </c>
    </row>
    <row r="125">
      <c r="Q125">
        <f>IF(OR(B125="SP",B125="RP",B125="CP",B125="SP/RP"),"P","H")</f>
        <v/>
      </c>
      <c r="R125">
        <f>IF(F125="",0,IFNA(VLOOKUP(F125,Trait_Polarity!$A:$C,2,FALSE),0))+IF(G125="",0,IFNA(VLOOKUP(G125,Trait_Polarity!$A:$C,2,FALSE),0))</f>
        <v/>
      </c>
      <c r="S125">
        <f>IF(F125="",0,IFNA(VLOOKUP(F125,Trait_Polarity!$A:$C,3,FALSE),0))+IF(G125="",0,IFNA(VLOOKUP(G125,Trait_Polarity!$A:$C,3,FALSE),0))</f>
        <v/>
      </c>
      <c r="T125">
        <f>IF(Q125="P",0,IFNA(VLOOKUP(IF(C125="","(none)",C125),Secondary_Versatility!$A:$B,2,FALSE),0))</f>
        <v/>
      </c>
      <c r="U125">
        <f>IF(H125="",0,LEN(H125)-LEN(SUBSTITUTE(H125,"|",""))+1)</f>
        <v/>
      </c>
      <c r="V125">
        <f>IF(Q125="P",(N125+O125+P125)/3,0.3*I125+0.3*J125+0.2*K125+0.1*L125+0.1*M125)</f>
        <v/>
      </c>
      <c r="W125">
        <f>IF(Q125="P",IF(F125="",0,IFNA(VLOOKUP(F125,Pitcher_Trait_Coef!$A:$B,2,FALSE),0))+IF(G125="",0,IFNA(VLOOKUP(G125,Pitcher_Trait_Coef!$A:$B,2,FALSE),0)),IF(F125="",0,IFNA(VLOOKUP(F125,Hitter_Trait_Coef!$A:$B,2,FALSE),0))+IF(G125="",0,IFNA(VLOOKUP(G125,Hitter_Trait_Coef!$A:$B,2,FALSE),0)))</f>
        <v/>
      </c>
      <c r="X125">
        <f>IF(Q125="P",IFNA(VLOOKUP(B125,Pitcher_Primary_Coef!$A:$B,2,FALSE),0),IFNA(VLOOKUP(B125,Hitter_Primary_Coef!$A:$B,2,FALSE),0))</f>
        <v/>
      </c>
      <c r="Y125">
        <f>IF(Q125="P",0,IFNA(VLOOKUP(IF(C125="","(none)",C125),Hitter_Secondary_Coef!$A:$B,2,FALSE),0))</f>
        <v/>
      </c>
      <c r="Z125">
        <f>IF(Q125="P",IF(ISNUMBER(SEARCH("2F",H125)),IFNA(VLOOKUP("2F",Pitch_Coef!$A:$B,2,FALSE),0),0)+IF(ISNUMBER(SEARCH("4F",H125)),IFNA(VLOOKUP("4F",Pitch_Coef!$A:$B,2,FALSE),0),0)+IF(ISNUMBER(SEARCH("CB",H125)),IFNA(VLOOKUP("CB",Pitch_Coef!$A:$B,2,FALSE),0),0)+IF(ISNUMBER(SEARCH("CF",H125)),IFNA(VLOOKUP("CF",Pitch_Coef!$A:$B,2,FALSE),0),0)+IF(ISNUMBER(SEARCH("CH",H125)),IFNA(VLOOKUP("CH",Pitch_Coef!$A:$B,2,FALSE),0),0)+IF(ISNUMBER(SEARCH("FK",H125)),IFNA(VLOOKUP("FK",Pitch_Coef!$A:$B,2,FALSE),0),0)+IF(ISNUMBER(SEARCH("SB",H125)),IFNA(VLOOKUP("SB",Pitch_Coef!$A:$B,2,FALSE),0),0)+IF(ISNUMBER(SEARCH("SL",H125)),IFNA(VLOOKUP("SL",Pitch_Coef!$A:$B,2,FALSE),0),0),0)</f>
        <v/>
      </c>
      <c r="AA125">
        <f>IF(Q125="P",16.5944849573+0.2529999141*N125+0.2665900378*O125+0.2632687105*P125+0.0427586837*I125+0.0534777057*J125+0.009015832*K125+0.0204898106*(O125*P125/100)+1.0091022427*U125+1.0968542297*IF(D125="L",1,0)+0.3771555045*IF(D125="S",1,0)-0.2226159177*IF(E125="L",1,0)+1.21385024*R125-1.1652812274*S125+W125+X125+Z125,10.5965166711+0.2825983581*I125+0.2806503532*J125+0.2027213083*K125+0.1147824982*L125+0.0915305332*M125-0.0088454122*(I125*J125/100)-0.0336045706*(K125*L125/100)+2.8497389733*IF(D125="L",1,0)+4.5116226727*IF(D125="S",1,0)-0.6571546448*IF(E125="L",1,0)+0.0850728147*T125+0.0129488446*(T125*T125)+0.1909373936*IF(OR(F125="Utility",G125="Utility"),T125,0)+0.9656824071*R125-1.7517683256*S125+W125+X125+Y125)</f>
        <v/>
      </c>
      <c r="AB125">
        <f>LOOKUP(AA125,Grade_Scale!$A$2:$A$18,Grade_Scale!$B$2:$B$18)</f>
        <v/>
      </c>
      <c r="AC125">
        <f>LOOKUP(AA125,Grade_Scale!$A$2:$A$18,Grade_Scale!$C$2:$C$18)</f>
        <v/>
      </c>
      <c r="AE125">
        <f>IF(AD125="","",AB125-VLOOKUP(AD125,Grade_Scale!$C$2:$E$18,3,FALSE))</f>
        <v/>
      </c>
    </row>
    <row r="126">
      <c r="Q126">
        <f>IF(OR(B126="SP",B126="RP",B126="CP",B126="SP/RP"),"P","H")</f>
        <v/>
      </c>
      <c r="R126">
        <f>IF(F126="",0,IFNA(VLOOKUP(F126,Trait_Polarity!$A:$C,2,FALSE),0))+IF(G126="",0,IFNA(VLOOKUP(G126,Trait_Polarity!$A:$C,2,FALSE),0))</f>
        <v/>
      </c>
      <c r="S126">
        <f>IF(F126="",0,IFNA(VLOOKUP(F126,Trait_Polarity!$A:$C,3,FALSE),0))+IF(G126="",0,IFNA(VLOOKUP(G126,Trait_Polarity!$A:$C,3,FALSE),0))</f>
        <v/>
      </c>
      <c r="T126">
        <f>IF(Q126="P",0,IFNA(VLOOKUP(IF(C126="","(none)",C126),Secondary_Versatility!$A:$B,2,FALSE),0))</f>
        <v/>
      </c>
      <c r="U126">
        <f>IF(H126="",0,LEN(H126)-LEN(SUBSTITUTE(H126,"|",""))+1)</f>
        <v/>
      </c>
      <c r="V126">
        <f>IF(Q126="P",(N126+O126+P126)/3,0.3*I126+0.3*J126+0.2*K126+0.1*L126+0.1*M126)</f>
        <v/>
      </c>
      <c r="W126">
        <f>IF(Q126="P",IF(F126="",0,IFNA(VLOOKUP(F126,Pitcher_Trait_Coef!$A:$B,2,FALSE),0))+IF(G126="",0,IFNA(VLOOKUP(G126,Pitcher_Trait_Coef!$A:$B,2,FALSE),0)),IF(F126="",0,IFNA(VLOOKUP(F126,Hitter_Trait_Coef!$A:$B,2,FALSE),0))+IF(G126="",0,IFNA(VLOOKUP(G126,Hitter_Trait_Coef!$A:$B,2,FALSE),0)))</f>
        <v/>
      </c>
      <c r="X126">
        <f>IF(Q126="P",IFNA(VLOOKUP(B126,Pitcher_Primary_Coef!$A:$B,2,FALSE),0),IFNA(VLOOKUP(B126,Hitter_Primary_Coef!$A:$B,2,FALSE),0))</f>
        <v/>
      </c>
      <c r="Y126">
        <f>IF(Q126="P",0,IFNA(VLOOKUP(IF(C126="","(none)",C126),Hitter_Secondary_Coef!$A:$B,2,FALSE),0))</f>
        <v/>
      </c>
      <c r="Z126">
        <f>IF(Q126="P",IF(ISNUMBER(SEARCH("2F",H126)),IFNA(VLOOKUP("2F",Pitch_Coef!$A:$B,2,FALSE),0),0)+IF(ISNUMBER(SEARCH("4F",H126)),IFNA(VLOOKUP("4F",Pitch_Coef!$A:$B,2,FALSE),0),0)+IF(ISNUMBER(SEARCH("CB",H126)),IFNA(VLOOKUP("CB",Pitch_Coef!$A:$B,2,FALSE),0),0)+IF(ISNUMBER(SEARCH("CF",H126)),IFNA(VLOOKUP("CF",Pitch_Coef!$A:$B,2,FALSE),0),0)+IF(ISNUMBER(SEARCH("CH",H126)),IFNA(VLOOKUP("CH",Pitch_Coef!$A:$B,2,FALSE),0),0)+IF(ISNUMBER(SEARCH("FK",H126)),IFNA(VLOOKUP("FK",Pitch_Coef!$A:$B,2,FALSE),0),0)+IF(ISNUMBER(SEARCH("SB",H126)),IFNA(VLOOKUP("SB",Pitch_Coef!$A:$B,2,FALSE),0),0)+IF(ISNUMBER(SEARCH("SL",H126)),IFNA(VLOOKUP("SL",Pitch_Coef!$A:$B,2,FALSE),0),0),0)</f>
        <v/>
      </c>
      <c r="AA126">
        <f>IF(Q126="P",16.5944849573+0.2529999141*N126+0.2665900378*O126+0.2632687105*P126+0.0427586837*I126+0.0534777057*J126+0.009015832*K126+0.0204898106*(O126*P126/100)+1.0091022427*U126+1.0968542297*IF(D126="L",1,0)+0.3771555045*IF(D126="S",1,0)-0.2226159177*IF(E126="L",1,0)+1.21385024*R126-1.1652812274*S126+W126+X126+Z126,10.5965166711+0.2825983581*I126+0.2806503532*J126+0.2027213083*K126+0.1147824982*L126+0.0915305332*M126-0.0088454122*(I126*J126/100)-0.0336045706*(K126*L126/100)+2.8497389733*IF(D126="L",1,0)+4.5116226727*IF(D126="S",1,0)-0.6571546448*IF(E126="L",1,0)+0.0850728147*T126+0.0129488446*(T126*T126)+0.1909373936*IF(OR(F126="Utility",G126="Utility"),T126,0)+0.9656824071*R126-1.7517683256*S126+W126+X126+Y126)</f>
        <v/>
      </c>
      <c r="AB126">
        <f>LOOKUP(AA126,Grade_Scale!$A$2:$A$18,Grade_Scale!$B$2:$B$18)</f>
        <v/>
      </c>
      <c r="AC126">
        <f>LOOKUP(AA126,Grade_Scale!$A$2:$A$18,Grade_Scale!$C$2:$C$18)</f>
        <v/>
      </c>
      <c r="AE126">
        <f>IF(AD126="","",AB126-VLOOKUP(AD126,Grade_Scale!$C$2:$E$18,3,FALSE))</f>
        <v/>
      </c>
    </row>
    <row r="127">
      <c r="Q127">
        <f>IF(OR(B127="SP",B127="RP",B127="CP",B127="SP/RP"),"P","H")</f>
        <v/>
      </c>
      <c r="R127">
        <f>IF(F127="",0,IFNA(VLOOKUP(F127,Trait_Polarity!$A:$C,2,FALSE),0))+IF(G127="",0,IFNA(VLOOKUP(G127,Trait_Polarity!$A:$C,2,FALSE),0))</f>
        <v/>
      </c>
      <c r="S127">
        <f>IF(F127="",0,IFNA(VLOOKUP(F127,Trait_Polarity!$A:$C,3,FALSE),0))+IF(G127="",0,IFNA(VLOOKUP(G127,Trait_Polarity!$A:$C,3,FALSE),0))</f>
        <v/>
      </c>
      <c r="T127">
        <f>IF(Q127="P",0,IFNA(VLOOKUP(IF(C127="","(none)",C127),Secondary_Versatility!$A:$B,2,FALSE),0))</f>
        <v/>
      </c>
      <c r="U127">
        <f>IF(H127="",0,LEN(H127)-LEN(SUBSTITUTE(H127,"|",""))+1)</f>
        <v/>
      </c>
      <c r="V127">
        <f>IF(Q127="P",(N127+O127+P127)/3,0.3*I127+0.3*J127+0.2*K127+0.1*L127+0.1*M127)</f>
        <v/>
      </c>
      <c r="W127">
        <f>IF(Q127="P",IF(F127="",0,IFNA(VLOOKUP(F127,Pitcher_Trait_Coef!$A:$B,2,FALSE),0))+IF(G127="",0,IFNA(VLOOKUP(G127,Pitcher_Trait_Coef!$A:$B,2,FALSE),0)),IF(F127="",0,IFNA(VLOOKUP(F127,Hitter_Trait_Coef!$A:$B,2,FALSE),0))+IF(G127="",0,IFNA(VLOOKUP(G127,Hitter_Trait_Coef!$A:$B,2,FALSE),0)))</f>
        <v/>
      </c>
      <c r="X127">
        <f>IF(Q127="P",IFNA(VLOOKUP(B127,Pitcher_Primary_Coef!$A:$B,2,FALSE),0),IFNA(VLOOKUP(B127,Hitter_Primary_Coef!$A:$B,2,FALSE),0))</f>
        <v/>
      </c>
      <c r="Y127">
        <f>IF(Q127="P",0,IFNA(VLOOKUP(IF(C127="","(none)",C127),Hitter_Secondary_Coef!$A:$B,2,FALSE),0))</f>
        <v/>
      </c>
      <c r="Z127">
        <f>IF(Q127="P",IF(ISNUMBER(SEARCH("2F",H127)),IFNA(VLOOKUP("2F",Pitch_Coef!$A:$B,2,FALSE),0),0)+IF(ISNUMBER(SEARCH("4F",H127)),IFNA(VLOOKUP("4F",Pitch_Coef!$A:$B,2,FALSE),0),0)+IF(ISNUMBER(SEARCH("CB",H127)),IFNA(VLOOKUP("CB",Pitch_Coef!$A:$B,2,FALSE),0),0)+IF(ISNUMBER(SEARCH("CF",H127)),IFNA(VLOOKUP("CF",Pitch_Coef!$A:$B,2,FALSE),0),0)+IF(ISNUMBER(SEARCH("CH",H127)),IFNA(VLOOKUP("CH",Pitch_Coef!$A:$B,2,FALSE),0),0)+IF(ISNUMBER(SEARCH("FK",H127)),IFNA(VLOOKUP("FK",Pitch_Coef!$A:$B,2,FALSE),0),0)+IF(ISNUMBER(SEARCH("SB",H127)),IFNA(VLOOKUP("SB",Pitch_Coef!$A:$B,2,FALSE),0),0)+IF(ISNUMBER(SEARCH("SL",H127)),IFNA(VLOOKUP("SL",Pitch_Coef!$A:$B,2,FALSE),0),0),0)</f>
        <v/>
      </c>
      <c r="AA127">
        <f>IF(Q127="P",16.5944849573+0.2529999141*N127+0.2665900378*O127+0.2632687105*P127+0.0427586837*I127+0.0534777057*J127+0.009015832*K127+0.0204898106*(O127*P127/100)+1.0091022427*U127+1.0968542297*IF(D127="L",1,0)+0.3771555045*IF(D127="S",1,0)-0.2226159177*IF(E127="L",1,0)+1.21385024*R127-1.1652812274*S127+W127+X127+Z127,10.5965166711+0.2825983581*I127+0.2806503532*J127+0.2027213083*K127+0.1147824982*L127+0.0915305332*M127-0.0088454122*(I127*J127/100)-0.0336045706*(K127*L127/100)+2.8497389733*IF(D127="L",1,0)+4.5116226727*IF(D127="S",1,0)-0.6571546448*IF(E127="L",1,0)+0.0850728147*T127+0.0129488446*(T127*T127)+0.1909373936*IF(OR(F127="Utility",G127="Utility"),T127,0)+0.9656824071*R127-1.7517683256*S127+W127+X127+Y127)</f>
        <v/>
      </c>
      <c r="AB127">
        <f>LOOKUP(AA127,Grade_Scale!$A$2:$A$18,Grade_Scale!$B$2:$B$18)</f>
        <v/>
      </c>
      <c r="AC127">
        <f>LOOKUP(AA127,Grade_Scale!$A$2:$A$18,Grade_Scale!$C$2:$C$18)</f>
        <v/>
      </c>
      <c r="AE127">
        <f>IF(AD127="","",AB127-VLOOKUP(AD127,Grade_Scale!$C$2:$E$18,3,FALSE))</f>
        <v/>
      </c>
    </row>
    <row r="128">
      <c r="Q128">
        <f>IF(OR(B128="SP",B128="RP",B128="CP",B128="SP/RP"),"P","H")</f>
        <v/>
      </c>
      <c r="R128">
        <f>IF(F128="",0,IFNA(VLOOKUP(F128,Trait_Polarity!$A:$C,2,FALSE),0))+IF(G128="",0,IFNA(VLOOKUP(G128,Trait_Polarity!$A:$C,2,FALSE),0))</f>
        <v/>
      </c>
      <c r="S128">
        <f>IF(F128="",0,IFNA(VLOOKUP(F128,Trait_Polarity!$A:$C,3,FALSE),0))+IF(G128="",0,IFNA(VLOOKUP(G128,Trait_Polarity!$A:$C,3,FALSE),0))</f>
        <v/>
      </c>
      <c r="T128">
        <f>IF(Q128="P",0,IFNA(VLOOKUP(IF(C128="","(none)",C128),Secondary_Versatility!$A:$B,2,FALSE),0))</f>
        <v/>
      </c>
      <c r="U128">
        <f>IF(H128="",0,LEN(H128)-LEN(SUBSTITUTE(H128,"|",""))+1)</f>
        <v/>
      </c>
      <c r="V128">
        <f>IF(Q128="P",(N128+O128+P128)/3,0.3*I128+0.3*J128+0.2*K128+0.1*L128+0.1*M128)</f>
        <v/>
      </c>
      <c r="W128">
        <f>IF(Q128="P",IF(F128="",0,IFNA(VLOOKUP(F128,Pitcher_Trait_Coef!$A:$B,2,FALSE),0))+IF(G128="",0,IFNA(VLOOKUP(G128,Pitcher_Trait_Coef!$A:$B,2,FALSE),0)),IF(F128="",0,IFNA(VLOOKUP(F128,Hitter_Trait_Coef!$A:$B,2,FALSE),0))+IF(G128="",0,IFNA(VLOOKUP(G128,Hitter_Trait_Coef!$A:$B,2,FALSE),0)))</f>
        <v/>
      </c>
      <c r="X128">
        <f>IF(Q128="P",IFNA(VLOOKUP(B128,Pitcher_Primary_Coef!$A:$B,2,FALSE),0),IFNA(VLOOKUP(B128,Hitter_Primary_Coef!$A:$B,2,FALSE),0))</f>
        <v/>
      </c>
      <c r="Y128">
        <f>IF(Q128="P",0,IFNA(VLOOKUP(IF(C128="","(none)",C128),Hitter_Secondary_Coef!$A:$B,2,FALSE),0))</f>
        <v/>
      </c>
      <c r="Z128">
        <f>IF(Q128="P",IF(ISNUMBER(SEARCH("2F",H128)),IFNA(VLOOKUP("2F",Pitch_Coef!$A:$B,2,FALSE),0),0)+IF(ISNUMBER(SEARCH("4F",H128)),IFNA(VLOOKUP("4F",Pitch_Coef!$A:$B,2,FALSE),0),0)+IF(ISNUMBER(SEARCH("CB",H128)),IFNA(VLOOKUP("CB",Pitch_Coef!$A:$B,2,FALSE),0),0)+IF(ISNUMBER(SEARCH("CF",H128)),IFNA(VLOOKUP("CF",Pitch_Coef!$A:$B,2,FALSE),0),0)+IF(ISNUMBER(SEARCH("CH",H128)),IFNA(VLOOKUP("CH",Pitch_Coef!$A:$B,2,FALSE),0),0)+IF(ISNUMBER(SEARCH("FK",H128)),IFNA(VLOOKUP("FK",Pitch_Coef!$A:$B,2,FALSE),0),0)+IF(ISNUMBER(SEARCH("SB",H128)),IFNA(VLOOKUP("SB",Pitch_Coef!$A:$B,2,FALSE),0),0)+IF(ISNUMBER(SEARCH("SL",H128)),IFNA(VLOOKUP("SL",Pitch_Coef!$A:$B,2,FALSE),0),0),0)</f>
        <v/>
      </c>
      <c r="AA128">
        <f>IF(Q128="P",16.5944849573+0.2529999141*N128+0.2665900378*O128+0.2632687105*P128+0.0427586837*I128+0.0534777057*J128+0.009015832*K128+0.0204898106*(O128*P128/100)+1.0091022427*U128+1.0968542297*IF(D128="L",1,0)+0.3771555045*IF(D128="S",1,0)-0.2226159177*IF(E128="L",1,0)+1.21385024*R128-1.1652812274*S128+W128+X128+Z128,10.5965166711+0.2825983581*I128+0.2806503532*J128+0.2027213083*K128+0.1147824982*L128+0.0915305332*M128-0.0088454122*(I128*J128/100)-0.0336045706*(K128*L128/100)+2.8497389733*IF(D128="L",1,0)+4.5116226727*IF(D128="S",1,0)-0.6571546448*IF(E128="L",1,0)+0.0850728147*T128+0.0129488446*(T128*T128)+0.1909373936*IF(OR(F128="Utility",G128="Utility"),T128,0)+0.9656824071*R128-1.7517683256*S128+W128+X128+Y128)</f>
        <v/>
      </c>
      <c r="AB128">
        <f>LOOKUP(AA128,Grade_Scale!$A$2:$A$18,Grade_Scale!$B$2:$B$18)</f>
        <v/>
      </c>
      <c r="AC128">
        <f>LOOKUP(AA128,Grade_Scale!$A$2:$A$18,Grade_Scale!$C$2:$C$18)</f>
        <v/>
      </c>
      <c r="AE128">
        <f>IF(AD128="","",AB128-VLOOKUP(AD128,Grade_Scale!$C$2:$E$18,3,FALSE))</f>
        <v/>
      </c>
    </row>
    <row r="129">
      <c r="Q129">
        <f>IF(OR(B129="SP",B129="RP",B129="CP",B129="SP/RP"),"P","H")</f>
        <v/>
      </c>
      <c r="R129">
        <f>IF(F129="",0,IFNA(VLOOKUP(F129,Trait_Polarity!$A:$C,2,FALSE),0))+IF(G129="",0,IFNA(VLOOKUP(G129,Trait_Polarity!$A:$C,2,FALSE),0))</f>
        <v/>
      </c>
      <c r="S129">
        <f>IF(F129="",0,IFNA(VLOOKUP(F129,Trait_Polarity!$A:$C,3,FALSE),0))+IF(G129="",0,IFNA(VLOOKUP(G129,Trait_Polarity!$A:$C,3,FALSE),0))</f>
        <v/>
      </c>
      <c r="T129">
        <f>IF(Q129="P",0,IFNA(VLOOKUP(IF(C129="","(none)",C129),Secondary_Versatility!$A:$B,2,FALSE),0))</f>
        <v/>
      </c>
      <c r="U129">
        <f>IF(H129="",0,LEN(H129)-LEN(SUBSTITUTE(H129,"|",""))+1)</f>
        <v/>
      </c>
      <c r="V129">
        <f>IF(Q129="P",(N129+O129+P129)/3,0.3*I129+0.3*J129+0.2*K129+0.1*L129+0.1*M129)</f>
        <v/>
      </c>
      <c r="W129">
        <f>IF(Q129="P",IF(F129="",0,IFNA(VLOOKUP(F129,Pitcher_Trait_Coef!$A:$B,2,FALSE),0))+IF(G129="",0,IFNA(VLOOKUP(G129,Pitcher_Trait_Coef!$A:$B,2,FALSE),0)),IF(F129="",0,IFNA(VLOOKUP(F129,Hitter_Trait_Coef!$A:$B,2,FALSE),0))+IF(G129="",0,IFNA(VLOOKUP(G129,Hitter_Trait_Coef!$A:$B,2,FALSE),0)))</f>
        <v/>
      </c>
      <c r="X129">
        <f>IF(Q129="P",IFNA(VLOOKUP(B129,Pitcher_Primary_Coef!$A:$B,2,FALSE),0),IFNA(VLOOKUP(B129,Hitter_Primary_Coef!$A:$B,2,FALSE),0))</f>
        <v/>
      </c>
      <c r="Y129">
        <f>IF(Q129="P",0,IFNA(VLOOKUP(IF(C129="","(none)",C129),Hitter_Secondary_Coef!$A:$B,2,FALSE),0))</f>
        <v/>
      </c>
      <c r="Z129">
        <f>IF(Q129="P",IF(ISNUMBER(SEARCH("2F",H129)),IFNA(VLOOKUP("2F",Pitch_Coef!$A:$B,2,FALSE),0),0)+IF(ISNUMBER(SEARCH("4F",H129)),IFNA(VLOOKUP("4F",Pitch_Coef!$A:$B,2,FALSE),0),0)+IF(ISNUMBER(SEARCH("CB",H129)),IFNA(VLOOKUP("CB",Pitch_Coef!$A:$B,2,FALSE),0),0)+IF(ISNUMBER(SEARCH("CF",H129)),IFNA(VLOOKUP("CF",Pitch_Coef!$A:$B,2,FALSE),0),0)+IF(ISNUMBER(SEARCH("CH",H129)),IFNA(VLOOKUP("CH",Pitch_Coef!$A:$B,2,FALSE),0),0)+IF(ISNUMBER(SEARCH("FK",H129)),IFNA(VLOOKUP("FK",Pitch_Coef!$A:$B,2,FALSE),0),0)+IF(ISNUMBER(SEARCH("SB",H129)),IFNA(VLOOKUP("SB",Pitch_Coef!$A:$B,2,FALSE),0),0)+IF(ISNUMBER(SEARCH("SL",H129)),IFNA(VLOOKUP("SL",Pitch_Coef!$A:$B,2,FALSE),0),0),0)</f>
        <v/>
      </c>
      <c r="AA129">
        <f>IF(Q129="P",16.5944849573+0.2529999141*N129+0.2665900378*O129+0.2632687105*P129+0.0427586837*I129+0.0534777057*J129+0.009015832*K129+0.0204898106*(O129*P129/100)+1.0091022427*U129+1.0968542297*IF(D129="L",1,0)+0.3771555045*IF(D129="S",1,0)-0.2226159177*IF(E129="L",1,0)+1.21385024*R129-1.1652812274*S129+W129+X129+Z129,10.5965166711+0.2825983581*I129+0.2806503532*J129+0.2027213083*K129+0.1147824982*L129+0.0915305332*M129-0.0088454122*(I129*J129/100)-0.0336045706*(K129*L129/100)+2.8497389733*IF(D129="L",1,0)+4.5116226727*IF(D129="S",1,0)-0.6571546448*IF(E129="L",1,0)+0.0850728147*T129+0.0129488446*(T129*T129)+0.1909373936*IF(OR(F129="Utility",G129="Utility"),T129,0)+0.9656824071*R129-1.7517683256*S129+W129+X129+Y129)</f>
        <v/>
      </c>
      <c r="AB129">
        <f>LOOKUP(AA129,Grade_Scale!$A$2:$A$18,Grade_Scale!$B$2:$B$18)</f>
        <v/>
      </c>
      <c r="AC129">
        <f>LOOKUP(AA129,Grade_Scale!$A$2:$A$18,Grade_Scale!$C$2:$C$18)</f>
        <v/>
      </c>
      <c r="AE129">
        <f>IF(AD129="","",AB129-VLOOKUP(AD129,Grade_Scale!$C$2:$E$18,3,FALSE))</f>
        <v/>
      </c>
    </row>
    <row r="130">
      <c r="Q130">
        <f>IF(OR(B130="SP",B130="RP",B130="CP",B130="SP/RP"),"P","H")</f>
        <v/>
      </c>
      <c r="R130">
        <f>IF(F130="",0,IFNA(VLOOKUP(F130,Trait_Polarity!$A:$C,2,FALSE),0))+IF(G130="",0,IFNA(VLOOKUP(G130,Trait_Polarity!$A:$C,2,FALSE),0))</f>
        <v/>
      </c>
      <c r="S130">
        <f>IF(F130="",0,IFNA(VLOOKUP(F130,Trait_Polarity!$A:$C,3,FALSE),0))+IF(G130="",0,IFNA(VLOOKUP(G130,Trait_Polarity!$A:$C,3,FALSE),0))</f>
        <v/>
      </c>
      <c r="T130">
        <f>IF(Q130="P",0,IFNA(VLOOKUP(IF(C130="","(none)",C130),Secondary_Versatility!$A:$B,2,FALSE),0))</f>
        <v/>
      </c>
      <c r="U130">
        <f>IF(H130="",0,LEN(H130)-LEN(SUBSTITUTE(H130,"|",""))+1)</f>
        <v/>
      </c>
      <c r="V130">
        <f>IF(Q130="P",(N130+O130+P130)/3,0.3*I130+0.3*J130+0.2*K130+0.1*L130+0.1*M130)</f>
        <v/>
      </c>
      <c r="W130">
        <f>IF(Q130="P",IF(F130="",0,IFNA(VLOOKUP(F130,Pitcher_Trait_Coef!$A:$B,2,FALSE),0))+IF(G130="",0,IFNA(VLOOKUP(G130,Pitcher_Trait_Coef!$A:$B,2,FALSE),0)),IF(F130="",0,IFNA(VLOOKUP(F130,Hitter_Trait_Coef!$A:$B,2,FALSE),0))+IF(G130="",0,IFNA(VLOOKUP(G130,Hitter_Trait_Coef!$A:$B,2,FALSE),0)))</f>
        <v/>
      </c>
      <c r="X130">
        <f>IF(Q130="P",IFNA(VLOOKUP(B130,Pitcher_Primary_Coef!$A:$B,2,FALSE),0),IFNA(VLOOKUP(B130,Hitter_Primary_Coef!$A:$B,2,FALSE),0))</f>
        <v/>
      </c>
      <c r="Y130">
        <f>IF(Q130="P",0,IFNA(VLOOKUP(IF(C130="","(none)",C130),Hitter_Secondary_Coef!$A:$B,2,FALSE),0))</f>
        <v/>
      </c>
      <c r="Z130">
        <f>IF(Q130="P",IF(ISNUMBER(SEARCH("2F",H130)),IFNA(VLOOKUP("2F",Pitch_Coef!$A:$B,2,FALSE),0),0)+IF(ISNUMBER(SEARCH("4F",H130)),IFNA(VLOOKUP("4F",Pitch_Coef!$A:$B,2,FALSE),0),0)+IF(ISNUMBER(SEARCH("CB",H130)),IFNA(VLOOKUP("CB",Pitch_Coef!$A:$B,2,FALSE),0),0)+IF(ISNUMBER(SEARCH("CF",H130)),IFNA(VLOOKUP("CF",Pitch_Coef!$A:$B,2,FALSE),0),0)+IF(ISNUMBER(SEARCH("CH",H130)),IFNA(VLOOKUP("CH",Pitch_Coef!$A:$B,2,FALSE),0),0)+IF(ISNUMBER(SEARCH("FK",H130)),IFNA(VLOOKUP("FK",Pitch_Coef!$A:$B,2,FALSE),0),0)+IF(ISNUMBER(SEARCH("SB",H130)),IFNA(VLOOKUP("SB",Pitch_Coef!$A:$B,2,FALSE),0),0)+IF(ISNUMBER(SEARCH("SL",H130)),IFNA(VLOOKUP("SL",Pitch_Coef!$A:$B,2,FALSE),0),0),0)</f>
        <v/>
      </c>
      <c r="AA130">
        <f>IF(Q130="P",16.5944849573+0.2529999141*N130+0.2665900378*O130+0.2632687105*P130+0.0427586837*I130+0.0534777057*J130+0.009015832*K130+0.0204898106*(O130*P130/100)+1.0091022427*U130+1.0968542297*IF(D130="L",1,0)+0.3771555045*IF(D130="S",1,0)-0.2226159177*IF(E130="L",1,0)+1.21385024*R130-1.1652812274*S130+W130+X130+Z130,10.5965166711+0.2825983581*I130+0.2806503532*J130+0.2027213083*K130+0.1147824982*L130+0.0915305332*M130-0.0088454122*(I130*J130/100)-0.0336045706*(K130*L130/100)+2.8497389733*IF(D130="L",1,0)+4.5116226727*IF(D130="S",1,0)-0.6571546448*IF(E130="L",1,0)+0.0850728147*T130+0.0129488446*(T130*T130)+0.1909373936*IF(OR(F130="Utility",G130="Utility"),T130,0)+0.9656824071*R130-1.7517683256*S130+W130+X130+Y130)</f>
        <v/>
      </c>
      <c r="AB130">
        <f>LOOKUP(AA130,Grade_Scale!$A$2:$A$18,Grade_Scale!$B$2:$B$18)</f>
        <v/>
      </c>
      <c r="AC130">
        <f>LOOKUP(AA130,Grade_Scale!$A$2:$A$18,Grade_Scale!$C$2:$C$18)</f>
        <v/>
      </c>
      <c r="AE130">
        <f>IF(AD130="","",AB130-VLOOKUP(AD130,Grade_Scale!$C$2:$E$18,3,FALSE))</f>
        <v/>
      </c>
    </row>
    <row r="131">
      <c r="Q131">
        <f>IF(OR(B131="SP",B131="RP",B131="CP",B131="SP/RP"),"P","H")</f>
        <v/>
      </c>
      <c r="R131">
        <f>IF(F131="",0,IFNA(VLOOKUP(F131,Trait_Polarity!$A:$C,2,FALSE),0))+IF(G131="",0,IFNA(VLOOKUP(G131,Trait_Polarity!$A:$C,2,FALSE),0))</f>
        <v/>
      </c>
      <c r="S131">
        <f>IF(F131="",0,IFNA(VLOOKUP(F131,Trait_Polarity!$A:$C,3,FALSE),0))+IF(G131="",0,IFNA(VLOOKUP(G131,Trait_Polarity!$A:$C,3,FALSE),0))</f>
        <v/>
      </c>
      <c r="T131">
        <f>IF(Q131="P",0,IFNA(VLOOKUP(IF(C131="","(none)",C131),Secondary_Versatility!$A:$B,2,FALSE),0))</f>
        <v/>
      </c>
      <c r="U131">
        <f>IF(H131="",0,LEN(H131)-LEN(SUBSTITUTE(H131,"|",""))+1)</f>
        <v/>
      </c>
      <c r="V131">
        <f>IF(Q131="P",(N131+O131+P131)/3,0.3*I131+0.3*J131+0.2*K131+0.1*L131+0.1*M131)</f>
        <v/>
      </c>
      <c r="W131">
        <f>IF(Q131="P",IF(F131="",0,IFNA(VLOOKUP(F131,Pitcher_Trait_Coef!$A:$B,2,FALSE),0))+IF(G131="",0,IFNA(VLOOKUP(G131,Pitcher_Trait_Coef!$A:$B,2,FALSE),0)),IF(F131="",0,IFNA(VLOOKUP(F131,Hitter_Trait_Coef!$A:$B,2,FALSE),0))+IF(G131="",0,IFNA(VLOOKUP(G131,Hitter_Trait_Coef!$A:$B,2,FALSE),0)))</f>
        <v/>
      </c>
      <c r="X131">
        <f>IF(Q131="P",IFNA(VLOOKUP(B131,Pitcher_Primary_Coef!$A:$B,2,FALSE),0),IFNA(VLOOKUP(B131,Hitter_Primary_Coef!$A:$B,2,FALSE),0))</f>
        <v/>
      </c>
      <c r="Y131">
        <f>IF(Q131="P",0,IFNA(VLOOKUP(IF(C131="","(none)",C131),Hitter_Secondary_Coef!$A:$B,2,FALSE),0))</f>
        <v/>
      </c>
      <c r="Z131">
        <f>IF(Q131="P",IF(ISNUMBER(SEARCH("2F",H131)),IFNA(VLOOKUP("2F",Pitch_Coef!$A:$B,2,FALSE),0),0)+IF(ISNUMBER(SEARCH("4F",H131)),IFNA(VLOOKUP("4F",Pitch_Coef!$A:$B,2,FALSE),0),0)+IF(ISNUMBER(SEARCH("CB",H131)),IFNA(VLOOKUP("CB",Pitch_Coef!$A:$B,2,FALSE),0),0)+IF(ISNUMBER(SEARCH("CF",H131)),IFNA(VLOOKUP("CF",Pitch_Coef!$A:$B,2,FALSE),0),0)+IF(ISNUMBER(SEARCH("CH",H131)),IFNA(VLOOKUP("CH",Pitch_Coef!$A:$B,2,FALSE),0),0)+IF(ISNUMBER(SEARCH("FK",H131)),IFNA(VLOOKUP("FK",Pitch_Coef!$A:$B,2,FALSE),0),0)+IF(ISNUMBER(SEARCH("SB",H131)),IFNA(VLOOKUP("SB",Pitch_Coef!$A:$B,2,FALSE),0),0)+IF(ISNUMBER(SEARCH("SL",H131)),IFNA(VLOOKUP("SL",Pitch_Coef!$A:$B,2,FALSE),0),0),0)</f>
        <v/>
      </c>
      <c r="AA131">
        <f>IF(Q131="P",16.5944849573+0.2529999141*N131+0.2665900378*O131+0.2632687105*P131+0.0427586837*I131+0.0534777057*J131+0.009015832*K131+0.0204898106*(O131*P131/100)+1.0091022427*U131+1.0968542297*IF(D131="L",1,0)+0.3771555045*IF(D131="S",1,0)-0.2226159177*IF(E131="L",1,0)+1.21385024*R131-1.1652812274*S131+W131+X131+Z131,10.5965166711+0.2825983581*I131+0.2806503532*J131+0.2027213083*K131+0.1147824982*L131+0.0915305332*M131-0.0088454122*(I131*J131/100)-0.0336045706*(K131*L131/100)+2.8497389733*IF(D131="L",1,0)+4.5116226727*IF(D131="S",1,0)-0.6571546448*IF(E131="L",1,0)+0.0850728147*T131+0.0129488446*(T131*T131)+0.1909373936*IF(OR(F131="Utility",G131="Utility"),T131,0)+0.9656824071*R131-1.7517683256*S131+W131+X131+Y131)</f>
        <v/>
      </c>
      <c r="AB131">
        <f>LOOKUP(AA131,Grade_Scale!$A$2:$A$18,Grade_Scale!$B$2:$B$18)</f>
        <v/>
      </c>
      <c r="AC131">
        <f>LOOKUP(AA131,Grade_Scale!$A$2:$A$18,Grade_Scale!$C$2:$C$18)</f>
        <v/>
      </c>
      <c r="AE131">
        <f>IF(AD131="","",AB131-VLOOKUP(AD131,Grade_Scale!$C$2:$E$18,3,FALSE))</f>
        <v/>
      </c>
    </row>
    <row r="132">
      <c r="Q132">
        <f>IF(OR(B132="SP",B132="RP",B132="CP",B132="SP/RP"),"P","H")</f>
        <v/>
      </c>
      <c r="R132">
        <f>IF(F132="",0,IFNA(VLOOKUP(F132,Trait_Polarity!$A:$C,2,FALSE),0))+IF(G132="",0,IFNA(VLOOKUP(G132,Trait_Polarity!$A:$C,2,FALSE),0))</f>
        <v/>
      </c>
      <c r="S132">
        <f>IF(F132="",0,IFNA(VLOOKUP(F132,Trait_Polarity!$A:$C,3,FALSE),0))+IF(G132="",0,IFNA(VLOOKUP(G132,Trait_Polarity!$A:$C,3,FALSE),0))</f>
        <v/>
      </c>
      <c r="T132">
        <f>IF(Q132="P",0,IFNA(VLOOKUP(IF(C132="","(none)",C132),Secondary_Versatility!$A:$B,2,FALSE),0))</f>
        <v/>
      </c>
      <c r="U132">
        <f>IF(H132="",0,LEN(H132)-LEN(SUBSTITUTE(H132,"|",""))+1)</f>
        <v/>
      </c>
      <c r="V132">
        <f>IF(Q132="P",(N132+O132+P132)/3,0.3*I132+0.3*J132+0.2*K132+0.1*L132+0.1*M132)</f>
        <v/>
      </c>
      <c r="W132">
        <f>IF(Q132="P",IF(F132="",0,IFNA(VLOOKUP(F132,Pitcher_Trait_Coef!$A:$B,2,FALSE),0))+IF(G132="",0,IFNA(VLOOKUP(G132,Pitcher_Trait_Coef!$A:$B,2,FALSE),0)),IF(F132="",0,IFNA(VLOOKUP(F132,Hitter_Trait_Coef!$A:$B,2,FALSE),0))+IF(G132="",0,IFNA(VLOOKUP(G132,Hitter_Trait_Coef!$A:$B,2,FALSE),0)))</f>
        <v/>
      </c>
      <c r="X132">
        <f>IF(Q132="P",IFNA(VLOOKUP(B132,Pitcher_Primary_Coef!$A:$B,2,FALSE),0),IFNA(VLOOKUP(B132,Hitter_Primary_Coef!$A:$B,2,FALSE),0))</f>
        <v/>
      </c>
      <c r="Y132">
        <f>IF(Q132="P",0,IFNA(VLOOKUP(IF(C132="","(none)",C132),Hitter_Secondary_Coef!$A:$B,2,FALSE),0))</f>
        <v/>
      </c>
      <c r="Z132">
        <f>IF(Q132="P",IF(ISNUMBER(SEARCH("2F",H132)),IFNA(VLOOKUP("2F",Pitch_Coef!$A:$B,2,FALSE),0),0)+IF(ISNUMBER(SEARCH("4F",H132)),IFNA(VLOOKUP("4F",Pitch_Coef!$A:$B,2,FALSE),0),0)+IF(ISNUMBER(SEARCH("CB",H132)),IFNA(VLOOKUP("CB",Pitch_Coef!$A:$B,2,FALSE),0),0)+IF(ISNUMBER(SEARCH("CF",H132)),IFNA(VLOOKUP("CF",Pitch_Coef!$A:$B,2,FALSE),0),0)+IF(ISNUMBER(SEARCH("CH",H132)),IFNA(VLOOKUP("CH",Pitch_Coef!$A:$B,2,FALSE),0),0)+IF(ISNUMBER(SEARCH("FK",H132)),IFNA(VLOOKUP("FK",Pitch_Coef!$A:$B,2,FALSE),0),0)+IF(ISNUMBER(SEARCH("SB",H132)),IFNA(VLOOKUP("SB",Pitch_Coef!$A:$B,2,FALSE),0),0)+IF(ISNUMBER(SEARCH("SL",H132)),IFNA(VLOOKUP("SL",Pitch_Coef!$A:$B,2,FALSE),0),0),0)</f>
        <v/>
      </c>
      <c r="AA132">
        <f>IF(Q132="P",16.5944849573+0.2529999141*N132+0.2665900378*O132+0.2632687105*P132+0.0427586837*I132+0.0534777057*J132+0.009015832*K132+0.0204898106*(O132*P132/100)+1.0091022427*U132+1.0968542297*IF(D132="L",1,0)+0.3771555045*IF(D132="S",1,0)-0.2226159177*IF(E132="L",1,0)+1.21385024*R132-1.1652812274*S132+W132+X132+Z132,10.5965166711+0.2825983581*I132+0.2806503532*J132+0.2027213083*K132+0.1147824982*L132+0.0915305332*M132-0.0088454122*(I132*J132/100)-0.0336045706*(K132*L132/100)+2.8497389733*IF(D132="L",1,0)+4.5116226727*IF(D132="S",1,0)-0.6571546448*IF(E132="L",1,0)+0.0850728147*T132+0.0129488446*(T132*T132)+0.1909373936*IF(OR(F132="Utility",G132="Utility"),T132,0)+0.9656824071*R132-1.7517683256*S132+W132+X132+Y132)</f>
        <v/>
      </c>
      <c r="AB132">
        <f>LOOKUP(AA132,Grade_Scale!$A$2:$A$18,Grade_Scale!$B$2:$B$18)</f>
        <v/>
      </c>
      <c r="AC132">
        <f>LOOKUP(AA132,Grade_Scale!$A$2:$A$18,Grade_Scale!$C$2:$C$18)</f>
        <v/>
      </c>
      <c r="AE132">
        <f>IF(AD132="","",AB132-VLOOKUP(AD132,Grade_Scale!$C$2:$E$18,3,FALSE))</f>
        <v/>
      </c>
    </row>
    <row r="133">
      <c r="Q133">
        <f>IF(OR(B133="SP",B133="RP",B133="CP",B133="SP/RP"),"P","H")</f>
        <v/>
      </c>
      <c r="R133">
        <f>IF(F133="",0,IFNA(VLOOKUP(F133,Trait_Polarity!$A:$C,2,FALSE),0))+IF(G133="",0,IFNA(VLOOKUP(G133,Trait_Polarity!$A:$C,2,FALSE),0))</f>
        <v/>
      </c>
      <c r="S133">
        <f>IF(F133="",0,IFNA(VLOOKUP(F133,Trait_Polarity!$A:$C,3,FALSE),0))+IF(G133="",0,IFNA(VLOOKUP(G133,Trait_Polarity!$A:$C,3,FALSE),0))</f>
        <v/>
      </c>
      <c r="T133">
        <f>IF(Q133="P",0,IFNA(VLOOKUP(IF(C133="","(none)",C133),Secondary_Versatility!$A:$B,2,FALSE),0))</f>
        <v/>
      </c>
      <c r="U133">
        <f>IF(H133="",0,LEN(H133)-LEN(SUBSTITUTE(H133,"|",""))+1)</f>
        <v/>
      </c>
      <c r="V133">
        <f>IF(Q133="P",(N133+O133+P133)/3,0.3*I133+0.3*J133+0.2*K133+0.1*L133+0.1*M133)</f>
        <v/>
      </c>
      <c r="W133">
        <f>IF(Q133="P",IF(F133="",0,IFNA(VLOOKUP(F133,Pitcher_Trait_Coef!$A:$B,2,FALSE),0))+IF(G133="",0,IFNA(VLOOKUP(G133,Pitcher_Trait_Coef!$A:$B,2,FALSE),0)),IF(F133="",0,IFNA(VLOOKUP(F133,Hitter_Trait_Coef!$A:$B,2,FALSE),0))+IF(G133="",0,IFNA(VLOOKUP(G133,Hitter_Trait_Coef!$A:$B,2,FALSE),0)))</f>
        <v/>
      </c>
      <c r="X133">
        <f>IF(Q133="P",IFNA(VLOOKUP(B133,Pitcher_Primary_Coef!$A:$B,2,FALSE),0),IFNA(VLOOKUP(B133,Hitter_Primary_Coef!$A:$B,2,FALSE),0))</f>
        <v/>
      </c>
      <c r="Y133">
        <f>IF(Q133="P",0,IFNA(VLOOKUP(IF(C133="","(none)",C133),Hitter_Secondary_Coef!$A:$B,2,FALSE),0))</f>
        <v/>
      </c>
      <c r="Z133">
        <f>IF(Q133="P",IF(ISNUMBER(SEARCH("2F",H133)),IFNA(VLOOKUP("2F",Pitch_Coef!$A:$B,2,FALSE),0),0)+IF(ISNUMBER(SEARCH("4F",H133)),IFNA(VLOOKUP("4F",Pitch_Coef!$A:$B,2,FALSE),0),0)+IF(ISNUMBER(SEARCH("CB",H133)),IFNA(VLOOKUP("CB",Pitch_Coef!$A:$B,2,FALSE),0),0)+IF(ISNUMBER(SEARCH("CF",H133)),IFNA(VLOOKUP("CF",Pitch_Coef!$A:$B,2,FALSE),0),0)+IF(ISNUMBER(SEARCH("CH",H133)),IFNA(VLOOKUP("CH",Pitch_Coef!$A:$B,2,FALSE),0),0)+IF(ISNUMBER(SEARCH("FK",H133)),IFNA(VLOOKUP("FK",Pitch_Coef!$A:$B,2,FALSE),0),0)+IF(ISNUMBER(SEARCH("SB",H133)),IFNA(VLOOKUP("SB",Pitch_Coef!$A:$B,2,FALSE),0),0)+IF(ISNUMBER(SEARCH("SL",H133)),IFNA(VLOOKUP("SL",Pitch_Coef!$A:$B,2,FALSE),0),0),0)</f>
        <v/>
      </c>
      <c r="AA133">
        <f>IF(Q133="P",16.5944849573+0.2529999141*N133+0.2665900378*O133+0.2632687105*P133+0.0427586837*I133+0.0534777057*J133+0.009015832*K133+0.0204898106*(O133*P133/100)+1.0091022427*U133+1.0968542297*IF(D133="L",1,0)+0.3771555045*IF(D133="S",1,0)-0.2226159177*IF(E133="L",1,0)+1.21385024*R133-1.1652812274*S133+W133+X133+Z133,10.5965166711+0.2825983581*I133+0.2806503532*J133+0.2027213083*K133+0.1147824982*L133+0.0915305332*M133-0.0088454122*(I133*J133/100)-0.0336045706*(K133*L133/100)+2.8497389733*IF(D133="L",1,0)+4.5116226727*IF(D133="S",1,0)-0.6571546448*IF(E133="L",1,0)+0.0850728147*T133+0.0129488446*(T133*T133)+0.1909373936*IF(OR(F133="Utility",G133="Utility"),T133,0)+0.9656824071*R133-1.7517683256*S133+W133+X133+Y133)</f>
        <v/>
      </c>
      <c r="AB133">
        <f>LOOKUP(AA133,Grade_Scale!$A$2:$A$18,Grade_Scale!$B$2:$B$18)</f>
        <v/>
      </c>
      <c r="AC133">
        <f>LOOKUP(AA133,Grade_Scale!$A$2:$A$18,Grade_Scale!$C$2:$C$18)</f>
        <v/>
      </c>
      <c r="AE133">
        <f>IF(AD133="","",AB133-VLOOKUP(AD133,Grade_Scale!$C$2:$E$18,3,FALSE))</f>
        <v/>
      </c>
    </row>
    <row r="134">
      <c r="Q134">
        <f>IF(OR(B134="SP",B134="RP",B134="CP",B134="SP/RP"),"P","H")</f>
        <v/>
      </c>
      <c r="R134">
        <f>IF(F134="",0,IFNA(VLOOKUP(F134,Trait_Polarity!$A:$C,2,FALSE),0))+IF(G134="",0,IFNA(VLOOKUP(G134,Trait_Polarity!$A:$C,2,FALSE),0))</f>
        <v/>
      </c>
      <c r="S134">
        <f>IF(F134="",0,IFNA(VLOOKUP(F134,Trait_Polarity!$A:$C,3,FALSE),0))+IF(G134="",0,IFNA(VLOOKUP(G134,Trait_Polarity!$A:$C,3,FALSE),0))</f>
        <v/>
      </c>
      <c r="T134">
        <f>IF(Q134="P",0,IFNA(VLOOKUP(IF(C134="","(none)",C134),Secondary_Versatility!$A:$B,2,FALSE),0))</f>
        <v/>
      </c>
      <c r="U134">
        <f>IF(H134="",0,LEN(H134)-LEN(SUBSTITUTE(H134,"|",""))+1)</f>
        <v/>
      </c>
      <c r="V134">
        <f>IF(Q134="P",(N134+O134+P134)/3,0.3*I134+0.3*J134+0.2*K134+0.1*L134+0.1*M134)</f>
        <v/>
      </c>
      <c r="W134">
        <f>IF(Q134="P",IF(F134="",0,IFNA(VLOOKUP(F134,Pitcher_Trait_Coef!$A:$B,2,FALSE),0))+IF(G134="",0,IFNA(VLOOKUP(G134,Pitcher_Trait_Coef!$A:$B,2,FALSE),0)),IF(F134="",0,IFNA(VLOOKUP(F134,Hitter_Trait_Coef!$A:$B,2,FALSE),0))+IF(G134="",0,IFNA(VLOOKUP(G134,Hitter_Trait_Coef!$A:$B,2,FALSE),0)))</f>
        <v/>
      </c>
      <c r="X134">
        <f>IF(Q134="P",IFNA(VLOOKUP(B134,Pitcher_Primary_Coef!$A:$B,2,FALSE),0),IFNA(VLOOKUP(B134,Hitter_Primary_Coef!$A:$B,2,FALSE),0))</f>
        <v/>
      </c>
      <c r="Y134">
        <f>IF(Q134="P",0,IFNA(VLOOKUP(IF(C134="","(none)",C134),Hitter_Secondary_Coef!$A:$B,2,FALSE),0))</f>
        <v/>
      </c>
      <c r="Z134">
        <f>IF(Q134="P",IF(ISNUMBER(SEARCH("2F",H134)),IFNA(VLOOKUP("2F",Pitch_Coef!$A:$B,2,FALSE),0),0)+IF(ISNUMBER(SEARCH("4F",H134)),IFNA(VLOOKUP("4F",Pitch_Coef!$A:$B,2,FALSE),0),0)+IF(ISNUMBER(SEARCH("CB",H134)),IFNA(VLOOKUP("CB",Pitch_Coef!$A:$B,2,FALSE),0),0)+IF(ISNUMBER(SEARCH("CF",H134)),IFNA(VLOOKUP("CF",Pitch_Coef!$A:$B,2,FALSE),0),0)+IF(ISNUMBER(SEARCH("CH",H134)),IFNA(VLOOKUP("CH",Pitch_Coef!$A:$B,2,FALSE),0),0)+IF(ISNUMBER(SEARCH("FK",H134)),IFNA(VLOOKUP("FK",Pitch_Coef!$A:$B,2,FALSE),0),0)+IF(ISNUMBER(SEARCH("SB",H134)),IFNA(VLOOKUP("SB",Pitch_Coef!$A:$B,2,FALSE),0),0)+IF(ISNUMBER(SEARCH("SL",H134)),IFNA(VLOOKUP("SL",Pitch_Coef!$A:$B,2,FALSE),0),0),0)</f>
        <v/>
      </c>
      <c r="AA134">
        <f>IF(Q134="P",16.5944849573+0.2529999141*N134+0.2665900378*O134+0.2632687105*P134+0.0427586837*I134+0.0534777057*J134+0.009015832*K134+0.0204898106*(O134*P134/100)+1.0091022427*U134+1.0968542297*IF(D134="L",1,0)+0.3771555045*IF(D134="S",1,0)-0.2226159177*IF(E134="L",1,0)+1.21385024*R134-1.1652812274*S134+W134+X134+Z134,10.5965166711+0.2825983581*I134+0.2806503532*J134+0.2027213083*K134+0.1147824982*L134+0.0915305332*M134-0.0088454122*(I134*J134/100)-0.0336045706*(K134*L134/100)+2.8497389733*IF(D134="L",1,0)+4.5116226727*IF(D134="S",1,0)-0.6571546448*IF(E134="L",1,0)+0.0850728147*T134+0.0129488446*(T134*T134)+0.1909373936*IF(OR(F134="Utility",G134="Utility"),T134,0)+0.9656824071*R134-1.7517683256*S134+W134+X134+Y134)</f>
        <v/>
      </c>
      <c r="AB134">
        <f>LOOKUP(AA134,Grade_Scale!$A$2:$A$18,Grade_Scale!$B$2:$B$18)</f>
        <v/>
      </c>
      <c r="AC134">
        <f>LOOKUP(AA134,Grade_Scale!$A$2:$A$18,Grade_Scale!$C$2:$C$18)</f>
        <v/>
      </c>
      <c r="AE134">
        <f>IF(AD134="","",AB134-VLOOKUP(AD134,Grade_Scale!$C$2:$E$18,3,FALSE))</f>
        <v/>
      </c>
    </row>
    <row r="135">
      <c r="Q135">
        <f>IF(OR(B135="SP",B135="RP",B135="CP",B135="SP/RP"),"P","H")</f>
        <v/>
      </c>
      <c r="R135">
        <f>IF(F135="",0,IFNA(VLOOKUP(F135,Trait_Polarity!$A:$C,2,FALSE),0))+IF(G135="",0,IFNA(VLOOKUP(G135,Trait_Polarity!$A:$C,2,FALSE),0))</f>
        <v/>
      </c>
      <c r="S135">
        <f>IF(F135="",0,IFNA(VLOOKUP(F135,Trait_Polarity!$A:$C,3,FALSE),0))+IF(G135="",0,IFNA(VLOOKUP(G135,Trait_Polarity!$A:$C,3,FALSE),0))</f>
        <v/>
      </c>
      <c r="T135">
        <f>IF(Q135="P",0,IFNA(VLOOKUP(IF(C135="","(none)",C135),Secondary_Versatility!$A:$B,2,FALSE),0))</f>
        <v/>
      </c>
      <c r="U135">
        <f>IF(H135="",0,LEN(H135)-LEN(SUBSTITUTE(H135,"|",""))+1)</f>
        <v/>
      </c>
      <c r="V135">
        <f>IF(Q135="P",(N135+O135+P135)/3,0.3*I135+0.3*J135+0.2*K135+0.1*L135+0.1*M135)</f>
        <v/>
      </c>
      <c r="W135">
        <f>IF(Q135="P",IF(F135="",0,IFNA(VLOOKUP(F135,Pitcher_Trait_Coef!$A:$B,2,FALSE),0))+IF(G135="",0,IFNA(VLOOKUP(G135,Pitcher_Trait_Coef!$A:$B,2,FALSE),0)),IF(F135="",0,IFNA(VLOOKUP(F135,Hitter_Trait_Coef!$A:$B,2,FALSE),0))+IF(G135="",0,IFNA(VLOOKUP(G135,Hitter_Trait_Coef!$A:$B,2,FALSE),0)))</f>
        <v/>
      </c>
      <c r="X135">
        <f>IF(Q135="P",IFNA(VLOOKUP(B135,Pitcher_Primary_Coef!$A:$B,2,FALSE),0),IFNA(VLOOKUP(B135,Hitter_Primary_Coef!$A:$B,2,FALSE),0))</f>
        <v/>
      </c>
      <c r="Y135">
        <f>IF(Q135="P",0,IFNA(VLOOKUP(IF(C135="","(none)",C135),Hitter_Secondary_Coef!$A:$B,2,FALSE),0))</f>
        <v/>
      </c>
      <c r="Z135">
        <f>IF(Q135="P",IF(ISNUMBER(SEARCH("2F",H135)),IFNA(VLOOKUP("2F",Pitch_Coef!$A:$B,2,FALSE),0),0)+IF(ISNUMBER(SEARCH("4F",H135)),IFNA(VLOOKUP("4F",Pitch_Coef!$A:$B,2,FALSE),0),0)+IF(ISNUMBER(SEARCH("CB",H135)),IFNA(VLOOKUP("CB",Pitch_Coef!$A:$B,2,FALSE),0),0)+IF(ISNUMBER(SEARCH("CF",H135)),IFNA(VLOOKUP("CF",Pitch_Coef!$A:$B,2,FALSE),0),0)+IF(ISNUMBER(SEARCH("CH",H135)),IFNA(VLOOKUP("CH",Pitch_Coef!$A:$B,2,FALSE),0),0)+IF(ISNUMBER(SEARCH("FK",H135)),IFNA(VLOOKUP("FK",Pitch_Coef!$A:$B,2,FALSE),0),0)+IF(ISNUMBER(SEARCH("SB",H135)),IFNA(VLOOKUP("SB",Pitch_Coef!$A:$B,2,FALSE),0),0)+IF(ISNUMBER(SEARCH("SL",H135)),IFNA(VLOOKUP("SL",Pitch_Coef!$A:$B,2,FALSE),0),0),0)</f>
        <v/>
      </c>
      <c r="AA135">
        <f>IF(Q135="P",16.5944849573+0.2529999141*N135+0.2665900378*O135+0.2632687105*P135+0.0427586837*I135+0.0534777057*J135+0.009015832*K135+0.0204898106*(O135*P135/100)+1.0091022427*U135+1.0968542297*IF(D135="L",1,0)+0.3771555045*IF(D135="S",1,0)-0.2226159177*IF(E135="L",1,0)+1.21385024*R135-1.1652812274*S135+W135+X135+Z135,10.5965166711+0.2825983581*I135+0.2806503532*J135+0.2027213083*K135+0.1147824982*L135+0.0915305332*M135-0.0088454122*(I135*J135/100)-0.0336045706*(K135*L135/100)+2.8497389733*IF(D135="L",1,0)+4.5116226727*IF(D135="S",1,0)-0.6571546448*IF(E135="L",1,0)+0.0850728147*T135+0.0129488446*(T135*T135)+0.1909373936*IF(OR(F135="Utility",G135="Utility"),T135,0)+0.9656824071*R135-1.7517683256*S135+W135+X135+Y135)</f>
        <v/>
      </c>
      <c r="AB135">
        <f>LOOKUP(AA135,Grade_Scale!$A$2:$A$18,Grade_Scale!$B$2:$B$18)</f>
        <v/>
      </c>
      <c r="AC135">
        <f>LOOKUP(AA135,Grade_Scale!$A$2:$A$18,Grade_Scale!$C$2:$C$18)</f>
        <v/>
      </c>
      <c r="AE135">
        <f>IF(AD135="","",AB135-VLOOKUP(AD135,Grade_Scale!$C$2:$E$18,3,FALSE))</f>
        <v/>
      </c>
    </row>
    <row r="136">
      <c r="Q136">
        <f>IF(OR(B136="SP",B136="RP",B136="CP",B136="SP/RP"),"P","H")</f>
        <v/>
      </c>
      <c r="R136">
        <f>IF(F136="",0,IFNA(VLOOKUP(F136,Trait_Polarity!$A:$C,2,FALSE),0))+IF(G136="",0,IFNA(VLOOKUP(G136,Trait_Polarity!$A:$C,2,FALSE),0))</f>
        <v/>
      </c>
      <c r="S136">
        <f>IF(F136="",0,IFNA(VLOOKUP(F136,Trait_Polarity!$A:$C,3,FALSE),0))+IF(G136="",0,IFNA(VLOOKUP(G136,Trait_Polarity!$A:$C,3,FALSE),0))</f>
        <v/>
      </c>
      <c r="T136">
        <f>IF(Q136="P",0,IFNA(VLOOKUP(IF(C136="","(none)",C136),Secondary_Versatility!$A:$B,2,FALSE),0))</f>
        <v/>
      </c>
      <c r="U136">
        <f>IF(H136="",0,LEN(H136)-LEN(SUBSTITUTE(H136,"|",""))+1)</f>
        <v/>
      </c>
      <c r="V136">
        <f>IF(Q136="P",(N136+O136+P136)/3,0.3*I136+0.3*J136+0.2*K136+0.1*L136+0.1*M136)</f>
        <v/>
      </c>
      <c r="W136">
        <f>IF(Q136="P",IF(F136="",0,IFNA(VLOOKUP(F136,Pitcher_Trait_Coef!$A:$B,2,FALSE),0))+IF(G136="",0,IFNA(VLOOKUP(G136,Pitcher_Trait_Coef!$A:$B,2,FALSE),0)),IF(F136="",0,IFNA(VLOOKUP(F136,Hitter_Trait_Coef!$A:$B,2,FALSE),0))+IF(G136="",0,IFNA(VLOOKUP(G136,Hitter_Trait_Coef!$A:$B,2,FALSE),0)))</f>
        <v/>
      </c>
      <c r="X136">
        <f>IF(Q136="P",IFNA(VLOOKUP(B136,Pitcher_Primary_Coef!$A:$B,2,FALSE),0),IFNA(VLOOKUP(B136,Hitter_Primary_Coef!$A:$B,2,FALSE),0))</f>
        <v/>
      </c>
      <c r="Y136">
        <f>IF(Q136="P",0,IFNA(VLOOKUP(IF(C136="","(none)",C136),Hitter_Secondary_Coef!$A:$B,2,FALSE),0))</f>
        <v/>
      </c>
      <c r="Z136">
        <f>IF(Q136="P",IF(ISNUMBER(SEARCH("2F",H136)),IFNA(VLOOKUP("2F",Pitch_Coef!$A:$B,2,FALSE),0),0)+IF(ISNUMBER(SEARCH("4F",H136)),IFNA(VLOOKUP("4F",Pitch_Coef!$A:$B,2,FALSE),0),0)+IF(ISNUMBER(SEARCH("CB",H136)),IFNA(VLOOKUP("CB",Pitch_Coef!$A:$B,2,FALSE),0),0)+IF(ISNUMBER(SEARCH("CF",H136)),IFNA(VLOOKUP("CF",Pitch_Coef!$A:$B,2,FALSE),0),0)+IF(ISNUMBER(SEARCH("CH",H136)),IFNA(VLOOKUP("CH",Pitch_Coef!$A:$B,2,FALSE),0),0)+IF(ISNUMBER(SEARCH("FK",H136)),IFNA(VLOOKUP("FK",Pitch_Coef!$A:$B,2,FALSE),0),0)+IF(ISNUMBER(SEARCH("SB",H136)),IFNA(VLOOKUP("SB",Pitch_Coef!$A:$B,2,FALSE),0),0)+IF(ISNUMBER(SEARCH("SL",H136)),IFNA(VLOOKUP("SL",Pitch_Coef!$A:$B,2,FALSE),0),0),0)</f>
        <v/>
      </c>
      <c r="AA136">
        <f>IF(Q136="P",16.5944849573+0.2529999141*N136+0.2665900378*O136+0.2632687105*P136+0.0427586837*I136+0.0534777057*J136+0.009015832*K136+0.0204898106*(O136*P136/100)+1.0091022427*U136+1.0968542297*IF(D136="L",1,0)+0.3771555045*IF(D136="S",1,0)-0.2226159177*IF(E136="L",1,0)+1.21385024*R136-1.1652812274*S136+W136+X136+Z136,10.5965166711+0.2825983581*I136+0.2806503532*J136+0.2027213083*K136+0.1147824982*L136+0.0915305332*M136-0.0088454122*(I136*J136/100)-0.0336045706*(K136*L136/100)+2.8497389733*IF(D136="L",1,0)+4.5116226727*IF(D136="S",1,0)-0.6571546448*IF(E136="L",1,0)+0.0850728147*T136+0.0129488446*(T136*T136)+0.1909373936*IF(OR(F136="Utility",G136="Utility"),T136,0)+0.9656824071*R136-1.7517683256*S136+W136+X136+Y136)</f>
        <v/>
      </c>
      <c r="AB136">
        <f>LOOKUP(AA136,Grade_Scale!$A$2:$A$18,Grade_Scale!$B$2:$B$18)</f>
        <v/>
      </c>
      <c r="AC136">
        <f>LOOKUP(AA136,Grade_Scale!$A$2:$A$18,Grade_Scale!$C$2:$C$18)</f>
        <v/>
      </c>
      <c r="AE136">
        <f>IF(AD136="","",AB136-VLOOKUP(AD136,Grade_Scale!$C$2:$E$18,3,FALSE))</f>
        <v/>
      </c>
    </row>
    <row r="137">
      <c r="Q137">
        <f>IF(OR(B137="SP",B137="RP",B137="CP",B137="SP/RP"),"P","H")</f>
        <v/>
      </c>
      <c r="R137">
        <f>IF(F137="",0,IFNA(VLOOKUP(F137,Trait_Polarity!$A:$C,2,FALSE),0))+IF(G137="",0,IFNA(VLOOKUP(G137,Trait_Polarity!$A:$C,2,FALSE),0))</f>
        <v/>
      </c>
      <c r="S137">
        <f>IF(F137="",0,IFNA(VLOOKUP(F137,Trait_Polarity!$A:$C,3,FALSE),0))+IF(G137="",0,IFNA(VLOOKUP(G137,Trait_Polarity!$A:$C,3,FALSE),0))</f>
        <v/>
      </c>
      <c r="T137">
        <f>IF(Q137="P",0,IFNA(VLOOKUP(IF(C137="","(none)",C137),Secondary_Versatility!$A:$B,2,FALSE),0))</f>
        <v/>
      </c>
      <c r="U137">
        <f>IF(H137="",0,LEN(H137)-LEN(SUBSTITUTE(H137,"|",""))+1)</f>
        <v/>
      </c>
      <c r="V137">
        <f>IF(Q137="P",(N137+O137+P137)/3,0.3*I137+0.3*J137+0.2*K137+0.1*L137+0.1*M137)</f>
        <v/>
      </c>
      <c r="W137">
        <f>IF(Q137="P",IF(F137="",0,IFNA(VLOOKUP(F137,Pitcher_Trait_Coef!$A:$B,2,FALSE),0))+IF(G137="",0,IFNA(VLOOKUP(G137,Pitcher_Trait_Coef!$A:$B,2,FALSE),0)),IF(F137="",0,IFNA(VLOOKUP(F137,Hitter_Trait_Coef!$A:$B,2,FALSE),0))+IF(G137="",0,IFNA(VLOOKUP(G137,Hitter_Trait_Coef!$A:$B,2,FALSE),0)))</f>
        <v/>
      </c>
      <c r="X137">
        <f>IF(Q137="P",IFNA(VLOOKUP(B137,Pitcher_Primary_Coef!$A:$B,2,FALSE),0),IFNA(VLOOKUP(B137,Hitter_Primary_Coef!$A:$B,2,FALSE),0))</f>
        <v/>
      </c>
      <c r="Y137">
        <f>IF(Q137="P",0,IFNA(VLOOKUP(IF(C137="","(none)",C137),Hitter_Secondary_Coef!$A:$B,2,FALSE),0))</f>
        <v/>
      </c>
      <c r="Z137">
        <f>IF(Q137="P",IF(ISNUMBER(SEARCH("2F",H137)),IFNA(VLOOKUP("2F",Pitch_Coef!$A:$B,2,FALSE),0),0)+IF(ISNUMBER(SEARCH("4F",H137)),IFNA(VLOOKUP("4F",Pitch_Coef!$A:$B,2,FALSE),0),0)+IF(ISNUMBER(SEARCH("CB",H137)),IFNA(VLOOKUP("CB",Pitch_Coef!$A:$B,2,FALSE),0),0)+IF(ISNUMBER(SEARCH("CF",H137)),IFNA(VLOOKUP("CF",Pitch_Coef!$A:$B,2,FALSE),0),0)+IF(ISNUMBER(SEARCH("CH",H137)),IFNA(VLOOKUP("CH",Pitch_Coef!$A:$B,2,FALSE),0),0)+IF(ISNUMBER(SEARCH("FK",H137)),IFNA(VLOOKUP("FK",Pitch_Coef!$A:$B,2,FALSE),0),0)+IF(ISNUMBER(SEARCH("SB",H137)),IFNA(VLOOKUP("SB",Pitch_Coef!$A:$B,2,FALSE),0),0)+IF(ISNUMBER(SEARCH("SL",H137)),IFNA(VLOOKUP("SL",Pitch_Coef!$A:$B,2,FALSE),0),0),0)</f>
        <v/>
      </c>
      <c r="AA137">
        <f>IF(Q137="P",16.5944849573+0.2529999141*N137+0.2665900378*O137+0.2632687105*P137+0.0427586837*I137+0.0534777057*J137+0.009015832*K137+0.0204898106*(O137*P137/100)+1.0091022427*U137+1.0968542297*IF(D137="L",1,0)+0.3771555045*IF(D137="S",1,0)-0.2226159177*IF(E137="L",1,0)+1.21385024*R137-1.1652812274*S137+W137+X137+Z137,10.5965166711+0.2825983581*I137+0.2806503532*J137+0.2027213083*K137+0.1147824982*L137+0.0915305332*M137-0.0088454122*(I137*J137/100)-0.0336045706*(K137*L137/100)+2.8497389733*IF(D137="L",1,0)+4.5116226727*IF(D137="S",1,0)-0.6571546448*IF(E137="L",1,0)+0.0850728147*T137+0.0129488446*(T137*T137)+0.1909373936*IF(OR(F137="Utility",G137="Utility"),T137,0)+0.9656824071*R137-1.7517683256*S137+W137+X137+Y137)</f>
        <v/>
      </c>
      <c r="AB137">
        <f>LOOKUP(AA137,Grade_Scale!$A$2:$A$18,Grade_Scale!$B$2:$B$18)</f>
        <v/>
      </c>
      <c r="AC137">
        <f>LOOKUP(AA137,Grade_Scale!$A$2:$A$18,Grade_Scale!$C$2:$C$18)</f>
        <v/>
      </c>
      <c r="AE137">
        <f>IF(AD137="","",AB137-VLOOKUP(AD137,Grade_Scale!$C$2:$E$18,3,FALSE))</f>
        <v/>
      </c>
    </row>
    <row r="138">
      <c r="Q138">
        <f>IF(OR(B138="SP",B138="RP",B138="CP",B138="SP/RP"),"P","H")</f>
        <v/>
      </c>
      <c r="R138">
        <f>IF(F138="",0,IFNA(VLOOKUP(F138,Trait_Polarity!$A:$C,2,FALSE),0))+IF(G138="",0,IFNA(VLOOKUP(G138,Trait_Polarity!$A:$C,2,FALSE),0))</f>
        <v/>
      </c>
      <c r="S138">
        <f>IF(F138="",0,IFNA(VLOOKUP(F138,Trait_Polarity!$A:$C,3,FALSE),0))+IF(G138="",0,IFNA(VLOOKUP(G138,Trait_Polarity!$A:$C,3,FALSE),0))</f>
        <v/>
      </c>
      <c r="T138">
        <f>IF(Q138="P",0,IFNA(VLOOKUP(IF(C138="","(none)",C138),Secondary_Versatility!$A:$B,2,FALSE),0))</f>
        <v/>
      </c>
      <c r="U138">
        <f>IF(H138="",0,LEN(H138)-LEN(SUBSTITUTE(H138,"|",""))+1)</f>
        <v/>
      </c>
      <c r="V138">
        <f>IF(Q138="P",(N138+O138+P138)/3,0.3*I138+0.3*J138+0.2*K138+0.1*L138+0.1*M138)</f>
        <v/>
      </c>
      <c r="W138">
        <f>IF(Q138="P",IF(F138="",0,IFNA(VLOOKUP(F138,Pitcher_Trait_Coef!$A:$B,2,FALSE),0))+IF(G138="",0,IFNA(VLOOKUP(G138,Pitcher_Trait_Coef!$A:$B,2,FALSE),0)),IF(F138="",0,IFNA(VLOOKUP(F138,Hitter_Trait_Coef!$A:$B,2,FALSE),0))+IF(G138="",0,IFNA(VLOOKUP(G138,Hitter_Trait_Coef!$A:$B,2,FALSE),0)))</f>
        <v/>
      </c>
      <c r="X138">
        <f>IF(Q138="P",IFNA(VLOOKUP(B138,Pitcher_Primary_Coef!$A:$B,2,FALSE),0),IFNA(VLOOKUP(B138,Hitter_Primary_Coef!$A:$B,2,FALSE),0))</f>
        <v/>
      </c>
      <c r="Y138">
        <f>IF(Q138="P",0,IFNA(VLOOKUP(IF(C138="","(none)",C138),Hitter_Secondary_Coef!$A:$B,2,FALSE),0))</f>
        <v/>
      </c>
      <c r="Z138">
        <f>IF(Q138="P",IF(ISNUMBER(SEARCH("2F",H138)),IFNA(VLOOKUP("2F",Pitch_Coef!$A:$B,2,FALSE),0),0)+IF(ISNUMBER(SEARCH("4F",H138)),IFNA(VLOOKUP("4F",Pitch_Coef!$A:$B,2,FALSE),0),0)+IF(ISNUMBER(SEARCH("CB",H138)),IFNA(VLOOKUP("CB",Pitch_Coef!$A:$B,2,FALSE),0),0)+IF(ISNUMBER(SEARCH("CF",H138)),IFNA(VLOOKUP("CF",Pitch_Coef!$A:$B,2,FALSE),0),0)+IF(ISNUMBER(SEARCH("CH",H138)),IFNA(VLOOKUP("CH",Pitch_Coef!$A:$B,2,FALSE),0),0)+IF(ISNUMBER(SEARCH("FK",H138)),IFNA(VLOOKUP("FK",Pitch_Coef!$A:$B,2,FALSE),0),0)+IF(ISNUMBER(SEARCH("SB",H138)),IFNA(VLOOKUP("SB",Pitch_Coef!$A:$B,2,FALSE),0),0)+IF(ISNUMBER(SEARCH("SL",H138)),IFNA(VLOOKUP("SL",Pitch_Coef!$A:$B,2,FALSE),0),0),0)</f>
        <v/>
      </c>
      <c r="AA138">
        <f>IF(Q138="P",16.5944849573+0.2529999141*N138+0.2665900378*O138+0.2632687105*P138+0.0427586837*I138+0.0534777057*J138+0.009015832*K138+0.0204898106*(O138*P138/100)+1.0091022427*U138+1.0968542297*IF(D138="L",1,0)+0.3771555045*IF(D138="S",1,0)-0.2226159177*IF(E138="L",1,0)+1.21385024*R138-1.1652812274*S138+W138+X138+Z138,10.5965166711+0.2825983581*I138+0.2806503532*J138+0.2027213083*K138+0.1147824982*L138+0.0915305332*M138-0.0088454122*(I138*J138/100)-0.0336045706*(K138*L138/100)+2.8497389733*IF(D138="L",1,0)+4.5116226727*IF(D138="S",1,0)-0.6571546448*IF(E138="L",1,0)+0.0850728147*T138+0.0129488446*(T138*T138)+0.1909373936*IF(OR(F138="Utility",G138="Utility"),T138,0)+0.9656824071*R138-1.7517683256*S138+W138+X138+Y138)</f>
        <v/>
      </c>
      <c r="AB138">
        <f>LOOKUP(AA138,Grade_Scale!$A$2:$A$18,Grade_Scale!$B$2:$B$18)</f>
        <v/>
      </c>
      <c r="AC138">
        <f>LOOKUP(AA138,Grade_Scale!$A$2:$A$18,Grade_Scale!$C$2:$C$18)</f>
        <v/>
      </c>
      <c r="AE138">
        <f>IF(AD138="","",AB138-VLOOKUP(AD138,Grade_Scale!$C$2:$E$18,3,FALSE))</f>
        <v/>
      </c>
    </row>
    <row r="139">
      <c r="Q139">
        <f>IF(OR(B139="SP",B139="RP",B139="CP",B139="SP/RP"),"P","H")</f>
        <v/>
      </c>
      <c r="R139">
        <f>IF(F139="",0,IFNA(VLOOKUP(F139,Trait_Polarity!$A:$C,2,FALSE),0))+IF(G139="",0,IFNA(VLOOKUP(G139,Trait_Polarity!$A:$C,2,FALSE),0))</f>
        <v/>
      </c>
      <c r="S139">
        <f>IF(F139="",0,IFNA(VLOOKUP(F139,Trait_Polarity!$A:$C,3,FALSE),0))+IF(G139="",0,IFNA(VLOOKUP(G139,Trait_Polarity!$A:$C,3,FALSE),0))</f>
        <v/>
      </c>
      <c r="T139">
        <f>IF(Q139="P",0,IFNA(VLOOKUP(IF(C139="","(none)",C139),Secondary_Versatility!$A:$B,2,FALSE),0))</f>
        <v/>
      </c>
      <c r="U139">
        <f>IF(H139="",0,LEN(H139)-LEN(SUBSTITUTE(H139,"|",""))+1)</f>
        <v/>
      </c>
      <c r="V139">
        <f>IF(Q139="P",(N139+O139+P139)/3,0.3*I139+0.3*J139+0.2*K139+0.1*L139+0.1*M139)</f>
        <v/>
      </c>
      <c r="W139">
        <f>IF(Q139="P",IF(F139="",0,IFNA(VLOOKUP(F139,Pitcher_Trait_Coef!$A:$B,2,FALSE),0))+IF(G139="",0,IFNA(VLOOKUP(G139,Pitcher_Trait_Coef!$A:$B,2,FALSE),0)),IF(F139="",0,IFNA(VLOOKUP(F139,Hitter_Trait_Coef!$A:$B,2,FALSE),0))+IF(G139="",0,IFNA(VLOOKUP(G139,Hitter_Trait_Coef!$A:$B,2,FALSE),0)))</f>
        <v/>
      </c>
      <c r="X139">
        <f>IF(Q139="P",IFNA(VLOOKUP(B139,Pitcher_Primary_Coef!$A:$B,2,FALSE),0),IFNA(VLOOKUP(B139,Hitter_Primary_Coef!$A:$B,2,FALSE),0))</f>
        <v/>
      </c>
      <c r="Y139">
        <f>IF(Q139="P",0,IFNA(VLOOKUP(IF(C139="","(none)",C139),Hitter_Secondary_Coef!$A:$B,2,FALSE),0))</f>
        <v/>
      </c>
      <c r="Z139">
        <f>IF(Q139="P",IF(ISNUMBER(SEARCH("2F",H139)),IFNA(VLOOKUP("2F",Pitch_Coef!$A:$B,2,FALSE),0),0)+IF(ISNUMBER(SEARCH("4F",H139)),IFNA(VLOOKUP("4F",Pitch_Coef!$A:$B,2,FALSE),0),0)+IF(ISNUMBER(SEARCH("CB",H139)),IFNA(VLOOKUP("CB",Pitch_Coef!$A:$B,2,FALSE),0),0)+IF(ISNUMBER(SEARCH("CF",H139)),IFNA(VLOOKUP("CF",Pitch_Coef!$A:$B,2,FALSE),0),0)+IF(ISNUMBER(SEARCH("CH",H139)),IFNA(VLOOKUP("CH",Pitch_Coef!$A:$B,2,FALSE),0),0)+IF(ISNUMBER(SEARCH("FK",H139)),IFNA(VLOOKUP("FK",Pitch_Coef!$A:$B,2,FALSE),0),0)+IF(ISNUMBER(SEARCH("SB",H139)),IFNA(VLOOKUP("SB",Pitch_Coef!$A:$B,2,FALSE),0),0)+IF(ISNUMBER(SEARCH("SL",H139)),IFNA(VLOOKUP("SL",Pitch_Coef!$A:$B,2,FALSE),0),0),0)</f>
        <v/>
      </c>
      <c r="AA139">
        <f>IF(Q139="P",16.5944849573+0.2529999141*N139+0.2665900378*O139+0.2632687105*P139+0.0427586837*I139+0.0534777057*J139+0.009015832*K139+0.0204898106*(O139*P139/100)+1.0091022427*U139+1.0968542297*IF(D139="L",1,0)+0.3771555045*IF(D139="S",1,0)-0.2226159177*IF(E139="L",1,0)+1.21385024*R139-1.1652812274*S139+W139+X139+Z139,10.5965166711+0.2825983581*I139+0.2806503532*J139+0.2027213083*K139+0.1147824982*L139+0.0915305332*M139-0.0088454122*(I139*J139/100)-0.0336045706*(K139*L139/100)+2.8497389733*IF(D139="L",1,0)+4.5116226727*IF(D139="S",1,0)-0.6571546448*IF(E139="L",1,0)+0.0850728147*T139+0.0129488446*(T139*T139)+0.1909373936*IF(OR(F139="Utility",G139="Utility"),T139,0)+0.9656824071*R139-1.7517683256*S139+W139+X139+Y139)</f>
        <v/>
      </c>
      <c r="AB139">
        <f>LOOKUP(AA139,Grade_Scale!$A$2:$A$18,Grade_Scale!$B$2:$B$18)</f>
        <v/>
      </c>
      <c r="AC139">
        <f>LOOKUP(AA139,Grade_Scale!$A$2:$A$18,Grade_Scale!$C$2:$C$18)</f>
        <v/>
      </c>
      <c r="AE139">
        <f>IF(AD139="","",AB139-VLOOKUP(AD139,Grade_Scale!$C$2:$E$18,3,FALSE))</f>
        <v/>
      </c>
    </row>
    <row r="140">
      <c r="Q140">
        <f>IF(OR(B140="SP",B140="RP",B140="CP",B140="SP/RP"),"P","H")</f>
        <v/>
      </c>
      <c r="R140">
        <f>IF(F140="",0,IFNA(VLOOKUP(F140,Trait_Polarity!$A:$C,2,FALSE),0))+IF(G140="",0,IFNA(VLOOKUP(G140,Trait_Polarity!$A:$C,2,FALSE),0))</f>
        <v/>
      </c>
      <c r="S140">
        <f>IF(F140="",0,IFNA(VLOOKUP(F140,Trait_Polarity!$A:$C,3,FALSE),0))+IF(G140="",0,IFNA(VLOOKUP(G140,Trait_Polarity!$A:$C,3,FALSE),0))</f>
        <v/>
      </c>
      <c r="T140">
        <f>IF(Q140="P",0,IFNA(VLOOKUP(IF(C140="","(none)",C140),Secondary_Versatility!$A:$B,2,FALSE),0))</f>
        <v/>
      </c>
      <c r="U140">
        <f>IF(H140="",0,LEN(H140)-LEN(SUBSTITUTE(H140,"|",""))+1)</f>
        <v/>
      </c>
      <c r="V140">
        <f>IF(Q140="P",(N140+O140+P140)/3,0.3*I140+0.3*J140+0.2*K140+0.1*L140+0.1*M140)</f>
        <v/>
      </c>
      <c r="W140">
        <f>IF(Q140="P",IF(F140="",0,IFNA(VLOOKUP(F140,Pitcher_Trait_Coef!$A:$B,2,FALSE),0))+IF(G140="",0,IFNA(VLOOKUP(G140,Pitcher_Trait_Coef!$A:$B,2,FALSE),0)),IF(F140="",0,IFNA(VLOOKUP(F140,Hitter_Trait_Coef!$A:$B,2,FALSE),0))+IF(G140="",0,IFNA(VLOOKUP(G140,Hitter_Trait_Coef!$A:$B,2,FALSE),0)))</f>
        <v/>
      </c>
      <c r="X140">
        <f>IF(Q140="P",IFNA(VLOOKUP(B140,Pitcher_Primary_Coef!$A:$B,2,FALSE),0),IFNA(VLOOKUP(B140,Hitter_Primary_Coef!$A:$B,2,FALSE),0))</f>
        <v/>
      </c>
      <c r="Y140">
        <f>IF(Q140="P",0,IFNA(VLOOKUP(IF(C140="","(none)",C140),Hitter_Secondary_Coef!$A:$B,2,FALSE),0))</f>
        <v/>
      </c>
      <c r="Z140">
        <f>IF(Q140="P",IF(ISNUMBER(SEARCH("2F",H140)),IFNA(VLOOKUP("2F",Pitch_Coef!$A:$B,2,FALSE),0),0)+IF(ISNUMBER(SEARCH("4F",H140)),IFNA(VLOOKUP("4F",Pitch_Coef!$A:$B,2,FALSE),0),0)+IF(ISNUMBER(SEARCH("CB",H140)),IFNA(VLOOKUP("CB",Pitch_Coef!$A:$B,2,FALSE),0),0)+IF(ISNUMBER(SEARCH("CF",H140)),IFNA(VLOOKUP("CF",Pitch_Coef!$A:$B,2,FALSE),0),0)+IF(ISNUMBER(SEARCH("CH",H140)),IFNA(VLOOKUP("CH",Pitch_Coef!$A:$B,2,FALSE),0),0)+IF(ISNUMBER(SEARCH("FK",H140)),IFNA(VLOOKUP("FK",Pitch_Coef!$A:$B,2,FALSE),0),0)+IF(ISNUMBER(SEARCH("SB",H140)),IFNA(VLOOKUP("SB",Pitch_Coef!$A:$B,2,FALSE),0),0)+IF(ISNUMBER(SEARCH("SL",H140)),IFNA(VLOOKUP("SL",Pitch_Coef!$A:$B,2,FALSE),0),0),0)</f>
        <v/>
      </c>
      <c r="AA140">
        <f>IF(Q140="P",16.5944849573+0.2529999141*N140+0.2665900378*O140+0.2632687105*P140+0.0427586837*I140+0.0534777057*J140+0.009015832*K140+0.0204898106*(O140*P140/100)+1.0091022427*U140+1.0968542297*IF(D140="L",1,0)+0.3771555045*IF(D140="S",1,0)-0.2226159177*IF(E140="L",1,0)+1.21385024*R140-1.1652812274*S140+W140+X140+Z140,10.5965166711+0.2825983581*I140+0.2806503532*J140+0.2027213083*K140+0.1147824982*L140+0.0915305332*M140-0.0088454122*(I140*J140/100)-0.0336045706*(K140*L140/100)+2.8497389733*IF(D140="L",1,0)+4.5116226727*IF(D140="S",1,0)-0.6571546448*IF(E140="L",1,0)+0.0850728147*T140+0.0129488446*(T140*T140)+0.1909373936*IF(OR(F140="Utility",G140="Utility"),T140,0)+0.9656824071*R140-1.7517683256*S140+W140+X140+Y140)</f>
        <v/>
      </c>
      <c r="AB140">
        <f>LOOKUP(AA140,Grade_Scale!$A$2:$A$18,Grade_Scale!$B$2:$B$18)</f>
        <v/>
      </c>
      <c r="AC140">
        <f>LOOKUP(AA140,Grade_Scale!$A$2:$A$18,Grade_Scale!$C$2:$C$18)</f>
        <v/>
      </c>
      <c r="AE140">
        <f>IF(AD140="","",AB140-VLOOKUP(AD140,Grade_Scale!$C$2:$E$18,3,FALSE))</f>
        <v/>
      </c>
    </row>
    <row r="141">
      <c r="Q141">
        <f>IF(OR(B141="SP",B141="RP",B141="CP",B141="SP/RP"),"P","H")</f>
        <v/>
      </c>
      <c r="R141">
        <f>IF(F141="",0,IFNA(VLOOKUP(F141,Trait_Polarity!$A:$C,2,FALSE),0))+IF(G141="",0,IFNA(VLOOKUP(G141,Trait_Polarity!$A:$C,2,FALSE),0))</f>
        <v/>
      </c>
      <c r="S141">
        <f>IF(F141="",0,IFNA(VLOOKUP(F141,Trait_Polarity!$A:$C,3,FALSE),0))+IF(G141="",0,IFNA(VLOOKUP(G141,Trait_Polarity!$A:$C,3,FALSE),0))</f>
        <v/>
      </c>
      <c r="T141">
        <f>IF(Q141="P",0,IFNA(VLOOKUP(IF(C141="","(none)",C141),Secondary_Versatility!$A:$B,2,FALSE),0))</f>
        <v/>
      </c>
      <c r="U141">
        <f>IF(H141="",0,LEN(H141)-LEN(SUBSTITUTE(H141,"|",""))+1)</f>
        <v/>
      </c>
      <c r="V141">
        <f>IF(Q141="P",(N141+O141+P141)/3,0.3*I141+0.3*J141+0.2*K141+0.1*L141+0.1*M141)</f>
        <v/>
      </c>
      <c r="W141">
        <f>IF(Q141="P",IF(F141="",0,IFNA(VLOOKUP(F141,Pitcher_Trait_Coef!$A:$B,2,FALSE),0))+IF(G141="",0,IFNA(VLOOKUP(G141,Pitcher_Trait_Coef!$A:$B,2,FALSE),0)),IF(F141="",0,IFNA(VLOOKUP(F141,Hitter_Trait_Coef!$A:$B,2,FALSE),0))+IF(G141="",0,IFNA(VLOOKUP(G141,Hitter_Trait_Coef!$A:$B,2,FALSE),0)))</f>
        <v/>
      </c>
      <c r="X141">
        <f>IF(Q141="P",IFNA(VLOOKUP(B141,Pitcher_Primary_Coef!$A:$B,2,FALSE),0),IFNA(VLOOKUP(B141,Hitter_Primary_Coef!$A:$B,2,FALSE),0))</f>
        <v/>
      </c>
      <c r="Y141">
        <f>IF(Q141="P",0,IFNA(VLOOKUP(IF(C141="","(none)",C141),Hitter_Secondary_Coef!$A:$B,2,FALSE),0))</f>
        <v/>
      </c>
      <c r="Z141">
        <f>IF(Q141="P",IF(ISNUMBER(SEARCH("2F",H141)),IFNA(VLOOKUP("2F",Pitch_Coef!$A:$B,2,FALSE),0),0)+IF(ISNUMBER(SEARCH("4F",H141)),IFNA(VLOOKUP("4F",Pitch_Coef!$A:$B,2,FALSE),0),0)+IF(ISNUMBER(SEARCH("CB",H141)),IFNA(VLOOKUP("CB",Pitch_Coef!$A:$B,2,FALSE),0),0)+IF(ISNUMBER(SEARCH("CF",H141)),IFNA(VLOOKUP("CF",Pitch_Coef!$A:$B,2,FALSE),0),0)+IF(ISNUMBER(SEARCH("CH",H141)),IFNA(VLOOKUP("CH",Pitch_Coef!$A:$B,2,FALSE),0),0)+IF(ISNUMBER(SEARCH("FK",H141)),IFNA(VLOOKUP("FK",Pitch_Coef!$A:$B,2,FALSE),0),0)+IF(ISNUMBER(SEARCH("SB",H141)),IFNA(VLOOKUP("SB",Pitch_Coef!$A:$B,2,FALSE),0),0)+IF(ISNUMBER(SEARCH("SL",H141)),IFNA(VLOOKUP("SL",Pitch_Coef!$A:$B,2,FALSE),0),0),0)</f>
        <v/>
      </c>
      <c r="AA141">
        <f>IF(Q141="P",16.5944849573+0.2529999141*N141+0.2665900378*O141+0.2632687105*P141+0.0427586837*I141+0.0534777057*J141+0.009015832*K141+0.0204898106*(O141*P141/100)+1.0091022427*U141+1.0968542297*IF(D141="L",1,0)+0.3771555045*IF(D141="S",1,0)-0.2226159177*IF(E141="L",1,0)+1.21385024*R141-1.1652812274*S141+W141+X141+Z141,10.5965166711+0.2825983581*I141+0.2806503532*J141+0.2027213083*K141+0.1147824982*L141+0.0915305332*M141-0.0088454122*(I141*J141/100)-0.0336045706*(K141*L141/100)+2.8497389733*IF(D141="L",1,0)+4.5116226727*IF(D141="S",1,0)-0.6571546448*IF(E141="L",1,0)+0.0850728147*T141+0.0129488446*(T141*T141)+0.1909373936*IF(OR(F141="Utility",G141="Utility"),T141,0)+0.9656824071*R141-1.7517683256*S141+W141+X141+Y141)</f>
        <v/>
      </c>
      <c r="AB141">
        <f>LOOKUP(AA141,Grade_Scale!$A$2:$A$18,Grade_Scale!$B$2:$B$18)</f>
        <v/>
      </c>
      <c r="AC141">
        <f>LOOKUP(AA141,Grade_Scale!$A$2:$A$18,Grade_Scale!$C$2:$C$18)</f>
        <v/>
      </c>
      <c r="AE141">
        <f>IF(AD141="","",AB141-VLOOKUP(AD141,Grade_Scale!$C$2:$E$18,3,FALSE))</f>
        <v/>
      </c>
    </row>
    <row r="142">
      <c r="Q142">
        <f>IF(OR(B142="SP",B142="RP",B142="CP",B142="SP/RP"),"P","H")</f>
        <v/>
      </c>
      <c r="R142">
        <f>IF(F142="",0,IFNA(VLOOKUP(F142,Trait_Polarity!$A:$C,2,FALSE),0))+IF(G142="",0,IFNA(VLOOKUP(G142,Trait_Polarity!$A:$C,2,FALSE),0))</f>
        <v/>
      </c>
      <c r="S142">
        <f>IF(F142="",0,IFNA(VLOOKUP(F142,Trait_Polarity!$A:$C,3,FALSE),0))+IF(G142="",0,IFNA(VLOOKUP(G142,Trait_Polarity!$A:$C,3,FALSE),0))</f>
        <v/>
      </c>
      <c r="T142">
        <f>IF(Q142="P",0,IFNA(VLOOKUP(IF(C142="","(none)",C142),Secondary_Versatility!$A:$B,2,FALSE),0))</f>
        <v/>
      </c>
      <c r="U142">
        <f>IF(H142="",0,LEN(H142)-LEN(SUBSTITUTE(H142,"|",""))+1)</f>
        <v/>
      </c>
      <c r="V142">
        <f>IF(Q142="P",(N142+O142+P142)/3,0.3*I142+0.3*J142+0.2*K142+0.1*L142+0.1*M142)</f>
        <v/>
      </c>
      <c r="W142">
        <f>IF(Q142="P",IF(F142="",0,IFNA(VLOOKUP(F142,Pitcher_Trait_Coef!$A:$B,2,FALSE),0))+IF(G142="",0,IFNA(VLOOKUP(G142,Pitcher_Trait_Coef!$A:$B,2,FALSE),0)),IF(F142="",0,IFNA(VLOOKUP(F142,Hitter_Trait_Coef!$A:$B,2,FALSE),0))+IF(G142="",0,IFNA(VLOOKUP(G142,Hitter_Trait_Coef!$A:$B,2,FALSE),0)))</f>
        <v/>
      </c>
      <c r="X142">
        <f>IF(Q142="P",IFNA(VLOOKUP(B142,Pitcher_Primary_Coef!$A:$B,2,FALSE),0),IFNA(VLOOKUP(B142,Hitter_Primary_Coef!$A:$B,2,FALSE),0))</f>
        <v/>
      </c>
      <c r="Y142">
        <f>IF(Q142="P",0,IFNA(VLOOKUP(IF(C142="","(none)",C142),Hitter_Secondary_Coef!$A:$B,2,FALSE),0))</f>
        <v/>
      </c>
      <c r="Z142">
        <f>IF(Q142="P",IF(ISNUMBER(SEARCH("2F",H142)),IFNA(VLOOKUP("2F",Pitch_Coef!$A:$B,2,FALSE),0),0)+IF(ISNUMBER(SEARCH("4F",H142)),IFNA(VLOOKUP("4F",Pitch_Coef!$A:$B,2,FALSE),0),0)+IF(ISNUMBER(SEARCH("CB",H142)),IFNA(VLOOKUP("CB",Pitch_Coef!$A:$B,2,FALSE),0),0)+IF(ISNUMBER(SEARCH("CF",H142)),IFNA(VLOOKUP("CF",Pitch_Coef!$A:$B,2,FALSE),0),0)+IF(ISNUMBER(SEARCH("CH",H142)),IFNA(VLOOKUP("CH",Pitch_Coef!$A:$B,2,FALSE),0),0)+IF(ISNUMBER(SEARCH("FK",H142)),IFNA(VLOOKUP("FK",Pitch_Coef!$A:$B,2,FALSE),0),0)+IF(ISNUMBER(SEARCH("SB",H142)),IFNA(VLOOKUP("SB",Pitch_Coef!$A:$B,2,FALSE),0),0)+IF(ISNUMBER(SEARCH("SL",H142)),IFNA(VLOOKUP("SL",Pitch_Coef!$A:$B,2,FALSE),0),0),0)</f>
        <v/>
      </c>
      <c r="AA142">
        <f>IF(Q142="P",16.5944849573+0.2529999141*N142+0.2665900378*O142+0.2632687105*P142+0.0427586837*I142+0.0534777057*J142+0.009015832*K142+0.0204898106*(O142*P142/100)+1.0091022427*U142+1.0968542297*IF(D142="L",1,0)+0.3771555045*IF(D142="S",1,0)-0.2226159177*IF(E142="L",1,0)+1.21385024*R142-1.1652812274*S142+W142+X142+Z142,10.5965166711+0.2825983581*I142+0.2806503532*J142+0.2027213083*K142+0.1147824982*L142+0.0915305332*M142-0.0088454122*(I142*J142/100)-0.0336045706*(K142*L142/100)+2.8497389733*IF(D142="L",1,0)+4.5116226727*IF(D142="S",1,0)-0.6571546448*IF(E142="L",1,0)+0.0850728147*T142+0.0129488446*(T142*T142)+0.1909373936*IF(OR(F142="Utility",G142="Utility"),T142,0)+0.9656824071*R142-1.7517683256*S142+W142+X142+Y142)</f>
        <v/>
      </c>
      <c r="AB142">
        <f>LOOKUP(AA142,Grade_Scale!$A$2:$A$18,Grade_Scale!$B$2:$B$18)</f>
        <v/>
      </c>
      <c r="AC142">
        <f>LOOKUP(AA142,Grade_Scale!$A$2:$A$18,Grade_Scale!$C$2:$C$18)</f>
        <v/>
      </c>
      <c r="AE142">
        <f>IF(AD142="","",AB142-VLOOKUP(AD142,Grade_Scale!$C$2:$E$18,3,FALSE))</f>
        <v/>
      </c>
    </row>
    <row r="143">
      <c r="Q143">
        <f>IF(OR(B143="SP",B143="RP",B143="CP",B143="SP/RP"),"P","H")</f>
        <v/>
      </c>
      <c r="R143">
        <f>IF(F143="",0,IFNA(VLOOKUP(F143,Trait_Polarity!$A:$C,2,FALSE),0))+IF(G143="",0,IFNA(VLOOKUP(G143,Trait_Polarity!$A:$C,2,FALSE),0))</f>
        <v/>
      </c>
      <c r="S143">
        <f>IF(F143="",0,IFNA(VLOOKUP(F143,Trait_Polarity!$A:$C,3,FALSE),0))+IF(G143="",0,IFNA(VLOOKUP(G143,Trait_Polarity!$A:$C,3,FALSE),0))</f>
        <v/>
      </c>
      <c r="T143">
        <f>IF(Q143="P",0,IFNA(VLOOKUP(IF(C143="","(none)",C143),Secondary_Versatility!$A:$B,2,FALSE),0))</f>
        <v/>
      </c>
      <c r="U143">
        <f>IF(H143="",0,LEN(H143)-LEN(SUBSTITUTE(H143,"|",""))+1)</f>
        <v/>
      </c>
      <c r="V143">
        <f>IF(Q143="P",(N143+O143+P143)/3,0.3*I143+0.3*J143+0.2*K143+0.1*L143+0.1*M143)</f>
        <v/>
      </c>
      <c r="W143">
        <f>IF(Q143="P",IF(F143="",0,IFNA(VLOOKUP(F143,Pitcher_Trait_Coef!$A:$B,2,FALSE),0))+IF(G143="",0,IFNA(VLOOKUP(G143,Pitcher_Trait_Coef!$A:$B,2,FALSE),0)),IF(F143="",0,IFNA(VLOOKUP(F143,Hitter_Trait_Coef!$A:$B,2,FALSE),0))+IF(G143="",0,IFNA(VLOOKUP(G143,Hitter_Trait_Coef!$A:$B,2,FALSE),0)))</f>
        <v/>
      </c>
      <c r="X143">
        <f>IF(Q143="P",IFNA(VLOOKUP(B143,Pitcher_Primary_Coef!$A:$B,2,FALSE),0),IFNA(VLOOKUP(B143,Hitter_Primary_Coef!$A:$B,2,FALSE),0))</f>
        <v/>
      </c>
      <c r="Y143">
        <f>IF(Q143="P",0,IFNA(VLOOKUP(IF(C143="","(none)",C143),Hitter_Secondary_Coef!$A:$B,2,FALSE),0))</f>
        <v/>
      </c>
      <c r="Z143">
        <f>IF(Q143="P",IF(ISNUMBER(SEARCH("2F",H143)),IFNA(VLOOKUP("2F",Pitch_Coef!$A:$B,2,FALSE),0),0)+IF(ISNUMBER(SEARCH("4F",H143)),IFNA(VLOOKUP("4F",Pitch_Coef!$A:$B,2,FALSE),0),0)+IF(ISNUMBER(SEARCH("CB",H143)),IFNA(VLOOKUP("CB",Pitch_Coef!$A:$B,2,FALSE),0),0)+IF(ISNUMBER(SEARCH("CF",H143)),IFNA(VLOOKUP("CF",Pitch_Coef!$A:$B,2,FALSE),0),0)+IF(ISNUMBER(SEARCH("CH",H143)),IFNA(VLOOKUP("CH",Pitch_Coef!$A:$B,2,FALSE),0),0)+IF(ISNUMBER(SEARCH("FK",H143)),IFNA(VLOOKUP("FK",Pitch_Coef!$A:$B,2,FALSE),0),0)+IF(ISNUMBER(SEARCH("SB",H143)),IFNA(VLOOKUP("SB",Pitch_Coef!$A:$B,2,FALSE),0),0)+IF(ISNUMBER(SEARCH("SL",H143)),IFNA(VLOOKUP("SL",Pitch_Coef!$A:$B,2,FALSE),0),0),0)</f>
        <v/>
      </c>
      <c r="AA143">
        <f>IF(Q143="P",16.5944849573+0.2529999141*N143+0.2665900378*O143+0.2632687105*P143+0.0427586837*I143+0.0534777057*J143+0.009015832*K143+0.0204898106*(O143*P143/100)+1.0091022427*U143+1.0968542297*IF(D143="L",1,0)+0.3771555045*IF(D143="S",1,0)-0.2226159177*IF(E143="L",1,0)+1.21385024*R143-1.1652812274*S143+W143+X143+Z143,10.5965166711+0.2825983581*I143+0.2806503532*J143+0.2027213083*K143+0.1147824982*L143+0.0915305332*M143-0.0088454122*(I143*J143/100)-0.0336045706*(K143*L143/100)+2.8497389733*IF(D143="L",1,0)+4.5116226727*IF(D143="S",1,0)-0.6571546448*IF(E143="L",1,0)+0.0850728147*T143+0.0129488446*(T143*T143)+0.1909373936*IF(OR(F143="Utility",G143="Utility"),T143,0)+0.9656824071*R143-1.7517683256*S143+W143+X143+Y143)</f>
        <v/>
      </c>
      <c r="AB143">
        <f>LOOKUP(AA143,Grade_Scale!$A$2:$A$18,Grade_Scale!$B$2:$B$18)</f>
        <v/>
      </c>
      <c r="AC143">
        <f>LOOKUP(AA143,Grade_Scale!$A$2:$A$18,Grade_Scale!$C$2:$C$18)</f>
        <v/>
      </c>
      <c r="AE143">
        <f>IF(AD143="","",AB143-VLOOKUP(AD143,Grade_Scale!$C$2:$E$18,3,FALSE))</f>
        <v/>
      </c>
    </row>
    <row r="144">
      <c r="Q144">
        <f>IF(OR(B144="SP",B144="RP",B144="CP",B144="SP/RP"),"P","H")</f>
        <v/>
      </c>
      <c r="R144">
        <f>IF(F144="",0,IFNA(VLOOKUP(F144,Trait_Polarity!$A:$C,2,FALSE),0))+IF(G144="",0,IFNA(VLOOKUP(G144,Trait_Polarity!$A:$C,2,FALSE),0))</f>
        <v/>
      </c>
      <c r="S144">
        <f>IF(F144="",0,IFNA(VLOOKUP(F144,Trait_Polarity!$A:$C,3,FALSE),0))+IF(G144="",0,IFNA(VLOOKUP(G144,Trait_Polarity!$A:$C,3,FALSE),0))</f>
        <v/>
      </c>
      <c r="T144">
        <f>IF(Q144="P",0,IFNA(VLOOKUP(IF(C144="","(none)",C144),Secondary_Versatility!$A:$B,2,FALSE),0))</f>
        <v/>
      </c>
      <c r="U144">
        <f>IF(H144="",0,LEN(H144)-LEN(SUBSTITUTE(H144,"|",""))+1)</f>
        <v/>
      </c>
      <c r="V144">
        <f>IF(Q144="P",(N144+O144+P144)/3,0.3*I144+0.3*J144+0.2*K144+0.1*L144+0.1*M144)</f>
        <v/>
      </c>
      <c r="W144">
        <f>IF(Q144="P",IF(F144="",0,IFNA(VLOOKUP(F144,Pitcher_Trait_Coef!$A:$B,2,FALSE),0))+IF(G144="",0,IFNA(VLOOKUP(G144,Pitcher_Trait_Coef!$A:$B,2,FALSE),0)),IF(F144="",0,IFNA(VLOOKUP(F144,Hitter_Trait_Coef!$A:$B,2,FALSE),0))+IF(G144="",0,IFNA(VLOOKUP(G144,Hitter_Trait_Coef!$A:$B,2,FALSE),0)))</f>
        <v/>
      </c>
      <c r="X144">
        <f>IF(Q144="P",IFNA(VLOOKUP(B144,Pitcher_Primary_Coef!$A:$B,2,FALSE),0),IFNA(VLOOKUP(B144,Hitter_Primary_Coef!$A:$B,2,FALSE),0))</f>
        <v/>
      </c>
      <c r="Y144">
        <f>IF(Q144="P",0,IFNA(VLOOKUP(IF(C144="","(none)",C144),Hitter_Secondary_Coef!$A:$B,2,FALSE),0))</f>
        <v/>
      </c>
      <c r="Z144">
        <f>IF(Q144="P",IF(ISNUMBER(SEARCH("2F",H144)),IFNA(VLOOKUP("2F",Pitch_Coef!$A:$B,2,FALSE),0),0)+IF(ISNUMBER(SEARCH("4F",H144)),IFNA(VLOOKUP("4F",Pitch_Coef!$A:$B,2,FALSE),0),0)+IF(ISNUMBER(SEARCH("CB",H144)),IFNA(VLOOKUP("CB",Pitch_Coef!$A:$B,2,FALSE),0),0)+IF(ISNUMBER(SEARCH("CF",H144)),IFNA(VLOOKUP("CF",Pitch_Coef!$A:$B,2,FALSE),0),0)+IF(ISNUMBER(SEARCH("CH",H144)),IFNA(VLOOKUP("CH",Pitch_Coef!$A:$B,2,FALSE),0),0)+IF(ISNUMBER(SEARCH("FK",H144)),IFNA(VLOOKUP("FK",Pitch_Coef!$A:$B,2,FALSE),0),0)+IF(ISNUMBER(SEARCH("SB",H144)),IFNA(VLOOKUP("SB",Pitch_Coef!$A:$B,2,FALSE),0),0)+IF(ISNUMBER(SEARCH("SL",H144)),IFNA(VLOOKUP("SL",Pitch_Coef!$A:$B,2,FALSE),0),0),0)</f>
        <v/>
      </c>
      <c r="AA144">
        <f>IF(Q144="P",16.5944849573+0.2529999141*N144+0.2665900378*O144+0.2632687105*P144+0.0427586837*I144+0.0534777057*J144+0.009015832*K144+0.0204898106*(O144*P144/100)+1.0091022427*U144+1.0968542297*IF(D144="L",1,0)+0.3771555045*IF(D144="S",1,0)-0.2226159177*IF(E144="L",1,0)+1.21385024*R144-1.1652812274*S144+W144+X144+Z144,10.5965166711+0.2825983581*I144+0.2806503532*J144+0.2027213083*K144+0.1147824982*L144+0.0915305332*M144-0.0088454122*(I144*J144/100)-0.0336045706*(K144*L144/100)+2.8497389733*IF(D144="L",1,0)+4.5116226727*IF(D144="S",1,0)-0.6571546448*IF(E144="L",1,0)+0.0850728147*T144+0.0129488446*(T144*T144)+0.1909373936*IF(OR(F144="Utility",G144="Utility"),T144,0)+0.9656824071*R144-1.7517683256*S144+W144+X144+Y144)</f>
        <v/>
      </c>
      <c r="AB144">
        <f>LOOKUP(AA144,Grade_Scale!$A$2:$A$18,Grade_Scale!$B$2:$B$18)</f>
        <v/>
      </c>
      <c r="AC144">
        <f>LOOKUP(AA144,Grade_Scale!$A$2:$A$18,Grade_Scale!$C$2:$C$18)</f>
        <v/>
      </c>
      <c r="AE144">
        <f>IF(AD144="","",AB144-VLOOKUP(AD144,Grade_Scale!$C$2:$E$18,3,FALSE))</f>
        <v/>
      </c>
    </row>
    <row r="145">
      <c r="Q145">
        <f>IF(OR(B145="SP",B145="RP",B145="CP",B145="SP/RP"),"P","H")</f>
        <v/>
      </c>
      <c r="R145">
        <f>IF(F145="",0,IFNA(VLOOKUP(F145,Trait_Polarity!$A:$C,2,FALSE),0))+IF(G145="",0,IFNA(VLOOKUP(G145,Trait_Polarity!$A:$C,2,FALSE),0))</f>
        <v/>
      </c>
      <c r="S145">
        <f>IF(F145="",0,IFNA(VLOOKUP(F145,Trait_Polarity!$A:$C,3,FALSE),0))+IF(G145="",0,IFNA(VLOOKUP(G145,Trait_Polarity!$A:$C,3,FALSE),0))</f>
        <v/>
      </c>
      <c r="T145">
        <f>IF(Q145="P",0,IFNA(VLOOKUP(IF(C145="","(none)",C145),Secondary_Versatility!$A:$B,2,FALSE),0))</f>
        <v/>
      </c>
      <c r="U145">
        <f>IF(H145="",0,LEN(H145)-LEN(SUBSTITUTE(H145,"|",""))+1)</f>
        <v/>
      </c>
      <c r="V145">
        <f>IF(Q145="P",(N145+O145+P145)/3,0.3*I145+0.3*J145+0.2*K145+0.1*L145+0.1*M145)</f>
        <v/>
      </c>
      <c r="W145">
        <f>IF(Q145="P",IF(F145="",0,IFNA(VLOOKUP(F145,Pitcher_Trait_Coef!$A:$B,2,FALSE),0))+IF(G145="",0,IFNA(VLOOKUP(G145,Pitcher_Trait_Coef!$A:$B,2,FALSE),0)),IF(F145="",0,IFNA(VLOOKUP(F145,Hitter_Trait_Coef!$A:$B,2,FALSE),0))+IF(G145="",0,IFNA(VLOOKUP(G145,Hitter_Trait_Coef!$A:$B,2,FALSE),0)))</f>
        <v/>
      </c>
      <c r="X145">
        <f>IF(Q145="P",IFNA(VLOOKUP(B145,Pitcher_Primary_Coef!$A:$B,2,FALSE),0),IFNA(VLOOKUP(B145,Hitter_Primary_Coef!$A:$B,2,FALSE),0))</f>
        <v/>
      </c>
      <c r="Y145">
        <f>IF(Q145="P",0,IFNA(VLOOKUP(IF(C145="","(none)",C145),Hitter_Secondary_Coef!$A:$B,2,FALSE),0))</f>
        <v/>
      </c>
      <c r="Z145">
        <f>IF(Q145="P",IF(ISNUMBER(SEARCH("2F",H145)),IFNA(VLOOKUP("2F",Pitch_Coef!$A:$B,2,FALSE),0),0)+IF(ISNUMBER(SEARCH("4F",H145)),IFNA(VLOOKUP("4F",Pitch_Coef!$A:$B,2,FALSE),0),0)+IF(ISNUMBER(SEARCH("CB",H145)),IFNA(VLOOKUP("CB",Pitch_Coef!$A:$B,2,FALSE),0),0)+IF(ISNUMBER(SEARCH("CF",H145)),IFNA(VLOOKUP("CF",Pitch_Coef!$A:$B,2,FALSE),0),0)+IF(ISNUMBER(SEARCH("CH",H145)),IFNA(VLOOKUP("CH",Pitch_Coef!$A:$B,2,FALSE),0),0)+IF(ISNUMBER(SEARCH("FK",H145)),IFNA(VLOOKUP("FK",Pitch_Coef!$A:$B,2,FALSE),0),0)+IF(ISNUMBER(SEARCH("SB",H145)),IFNA(VLOOKUP("SB",Pitch_Coef!$A:$B,2,FALSE),0),0)+IF(ISNUMBER(SEARCH("SL",H145)),IFNA(VLOOKUP("SL",Pitch_Coef!$A:$B,2,FALSE),0),0),0)</f>
        <v/>
      </c>
      <c r="AA145">
        <f>IF(Q145="P",16.5944849573+0.2529999141*N145+0.2665900378*O145+0.2632687105*P145+0.0427586837*I145+0.0534777057*J145+0.009015832*K145+0.0204898106*(O145*P145/100)+1.0091022427*U145+1.0968542297*IF(D145="L",1,0)+0.3771555045*IF(D145="S",1,0)-0.2226159177*IF(E145="L",1,0)+1.21385024*R145-1.1652812274*S145+W145+X145+Z145,10.5965166711+0.2825983581*I145+0.2806503532*J145+0.2027213083*K145+0.1147824982*L145+0.0915305332*M145-0.0088454122*(I145*J145/100)-0.0336045706*(K145*L145/100)+2.8497389733*IF(D145="L",1,0)+4.5116226727*IF(D145="S",1,0)-0.6571546448*IF(E145="L",1,0)+0.0850728147*T145+0.0129488446*(T145*T145)+0.1909373936*IF(OR(F145="Utility",G145="Utility"),T145,0)+0.9656824071*R145-1.7517683256*S145+W145+X145+Y145)</f>
        <v/>
      </c>
      <c r="AB145">
        <f>LOOKUP(AA145,Grade_Scale!$A$2:$A$18,Grade_Scale!$B$2:$B$18)</f>
        <v/>
      </c>
      <c r="AC145">
        <f>LOOKUP(AA145,Grade_Scale!$A$2:$A$18,Grade_Scale!$C$2:$C$18)</f>
        <v/>
      </c>
      <c r="AE145">
        <f>IF(AD145="","",AB145-VLOOKUP(AD145,Grade_Scale!$C$2:$E$18,3,FALSE))</f>
        <v/>
      </c>
    </row>
    <row r="146">
      <c r="Q146">
        <f>IF(OR(B146="SP",B146="RP",B146="CP",B146="SP/RP"),"P","H")</f>
        <v/>
      </c>
      <c r="R146">
        <f>IF(F146="",0,IFNA(VLOOKUP(F146,Trait_Polarity!$A:$C,2,FALSE),0))+IF(G146="",0,IFNA(VLOOKUP(G146,Trait_Polarity!$A:$C,2,FALSE),0))</f>
        <v/>
      </c>
      <c r="S146">
        <f>IF(F146="",0,IFNA(VLOOKUP(F146,Trait_Polarity!$A:$C,3,FALSE),0))+IF(G146="",0,IFNA(VLOOKUP(G146,Trait_Polarity!$A:$C,3,FALSE),0))</f>
        <v/>
      </c>
      <c r="T146">
        <f>IF(Q146="P",0,IFNA(VLOOKUP(IF(C146="","(none)",C146),Secondary_Versatility!$A:$B,2,FALSE),0))</f>
        <v/>
      </c>
      <c r="U146">
        <f>IF(H146="",0,LEN(H146)-LEN(SUBSTITUTE(H146,"|",""))+1)</f>
        <v/>
      </c>
      <c r="V146">
        <f>IF(Q146="P",(N146+O146+P146)/3,0.3*I146+0.3*J146+0.2*K146+0.1*L146+0.1*M146)</f>
        <v/>
      </c>
      <c r="W146">
        <f>IF(Q146="P",IF(F146="",0,IFNA(VLOOKUP(F146,Pitcher_Trait_Coef!$A:$B,2,FALSE),0))+IF(G146="",0,IFNA(VLOOKUP(G146,Pitcher_Trait_Coef!$A:$B,2,FALSE),0)),IF(F146="",0,IFNA(VLOOKUP(F146,Hitter_Trait_Coef!$A:$B,2,FALSE),0))+IF(G146="",0,IFNA(VLOOKUP(G146,Hitter_Trait_Coef!$A:$B,2,FALSE),0)))</f>
        <v/>
      </c>
      <c r="X146">
        <f>IF(Q146="P",IFNA(VLOOKUP(B146,Pitcher_Primary_Coef!$A:$B,2,FALSE),0),IFNA(VLOOKUP(B146,Hitter_Primary_Coef!$A:$B,2,FALSE),0))</f>
        <v/>
      </c>
      <c r="Y146">
        <f>IF(Q146="P",0,IFNA(VLOOKUP(IF(C146="","(none)",C146),Hitter_Secondary_Coef!$A:$B,2,FALSE),0))</f>
        <v/>
      </c>
      <c r="Z146">
        <f>IF(Q146="P",IF(ISNUMBER(SEARCH("2F",H146)),IFNA(VLOOKUP("2F",Pitch_Coef!$A:$B,2,FALSE),0),0)+IF(ISNUMBER(SEARCH("4F",H146)),IFNA(VLOOKUP("4F",Pitch_Coef!$A:$B,2,FALSE),0),0)+IF(ISNUMBER(SEARCH("CB",H146)),IFNA(VLOOKUP("CB",Pitch_Coef!$A:$B,2,FALSE),0),0)+IF(ISNUMBER(SEARCH("CF",H146)),IFNA(VLOOKUP("CF",Pitch_Coef!$A:$B,2,FALSE),0),0)+IF(ISNUMBER(SEARCH("CH",H146)),IFNA(VLOOKUP("CH",Pitch_Coef!$A:$B,2,FALSE),0),0)+IF(ISNUMBER(SEARCH("FK",H146)),IFNA(VLOOKUP("FK",Pitch_Coef!$A:$B,2,FALSE),0),0)+IF(ISNUMBER(SEARCH("SB",H146)),IFNA(VLOOKUP("SB",Pitch_Coef!$A:$B,2,FALSE),0),0)+IF(ISNUMBER(SEARCH("SL",H146)),IFNA(VLOOKUP("SL",Pitch_Coef!$A:$B,2,FALSE),0),0),0)</f>
        <v/>
      </c>
      <c r="AA146">
        <f>IF(Q146="P",16.5944849573+0.2529999141*N146+0.2665900378*O146+0.2632687105*P146+0.0427586837*I146+0.0534777057*J146+0.009015832*K146+0.0204898106*(O146*P146/100)+1.0091022427*U146+1.0968542297*IF(D146="L",1,0)+0.3771555045*IF(D146="S",1,0)-0.2226159177*IF(E146="L",1,0)+1.21385024*R146-1.1652812274*S146+W146+X146+Z146,10.5965166711+0.2825983581*I146+0.2806503532*J146+0.2027213083*K146+0.1147824982*L146+0.0915305332*M146-0.0088454122*(I146*J146/100)-0.0336045706*(K146*L146/100)+2.8497389733*IF(D146="L",1,0)+4.5116226727*IF(D146="S",1,0)-0.6571546448*IF(E146="L",1,0)+0.0850728147*T146+0.0129488446*(T146*T146)+0.1909373936*IF(OR(F146="Utility",G146="Utility"),T146,0)+0.9656824071*R146-1.7517683256*S146+W146+X146+Y146)</f>
        <v/>
      </c>
      <c r="AB146">
        <f>LOOKUP(AA146,Grade_Scale!$A$2:$A$18,Grade_Scale!$B$2:$B$18)</f>
        <v/>
      </c>
      <c r="AC146">
        <f>LOOKUP(AA146,Grade_Scale!$A$2:$A$18,Grade_Scale!$C$2:$C$18)</f>
        <v/>
      </c>
      <c r="AE146">
        <f>IF(AD146="","",AB146-VLOOKUP(AD146,Grade_Scale!$C$2:$E$18,3,FALSE))</f>
        <v/>
      </c>
    </row>
    <row r="147">
      <c r="Q147">
        <f>IF(OR(B147="SP",B147="RP",B147="CP",B147="SP/RP"),"P","H")</f>
        <v/>
      </c>
      <c r="R147">
        <f>IF(F147="",0,IFNA(VLOOKUP(F147,Trait_Polarity!$A:$C,2,FALSE),0))+IF(G147="",0,IFNA(VLOOKUP(G147,Trait_Polarity!$A:$C,2,FALSE),0))</f>
        <v/>
      </c>
      <c r="S147">
        <f>IF(F147="",0,IFNA(VLOOKUP(F147,Trait_Polarity!$A:$C,3,FALSE),0))+IF(G147="",0,IFNA(VLOOKUP(G147,Trait_Polarity!$A:$C,3,FALSE),0))</f>
        <v/>
      </c>
      <c r="T147">
        <f>IF(Q147="P",0,IFNA(VLOOKUP(IF(C147="","(none)",C147),Secondary_Versatility!$A:$B,2,FALSE),0))</f>
        <v/>
      </c>
      <c r="U147">
        <f>IF(H147="",0,LEN(H147)-LEN(SUBSTITUTE(H147,"|",""))+1)</f>
        <v/>
      </c>
      <c r="V147">
        <f>IF(Q147="P",(N147+O147+P147)/3,0.3*I147+0.3*J147+0.2*K147+0.1*L147+0.1*M147)</f>
        <v/>
      </c>
      <c r="W147">
        <f>IF(Q147="P",IF(F147="",0,IFNA(VLOOKUP(F147,Pitcher_Trait_Coef!$A:$B,2,FALSE),0))+IF(G147="",0,IFNA(VLOOKUP(G147,Pitcher_Trait_Coef!$A:$B,2,FALSE),0)),IF(F147="",0,IFNA(VLOOKUP(F147,Hitter_Trait_Coef!$A:$B,2,FALSE),0))+IF(G147="",0,IFNA(VLOOKUP(G147,Hitter_Trait_Coef!$A:$B,2,FALSE),0)))</f>
        <v/>
      </c>
      <c r="X147">
        <f>IF(Q147="P",IFNA(VLOOKUP(B147,Pitcher_Primary_Coef!$A:$B,2,FALSE),0),IFNA(VLOOKUP(B147,Hitter_Primary_Coef!$A:$B,2,FALSE),0))</f>
        <v/>
      </c>
      <c r="Y147">
        <f>IF(Q147="P",0,IFNA(VLOOKUP(IF(C147="","(none)",C147),Hitter_Secondary_Coef!$A:$B,2,FALSE),0))</f>
        <v/>
      </c>
      <c r="Z147">
        <f>IF(Q147="P",IF(ISNUMBER(SEARCH("2F",H147)),IFNA(VLOOKUP("2F",Pitch_Coef!$A:$B,2,FALSE),0),0)+IF(ISNUMBER(SEARCH("4F",H147)),IFNA(VLOOKUP("4F",Pitch_Coef!$A:$B,2,FALSE),0),0)+IF(ISNUMBER(SEARCH("CB",H147)),IFNA(VLOOKUP("CB",Pitch_Coef!$A:$B,2,FALSE),0),0)+IF(ISNUMBER(SEARCH("CF",H147)),IFNA(VLOOKUP("CF",Pitch_Coef!$A:$B,2,FALSE),0),0)+IF(ISNUMBER(SEARCH("CH",H147)),IFNA(VLOOKUP("CH",Pitch_Coef!$A:$B,2,FALSE),0),0)+IF(ISNUMBER(SEARCH("FK",H147)),IFNA(VLOOKUP("FK",Pitch_Coef!$A:$B,2,FALSE),0),0)+IF(ISNUMBER(SEARCH("SB",H147)),IFNA(VLOOKUP("SB",Pitch_Coef!$A:$B,2,FALSE),0),0)+IF(ISNUMBER(SEARCH("SL",H147)),IFNA(VLOOKUP("SL",Pitch_Coef!$A:$B,2,FALSE),0),0),0)</f>
        <v/>
      </c>
      <c r="AA147">
        <f>IF(Q147="P",16.5944849573+0.2529999141*N147+0.2665900378*O147+0.2632687105*P147+0.0427586837*I147+0.0534777057*J147+0.009015832*K147+0.0204898106*(O147*P147/100)+1.0091022427*U147+1.0968542297*IF(D147="L",1,0)+0.3771555045*IF(D147="S",1,0)-0.2226159177*IF(E147="L",1,0)+1.21385024*R147-1.1652812274*S147+W147+X147+Z147,10.5965166711+0.2825983581*I147+0.2806503532*J147+0.2027213083*K147+0.1147824982*L147+0.0915305332*M147-0.0088454122*(I147*J147/100)-0.0336045706*(K147*L147/100)+2.8497389733*IF(D147="L",1,0)+4.5116226727*IF(D147="S",1,0)-0.6571546448*IF(E147="L",1,0)+0.0850728147*T147+0.0129488446*(T147*T147)+0.1909373936*IF(OR(F147="Utility",G147="Utility"),T147,0)+0.9656824071*R147-1.7517683256*S147+W147+X147+Y147)</f>
        <v/>
      </c>
      <c r="AB147">
        <f>LOOKUP(AA147,Grade_Scale!$A$2:$A$18,Grade_Scale!$B$2:$B$18)</f>
        <v/>
      </c>
      <c r="AC147">
        <f>LOOKUP(AA147,Grade_Scale!$A$2:$A$18,Grade_Scale!$C$2:$C$18)</f>
        <v/>
      </c>
      <c r="AE147">
        <f>IF(AD147="","",AB147-VLOOKUP(AD147,Grade_Scale!$C$2:$E$18,3,FALSE))</f>
        <v/>
      </c>
    </row>
    <row r="148">
      <c r="Q148">
        <f>IF(OR(B148="SP",B148="RP",B148="CP",B148="SP/RP"),"P","H")</f>
        <v/>
      </c>
      <c r="R148">
        <f>IF(F148="",0,IFNA(VLOOKUP(F148,Trait_Polarity!$A:$C,2,FALSE),0))+IF(G148="",0,IFNA(VLOOKUP(G148,Trait_Polarity!$A:$C,2,FALSE),0))</f>
        <v/>
      </c>
      <c r="S148">
        <f>IF(F148="",0,IFNA(VLOOKUP(F148,Trait_Polarity!$A:$C,3,FALSE),0))+IF(G148="",0,IFNA(VLOOKUP(G148,Trait_Polarity!$A:$C,3,FALSE),0))</f>
        <v/>
      </c>
      <c r="T148">
        <f>IF(Q148="P",0,IFNA(VLOOKUP(IF(C148="","(none)",C148),Secondary_Versatility!$A:$B,2,FALSE),0))</f>
        <v/>
      </c>
      <c r="U148">
        <f>IF(H148="",0,LEN(H148)-LEN(SUBSTITUTE(H148,"|",""))+1)</f>
        <v/>
      </c>
      <c r="V148">
        <f>IF(Q148="P",(N148+O148+P148)/3,0.3*I148+0.3*J148+0.2*K148+0.1*L148+0.1*M148)</f>
        <v/>
      </c>
      <c r="W148">
        <f>IF(Q148="P",IF(F148="",0,IFNA(VLOOKUP(F148,Pitcher_Trait_Coef!$A:$B,2,FALSE),0))+IF(G148="",0,IFNA(VLOOKUP(G148,Pitcher_Trait_Coef!$A:$B,2,FALSE),0)),IF(F148="",0,IFNA(VLOOKUP(F148,Hitter_Trait_Coef!$A:$B,2,FALSE),0))+IF(G148="",0,IFNA(VLOOKUP(G148,Hitter_Trait_Coef!$A:$B,2,FALSE),0)))</f>
        <v/>
      </c>
      <c r="X148">
        <f>IF(Q148="P",IFNA(VLOOKUP(B148,Pitcher_Primary_Coef!$A:$B,2,FALSE),0),IFNA(VLOOKUP(B148,Hitter_Primary_Coef!$A:$B,2,FALSE),0))</f>
        <v/>
      </c>
      <c r="Y148">
        <f>IF(Q148="P",0,IFNA(VLOOKUP(IF(C148="","(none)",C148),Hitter_Secondary_Coef!$A:$B,2,FALSE),0))</f>
        <v/>
      </c>
      <c r="Z148">
        <f>IF(Q148="P",IF(ISNUMBER(SEARCH("2F",H148)),IFNA(VLOOKUP("2F",Pitch_Coef!$A:$B,2,FALSE),0),0)+IF(ISNUMBER(SEARCH("4F",H148)),IFNA(VLOOKUP("4F",Pitch_Coef!$A:$B,2,FALSE),0),0)+IF(ISNUMBER(SEARCH("CB",H148)),IFNA(VLOOKUP("CB",Pitch_Coef!$A:$B,2,FALSE),0),0)+IF(ISNUMBER(SEARCH("CF",H148)),IFNA(VLOOKUP("CF",Pitch_Coef!$A:$B,2,FALSE),0),0)+IF(ISNUMBER(SEARCH("CH",H148)),IFNA(VLOOKUP("CH",Pitch_Coef!$A:$B,2,FALSE),0),0)+IF(ISNUMBER(SEARCH("FK",H148)),IFNA(VLOOKUP("FK",Pitch_Coef!$A:$B,2,FALSE),0),0)+IF(ISNUMBER(SEARCH("SB",H148)),IFNA(VLOOKUP("SB",Pitch_Coef!$A:$B,2,FALSE),0),0)+IF(ISNUMBER(SEARCH("SL",H148)),IFNA(VLOOKUP("SL",Pitch_Coef!$A:$B,2,FALSE),0),0),0)</f>
        <v/>
      </c>
      <c r="AA148">
        <f>IF(Q148="P",16.5944849573+0.2529999141*N148+0.2665900378*O148+0.2632687105*P148+0.0427586837*I148+0.0534777057*J148+0.009015832*K148+0.0204898106*(O148*P148/100)+1.0091022427*U148+1.0968542297*IF(D148="L",1,0)+0.3771555045*IF(D148="S",1,0)-0.2226159177*IF(E148="L",1,0)+1.21385024*R148-1.1652812274*S148+W148+X148+Z148,10.5965166711+0.2825983581*I148+0.2806503532*J148+0.2027213083*K148+0.1147824982*L148+0.0915305332*M148-0.0088454122*(I148*J148/100)-0.0336045706*(K148*L148/100)+2.8497389733*IF(D148="L",1,0)+4.5116226727*IF(D148="S",1,0)-0.6571546448*IF(E148="L",1,0)+0.0850728147*T148+0.0129488446*(T148*T148)+0.1909373936*IF(OR(F148="Utility",G148="Utility"),T148,0)+0.9656824071*R148-1.7517683256*S148+W148+X148+Y148)</f>
        <v/>
      </c>
      <c r="AB148">
        <f>LOOKUP(AA148,Grade_Scale!$A$2:$A$18,Grade_Scale!$B$2:$B$18)</f>
        <v/>
      </c>
      <c r="AC148">
        <f>LOOKUP(AA148,Grade_Scale!$A$2:$A$18,Grade_Scale!$C$2:$C$18)</f>
        <v/>
      </c>
      <c r="AE148">
        <f>IF(AD148="","",AB148-VLOOKUP(AD148,Grade_Scale!$C$2:$E$18,3,FALSE))</f>
        <v/>
      </c>
    </row>
    <row r="149">
      <c r="Q149">
        <f>IF(OR(B149="SP",B149="RP",B149="CP",B149="SP/RP"),"P","H")</f>
        <v/>
      </c>
      <c r="R149">
        <f>IF(F149="",0,IFNA(VLOOKUP(F149,Trait_Polarity!$A:$C,2,FALSE),0))+IF(G149="",0,IFNA(VLOOKUP(G149,Trait_Polarity!$A:$C,2,FALSE),0))</f>
        <v/>
      </c>
      <c r="S149">
        <f>IF(F149="",0,IFNA(VLOOKUP(F149,Trait_Polarity!$A:$C,3,FALSE),0))+IF(G149="",0,IFNA(VLOOKUP(G149,Trait_Polarity!$A:$C,3,FALSE),0))</f>
        <v/>
      </c>
      <c r="T149">
        <f>IF(Q149="P",0,IFNA(VLOOKUP(IF(C149="","(none)",C149),Secondary_Versatility!$A:$B,2,FALSE),0))</f>
        <v/>
      </c>
      <c r="U149">
        <f>IF(H149="",0,LEN(H149)-LEN(SUBSTITUTE(H149,"|",""))+1)</f>
        <v/>
      </c>
      <c r="V149">
        <f>IF(Q149="P",(N149+O149+P149)/3,0.3*I149+0.3*J149+0.2*K149+0.1*L149+0.1*M149)</f>
        <v/>
      </c>
      <c r="W149">
        <f>IF(Q149="P",IF(F149="",0,IFNA(VLOOKUP(F149,Pitcher_Trait_Coef!$A:$B,2,FALSE),0))+IF(G149="",0,IFNA(VLOOKUP(G149,Pitcher_Trait_Coef!$A:$B,2,FALSE),0)),IF(F149="",0,IFNA(VLOOKUP(F149,Hitter_Trait_Coef!$A:$B,2,FALSE),0))+IF(G149="",0,IFNA(VLOOKUP(G149,Hitter_Trait_Coef!$A:$B,2,FALSE),0)))</f>
        <v/>
      </c>
      <c r="X149">
        <f>IF(Q149="P",IFNA(VLOOKUP(B149,Pitcher_Primary_Coef!$A:$B,2,FALSE),0),IFNA(VLOOKUP(B149,Hitter_Primary_Coef!$A:$B,2,FALSE),0))</f>
        <v/>
      </c>
      <c r="Y149">
        <f>IF(Q149="P",0,IFNA(VLOOKUP(IF(C149="","(none)",C149),Hitter_Secondary_Coef!$A:$B,2,FALSE),0))</f>
        <v/>
      </c>
      <c r="Z149">
        <f>IF(Q149="P",IF(ISNUMBER(SEARCH("2F",H149)),IFNA(VLOOKUP("2F",Pitch_Coef!$A:$B,2,FALSE),0),0)+IF(ISNUMBER(SEARCH("4F",H149)),IFNA(VLOOKUP("4F",Pitch_Coef!$A:$B,2,FALSE),0),0)+IF(ISNUMBER(SEARCH("CB",H149)),IFNA(VLOOKUP("CB",Pitch_Coef!$A:$B,2,FALSE),0),0)+IF(ISNUMBER(SEARCH("CF",H149)),IFNA(VLOOKUP("CF",Pitch_Coef!$A:$B,2,FALSE),0),0)+IF(ISNUMBER(SEARCH("CH",H149)),IFNA(VLOOKUP("CH",Pitch_Coef!$A:$B,2,FALSE),0),0)+IF(ISNUMBER(SEARCH("FK",H149)),IFNA(VLOOKUP("FK",Pitch_Coef!$A:$B,2,FALSE),0),0)+IF(ISNUMBER(SEARCH("SB",H149)),IFNA(VLOOKUP("SB",Pitch_Coef!$A:$B,2,FALSE),0),0)+IF(ISNUMBER(SEARCH("SL",H149)),IFNA(VLOOKUP("SL",Pitch_Coef!$A:$B,2,FALSE),0),0),0)</f>
        <v/>
      </c>
      <c r="AA149">
        <f>IF(Q149="P",16.5944849573+0.2529999141*N149+0.2665900378*O149+0.2632687105*P149+0.0427586837*I149+0.0534777057*J149+0.009015832*K149+0.0204898106*(O149*P149/100)+1.0091022427*U149+1.0968542297*IF(D149="L",1,0)+0.3771555045*IF(D149="S",1,0)-0.2226159177*IF(E149="L",1,0)+1.21385024*R149-1.1652812274*S149+W149+X149+Z149,10.5965166711+0.2825983581*I149+0.2806503532*J149+0.2027213083*K149+0.1147824982*L149+0.0915305332*M149-0.0088454122*(I149*J149/100)-0.0336045706*(K149*L149/100)+2.8497389733*IF(D149="L",1,0)+4.5116226727*IF(D149="S",1,0)-0.6571546448*IF(E149="L",1,0)+0.0850728147*T149+0.0129488446*(T149*T149)+0.1909373936*IF(OR(F149="Utility",G149="Utility"),T149,0)+0.9656824071*R149-1.7517683256*S149+W149+X149+Y149)</f>
        <v/>
      </c>
      <c r="AB149">
        <f>LOOKUP(AA149,Grade_Scale!$A$2:$A$18,Grade_Scale!$B$2:$B$18)</f>
        <v/>
      </c>
      <c r="AC149">
        <f>LOOKUP(AA149,Grade_Scale!$A$2:$A$18,Grade_Scale!$C$2:$C$18)</f>
        <v/>
      </c>
      <c r="AE149">
        <f>IF(AD149="","",AB149-VLOOKUP(AD149,Grade_Scale!$C$2:$E$18,3,FALSE))</f>
        <v/>
      </c>
    </row>
    <row r="150">
      <c r="Q150">
        <f>IF(OR(B150="SP",B150="RP",B150="CP",B150="SP/RP"),"P","H")</f>
        <v/>
      </c>
      <c r="R150">
        <f>IF(F150="",0,IFNA(VLOOKUP(F150,Trait_Polarity!$A:$C,2,FALSE),0))+IF(G150="",0,IFNA(VLOOKUP(G150,Trait_Polarity!$A:$C,2,FALSE),0))</f>
        <v/>
      </c>
      <c r="S150">
        <f>IF(F150="",0,IFNA(VLOOKUP(F150,Trait_Polarity!$A:$C,3,FALSE),0))+IF(G150="",0,IFNA(VLOOKUP(G150,Trait_Polarity!$A:$C,3,FALSE),0))</f>
        <v/>
      </c>
      <c r="T150">
        <f>IF(Q150="P",0,IFNA(VLOOKUP(IF(C150="","(none)",C150),Secondary_Versatility!$A:$B,2,FALSE),0))</f>
        <v/>
      </c>
      <c r="U150">
        <f>IF(H150="",0,LEN(H150)-LEN(SUBSTITUTE(H150,"|",""))+1)</f>
        <v/>
      </c>
      <c r="V150">
        <f>IF(Q150="P",(N150+O150+P150)/3,0.3*I150+0.3*J150+0.2*K150+0.1*L150+0.1*M150)</f>
        <v/>
      </c>
      <c r="W150">
        <f>IF(Q150="P",IF(F150="",0,IFNA(VLOOKUP(F150,Pitcher_Trait_Coef!$A:$B,2,FALSE),0))+IF(G150="",0,IFNA(VLOOKUP(G150,Pitcher_Trait_Coef!$A:$B,2,FALSE),0)),IF(F150="",0,IFNA(VLOOKUP(F150,Hitter_Trait_Coef!$A:$B,2,FALSE),0))+IF(G150="",0,IFNA(VLOOKUP(G150,Hitter_Trait_Coef!$A:$B,2,FALSE),0)))</f>
        <v/>
      </c>
      <c r="X150">
        <f>IF(Q150="P",IFNA(VLOOKUP(B150,Pitcher_Primary_Coef!$A:$B,2,FALSE),0),IFNA(VLOOKUP(B150,Hitter_Primary_Coef!$A:$B,2,FALSE),0))</f>
        <v/>
      </c>
      <c r="Y150">
        <f>IF(Q150="P",0,IFNA(VLOOKUP(IF(C150="","(none)",C150),Hitter_Secondary_Coef!$A:$B,2,FALSE),0))</f>
        <v/>
      </c>
      <c r="Z150">
        <f>IF(Q150="P",IF(ISNUMBER(SEARCH("2F",H150)),IFNA(VLOOKUP("2F",Pitch_Coef!$A:$B,2,FALSE),0),0)+IF(ISNUMBER(SEARCH("4F",H150)),IFNA(VLOOKUP("4F",Pitch_Coef!$A:$B,2,FALSE),0),0)+IF(ISNUMBER(SEARCH("CB",H150)),IFNA(VLOOKUP("CB",Pitch_Coef!$A:$B,2,FALSE),0),0)+IF(ISNUMBER(SEARCH("CF",H150)),IFNA(VLOOKUP("CF",Pitch_Coef!$A:$B,2,FALSE),0),0)+IF(ISNUMBER(SEARCH("CH",H150)),IFNA(VLOOKUP("CH",Pitch_Coef!$A:$B,2,FALSE),0),0)+IF(ISNUMBER(SEARCH("FK",H150)),IFNA(VLOOKUP("FK",Pitch_Coef!$A:$B,2,FALSE),0),0)+IF(ISNUMBER(SEARCH("SB",H150)),IFNA(VLOOKUP("SB",Pitch_Coef!$A:$B,2,FALSE),0),0)+IF(ISNUMBER(SEARCH("SL",H150)),IFNA(VLOOKUP("SL",Pitch_Coef!$A:$B,2,FALSE),0),0),0)</f>
        <v/>
      </c>
      <c r="AA150">
        <f>IF(Q150="P",16.5944849573+0.2529999141*N150+0.2665900378*O150+0.2632687105*P150+0.0427586837*I150+0.0534777057*J150+0.009015832*K150+0.0204898106*(O150*P150/100)+1.0091022427*U150+1.0968542297*IF(D150="L",1,0)+0.3771555045*IF(D150="S",1,0)-0.2226159177*IF(E150="L",1,0)+1.21385024*R150-1.1652812274*S150+W150+X150+Z150,10.5965166711+0.2825983581*I150+0.2806503532*J150+0.2027213083*K150+0.1147824982*L150+0.0915305332*M150-0.0088454122*(I150*J150/100)-0.0336045706*(K150*L150/100)+2.8497389733*IF(D150="L",1,0)+4.5116226727*IF(D150="S",1,0)-0.6571546448*IF(E150="L",1,0)+0.0850728147*T150+0.0129488446*(T150*T150)+0.1909373936*IF(OR(F150="Utility",G150="Utility"),T150,0)+0.9656824071*R150-1.7517683256*S150+W150+X150+Y150)</f>
        <v/>
      </c>
      <c r="AB150">
        <f>LOOKUP(AA150,Grade_Scale!$A$2:$A$18,Grade_Scale!$B$2:$B$18)</f>
        <v/>
      </c>
      <c r="AC150">
        <f>LOOKUP(AA150,Grade_Scale!$A$2:$A$18,Grade_Scale!$C$2:$C$18)</f>
        <v/>
      </c>
      <c r="AE150">
        <f>IF(AD150="","",AB150-VLOOKUP(AD150,Grade_Scale!$C$2:$E$18,3,FALSE))</f>
        <v/>
      </c>
    </row>
    <row r="151">
      <c r="Q151">
        <f>IF(OR(B151="SP",B151="RP",B151="CP",B151="SP/RP"),"P","H")</f>
        <v/>
      </c>
      <c r="R151">
        <f>IF(F151="",0,IFNA(VLOOKUP(F151,Trait_Polarity!$A:$C,2,FALSE),0))+IF(G151="",0,IFNA(VLOOKUP(G151,Trait_Polarity!$A:$C,2,FALSE),0))</f>
        <v/>
      </c>
      <c r="S151">
        <f>IF(F151="",0,IFNA(VLOOKUP(F151,Trait_Polarity!$A:$C,3,FALSE),0))+IF(G151="",0,IFNA(VLOOKUP(G151,Trait_Polarity!$A:$C,3,FALSE),0))</f>
        <v/>
      </c>
      <c r="T151">
        <f>IF(Q151="P",0,IFNA(VLOOKUP(IF(C151="","(none)",C151),Secondary_Versatility!$A:$B,2,FALSE),0))</f>
        <v/>
      </c>
      <c r="U151">
        <f>IF(H151="",0,LEN(H151)-LEN(SUBSTITUTE(H151,"|",""))+1)</f>
        <v/>
      </c>
      <c r="V151">
        <f>IF(Q151="P",(N151+O151+P151)/3,0.3*I151+0.3*J151+0.2*K151+0.1*L151+0.1*M151)</f>
        <v/>
      </c>
      <c r="W151">
        <f>IF(Q151="P",IF(F151="",0,IFNA(VLOOKUP(F151,Pitcher_Trait_Coef!$A:$B,2,FALSE),0))+IF(G151="",0,IFNA(VLOOKUP(G151,Pitcher_Trait_Coef!$A:$B,2,FALSE),0)),IF(F151="",0,IFNA(VLOOKUP(F151,Hitter_Trait_Coef!$A:$B,2,FALSE),0))+IF(G151="",0,IFNA(VLOOKUP(G151,Hitter_Trait_Coef!$A:$B,2,FALSE),0)))</f>
        <v/>
      </c>
      <c r="X151">
        <f>IF(Q151="P",IFNA(VLOOKUP(B151,Pitcher_Primary_Coef!$A:$B,2,FALSE),0),IFNA(VLOOKUP(B151,Hitter_Primary_Coef!$A:$B,2,FALSE),0))</f>
        <v/>
      </c>
      <c r="Y151">
        <f>IF(Q151="P",0,IFNA(VLOOKUP(IF(C151="","(none)",C151),Hitter_Secondary_Coef!$A:$B,2,FALSE),0))</f>
        <v/>
      </c>
      <c r="Z151">
        <f>IF(Q151="P",IF(ISNUMBER(SEARCH("2F",H151)),IFNA(VLOOKUP("2F",Pitch_Coef!$A:$B,2,FALSE),0),0)+IF(ISNUMBER(SEARCH("4F",H151)),IFNA(VLOOKUP("4F",Pitch_Coef!$A:$B,2,FALSE),0),0)+IF(ISNUMBER(SEARCH("CB",H151)),IFNA(VLOOKUP("CB",Pitch_Coef!$A:$B,2,FALSE),0),0)+IF(ISNUMBER(SEARCH("CF",H151)),IFNA(VLOOKUP("CF",Pitch_Coef!$A:$B,2,FALSE),0),0)+IF(ISNUMBER(SEARCH("CH",H151)),IFNA(VLOOKUP("CH",Pitch_Coef!$A:$B,2,FALSE),0),0)+IF(ISNUMBER(SEARCH("FK",H151)),IFNA(VLOOKUP("FK",Pitch_Coef!$A:$B,2,FALSE),0),0)+IF(ISNUMBER(SEARCH("SB",H151)),IFNA(VLOOKUP("SB",Pitch_Coef!$A:$B,2,FALSE),0),0)+IF(ISNUMBER(SEARCH("SL",H151)),IFNA(VLOOKUP("SL",Pitch_Coef!$A:$B,2,FALSE),0),0),0)</f>
        <v/>
      </c>
      <c r="AA151">
        <f>IF(Q151="P",16.5944849573+0.2529999141*N151+0.2665900378*O151+0.2632687105*P151+0.0427586837*I151+0.0534777057*J151+0.009015832*K151+0.0204898106*(O151*P151/100)+1.0091022427*U151+1.0968542297*IF(D151="L",1,0)+0.3771555045*IF(D151="S",1,0)-0.2226159177*IF(E151="L",1,0)+1.21385024*R151-1.1652812274*S151+W151+X151+Z151,10.5965166711+0.2825983581*I151+0.2806503532*J151+0.2027213083*K151+0.1147824982*L151+0.0915305332*M151-0.0088454122*(I151*J151/100)-0.0336045706*(K151*L151/100)+2.8497389733*IF(D151="L",1,0)+4.5116226727*IF(D151="S",1,0)-0.6571546448*IF(E151="L",1,0)+0.0850728147*T151+0.0129488446*(T151*T151)+0.1909373936*IF(OR(F151="Utility",G151="Utility"),T151,0)+0.9656824071*R151-1.7517683256*S151+W151+X151+Y151)</f>
        <v/>
      </c>
      <c r="AB151">
        <f>LOOKUP(AA151,Grade_Scale!$A$2:$A$18,Grade_Scale!$B$2:$B$18)</f>
        <v/>
      </c>
      <c r="AC151">
        <f>LOOKUP(AA151,Grade_Scale!$A$2:$A$18,Grade_Scale!$C$2:$C$18)</f>
        <v/>
      </c>
      <c r="AE151">
        <f>IF(AD151="","",AB151-VLOOKUP(AD151,Grade_Scale!$C$2:$E$18,3,FALSE))</f>
        <v/>
      </c>
    </row>
    <row r="152">
      <c r="Q152">
        <f>IF(OR(B152="SP",B152="RP",B152="CP",B152="SP/RP"),"P","H")</f>
        <v/>
      </c>
      <c r="R152">
        <f>IF(F152="",0,IFNA(VLOOKUP(F152,Trait_Polarity!$A:$C,2,FALSE),0))+IF(G152="",0,IFNA(VLOOKUP(G152,Trait_Polarity!$A:$C,2,FALSE),0))</f>
        <v/>
      </c>
      <c r="S152">
        <f>IF(F152="",0,IFNA(VLOOKUP(F152,Trait_Polarity!$A:$C,3,FALSE),0))+IF(G152="",0,IFNA(VLOOKUP(G152,Trait_Polarity!$A:$C,3,FALSE),0))</f>
        <v/>
      </c>
      <c r="T152">
        <f>IF(Q152="P",0,IFNA(VLOOKUP(IF(C152="","(none)",C152),Secondary_Versatility!$A:$B,2,FALSE),0))</f>
        <v/>
      </c>
      <c r="U152">
        <f>IF(H152="",0,LEN(H152)-LEN(SUBSTITUTE(H152,"|",""))+1)</f>
        <v/>
      </c>
      <c r="V152">
        <f>IF(Q152="P",(N152+O152+P152)/3,0.3*I152+0.3*J152+0.2*K152+0.1*L152+0.1*M152)</f>
        <v/>
      </c>
      <c r="W152">
        <f>IF(Q152="P",IF(F152="",0,IFNA(VLOOKUP(F152,Pitcher_Trait_Coef!$A:$B,2,FALSE),0))+IF(G152="",0,IFNA(VLOOKUP(G152,Pitcher_Trait_Coef!$A:$B,2,FALSE),0)),IF(F152="",0,IFNA(VLOOKUP(F152,Hitter_Trait_Coef!$A:$B,2,FALSE),0))+IF(G152="",0,IFNA(VLOOKUP(G152,Hitter_Trait_Coef!$A:$B,2,FALSE),0)))</f>
        <v/>
      </c>
      <c r="X152">
        <f>IF(Q152="P",IFNA(VLOOKUP(B152,Pitcher_Primary_Coef!$A:$B,2,FALSE),0),IFNA(VLOOKUP(B152,Hitter_Primary_Coef!$A:$B,2,FALSE),0))</f>
        <v/>
      </c>
      <c r="Y152">
        <f>IF(Q152="P",0,IFNA(VLOOKUP(IF(C152="","(none)",C152),Hitter_Secondary_Coef!$A:$B,2,FALSE),0))</f>
        <v/>
      </c>
      <c r="Z152">
        <f>IF(Q152="P",IF(ISNUMBER(SEARCH("2F",H152)),IFNA(VLOOKUP("2F",Pitch_Coef!$A:$B,2,FALSE),0),0)+IF(ISNUMBER(SEARCH("4F",H152)),IFNA(VLOOKUP("4F",Pitch_Coef!$A:$B,2,FALSE),0),0)+IF(ISNUMBER(SEARCH("CB",H152)),IFNA(VLOOKUP("CB",Pitch_Coef!$A:$B,2,FALSE),0),0)+IF(ISNUMBER(SEARCH("CF",H152)),IFNA(VLOOKUP("CF",Pitch_Coef!$A:$B,2,FALSE),0),0)+IF(ISNUMBER(SEARCH("CH",H152)),IFNA(VLOOKUP("CH",Pitch_Coef!$A:$B,2,FALSE),0),0)+IF(ISNUMBER(SEARCH("FK",H152)),IFNA(VLOOKUP("FK",Pitch_Coef!$A:$B,2,FALSE),0),0)+IF(ISNUMBER(SEARCH("SB",H152)),IFNA(VLOOKUP("SB",Pitch_Coef!$A:$B,2,FALSE),0),0)+IF(ISNUMBER(SEARCH("SL",H152)),IFNA(VLOOKUP("SL",Pitch_Coef!$A:$B,2,FALSE),0),0),0)</f>
        <v/>
      </c>
      <c r="AA152">
        <f>IF(Q152="P",16.5944849573+0.2529999141*N152+0.2665900378*O152+0.2632687105*P152+0.0427586837*I152+0.0534777057*J152+0.009015832*K152+0.0204898106*(O152*P152/100)+1.0091022427*U152+1.0968542297*IF(D152="L",1,0)+0.3771555045*IF(D152="S",1,0)-0.2226159177*IF(E152="L",1,0)+1.21385024*R152-1.1652812274*S152+W152+X152+Z152,10.5965166711+0.2825983581*I152+0.2806503532*J152+0.2027213083*K152+0.1147824982*L152+0.0915305332*M152-0.0088454122*(I152*J152/100)-0.0336045706*(K152*L152/100)+2.8497389733*IF(D152="L",1,0)+4.5116226727*IF(D152="S",1,0)-0.6571546448*IF(E152="L",1,0)+0.0850728147*T152+0.0129488446*(T152*T152)+0.1909373936*IF(OR(F152="Utility",G152="Utility"),T152,0)+0.9656824071*R152-1.7517683256*S152+W152+X152+Y152)</f>
        <v/>
      </c>
      <c r="AB152">
        <f>LOOKUP(AA152,Grade_Scale!$A$2:$A$18,Grade_Scale!$B$2:$B$18)</f>
        <v/>
      </c>
      <c r="AC152">
        <f>LOOKUP(AA152,Grade_Scale!$A$2:$A$18,Grade_Scale!$C$2:$C$18)</f>
        <v/>
      </c>
      <c r="AE152">
        <f>IF(AD152="","",AB152-VLOOKUP(AD152,Grade_Scale!$C$2:$E$18,3,FALSE))</f>
        <v/>
      </c>
    </row>
    <row r="153">
      <c r="Q153">
        <f>IF(OR(B153="SP",B153="RP",B153="CP",B153="SP/RP"),"P","H")</f>
        <v/>
      </c>
      <c r="R153">
        <f>IF(F153="",0,IFNA(VLOOKUP(F153,Trait_Polarity!$A:$C,2,FALSE),0))+IF(G153="",0,IFNA(VLOOKUP(G153,Trait_Polarity!$A:$C,2,FALSE),0))</f>
        <v/>
      </c>
      <c r="S153">
        <f>IF(F153="",0,IFNA(VLOOKUP(F153,Trait_Polarity!$A:$C,3,FALSE),0))+IF(G153="",0,IFNA(VLOOKUP(G153,Trait_Polarity!$A:$C,3,FALSE),0))</f>
        <v/>
      </c>
      <c r="T153">
        <f>IF(Q153="P",0,IFNA(VLOOKUP(IF(C153="","(none)",C153),Secondary_Versatility!$A:$B,2,FALSE),0))</f>
        <v/>
      </c>
      <c r="U153">
        <f>IF(H153="",0,LEN(H153)-LEN(SUBSTITUTE(H153,"|",""))+1)</f>
        <v/>
      </c>
      <c r="V153">
        <f>IF(Q153="P",(N153+O153+P153)/3,0.3*I153+0.3*J153+0.2*K153+0.1*L153+0.1*M153)</f>
        <v/>
      </c>
      <c r="W153">
        <f>IF(Q153="P",IF(F153="",0,IFNA(VLOOKUP(F153,Pitcher_Trait_Coef!$A:$B,2,FALSE),0))+IF(G153="",0,IFNA(VLOOKUP(G153,Pitcher_Trait_Coef!$A:$B,2,FALSE),0)),IF(F153="",0,IFNA(VLOOKUP(F153,Hitter_Trait_Coef!$A:$B,2,FALSE),0))+IF(G153="",0,IFNA(VLOOKUP(G153,Hitter_Trait_Coef!$A:$B,2,FALSE),0)))</f>
        <v/>
      </c>
      <c r="X153">
        <f>IF(Q153="P",IFNA(VLOOKUP(B153,Pitcher_Primary_Coef!$A:$B,2,FALSE),0),IFNA(VLOOKUP(B153,Hitter_Primary_Coef!$A:$B,2,FALSE),0))</f>
        <v/>
      </c>
      <c r="Y153">
        <f>IF(Q153="P",0,IFNA(VLOOKUP(IF(C153="","(none)",C153),Hitter_Secondary_Coef!$A:$B,2,FALSE),0))</f>
        <v/>
      </c>
      <c r="Z153">
        <f>IF(Q153="P",IF(ISNUMBER(SEARCH("2F",H153)),IFNA(VLOOKUP("2F",Pitch_Coef!$A:$B,2,FALSE),0),0)+IF(ISNUMBER(SEARCH("4F",H153)),IFNA(VLOOKUP("4F",Pitch_Coef!$A:$B,2,FALSE),0),0)+IF(ISNUMBER(SEARCH("CB",H153)),IFNA(VLOOKUP("CB",Pitch_Coef!$A:$B,2,FALSE),0),0)+IF(ISNUMBER(SEARCH("CF",H153)),IFNA(VLOOKUP("CF",Pitch_Coef!$A:$B,2,FALSE),0),0)+IF(ISNUMBER(SEARCH("CH",H153)),IFNA(VLOOKUP("CH",Pitch_Coef!$A:$B,2,FALSE),0),0)+IF(ISNUMBER(SEARCH("FK",H153)),IFNA(VLOOKUP("FK",Pitch_Coef!$A:$B,2,FALSE),0),0)+IF(ISNUMBER(SEARCH("SB",H153)),IFNA(VLOOKUP("SB",Pitch_Coef!$A:$B,2,FALSE),0),0)+IF(ISNUMBER(SEARCH("SL",H153)),IFNA(VLOOKUP("SL",Pitch_Coef!$A:$B,2,FALSE),0),0),0)</f>
        <v/>
      </c>
      <c r="AA153">
        <f>IF(Q153="P",16.5944849573+0.2529999141*N153+0.2665900378*O153+0.2632687105*P153+0.0427586837*I153+0.0534777057*J153+0.009015832*K153+0.0204898106*(O153*P153/100)+1.0091022427*U153+1.0968542297*IF(D153="L",1,0)+0.3771555045*IF(D153="S",1,0)-0.2226159177*IF(E153="L",1,0)+1.21385024*R153-1.1652812274*S153+W153+X153+Z153,10.5965166711+0.2825983581*I153+0.2806503532*J153+0.2027213083*K153+0.1147824982*L153+0.0915305332*M153-0.0088454122*(I153*J153/100)-0.0336045706*(K153*L153/100)+2.8497389733*IF(D153="L",1,0)+4.5116226727*IF(D153="S",1,0)-0.6571546448*IF(E153="L",1,0)+0.0850728147*T153+0.0129488446*(T153*T153)+0.1909373936*IF(OR(F153="Utility",G153="Utility"),T153,0)+0.9656824071*R153-1.7517683256*S153+W153+X153+Y153)</f>
        <v/>
      </c>
      <c r="AB153">
        <f>LOOKUP(AA153,Grade_Scale!$A$2:$A$18,Grade_Scale!$B$2:$B$18)</f>
        <v/>
      </c>
      <c r="AC153">
        <f>LOOKUP(AA153,Grade_Scale!$A$2:$A$18,Grade_Scale!$C$2:$C$18)</f>
        <v/>
      </c>
      <c r="AE153">
        <f>IF(AD153="","",AB153-VLOOKUP(AD153,Grade_Scale!$C$2:$E$18,3,FALSE))</f>
        <v/>
      </c>
    </row>
    <row r="154">
      <c r="Q154">
        <f>IF(OR(B154="SP",B154="RP",B154="CP",B154="SP/RP"),"P","H")</f>
        <v/>
      </c>
      <c r="R154">
        <f>IF(F154="",0,IFNA(VLOOKUP(F154,Trait_Polarity!$A:$C,2,FALSE),0))+IF(G154="",0,IFNA(VLOOKUP(G154,Trait_Polarity!$A:$C,2,FALSE),0))</f>
        <v/>
      </c>
      <c r="S154">
        <f>IF(F154="",0,IFNA(VLOOKUP(F154,Trait_Polarity!$A:$C,3,FALSE),0))+IF(G154="",0,IFNA(VLOOKUP(G154,Trait_Polarity!$A:$C,3,FALSE),0))</f>
        <v/>
      </c>
      <c r="T154">
        <f>IF(Q154="P",0,IFNA(VLOOKUP(IF(C154="","(none)",C154),Secondary_Versatility!$A:$B,2,FALSE),0))</f>
        <v/>
      </c>
      <c r="U154">
        <f>IF(H154="",0,LEN(H154)-LEN(SUBSTITUTE(H154,"|",""))+1)</f>
        <v/>
      </c>
      <c r="V154">
        <f>IF(Q154="P",(N154+O154+P154)/3,0.3*I154+0.3*J154+0.2*K154+0.1*L154+0.1*M154)</f>
        <v/>
      </c>
      <c r="W154">
        <f>IF(Q154="P",IF(F154="",0,IFNA(VLOOKUP(F154,Pitcher_Trait_Coef!$A:$B,2,FALSE),0))+IF(G154="",0,IFNA(VLOOKUP(G154,Pitcher_Trait_Coef!$A:$B,2,FALSE),0)),IF(F154="",0,IFNA(VLOOKUP(F154,Hitter_Trait_Coef!$A:$B,2,FALSE),0))+IF(G154="",0,IFNA(VLOOKUP(G154,Hitter_Trait_Coef!$A:$B,2,FALSE),0)))</f>
        <v/>
      </c>
      <c r="X154">
        <f>IF(Q154="P",IFNA(VLOOKUP(B154,Pitcher_Primary_Coef!$A:$B,2,FALSE),0),IFNA(VLOOKUP(B154,Hitter_Primary_Coef!$A:$B,2,FALSE),0))</f>
        <v/>
      </c>
      <c r="Y154">
        <f>IF(Q154="P",0,IFNA(VLOOKUP(IF(C154="","(none)",C154),Hitter_Secondary_Coef!$A:$B,2,FALSE),0))</f>
        <v/>
      </c>
      <c r="Z154">
        <f>IF(Q154="P",IF(ISNUMBER(SEARCH("2F",H154)),IFNA(VLOOKUP("2F",Pitch_Coef!$A:$B,2,FALSE),0),0)+IF(ISNUMBER(SEARCH("4F",H154)),IFNA(VLOOKUP("4F",Pitch_Coef!$A:$B,2,FALSE),0),0)+IF(ISNUMBER(SEARCH("CB",H154)),IFNA(VLOOKUP("CB",Pitch_Coef!$A:$B,2,FALSE),0),0)+IF(ISNUMBER(SEARCH("CF",H154)),IFNA(VLOOKUP("CF",Pitch_Coef!$A:$B,2,FALSE),0),0)+IF(ISNUMBER(SEARCH("CH",H154)),IFNA(VLOOKUP("CH",Pitch_Coef!$A:$B,2,FALSE),0),0)+IF(ISNUMBER(SEARCH("FK",H154)),IFNA(VLOOKUP("FK",Pitch_Coef!$A:$B,2,FALSE),0),0)+IF(ISNUMBER(SEARCH("SB",H154)),IFNA(VLOOKUP("SB",Pitch_Coef!$A:$B,2,FALSE),0),0)+IF(ISNUMBER(SEARCH("SL",H154)),IFNA(VLOOKUP("SL",Pitch_Coef!$A:$B,2,FALSE),0),0),0)</f>
        <v/>
      </c>
      <c r="AA154">
        <f>IF(Q154="P",16.5944849573+0.2529999141*N154+0.2665900378*O154+0.2632687105*P154+0.0427586837*I154+0.0534777057*J154+0.009015832*K154+0.0204898106*(O154*P154/100)+1.0091022427*U154+1.0968542297*IF(D154="L",1,0)+0.3771555045*IF(D154="S",1,0)-0.2226159177*IF(E154="L",1,0)+1.21385024*R154-1.1652812274*S154+W154+X154+Z154,10.5965166711+0.2825983581*I154+0.2806503532*J154+0.2027213083*K154+0.1147824982*L154+0.0915305332*M154-0.0088454122*(I154*J154/100)-0.0336045706*(K154*L154/100)+2.8497389733*IF(D154="L",1,0)+4.5116226727*IF(D154="S",1,0)-0.6571546448*IF(E154="L",1,0)+0.0850728147*T154+0.0129488446*(T154*T154)+0.1909373936*IF(OR(F154="Utility",G154="Utility"),T154,0)+0.9656824071*R154-1.7517683256*S154+W154+X154+Y154)</f>
        <v/>
      </c>
      <c r="AB154">
        <f>LOOKUP(AA154,Grade_Scale!$A$2:$A$18,Grade_Scale!$B$2:$B$18)</f>
        <v/>
      </c>
      <c r="AC154">
        <f>LOOKUP(AA154,Grade_Scale!$A$2:$A$18,Grade_Scale!$C$2:$C$18)</f>
        <v/>
      </c>
      <c r="AE154">
        <f>IF(AD154="","",AB154-VLOOKUP(AD154,Grade_Scale!$C$2:$E$18,3,FALSE))</f>
        <v/>
      </c>
    </row>
    <row r="155">
      <c r="Q155">
        <f>IF(OR(B155="SP",B155="RP",B155="CP",B155="SP/RP"),"P","H")</f>
        <v/>
      </c>
      <c r="R155">
        <f>IF(F155="",0,IFNA(VLOOKUP(F155,Trait_Polarity!$A:$C,2,FALSE),0))+IF(G155="",0,IFNA(VLOOKUP(G155,Trait_Polarity!$A:$C,2,FALSE),0))</f>
        <v/>
      </c>
      <c r="S155">
        <f>IF(F155="",0,IFNA(VLOOKUP(F155,Trait_Polarity!$A:$C,3,FALSE),0))+IF(G155="",0,IFNA(VLOOKUP(G155,Trait_Polarity!$A:$C,3,FALSE),0))</f>
        <v/>
      </c>
      <c r="T155">
        <f>IF(Q155="P",0,IFNA(VLOOKUP(IF(C155="","(none)",C155),Secondary_Versatility!$A:$B,2,FALSE),0))</f>
        <v/>
      </c>
      <c r="U155">
        <f>IF(H155="",0,LEN(H155)-LEN(SUBSTITUTE(H155,"|",""))+1)</f>
        <v/>
      </c>
      <c r="V155">
        <f>IF(Q155="P",(N155+O155+P155)/3,0.3*I155+0.3*J155+0.2*K155+0.1*L155+0.1*M155)</f>
        <v/>
      </c>
      <c r="W155">
        <f>IF(Q155="P",IF(F155="",0,IFNA(VLOOKUP(F155,Pitcher_Trait_Coef!$A:$B,2,FALSE),0))+IF(G155="",0,IFNA(VLOOKUP(G155,Pitcher_Trait_Coef!$A:$B,2,FALSE),0)),IF(F155="",0,IFNA(VLOOKUP(F155,Hitter_Trait_Coef!$A:$B,2,FALSE),0))+IF(G155="",0,IFNA(VLOOKUP(G155,Hitter_Trait_Coef!$A:$B,2,FALSE),0)))</f>
        <v/>
      </c>
      <c r="X155">
        <f>IF(Q155="P",IFNA(VLOOKUP(B155,Pitcher_Primary_Coef!$A:$B,2,FALSE),0),IFNA(VLOOKUP(B155,Hitter_Primary_Coef!$A:$B,2,FALSE),0))</f>
        <v/>
      </c>
      <c r="Y155">
        <f>IF(Q155="P",0,IFNA(VLOOKUP(IF(C155="","(none)",C155),Hitter_Secondary_Coef!$A:$B,2,FALSE),0))</f>
        <v/>
      </c>
      <c r="Z155">
        <f>IF(Q155="P",IF(ISNUMBER(SEARCH("2F",H155)),IFNA(VLOOKUP("2F",Pitch_Coef!$A:$B,2,FALSE),0),0)+IF(ISNUMBER(SEARCH("4F",H155)),IFNA(VLOOKUP("4F",Pitch_Coef!$A:$B,2,FALSE),0),0)+IF(ISNUMBER(SEARCH("CB",H155)),IFNA(VLOOKUP("CB",Pitch_Coef!$A:$B,2,FALSE),0),0)+IF(ISNUMBER(SEARCH("CF",H155)),IFNA(VLOOKUP("CF",Pitch_Coef!$A:$B,2,FALSE),0),0)+IF(ISNUMBER(SEARCH("CH",H155)),IFNA(VLOOKUP("CH",Pitch_Coef!$A:$B,2,FALSE),0),0)+IF(ISNUMBER(SEARCH("FK",H155)),IFNA(VLOOKUP("FK",Pitch_Coef!$A:$B,2,FALSE),0),0)+IF(ISNUMBER(SEARCH("SB",H155)),IFNA(VLOOKUP("SB",Pitch_Coef!$A:$B,2,FALSE),0),0)+IF(ISNUMBER(SEARCH("SL",H155)),IFNA(VLOOKUP("SL",Pitch_Coef!$A:$B,2,FALSE),0),0),0)</f>
        <v/>
      </c>
      <c r="AA155">
        <f>IF(Q155="P",16.5944849573+0.2529999141*N155+0.2665900378*O155+0.2632687105*P155+0.0427586837*I155+0.0534777057*J155+0.009015832*K155+0.0204898106*(O155*P155/100)+1.0091022427*U155+1.0968542297*IF(D155="L",1,0)+0.3771555045*IF(D155="S",1,0)-0.2226159177*IF(E155="L",1,0)+1.21385024*R155-1.1652812274*S155+W155+X155+Z155,10.5965166711+0.2825983581*I155+0.2806503532*J155+0.2027213083*K155+0.1147824982*L155+0.0915305332*M155-0.0088454122*(I155*J155/100)-0.0336045706*(K155*L155/100)+2.8497389733*IF(D155="L",1,0)+4.5116226727*IF(D155="S",1,0)-0.6571546448*IF(E155="L",1,0)+0.0850728147*T155+0.0129488446*(T155*T155)+0.1909373936*IF(OR(F155="Utility",G155="Utility"),T155,0)+0.9656824071*R155-1.7517683256*S155+W155+X155+Y155)</f>
        <v/>
      </c>
      <c r="AB155">
        <f>LOOKUP(AA155,Grade_Scale!$A$2:$A$18,Grade_Scale!$B$2:$B$18)</f>
        <v/>
      </c>
      <c r="AC155">
        <f>LOOKUP(AA155,Grade_Scale!$A$2:$A$18,Grade_Scale!$C$2:$C$18)</f>
        <v/>
      </c>
      <c r="AE155">
        <f>IF(AD155="","",AB155-VLOOKUP(AD155,Grade_Scale!$C$2:$E$18,3,FALSE))</f>
        <v/>
      </c>
    </row>
    <row r="156">
      <c r="Q156">
        <f>IF(OR(B156="SP",B156="RP",B156="CP",B156="SP/RP"),"P","H")</f>
        <v/>
      </c>
      <c r="R156">
        <f>IF(F156="",0,IFNA(VLOOKUP(F156,Trait_Polarity!$A:$C,2,FALSE),0))+IF(G156="",0,IFNA(VLOOKUP(G156,Trait_Polarity!$A:$C,2,FALSE),0))</f>
        <v/>
      </c>
      <c r="S156">
        <f>IF(F156="",0,IFNA(VLOOKUP(F156,Trait_Polarity!$A:$C,3,FALSE),0))+IF(G156="",0,IFNA(VLOOKUP(G156,Trait_Polarity!$A:$C,3,FALSE),0))</f>
        <v/>
      </c>
      <c r="T156">
        <f>IF(Q156="P",0,IFNA(VLOOKUP(IF(C156="","(none)",C156),Secondary_Versatility!$A:$B,2,FALSE),0))</f>
        <v/>
      </c>
      <c r="U156">
        <f>IF(H156="",0,LEN(H156)-LEN(SUBSTITUTE(H156,"|",""))+1)</f>
        <v/>
      </c>
      <c r="V156">
        <f>IF(Q156="P",(N156+O156+P156)/3,0.3*I156+0.3*J156+0.2*K156+0.1*L156+0.1*M156)</f>
        <v/>
      </c>
      <c r="W156">
        <f>IF(Q156="P",IF(F156="",0,IFNA(VLOOKUP(F156,Pitcher_Trait_Coef!$A:$B,2,FALSE),0))+IF(G156="",0,IFNA(VLOOKUP(G156,Pitcher_Trait_Coef!$A:$B,2,FALSE),0)),IF(F156="",0,IFNA(VLOOKUP(F156,Hitter_Trait_Coef!$A:$B,2,FALSE),0))+IF(G156="",0,IFNA(VLOOKUP(G156,Hitter_Trait_Coef!$A:$B,2,FALSE),0)))</f>
        <v/>
      </c>
      <c r="X156">
        <f>IF(Q156="P",IFNA(VLOOKUP(B156,Pitcher_Primary_Coef!$A:$B,2,FALSE),0),IFNA(VLOOKUP(B156,Hitter_Primary_Coef!$A:$B,2,FALSE),0))</f>
        <v/>
      </c>
      <c r="Y156">
        <f>IF(Q156="P",0,IFNA(VLOOKUP(IF(C156="","(none)",C156),Hitter_Secondary_Coef!$A:$B,2,FALSE),0))</f>
        <v/>
      </c>
      <c r="Z156">
        <f>IF(Q156="P",IF(ISNUMBER(SEARCH("2F",H156)),IFNA(VLOOKUP("2F",Pitch_Coef!$A:$B,2,FALSE),0),0)+IF(ISNUMBER(SEARCH("4F",H156)),IFNA(VLOOKUP("4F",Pitch_Coef!$A:$B,2,FALSE),0),0)+IF(ISNUMBER(SEARCH("CB",H156)),IFNA(VLOOKUP("CB",Pitch_Coef!$A:$B,2,FALSE),0),0)+IF(ISNUMBER(SEARCH("CF",H156)),IFNA(VLOOKUP("CF",Pitch_Coef!$A:$B,2,FALSE),0),0)+IF(ISNUMBER(SEARCH("CH",H156)),IFNA(VLOOKUP("CH",Pitch_Coef!$A:$B,2,FALSE),0),0)+IF(ISNUMBER(SEARCH("FK",H156)),IFNA(VLOOKUP("FK",Pitch_Coef!$A:$B,2,FALSE),0),0)+IF(ISNUMBER(SEARCH("SB",H156)),IFNA(VLOOKUP("SB",Pitch_Coef!$A:$B,2,FALSE),0),0)+IF(ISNUMBER(SEARCH("SL",H156)),IFNA(VLOOKUP("SL",Pitch_Coef!$A:$B,2,FALSE),0),0),0)</f>
        <v/>
      </c>
      <c r="AA156">
        <f>IF(Q156="P",16.5944849573+0.2529999141*N156+0.2665900378*O156+0.2632687105*P156+0.0427586837*I156+0.0534777057*J156+0.009015832*K156+0.0204898106*(O156*P156/100)+1.0091022427*U156+1.0968542297*IF(D156="L",1,0)+0.3771555045*IF(D156="S",1,0)-0.2226159177*IF(E156="L",1,0)+1.21385024*R156-1.1652812274*S156+W156+X156+Z156,10.5965166711+0.2825983581*I156+0.2806503532*J156+0.2027213083*K156+0.1147824982*L156+0.0915305332*M156-0.0088454122*(I156*J156/100)-0.0336045706*(K156*L156/100)+2.8497389733*IF(D156="L",1,0)+4.5116226727*IF(D156="S",1,0)-0.6571546448*IF(E156="L",1,0)+0.0850728147*T156+0.0129488446*(T156*T156)+0.1909373936*IF(OR(F156="Utility",G156="Utility"),T156,0)+0.9656824071*R156-1.7517683256*S156+W156+X156+Y156)</f>
        <v/>
      </c>
      <c r="AB156">
        <f>LOOKUP(AA156,Grade_Scale!$A$2:$A$18,Grade_Scale!$B$2:$B$18)</f>
        <v/>
      </c>
      <c r="AC156">
        <f>LOOKUP(AA156,Grade_Scale!$A$2:$A$18,Grade_Scale!$C$2:$C$18)</f>
        <v/>
      </c>
      <c r="AE156">
        <f>IF(AD156="","",AB156-VLOOKUP(AD156,Grade_Scale!$C$2:$E$18,3,FALSE))</f>
        <v/>
      </c>
    </row>
    <row r="157">
      <c r="Q157">
        <f>IF(OR(B157="SP",B157="RP",B157="CP",B157="SP/RP"),"P","H")</f>
        <v/>
      </c>
      <c r="R157">
        <f>IF(F157="",0,IFNA(VLOOKUP(F157,Trait_Polarity!$A:$C,2,FALSE),0))+IF(G157="",0,IFNA(VLOOKUP(G157,Trait_Polarity!$A:$C,2,FALSE),0))</f>
        <v/>
      </c>
      <c r="S157">
        <f>IF(F157="",0,IFNA(VLOOKUP(F157,Trait_Polarity!$A:$C,3,FALSE),0))+IF(G157="",0,IFNA(VLOOKUP(G157,Trait_Polarity!$A:$C,3,FALSE),0))</f>
        <v/>
      </c>
      <c r="T157">
        <f>IF(Q157="P",0,IFNA(VLOOKUP(IF(C157="","(none)",C157),Secondary_Versatility!$A:$B,2,FALSE),0))</f>
        <v/>
      </c>
      <c r="U157">
        <f>IF(H157="",0,LEN(H157)-LEN(SUBSTITUTE(H157,"|",""))+1)</f>
        <v/>
      </c>
      <c r="V157">
        <f>IF(Q157="P",(N157+O157+P157)/3,0.3*I157+0.3*J157+0.2*K157+0.1*L157+0.1*M157)</f>
        <v/>
      </c>
      <c r="W157">
        <f>IF(Q157="P",IF(F157="",0,IFNA(VLOOKUP(F157,Pitcher_Trait_Coef!$A:$B,2,FALSE),0))+IF(G157="",0,IFNA(VLOOKUP(G157,Pitcher_Trait_Coef!$A:$B,2,FALSE),0)),IF(F157="",0,IFNA(VLOOKUP(F157,Hitter_Trait_Coef!$A:$B,2,FALSE),0))+IF(G157="",0,IFNA(VLOOKUP(G157,Hitter_Trait_Coef!$A:$B,2,FALSE),0)))</f>
        <v/>
      </c>
      <c r="X157">
        <f>IF(Q157="P",IFNA(VLOOKUP(B157,Pitcher_Primary_Coef!$A:$B,2,FALSE),0),IFNA(VLOOKUP(B157,Hitter_Primary_Coef!$A:$B,2,FALSE),0))</f>
        <v/>
      </c>
      <c r="Y157">
        <f>IF(Q157="P",0,IFNA(VLOOKUP(IF(C157="","(none)",C157),Hitter_Secondary_Coef!$A:$B,2,FALSE),0))</f>
        <v/>
      </c>
      <c r="Z157">
        <f>IF(Q157="P",IF(ISNUMBER(SEARCH("2F",H157)),IFNA(VLOOKUP("2F",Pitch_Coef!$A:$B,2,FALSE),0),0)+IF(ISNUMBER(SEARCH("4F",H157)),IFNA(VLOOKUP("4F",Pitch_Coef!$A:$B,2,FALSE),0),0)+IF(ISNUMBER(SEARCH("CB",H157)),IFNA(VLOOKUP("CB",Pitch_Coef!$A:$B,2,FALSE),0),0)+IF(ISNUMBER(SEARCH("CF",H157)),IFNA(VLOOKUP("CF",Pitch_Coef!$A:$B,2,FALSE),0),0)+IF(ISNUMBER(SEARCH("CH",H157)),IFNA(VLOOKUP("CH",Pitch_Coef!$A:$B,2,FALSE),0),0)+IF(ISNUMBER(SEARCH("FK",H157)),IFNA(VLOOKUP("FK",Pitch_Coef!$A:$B,2,FALSE),0),0)+IF(ISNUMBER(SEARCH("SB",H157)),IFNA(VLOOKUP("SB",Pitch_Coef!$A:$B,2,FALSE),0),0)+IF(ISNUMBER(SEARCH("SL",H157)),IFNA(VLOOKUP("SL",Pitch_Coef!$A:$B,2,FALSE),0),0),0)</f>
        <v/>
      </c>
      <c r="AA157">
        <f>IF(Q157="P",16.5944849573+0.2529999141*N157+0.2665900378*O157+0.2632687105*P157+0.0427586837*I157+0.0534777057*J157+0.009015832*K157+0.0204898106*(O157*P157/100)+1.0091022427*U157+1.0968542297*IF(D157="L",1,0)+0.3771555045*IF(D157="S",1,0)-0.2226159177*IF(E157="L",1,0)+1.21385024*R157-1.1652812274*S157+W157+X157+Z157,10.5965166711+0.2825983581*I157+0.2806503532*J157+0.2027213083*K157+0.1147824982*L157+0.0915305332*M157-0.0088454122*(I157*J157/100)-0.0336045706*(K157*L157/100)+2.8497389733*IF(D157="L",1,0)+4.5116226727*IF(D157="S",1,0)-0.6571546448*IF(E157="L",1,0)+0.0850728147*T157+0.0129488446*(T157*T157)+0.1909373936*IF(OR(F157="Utility",G157="Utility"),T157,0)+0.9656824071*R157-1.7517683256*S157+W157+X157+Y157)</f>
        <v/>
      </c>
      <c r="AB157">
        <f>LOOKUP(AA157,Grade_Scale!$A$2:$A$18,Grade_Scale!$B$2:$B$18)</f>
        <v/>
      </c>
      <c r="AC157">
        <f>LOOKUP(AA157,Grade_Scale!$A$2:$A$18,Grade_Scale!$C$2:$C$18)</f>
        <v/>
      </c>
      <c r="AE157">
        <f>IF(AD157="","",AB157-VLOOKUP(AD157,Grade_Scale!$C$2:$E$18,3,FALSE))</f>
        <v/>
      </c>
    </row>
    <row r="158">
      <c r="Q158">
        <f>IF(OR(B158="SP",B158="RP",B158="CP",B158="SP/RP"),"P","H")</f>
        <v/>
      </c>
      <c r="R158">
        <f>IF(F158="",0,IFNA(VLOOKUP(F158,Trait_Polarity!$A:$C,2,FALSE),0))+IF(G158="",0,IFNA(VLOOKUP(G158,Trait_Polarity!$A:$C,2,FALSE),0))</f>
        <v/>
      </c>
      <c r="S158">
        <f>IF(F158="",0,IFNA(VLOOKUP(F158,Trait_Polarity!$A:$C,3,FALSE),0))+IF(G158="",0,IFNA(VLOOKUP(G158,Trait_Polarity!$A:$C,3,FALSE),0))</f>
        <v/>
      </c>
      <c r="T158">
        <f>IF(Q158="P",0,IFNA(VLOOKUP(IF(C158="","(none)",C158),Secondary_Versatility!$A:$B,2,FALSE),0))</f>
        <v/>
      </c>
      <c r="U158">
        <f>IF(H158="",0,LEN(H158)-LEN(SUBSTITUTE(H158,"|",""))+1)</f>
        <v/>
      </c>
      <c r="V158">
        <f>IF(Q158="P",(N158+O158+P158)/3,0.3*I158+0.3*J158+0.2*K158+0.1*L158+0.1*M158)</f>
        <v/>
      </c>
      <c r="W158">
        <f>IF(Q158="P",IF(F158="",0,IFNA(VLOOKUP(F158,Pitcher_Trait_Coef!$A:$B,2,FALSE),0))+IF(G158="",0,IFNA(VLOOKUP(G158,Pitcher_Trait_Coef!$A:$B,2,FALSE),0)),IF(F158="",0,IFNA(VLOOKUP(F158,Hitter_Trait_Coef!$A:$B,2,FALSE),0))+IF(G158="",0,IFNA(VLOOKUP(G158,Hitter_Trait_Coef!$A:$B,2,FALSE),0)))</f>
        <v/>
      </c>
      <c r="X158">
        <f>IF(Q158="P",IFNA(VLOOKUP(B158,Pitcher_Primary_Coef!$A:$B,2,FALSE),0),IFNA(VLOOKUP(B158,Hitter_Primary_Coef!$A:$B,2,FALSE),0))</f>
        <v/>
      </c>
      <c r="Y158">
        <f>IF(Q158="P",0,IFNA(VLOOKUP(IF(C158="","(none)",C158),Hitter_Secondary_Coef!$A:$B,2,FALSE),0))</f>
        <v/>
      </c>
      <c r="Z158">
        <f>IF(Q158="P",IF(ISNUMBER(SEARCH("2F",H158)),IFNA(VLOOKUP("2F",Pitch_Coef!$A:$B,2,FALSE),0),0)+IF(ISNUMBER(SEARCH("4F",H158)),IFNA(VLOOKUP("4F",Pitch_Coef!$A:$B,2,FALSE),0),0)+IF(ISNUMBER(SEARCH("CB",H158)),IFNA(VLOOKUP("CB",Pitch_Coef!$A:$B,2,FALSE),0),0)+IF(ISNUMBER(SEARCH("CF",H158)),IFNA(VLOOKUP("CF",Pitch_Coef!$A:$B,2,FALSE),0),0)+IF(ISNUMBER(SEARCH("CH",H158)),IFNA(VLOOKUP("CH",Pitch_Coef!$A:$B,2,FALSE),0),0)+IF(ISNUMBER(SEARCH("FK",H158)),IFNA(VLOOKUP("FK",Pitch_Coef!$A:$B,2,FALSE),0),0)+IF(ISNUMBER(SEARCH("SB",H158)),IFNA(VLOOKUP("SB",Pitch_Coef!$A:$B,2,FALSE),0),0)+IF(ISNUMBER(SEARCH("SL",H158)),IFNA(VLOOKUP("SL",Pitch_Coef!$A:$B,2,FALSE),0),0),0)</f>
        <v/>
      </c>
      <c r="AA158">
        <f>IF(Q158="P",16.5944849573+0.2529999141*N158+0.2665900378*O158+0.2632687105*P158+0.0427586837*I158+0.0534777057*J158+0.009015832*K158+0.0204898106*(O158*P158/100)+1.0091022427*U158+1.0968542297*IF(D158="L",1,0)+0.3771555045*IF(D158="S",1,0)-0.2226159177*IF(E158="L",1,0)+1.21385024*R158-1.1652812274*S158+W158+X158+Z158,10.5965166711+0.2825983581*I158+0.2806503532*J158+0.2027213083*K158+0.1147824982*L158+0.0915305332*M158-0.0088454122*(I158*J158/100)-0.0336045706*(K158*L158/100)+2.8497389733*IF(D158="L",1,0)+4.5116226727*IF(D158="S",1,0)-0.6571546448*IF(E158="L",1,0)+0.0850728147*T158+0.0129488446*(T158*T158)+0.1909373936*IF(OR(F158="Utility",G158="Utility"),T158,0)+0.9656824071*R158-1.7517683256*S158+W158+X158+Y158)</f>
        <v/>
      </c>
      <c r="AB158">
        <f>LOOKUP(AA158,Grade_Scale!$A$2:$A$18,Grade_Scale!$B$2:$B$18)</f>
        <v/>
      </c>
      <c r="AC158">
        <f>LOOKUP(AA158,Grade_Scale!$A$2:$A$18,Grade_Scale!$C$2:$C$18)</f>
        <v/>
      </c>
      <c r="AE158">
        <f>IF(AD158="","",AB158-VLOOKUP(AD158,Grade_Scale!$C$2:$E$18,3,FALSE))</f>
        <v/>
      </c>
    </row>
    <row r="159">
      <c r="Q159">
        <f>IF(OR(B159="SP",B159="RP",B159="CP",B159="SP/RP"),"P","H")</f>
        <v/>
      </c>
      <c r="R159">
        <f>IF(F159="",0,IFNA(VLOOKUP(F159,Trait_Polarity!$A:$C,2,FALSE),0))+IF(G159="",0,IFNA(VLOOKUP(G159,Trait_Polarity!$A:$C,2,FALSE),0))</f>
        <v/>
      </c>
      <c r="S159">
        <f>IF(F159="",0,IFNA(VLOOKUP(F159,Trait_Polarity!$A:$C,3,FALSE),0))+IF(G159="",0,IFNA(VLOOKUP(G159,Trait_Polarity!$A:$C,3,FALSE),0))</f>
        <v/>
      </c>
      <c r="T159">
        <f>IF(Q159="P",0,IFNA(VLOOKUP(IF(C159="","(none)",C159),Secondary_Versatility!$A:$B,2,FALSE),0))</f>
        <v/>
      </c>
      <c r="U159">
        <f>IF(H159="",0,LEN(H159)-LEN(SUBSTITUTE(H159,"|",""))+1)</f>
        <v/>
      </c>
      <c r="V159">
        <f>IF(Q159="P",(N159+O159+P159)/3,0.3*I159+0.3*J159+0.2*K159+0.1*L159+0.1*M159)</f>
        <v/>
      </c>
      <c r="W159">
        <f>IF(Q159="P",IF(F159="",0,IFNA(VLOOKUP(F159,Pitcher_Trait_Coef!$A:$B,2,FALSE),0))+IF(G159="",0,IFNA(VLOOKUP(G159,Pitcher_Trait_Coef!$A:$B,2,FALSE),0)),IF(F159="",0,IFNA(VLOOKUP(F159,Hitter_Trait_Coef!$A:$B,2,FALSE),0))+IF(G159="",0,IFNA(VLOOKUP(G159,Hitter_Trait_Coef!$A:$B,2,FALSE),0)))</f>
        <v/>
      </c>
      <c r="X159">
        <f>IF(Q159="P",IFNA(VLOOKUP(B159,Pitcher_Primary_Coef!$A:$B,2,FALSE),0),IFNA(VLOOKUP(B159,Hitter_Primary_Coef!$A:$B,2,FALSE),0))</f>
        <v/>
      </c>
      <c r="Y159">
        <f>IF(Q159="P",0,IFNA(VLOOKUP(IF(C159="","(none)",C159),Hitter_Secondary_Coef!$A:$B,2,FALSE),0))</f>
        <v/>
      </c>
      <c r="Z159">
        <f>IF(Q159="P",IF(ISNUMBER(SEARCH("2F",H159)),IFNA(VLOOKUP("2F",Pitch_Coef!$A:$B,2,FALSE),0),0)+IF(ISNUMBER(SEARCH("4F",H159)),IFNA(VLOOKUP("4F",Pitch_Coef!$A:$B,2,FALSE),0),0)+IF(ISNUMBER(SEARCH("CB",H159)),IFNA(VLOOKUP("CB",Pitch_Coef!$A:$B,2,FALSE),0),0)+IF(ISNUMBER(SEARCH("CF",H159)),IFNA(VLOOKUP("CF",Pitch_Coef!$A:$B,2,FALSE),0),0)+IF(ISNUMBER(SEARCH("CH",H159)),IFNA(VLOOKUP("CH",Pitch_Coef!$A:$B,2,FALSE),0),0)+IF(ISNUMBER(SEARCH("FK",H159)),IFNA(VLOOKUP("FK",Pitch_Coef!$A:$B,2,FALSE),0),0)+IF(ISNUMBER(SEARCH("SB",H159)),IFNA(VLOOKUP("SB",Pitch_Coef!$A:$B,2,FALSE),0),0)+IF(ISNUMBER(SEARCH("SL",H159)),IFNA(VLOOKUP("SL",Pitch_Coef!$A:$B,2,FALSE),0),0),0)</f>
        <v/>
      </c>
      <c r="AA159">
        <f>IF(Q159="P",16.5944849573+0.2529999141*N159+0.2665900378*O159+0.2632687105*P159+0.0427586837*I159+0.0534777057*J159+0.009015832*K159+0.0204898106*(O159*P159/100)+1.0091022427*U159+1.0968542297*IF(D159="L",1,0)+0.3771555045*IF(D159="S",1,0)-0.2226159177*IF(E159="L",1,0)+1.21385024*R159-1.1652812274*S159+W159+X159+Z159,10.5965166711+0.2825983581*I159+0.2806503532*J159+0.2027213083*K159+0.1147824982*L159+0.0915305332*M159-0.0088454122*(I159*J159/100)-0.0336045706*(K159*L159/100)+2.8497389733*IF(D159="L",1,0)+4.5116226727*IF(D159="S",1,0)-0.6571546448*IF(E159="L",1,0)+0.0850728147*T159+0.0129488446*(T159*T159)+0.1909373936*IF(OR(F159="Utility",G159="Utility"),T159,0)+0.9656824071*R159-1.7517683256*S159+W159+X159+Y159)</f>
        <v/>
      </c>
      <c r="AB159">
        <f>LOOKUP(AA159,Grade_Scale!$A$2:$A$18,Grade_Scale!$B$2:$B$18)</f>
        <v/>
      </c>
      <c r="AC159">
        <f>LOOKUP(AA159,Grade_Scale!$A$2:$A$18,Grade_Scale!$C$2:$C$18)</f>
        <v/>
      </c>
      <c r="AE159">
        <f>IF(AD159="","",AB159-VLOOKUP(AD159,Grade_Scale!$C$2:$E$18,3,FALSE))</f>
        <v/>
      </c>
    </row>
    <row r="160">
      <c r="Q160">
        <f>IF(OR(B160="SP",B160="RP",B160="CP",B160="SP/RP"),"P","H")</f>
        <v/>
      </c>
      <c r="R160">
        <f>IF(F160="",0,IFNA(VLOOKUP(F160,Trait_Polarity!$A:$C,2,FALSE),0))+IF(G160="",0,IFNA(VLOOKUP(G160,Trait_Polarity!$A:$C,2,FALSE),0))</f>
        <v/>
      </c>
      <c r="S160">
        <f>IF(F160="",0,IFNA(VLOOKUP(F160,Trait_Polarity!$A:$C,3,FALSE),0))+IF(G160="",0,IFNA(VLOOKUP(G160,Trait_Polarity!$A:$C,3,FALSE),0))</f>
        <v/>
      </c>
      <c r="T160">
        <f>IF(Q160="P",0,IFNA(VLOOKUP(IF(C160="","(none)",C160),Secondary_Versatility!$A:$B,2,FALSE),0))</f>
        <v/>
      </c>
      <c r="U160">
        <f>IF(H160="",0,LEN(H160)-LEN(SUBSTITUTE(H160,"|",""))+1)</f>
        <v/>
      </c>
      <c r="V160">
        <f>IF(Q160="P",(N160+O160+P160)/3,0.3*I160+0.3*J160+0.2*K160+0.1*L160+0.1*M160)</f>
        <v/>
      </c>
      <c r="W160">
        <f>IF(Q160="P",IF(F160="",0,IFNA(VLOOKUP(F160,Pitcher_Trait_Coef!$A:$B,2,FALSE),0))+IF(G160="",0,IFNA(VLOOKUP(G160,Pitcher_Trait_Coef!$A:$B,2,FALSE),0)),IF(F160="",0,IFNA(VLOOKUP(F160,Hitter_Trait_Coef!$A:$B,2,FALSE),0))+IF(G160="",0,IFNA(VLOOKUP(G160,Hitter_Trait_Coef!$A:$B,2,FALSE),0)))</f>
        <v/>
      </c>
      <c r="X160">
        <f>IF(Q160="P",IFNA(VLOOKUP(B160,Pitcher_Primary_Coef!$A:$B,2,FALSE),0),IFNA(VLOOKUP(B160,Hitter_Primary_Coef!$A:$B,2,FALSE),0))</f>
        <v/>
      </c>
      <c r="Y160">
        <f>IF(Q160="P",0,IFNA(VLOOKUP(IF(C160="","(none)",C160),Hitter_Secondary_Coef!$A:$B,2,FALSE),0))</f>
        <v/>
      </c>
      <c r="Z160">
        <f>IF(Q160="P",IF(ISNUMBER(SEARCH("2F",H160)),IFNA(VLOOKUP("2F",Pitch_Coef!$A:$B,2,FALSE),0),0)+IF(ISNUMBER(SEARCH("4F",H160)),IFNA(VLOOKUP("4F",Pitch_Coef!$A:$B,2,FALSE),0),0)+IF(ISNUMBER(SEARCH("CB",H160)),IFNA(VLOOKUP("CB",Pitch_Coef!$A:$B,2,FALSE),0),0)+IF(ISNUMBER(SEARCH("CF",H160)),IFNA(VLOOKUP("CF",Pitch_Coef!$A:$B,2,FALSE),0),0)+IF(ISNUMBER(SEARCH("CH",H160)),IFNA(VLOOKUP("CH",Pitch_Coef!$A:$B,2,FALSE),0),0)+IF(ISNUMBER(SEARCH("FK",H160)),IFNA(VLOOKUP("FK",Pitch_Coef!$A:$B,2,FALSE),0),0)+IF(ISNUMBER(SEARCH("SB",H160)),IFNA(VLOOKUP("SB",Pitch_Coef!$A:$B,2,FALSE),0),0)+IF(ISNUMBER(SEARCH("SL",H160)),IFNA(VLOOKUP("SL",Pitch_Coef!$A:$B,2,FALSE),0),0),0)</f>
        <v/>
      </c>
      <c r="AA160">
        <f>IF(Q160="P",16.5944849573+0.2529999141*N160+0.2665900378*O160+0.2632687105*P160+0.0427586837*I160+0.0534777057*J160+0.009015832*K160+0.0204898106*(O160*P160/100)+1.0091022427*U160+1.0968542297*IF(D160="L",1,0)+0.3771555045*IF(D160="S",1,0)-0.2226159177*IF(E160="L",1,0)+1.21385024*R160-1.1652812274*S160+W160+X160+Z160,10.5965166711+0.2825983581*I160+0.2806503532*J160+0.2027213083*K160+0.1147824982*L160+0.0915305332*M160-0.0088454122*(I160*J160/100)-0.0336045706*(K160*L160/100)+2.8497389733*IF(D160="L",1,0)+4.5116226727*IF(D160="S",1,0)-0.6571546448*IF(E160="L",1,0)+0.0850728147*T160+0.0129488446*(T160*T160)+0.1909373936*IF(OR(F160="Utility",G160="Utility"),T160,0)+0.9656824071*R160-1.7517683256*S160+W160+X160+Y160)</f>
        <v/>
      </c>
      <c r="AB160">
        <f>LOOKUP(AA160,Grade_Scale!$A$2:$A$18,Grade_Scale!$B$2:$B$18)</f>
        <v/>
      </c>
      <c r="AC160">
        <f>LOOKUP(AA160,Grade_Scale!$A$2:$A$18,Grade_Scale!$C$2:$C$18)</f>
        <v/>
      </c>
      <c r="AE160">
        <f>IF(AD160="","",AB160-VLOOKUP(AD160,Grade_Scale!$C$2:$E$18,3,FALSE))</f>
        <v/>
      </c>
    </row>
    <row r="161">
      <c r="Q161">
        <f>IF(OR(B161="SP",B161="RP",B161="CP",B161="SP/RP"),"P","H")</f>
        <v/>
      </c>
      <c r="R161">
        <f>IF(F161="",0,IFNA(VLOOKUP(F161,Trait_Polarity!$A:$C,2,FALSE),0))+IF(G161="",0,IFNA(VLOOKUP(G161,Trait_Polarity!$A:$C,2,FALSE),0))</f>
        <v/>
      </c>
      <c r="S161">
        <f>IF(F161="",0,IFNA(VLOOKUP(F161,Trait_Polarity!$A:$C,3,FALSE),0))+IF(G161="",0,IFNA(VLOOKUP(G161,Trait_Polarity!$A:$C,3,FALSE),0))</f>
        <v/>
      </c>
      <c r="T161">
        <f>IF(Q161="P",0,IFNA(VLOOKUP(IF(C161="","(none)",C161),Secondary_Versatility!$A:$B,2,FALSE),0))</f>
        <v/>
      </c>
      <c r="U161">
        <f>IF(H161="",0,LEN(H161)-LEN(SUBSTITUTE(H161,"|",""))+1)</f>
        <v/>
      </c>
      <c r="V161">
        <f>IF(Q161="P",(N161+O161+P161)/3,0.3*I161+0.3*J161+0.2*K161+0.1*L161+0.1*M161)</f>
        <v/>
      </c>
      <c r="W161">
        <f>IF(Q161="P",IF(F161="",0,IFNA(VLOOKUP(F161,Pitcher_Trait_Coef!$A:$B,2,FALSE),0))+IF(G161="",0,IFNA(VLOOKUP(G161,Pitcher_Trait_Coef!$A:$B,2,FALSE),0)),IF(F161="",0,IFNA(VLOOKUP(F161,Hitter_Trait_Coef!$A:$B,2,FALSE),0))+IF(G161="",0,IFNA(VLOOKUP(G161,Hitter_Trait_Coef!$A:$B,2,FALSE),0)))</f>
        <v/>
      </c>
      <c r="X161">
        <f>IF(Q161="P",IFNA(VLOOKUP(B161,Pitcher_Primary_Coef!$A:$B,2,FALSE),0),IFNA(VLOOKUP(B161,Hitter_Primary_Coef!$A:$B,2,FALSE),0))</f>
        <v/>
      </c>
      <c r="Y161">
        <f>IF(Q161="P",0,IFNA(VLOOKUP(IF(C161="","(none)",C161),Hitter_Secondary_Coef!$A:$B,2,FALSE),0))</f>
        <v/>
      </c>
      <c r="Z161">
        <f>IF(Q161="P",IF(ISNUMBER(SEARCH("2F",H161)),IFNA(VLOOKUP("2F",Pitch_Coef!$A:$B,2,FALSE),0),0)+IF(ISNUMBER(SEARCH("4F",H161)),IFNA(VLOOKUP("4F",Pitch_Coef!$A:$B,2,FALSE),0),0)+IF(ISNUMBER(SEARCH("CB",H161)),IFNA(VLOOKUP("CB",Pitch_Coef!$A:$B,2,FALSE),0),0)+IF(ISNUMBER(SEARCH("CF",H161)),IFNA(VLOOKUP("CF",Pitch_Coef!$A:$B,2,FALSE),0),0)+IF(ISNUMBER(SEARCH("CH",H161)),IFNA(VLOOKUP("CH",Pitch_Coef!$A:$B,2,FALSE),0),0)+IF(ISNUMBER(SEARCH("FK",H161)),IFNA(VLOOKUP("FK",Pitch_Coef!$A:$B,2,FALSE),0),0)+IF(ISNUMBER(SEARCH("SB",H161)),IFNA(VLOOKUP("SB",Pitch_Coef!$A:$B,2,FALSE),0),0)+IF(ISNUMBER(SEARCH("SL",H161)),IFNA(VLOOKUP("SL",Pitch_Coef!$A:$B,2,FALSE),0),0),0)</f>
        <v/>
      </c>
      <c r="AA161">
        <f>IF(Q161="P",16.5944849573+0.2529999141*N161+0.2665900378*O161+0.2632687105*P161+0.0427586837*I161+0.0534777057*J161+0.009015832*K161+0.0204898106*(O161*P161/100)+1.0091022427*U161+1.0968542297*IF(D161="L",1,0)+0.3771555045*IF(D161="S",1,0)-0.2226159177*IF(E161="L",1,0)+1.21385024*R161-1.1652812274*S161+W161+X161+Z161,10.5965166711+0.2825983581*I161+0.2806503532*J161+0.2027213083*K161+0.1147824982*L161+0.0915305332*M161-0.0088454122*(I161*J161/100)-0.0336045706*(K161*L161/100)+2.8497389733*IF(D161="L",1,0)+4.5116226727*IF(D161="S",1,0)-0.6571546448*IF(E161="L",1,0)+0.0850728147*T161+0.0129488446*(T161*T161)+0.1909373936*IF(OR(F161="Utility",G161="Utility"),T161,0)+0.9656824071*R161-1.7517683256*S161+W161+X161+Y161)</f>
        <v/>
      </c>
      <c r="AB161">
        <f>LOOKUP(AA161,Grade_Scale!$A$2:$A$18,Grade_Scale!$B$2:$B$18)</f>
        <v/>
      </c>
      <c r="AC161">
        <f>LOOKUP(AA161,Grade_Scale!$A$2:$A$18,Grade_Scale!$C$2:$C$18)</f>
        <v/>
      </c>
      <c r="AE161">
        <f>IF(AD161="","",AB161-VLOOKUP(AD161,Grade_Scale!$C$2:$E$18,3,FALSE))</f>
        <v/>
      </c>
    </row>
    <row r="162">
      <c r="Q162">
        <f>IF(OR(B162="SP",B162="RP",B162="CP",B162="SP/RP"),"P","H")</f>
        <v/>
      </c>
      <c r="R162">
        <f>IF(F162="",0,IFNA(VLOOKUP(F162,Trait_Polarity!$A:$C,2,FALSE),0))+IF(G162="",0,IFNA(VLOOKUP(G162,Trait_Polarity!$A:$C,2,FALSE),0))</f>
        <v/>
      </c>
      <c r="S162">
        <f>IF(F162="",0,IFNA(VLOOKUP(F162,Trait_Polarity!$A:$C,3,FALSE),0))+IF(G162="",0,IFNA(VLOOKUP(G162,Trait_Polarity!$A:$C,3,FALSE),0))</f>
        <v/>
      </c>
      <c r="T162">
        <f>IF(Q162="P",0,IFNA(VLOOKUP(IF(C162="","(none)",C162),Secondary_Versatility!$A:$B,2,FALSE),0))</f>
        <v/>
      </c>
      <c r="U162">
        <f>IF(H162="",0,LEN(H162)-LEN(SUBSTITUTE(H162,"|",""))+1)</f>
        <v/>
      </c>
      <c r="V162">
        <f>IF(Q162="P",(N162+O162+P162)/3,0.3*I162+0.3*J162+0.2*K162+0.1*L162+0.1*M162)</f>
        <v/>
      </c>
      <c r="W162">
        <f>IF(Q162="P",IF(F162="",0,IFNA(VLOOKUP(F162,Pitcher_Trait_Coef!$A:$B,2,FALSE),0))+IF(G162="",0,IFNA(VLOOKUP(G162,Pitcher_Trait_Coef!$A:$B,2,FALSE),0)),IF(F162="",0,IFNA(VLOOKUP(F162,Hitter_Trait_Coef!$A:$B,2,FALSE),0))+IF(G162="",0,IFNA(VLOOKUP(G162,Hitter_Trait_Coef!$A:$B,2,FALSE),0)))</f>
        <v/>
      </c>
      <c r="X162">
        <f>IF(Q162="P",IFNA(VLOOKUP(B162,Pitcher_Primary_Coef!$A:$B,2,FALSE),0),IFNA(VLOOKUP(B162,Hitter_Primary_Coef!$A:$B,2,FALSE),0))</f>
        <v/>
      </c>
      <c r="Y162">
        <f>IF(Q162="P",0,IFNA(VLOOKUP(IF(C162="","(none)",C162),Hitter_Secondary_Coef!$A:$B,2,FALSE),0))</f>
        <v/>
      </c>
      <c r="Z162">
        <f>IF(Q162="P",IF(ISNUMBER(SEARCH("2F",H162)),IFNA(VLOOKUP("2F",Pitch_Coef!$A:$B,2,FALSE),0),0)+IF(ISNUMBER(SEARCH("4F",H162)),IFNA(VLOOKUP("4F",Pitch_Coef!$A:$B,2,FALSE),0),0)+IF(ISNUMBER(SEARCH("CB",H162)),IFNA(VLOOKUP("CB",Pitch_Coef!$A:$B,2,FALSE),0),0)+IF(ISNUMBER(SEARCH("CF",H162)),IFNA(VLOOKUP("CF",Pitch_Coef!$A:$B,2,FALSE),0),0)+IF(ISNUMBER(SEARCH("CH",H162)),IFNA(VLOOKUP("CH",Pitch_Coef!$A:$B,2,FALSE),0),0)+IF(ISNUMBER(SEARCH("FK",H162)),IFNA(VLOOKUP("FK",Pitch_Coef!$A:$B,2,FALSE),0),0)+IF(ISNUMBER(SEARCH("SB",H162)),IFNA(VLOOKUP("SB",Pitch_Coef!$A:$B,2,FALSE),0),0)+IF(ISNUMBER(SEARCH("SL",H162)),IFNA(VLOOKUP("SL",Pitch_Coef!$A:$B,2,FALSE),0),0),0)</f>
        <v/>
      </c>
      <c r="AA162">
        <f>IF(Q162="P",16.5944849573+0.2529999141*N162+0.2665900378*O162+0.2632687105*P162+0.0427586837*I162+0.0534777057*J162+0.009015832*K162+0.0204898106*(O162*P162/100)+1.0091022427*U162+1.0968542297*IF(D162="L",1,0)+0.3771555045*IF(D162="S",1,0)-0.2226159177*IF(E162="L",1,0)+1.21385024*R162-1.1652812274*S162+W162+X162+Z162,10.5965166711+0.2825983581*I162+0.2806503532*J162+0.2027213083*K162+0.1147824982*L162+0.0915305332*M162-0.0088454122*(I162*J162/100)-0.0336045706*(K162*L162/100)+2.8497389733*IF(D162="L",1,0)+4.5116226727*IF(D162="S",1,0)-0.6571546448*IF(E162="L",1,0)+0.0850728147*T162+0.0129488446*(T162*T162)+0.1909373936*IF(OR(F162="Utility",G162="Utility"),T162,0)+0.9656824071*R162-1.7517683256*S162+W162+X162+Y162)</f>
        <v/>
      </c>
      <c r="AB162">
        <f>LOOKUP(AA162,Grade_Scale!$A$2:$A$18,Grade_Scale!$B$2:$B$18)</f>
        <v/>
      </c>
      <c r="AC162">
        <f>LOOKUP(AA162,Grade_Scale!$A$2:$A$18,Grade_Scale!$C$2:$C$18)</f>
        <v/>
      </c>
      <c r="AE162">
        <f>IF(AD162="","",AB162-VLOOKUP(AD162,Grade_Scale!$C$2:$E$18,3,FALSE))</f>
        <v/>
      </c>
    </row>
    <row r="163">
      <c r="Q163">
        <f>IF(OR(B163="SP",B163="RP",B163="CP",B163="SP/RP"),"P","H")</f>
        <v/>
      </c>
      <c r="R163">
        <f>IF(F163="",0,IFNA(VLOOKUP(F163,Trait_Polarity!$A:$C,2,FALSE),0))+IF(G163="",0,IFNA(VLOOKUP(G163,Trait_Polarity!$A:$C,2,FALSE),0))</f>
        <v/>
      </c>
      <c r="S163">
        <f>IF(F163="",0,IFNA(VLOOKUP(F163,Trait_Polarity!$A:$C,3,FALSE),0))+IF(G163="",0,IFNA(VLOOKUP(G163,Trait_Polarity!$A:$C,3,FALSE),0))</f>
        <v/>
      </c>
      <c r="T163">
        <f>IF(Q163="P",0,IFNA(VLOOKUP(IF(C163="","(none)",C163),Secondary_Versatility!$A:$B,2,FALSE),0))</f>
        <v/>
      </c>
      <c r="U163">
        <f>IF(H163="",0,LEN(H163)-LEN(SUBSTITUTE(H163,"|",""))+1)</f>
        <v/>
      </c>
      <c r="V163">
        <f>IF(Q163="P",(N163+O163+P163)/3,0.3*I163+0.3*J163+0.2*K163+0.1*L163+0.1*M163)</f>
        <v/>
      </c>
      <c r="W163">
        <f>IF(Q163="P",IF(F163="",0,IFNA(VLOOKUP(F163,Pitcher_Trait_Coef!$A:$B,2,FALSE),0))+IF(G163="",0,IFNA(VLOOKUP(G163,Pitcher_Trait_Coef!$A:$B,2,FALSE),0)),IF(F163="",0,IFNA(VLOOKUP(F163,Hitter_Trait_Coef!$A:$B,2,FALSE),0))+IF(G163="",0,IFNA(VLOOKUP(G163,Hitter_Trait_Coef!$A:$B,2,FALSE),0)))</f>
        <v/>
      </c>
      <c r="X163">
        <f>IF(Q163="P",IFNA(VLOOKUP(B163,Pitcher_Primary_Coef!$A:$B,2,FALSE),0),IFNA(VLOOKUP(B163,Hitter_Primary_Coef!$A:$B,2,FALSE),0))</f>
        <v/>
      </c>
      <c r="Y163">
        <f>IF(Q163="P",0,IFNA(VLOOKUP(IF(C163="","(none)",C163),Hitter_Secondary_Coef!$A:$B,2,FALSE),0))</f>
        <v/>
      </c>
      <c r="Z163">
        <f>IF(Q163="P",IF(ISNUMBER(SEARCH("2F",H163)),IFNA(VLOOKUP("2F",Pitch_Coef!$A:$B,2,FALSE),0),0)+IF(ISNUMBER(SEARCH("4F",H163)),IFNA(VLOOKUP("4F",Pitch_Coef!$A:$B,2,FALSE),0),0)+IF(ISNUMBER(SEARCH("CB",H163)),IFNA(VLOOKUP("CB",Pitch_Coef!$A:$B,2,FALSE),0),0)+IF(ISNUMBER(SEARCH("CF",H163)),IFNA(VLOOKUP("CF",Pitch_Coef!$A:$B,2,FALSE),0),0)+IF(ISNUMBER(SEARCH("CH",H163)),IFNA(VLOOKUP("CH",Pitch_Coef!$A:$B,2,FALSE),0),0)+IF(ISNUMBER(SEARCH("FK",H163)),IFNA(VLOOKUP("FK",Pitch_Coef!$A:$B,2,FALSE),0),0)+IF(ISNUMBER(SEARCH("SB",H163)),IFNA(VLOOKUP("SB",Pitch_Coef!$A:$B,2,FALSE),0),0)+IF(ISNUMBER(SEARCH("SL",H163)),IFNA(VLOOKUP("SL",Pitch_Coef!$A:$B,2,FALSE),0),0),0)</f>
        <v/>
      </c>
      <c r="AA163">
        <f>IF(Q163="P",16.5944849573+0.2529999141*N163+0.2665900378*O163+0.2632687105*P163+0.0427586837*I163+0.0534777057*J163+0.009015832*K163+0.0204898106*(O163*P163/100)+1.0091022427*U163+1.0968542297*IF(D163="L",1,0)+0.3771555045*IF(D163="S",1,0)-0.2226159177*IF(E163="L",1,0)+1.21385024*R163-1.1652812274*S163+W163+X163+Z163,10.5965166711+0.2825983581*I163+0.2806503532*J163+0.2027213083*K163+0.1147824982*L163+0.0915305332*M163-0.0088454122*(I163*J163/100)-0.0336045706*(K163*L163/100)+2.8497389733*IF(D163="L",1,0)+4.5116226727*IF(D163="S",1,0)-0.6571546448*IF(E163="L",1,0)+0.0850728147*T163+0.0129488446*(T163*T163)+0.1909373936*IF(OR(F163="Utility",G163="Utility"),T163,0)+0.9656824071*R163-1.7517683256*S163+W163+X163+Y163)</f>
        <v/>
      </c>
      <c r="AB163">
        <f>LOOKUP(AA163,Grade_Scale!$A$2:$A$18,Grade_Scale!$B$2:$B$18)</f>
        <v/>
      </c>
      <c r="AC163">
        <f>LOOKUP(AA163,Grade_Scale!$A$2:$A$18,Grade_Scale!$C$2:$C$18)</f>
        <v/>
      </c>
      <c r="AE163">
        <f>IF(AD163="","",AB163-VLOOKUP(AD163,Grade_Scale!$C$2:$E$18,3,FALSE))</f>
        <v/>
      </c>
    </row>
    <row r="164">
      <c r="Q164">
        <f>IF(OR(B164="SP",B164="RP",B164="CP",B164="SP/RP"),"P","H")</f>
        <v/>
      </c>
      <c r="R164">
        <f>IF(F164="",0,IFNA(VLOOKUP(F164,Trait_Polarity!$A:$C,2,FALSE),0))+IF(G164="",0,IFNA(VLOOKUP(G164,Trait_Polarity!$A:$C,2,FALSE),0))</f>
        <v/>
      </c>
      <c r="S164">
        <f>IF(F164="",0,IFNA(VLOOKUP(F164,Trait_Polarity!$A:$C,3,FALSE),0))+IF(G164="",0,IFNA(VLOOKUP(G164,Trait_Polarity!$A:$C,3,FALSE),0))</f>
        <v/>
      </c>
      <c r="T164">
        <f>IF(Q164="P",0,IFNA(VLOOKUP(IF(C164="","(none)",C164),Secondary_Versatility!$A:$B,2,FALSE),0))</f>
        <v/>
      </c>
      <c r="U164">
        <f>IF(H164="",0,LEN(H164)-LEN(SUBSTITUTE(H164,"|",""))+1)</f>
        <v/>
      </c>
      <c r="V164">
        <f>IF(Q164="P",(N164+O164+P164)/3,0.3*I164+0.3*J164+0.2*K164+0.1*L164+0.1*M164)</f>
        <v/>
      </c>
      <c r="W164">
        <f>IF(Q164="P",IF(F164="",0,IFNA(VLOOKUP(F164,Pitcher_Trait_Coef!$A:$B,2,FALSE),0))+IF(G164="",0,IFNA(VLOOKUP(G164,Pitcher_Trait_Coef!$A:$B,2,FALSE),0)),IF(F164="",0,IFNA(VLOOKUP(F164,Hitter_Trait_Coef!$A:$B,2,FALSE),0))+IF(G164="",0,IFNA(VLOOKUP(G164,Hitter_Trait_Coef!$A:$B,2,FALSE),0)))</f>
        <v/>
      </c>
      <c r="X164">
        <f>IF(Q164="P",IFNA(VLOOKUP(B164,Pitcher_Primary_Coef!$A:$B,2,FALSE),0),IFNA(VLOOKUP(B164,Hitter_Primary_Coef!$A:$B,2,FALSE),0))</f>
        <v/>
      </c>
      <c r="Y164">
        <f>IF(Q164="P",0,IFNA(VLOOKUP(IF(C164="","(none)",C164),Hitter_Secondary_Coef!$A:$B,2,FALSE),0))</f>
        <v/>
      </c>
      <c r="Z164">
        <f>IF(Q164="P",IF(ISNUMBER(SEARCH("2F",H164)),IFNA(VLOOKUP("2F",Pitch_Coef!$A:$B,2,FALSE),0),0)+IF(ISNUMBER(SEARCH("4F",H164)),IFNA(VLOOKUP("4F",Pitch_Coef!$A:$B,2,FALSE),0),0)+IF(ISNUMBER(SEARCH("CB",H164)),IFNA(VLOOKUP("CB",Pitch_Coef!$A:$B,2,FALSE),0),0)+IF(ISNUMBER(SEARCH("CF",H164)),IFNA(VLOOKUP("CF",Pitch_Coef!$A:$B,2,FALSE),0),0)+IF(ISNUMBER(SEARCH("CH",H164)),IFNA(VLOOKUP("CH",Pitch_Coef!$A:$B,2,FALSE),0),0)+IF(ISNUMBER(SEARCH("FK",H164)),IFNA(VLOOKUP("FK",Pitch_Coef!$A:$B,2,FALSE),0),0)+IF(ISNUMBER(SEARCH("SB",H164)),IFNA(VLOOKUP("SB",Pitch_Coef!$A:$B,2,FALSE),0),0)+IF(ISNUMBER(SEARCH("SL",H164)),IFNA(VLOOKUP("SL",Pitch_Coef!$A:$B,2,FALSE),0),0),0)</f>
        <v/>
      </c>
      <c r="AA164">
        <f>IF(Q164="P",16.5944849573+0.2529999141*N164+0.2665900378*O164+0.2632687105*P164+0.0427586837*I164+0.0534777057*J164+0.009015832*K164+0.0204898106*(O164*P164/100)+1.0091022427*U164+1.0968542297*IF(D164="L",1,0)+0.3771555045*IF(D164="S",1,0)-0.2226159177*IF(E164="L",1,0)+1.21385024*R164-1.1652812274*S164+W164+X164+Z164,10.5965166711+0.2825983581*I164+0.2806503532*J164+0.2027213083*K164+0.1147824982*L164+0.0915305332*M164-0.0088454122*(I164*J164/100)-0.0336045706*(K164*L164/100)+2.8497389733*IF(D164="L",1,0)+4.5116226727*IF(D164="S",1,0)-0.6571546448*IF(E164="L",1,0)+0.0850728147*T164+0.0129488446*(T164*T164)+0.1909373936*IF(OR(F164="Utility",G164="Utility"),T164,0)+0.9656824071*R164-1.7517683256*S164+W164+X164+Y164)</f>
        <v/>
      </c>
      <c r="AB164">
        <f>LOOKUP(AA164,Grade_Scale!$A$2:$A$18,Grade_Scale!$B$2:$B$18)</f>
        <v/>
      </c>
      <c r="AC164">
        <f>LOOKUP(AA164,Grade_Scale!$A$2:$A$18,Grade_Scale!$C$2:$C$18)</f>
        <v/>
      </c>
      <c r="AE164">
        <f>IF(AD164="","",AB164-VLOOKUP(AD164,Grade_Scale!$C$2:$E$18,3,FALSE))</f>
        <v/>
      </c>
    </row>
    <row r="165">
      <c r="Q165">
        <f>IF(OR(B165="SP",B165="RP",B165="CP",B165="SP/RP"),"P","H")</f>
        <v/>
      </c>
      <c r="R165">
        <f>IF(F165="",0,IFNA(VLOOKUP(F165,Trait_Polarity!$A:$C,2,FALSE),0))+IF(G165="",0,IFNA(VLOOKUP(G165,Trait_Polarity!$A:$C,2,FALSE),0))</f>
        <v/>
      </c>
      <c r="S165">
        <f>IF(F165="",0,IFNA(VLOOKUP(F165,Trait_Polarity!$A:$C,3,FALSE),0))+IF(G165="",0,IFNA(VLOOKUP(G165,Trait_Polarity!$A:$C,3,FALSE),0))</f>
        <v/>
      </c>
      <c r="T165">
        <f>IF(Q165="P",0,IFNA(VLOOKUP(IF(C165="","(none)",C165),Secondary_Versatility!$A:$B,2,FALSE),0))</f>
        <v/>
      </c>
      <c r="U165">
        <f>IF(H165="",0,LEN(H165)-LEN(SUBSTITUTE(H165,"|",""))+1)</f>
        <v/>
      </c>
      <c r="V165">
        <f>IF(Q165="P",(N165+O165+P165)/3,0.3*I165+0.3*J165+0.2*K165+0.1*L165+0.1*M165)</f>
        <v/>
      </c>
      <c r="W165">
        <f>IF(Q165="P",IF(F165="",0,IFNA(VLOOKUP(F165,Pitcher_Trait_Coef!$A:$B,2,FALSE),0))+IF(G165="",0,IFNA(VLOOKUP(G165,Pitcher_Trait_Coef!$A:$B,2,FALSE),0)),IF(F165="",0,IFNA(VLOOKUP(F165,Hitter_Trait_Coef!$A:$B,2,FALSE),0))+IF(G165="",0,IFNA(VLOOKUP(G165,Hitter_Trait_Coef!$A:$B,2,FALSE),0)))</f>
        <v/>
      </c>
      <c r="X165">
        <f>IF(Q165="P",IFNA(VLOOKUP(B165,Pitcher_Primary_Coef!$A:$B,2,FALSE),0),IFNA(VLOOKUP(B165,Hitter_Primary_Coef!$A:$B,2,FALSE),0))</f>
        <v/>
      </c>
      <c r="Y165">
        <f>IF(Q165="P",0,IFNA(VLOOKUP(IF(C165="","(none)",C165),Hitter_Secondary_Coef!$A:$B,2,FALSE),0))</f>
        <v/>
      </c>
      <c r="Z165">
        <f>IF(Q165="P",IF(ISNUMBER(SEARCH("2F",H165)),IFNA(VLOOKUP("2F",Pitch_Coef!$A:$B,2,FALSE),0),0)+IF(ISNUMBER(SEARCH("4F",H165)),IFNA(VLOOKUP("4F",Pitch_Coef!$A:$B,2,FALSE),0),0)+IF(ISNUMBER(SEARCH("CB",H165)),IFNA(VLOOKUP("CB",Pitch_Coef!$A:$B,2,FALSE),0),0)+IF(ISNUMBER(SEARCH("CF",H165)),IFNA(VLOOKUP("CF",Pitch_Coef!$A:$B,2,FALSE),0),0)+IF(ISNUMBER(SEARCH("CH",H165)),IFNA(VLOOKUP("CH",Pitch_Coef!$A:$B,2,FALSE),0),0)+IF(ISNUMBER(SEARCH("FK",H165)),IFNA(VLOOKUP("FK",Pitch_Coef!$A:$B,2,FALSE),0),0)+IF(ISNUMBER(SEARCH("SB",H165)),IFNA(VLOOKUP("SB",Pitch_Coef!$A:$B,2,FALSE),0),0)+IF(ISNUMBER(SEARCH("SL",H165)),IFNA(VLOOKUP("SL",Pitch_Coef!$A:$B,2,FALSE),0),0),0)</f>
        <v/>
      </c>
      <c r="AA165">
        <f>IF(Q165="P",16.5944849573+0.2529999141*N165+0.2665900378*O165+0.2632687105*P165+0.0427586837*I165+0.0534777057*J165+0.009015832*K165+0.0204898106*(O165*P165/100)+1.0091022427*U165+1.0968542297*IF(D165="L",1,0)+0.3771555045*IF(D165="S",1,0)-0.2226159177*IF(E165="L",1,0)+1.21385024*R165-1.1652812274*S165+W165+X165+Z165,10.5965166711+0.2825983581*I165+0.2806503532*J165+0.2027213083*K165+0.1147824982*L165+0.0915305332*M165-0.0088454122*(I165*J165/100)-0.0336045706*(K165*L165/100)+2.8497389733*IF(D165="L",1,0)+4.5116226727*IF(D165="S",1,0)-0.6571546448*IF(E165="L",1,0)+0.0850728147*T165+0.0129488446*(T165*T165)+0.1909373936*IF(OR(F165="Utility",G165="Utility"),T165,0)+0.9656824071*R165-1.7517683256*S165+W165+X165+Y165)</f>
        <v/>
      </c>
      <c r="AB165">
        <f>LOOKUP(AA165,Grade_Scale!$A$2:$A$18,Grade_Scale!$B$2:$B$18)</f>
        <v/>
      </c>
      <c r="AC165">
        <f>LOOKUP(AA165,Grade_Scale!$A$2:$A$18,Grade_Scale!$C$2:$C$18)</f>
        <v/>
      </c>
      <c r="AE165">
        <f>IF(AD165="","",AB165-VLOOKUP(AD165,Grade_Scale!$C$2:$E$18,3,FALSE))</f>
        <v/>
      </c>
    </row>
    <row r="166">
      <c r="Q166">
        <f>IF(OR(B166="SP",B166="RP",B166="CP",B166="SP/RP"),"P","H")</f>
        <v/>
      </c>
      <c r="R166">
        <f>IF(F166="",0,IFNA(VLOOKUP(F166,Trait_Polarity!$A:$C,2,FALSE),0))+IF(G166="",0,IFNA(VLOOKUP(G166,Trait_Polarity!$A:$C,2,FALSE),0))</f>
        <v/>
      </c>
      <c r="S166">
        <f>IF(F166="",0,IFNA(VLOOKUP(F166,Trait_Polarity!$A:$C,3,FALSE),0))+IF(G166="",0,IFNA(VLOOKUP(G166,Trait_Polarity!$A:$C,3,FALSE),0))</f>
        <v/>
      </c>
      <c r="T166">
        <f>IF(Q166="P",0,IFNA(VLOOKUP(IF(C166="","(none)",C166),Secondary_Versatility!$A:$B,2,FALSE),0))</f>
        <v/>
      </c>
      <c r="U166">
        <f>IF(H166="",0,LEN(H166)-LEN(SUBSTITUTE(H166,"|",""))+1)</f>
        <v/>
      </c>
      <c r="V166">
        <f>IF(Q166="P",(N166+O166+P166)/3,0.3*I166+0.3*J166+0.2*K166+0.1*L166+0.1*M166)</f>
        <v/>
      </c>
      <c r="W166">
        <f>IF(Q166="P",IF(F166="",0,IFNA(VLOOKUP(F166,Pitcher_Trait_Coef!$A:$B,2,FALSE),0))+IF(G166="",0,IFNA(VLOOKUP(G166,Pitcher_Trait_Coef!$A:$B,2,FALSE),0)),IF(F166="",0,IFNA(VLOOKUP(F166,Hitter_Trait_Coef!$A:$B,2,FALSE),0))+IF(G166="",0,IFNA(VLOOKUP(G166,Hitter_Trait_Coef!$A:$B,2,FALSE),0)))</f>
        <v/>
      </c>
      <c r="X166">
        <f>IF(Q166="P",IFNA(VLOOKUP(B166,Pitcher_Primary_Coef!$A:$B,2,FALSE),0),IFNA(VLOOKUP(B166,Hitter_Primary_Coef!$A:$B,2,FALSE),0))</f>
        <v/>
      </c>
      <c r="Y166">
        <f>IF(Q166="P",0,IFNA(VLOOKUP(IF(C166="","(none)",C166),Hitter_Secondary_Coef!$A:$B,2,FALSE),0))</f>
        <v/>
      </c>
      <c r="Z166">
        <f>IF(Q166="P",IF(ISNUMBER(SEARCH("2F",H166)),IFNA(VLOOKUP("2F",Pitch_Coef!$A:$B,2,FALSE),0),0)+IF(ISNUMBER(SEARCH("4F",H166)),IFNA(VLOOKUP("4F",Pitch_Coef!$A:$B,2,FALSE),0),0)+IF(ISNUMBER(SEARCH("CB",H166)),IFNA(VLOOKUP("CB",Pitch_Coef!$A:$B,2,FALSE),0),0)+IF(ISNUMBER(SEARCH("CF",H166)),IFNA(VLOOKUP("CF",Pitch_Coef!$A:$B,2,FALSE),0),0)+IF(ISNUMBER(SEARCH("CH",H166)),IFNA(VLOOKUP("CH",Pitch_Coef!$A:$B,2,FALSE),0),0)+IF(ISNUMBER(SEARCH("FK",H166)),IFNA(VLOOKUP("FK",Pitch_Coef!$A:$B,2,FALSE),0),0)+IF(ISNUMBER(SEARCH("SB",H166)),IFNA(VLOOKUP("SB",Pitch_Coef!$A:$B,2,FALSE),0),0)+IF(ISNUMBER(SEARCH("SL",H166)),IFNA(VLOOKUP("SL",Pitch_Coef!$A:$B,2,FALSE),0),0),0)</f>
        <v/>
      </c>
      <c r="AA166">
        <f>IF(Q166="P",16.5944849573+0.2529999141*N166+0.2665900378*O166+0.2632687105*P166+0.0427586837*I166+0.0534777057*J166+0.009015832*K166+0.0204898106*(O166*P166/100)+1.0091022427*U166+1.0968542297*IF(D166="L",1,0)+0.3771555045*IF(D166="S",1,0)-0.2226159177*IF(E166="L",1,0)+1.21385024*R166-1.1652812274*S166+W166+X166+Z166,10.5965166711+0.2825983581*I166+0.2806503532*J166+0.2027213083*K166+0.1147824982*L166+0.0915305332*M166-0.0088454122*(I166*J166/100)-0.0336045706*(K166*L166/100)+2.8497389733*IF(D166="L",1,0)+4.5116226727*IF(D166="S",1,0)-0.6571546448*IF(E166="L",1,0)+0.0850728147*T166+0.0129488446*(T166*T166)+0.1909373936*IF(OR(F166="Utility",G166="Utility"),T166,0)+0.9656824071*R166-1.7517683256*S166+W166+X166+Y166)</f>
        <v/>
      </c>
      <c r="AB166">
        <f>LOOKUP(AA166,Grade_Scale!$A$2:$A$18,Grade_Scale!$B$2:$B$18)</f>
        <v/>
      </c>
      <c r="AC166">
        <f>LOOKUP(AA166,Grade_Scale!$A$2:$A$18,Grade_Scale!$C$2:$C$18)</f>
        <v/>
      </c>
      <c r="AE166">
        <f>IF(AD166="","",AB166-VLOOKUP(AD166,Grade_Scale!$C$2:$E$18,3,FALSE))</f>
        <v/>
      </c>
    </row>
    <row r="167">
      <c r="Q167">
        <f>IF(OR(B167="SP",B167="RP",B167="CP",B167="SP/RP"),"P","H")</f>
        <v/>
      </c>
      <c r="R167">
        <f>IF(F167="",0,IFNA(VLOOKUP(F167,Trait_Polarity!$A:$C,2,FALSE),0))+IF(G167="",0,IFNA(VLOOKUP(G167,Trait_Polarity!$A:$C,2,FALSE),0))</f>
        <v/>
      </c>
      <c r="S167">
        <f>IF(F167="",0,IFNA(VLOOKUP(F167,Trait_Polarity!$A:$C,3,FALSE),0))+IF(G167="",0,IFNA(VLOOKUP(G167,Trait_Polarity!$A:$C,3,FALSE),0))</f>
        <v/>
      </c>
      <c r="T167">
        <f>IF(Q167="P",0,IFNA(VLOOKUP(IF(C167="","(none)",C167),Secondary_Versatility!$A:$B,2,FALSE),0))</f>
        <v/>
      </c>
      <c r="U167">
        <f>IF(H167="",0,LEN(H167)-LEN(SUBSTITUTE(H167,"|",""))+1)</f>
        <v/>
      </c>
      <c r="V167">
        <f>IF(Q167="P",(N167+O167+P167)/3,0.3*I167+0.3*J167+0.2*K167+0.1*L167+0.1*M167)</f>
        <v/>
      </c>
      <c r="W167">
        <f>IF(Q167="P",IF(F167="",0,IFNA(VLOOKUP(F167,Pitcher_Trait_Coef!$A:$B,2,FALSE),0))+IF(G167="",0,IFNA(VLOOKUP(G167,Pitcher_Trait_Coef!$A:$B,2,FALSE),0)),IF(F167="",0,IFNA(VLOOKUP(F167,Hitter_Trait_Coef!$A:$B,2,FALSE),0))+IF(G167="",0,IFNA(VLOOKUP(G167,Hitter_Trait_Coef!$A:$B,2,FALSE),0)))</f>
        <v/>
      </c>
      <c r="X167">
        <f>IF(Q167="P",IFNA(VLOOKUP(B167,Pitcher_Primary_Coef!$A:$B,2,FALSE),0),IFNA(VLOOKUP(B167,Hitter_Primary_Coef!$A:$B,2,FALSE),0))</f>
        <v/>
      </c>
      <c r="Y167">
        <f>IF(Q167="P",0,IFNA(VLOOKUP(IF(C167="","(none)",C167),Hitter_Secondary_Coef!$A:$B,2,FALSE),0))</f>
        <v/>
      </c>
      <c r="Z167">
        <f>IF(Q167="P",IF(ISNUMBER(SEARCH("2F",H167)),IFNA(VLOOKUP("2F",Pitch_Coef!$A:$B,2,FALSE),0),0)+IF(ISNUMBER(SEARCH("4F",H167)),IFNA(VLOOKUP("4F",Pitch_Coef!$A:$B,2,FALSE),0),0)+IF(ISNUMBER(SEARCH("CB",H167)),IFNA(VLOOKUP("CB",Pitch_Coef!$A:$B,2,FALSE),0),0)+IF(ISNUMBER(SEARCH("CF",H167)),IFNA(VLOOKUP("CF",Pitch_Coef!$A:$B,2,FALSE),0),0)+IF(ISNUMBER(SEARCH("CH",H167)),IFNA(VLOOKUP("CH",Pitch_Coef!$A:$B,2,FALSE),0),0)+IF(ISNUMBER(SEARCH("FK",H167)),IFNA(VLOOKUP("FK",Pitch_Coef!$A:$B,2,FALSE),0),0)+IF(ISNUMBER(SEARCH("SB",H167)),IFNA(VLOOKUP("SB",Pitch_Coef!$A:$B,2,FALSE),0),0)+IF(ISNUMBER(SEARCH("SL",H167)),IFNA(VLOOKUP("SL",Pitch_Coef!$A:$B,2,FALSE),0),0),0)</f>
        <v/>
      </c>
      <c r="AA167">
        <f>IF(Q167="P",16.5944849573+0.2529999141*N167+0.2665900378*O167+0.2632687105*P167+0.0427586837*I167+0.0534777057*J167+0.009015832*K167+0.0204898106*(O167*P167/100)+1.0091022427*U167+1.0968542297*IF(D167="L",1,0)+0.3771555045*IF(D167="S",1,0)-0.2226159177*IF(E167="L",1,0)+1.21385024*R167-1.1652812274*S167+W167+X167+Z167,10.5965166711+0.2825983581*I167+0.2806503532*J167+0.2027213083*K167+0.1147824982*L167+0.0915305332*M167-0.0088454122*(I167*J167/100)-0.0336045706*(K167*L167/100)+2.8497389733*IF(D167="L",1,0)+4.5116226727*IF(D167="S",1,0)-0.6571546448*IF(E167="L",1,0)+0.0850728147*T167+0.0129488446*(T167*T167)+0.1909373936*IF(OR(F167="Utility",G167="Utility"),T167,0)+0.9656824071*R167-1.7517683256*S167+W167+X167+Y167)</f>
        <v/>
      </c>
      <c r="AB167">
        <f>LOOKUP(AA167,Grade_Scale!$A$2:$A$18,Grade_Scale!$B$2:$B$18)</f>
        <v/>
      </c>
      <c r="AC167">
        <f>LOOKUP(AA167,Grade_Scale!$A$2:$A$18,Grade_Scale!$C$2:$C$18)</f>
        <v/>
      </c>
      <c r="AE167">
        <f>IF(AD167="","",AB167-VLOOKUP(AD167,Grade_Scale!$C$2:$E$18,3,FALSE))</f>
        <v/>
      </c>
    </row>
    <row r="168">
      <c r="Q168">
        <f>IF(OR(B168="SP",B168="RP",B168="CP",B168="SP/RP"),"P","H")</f>
        <v/>
      </c>
      <c r="R168">
        <f>IF(F168="",0,IFNA(VLOOKUP(F168,Trait_Polarity!$A:$C,2,FALSE),0))+IF(G168="",0,IFNA(VLOOKUP(G168,Trait_Polarity!$A:$C,2,FALSE),0))</f>
        <v/>
      </c>
      <c r="S168">
        <f>IF(F168="",0,IFNA(VLOOKUP(F168,Trait_Polarity!$A:$C,3,FALSE),0))+IF(G168="",0,IFNA(VLOOKUP(G168,Trait_Polarity!$A:$C,3,FALSE),0))</f>
        <v/>
      </c>
      <c r="T168">
        <f>IF(Q168="P",0,IFNA(VLOOKUP(IF(C168="","(none)",C168),Secondary_Versatility!$A:$B,2,FALSE),0))</f>
        <v/>
      </c>
      <c r="U168">
        <f>IF(H168="",0,LEN(H168)-LEN(SUBSTITUTE(H168,"|",""))+1)</f>
        <v/>
      </c>
      <c r="V168">
        <f>IF(Q168="P",(N168+O168+P168)/3,0.3*I168+0.3*J168+0.2*K168+0.1*L168+0.1*M168)</f>
        <v/>
      </c>
      <c r="W168">
        <f>IF(Q168="P",IF(F168="",0,IFNA(VLOOKUP(F168,Pitcher_Trait_Coef!$A:$B,2,FALSE),0))+IF(G168="",0,IFNA(VLOOKUP(G168,Pitcher_Trait_Coef!$A:$B,2,FALSE),0)),IF(F168="",0,IFNA(VLOOKUP(F168,Hitter_Trait_Coef!$A:$B,2,FALSE),0))+IF(G168="",0,IFNA(VLOOKUP(G168,Hitter_Trait_Coef!$A:$B,2,FALSE),0)))</f>
        <v/>
      </c>
      <c r="X168">
        <f>IF(Q168="P",IFNA(VLOOKUP(B168,Pitcher_Primary_Coef!$A:$B,2,FALSE),0),IFNA(VLOOKUP(B168,Hitter_Primary_Coef!$A:$B,2,FALSE),0))</f>
        <v/>
      </c>
      <c r="Y168">
        <f>IF(Q168="P",0,IFNA(VLOOKUP(IF(C168="","(none)",C168),Hitter_Secondary_Coef!$A:$B,2,FALSE),0))</f>
        <v/>
      </c>
      <c r="Z168">
        <f>IF(Q168="P",IF(ISNUMBER(SEARCH("2F",H168)),IFNA(VLOOKUP("2F",Pitch_Coef!$A:$B,2,FALSE),0),0)+IF(ISNUMBER(SEARCH("4F",H168)),IFNA(VLOOKUP("4F",Pitch_Coef!$A:$B,2,FALSE),0),0)+IF(ISNUMBER(SEARCH("CB",H168)),IFNA(VLOOKUP("CB",Pitch_Coef!$A:$B,2,FALSE),0),0)+IF(ISNUMBER(SEARCH("CF",H168)),IFNA(VLOOKUP("CF",Pitch_Coef!$A:$B,2,FALSE),0),0)+IF(ISNUMBER(SEARCH("CH",H168)),IFNA(VLOOKUP("CH",Pitch_Coef!$A:$B,2,FALSE),0),0)+IF(ISNUMBER(SEARCH("FK",H168)),IFNA(VLOOKUP("FK",Pitch_Coef!$A:$B,2,FALSE),0),0)+IF(ISNUMBER(SEARCH("SB",H168)),IFNA(VLOOKUP("SB",Pitch_Coef!$A:$B,2,FALSE),0),0)+IF(ISNUMBER(SEARCH("SL",H168)),IFNA(VLOOKUP("SL",Pitch_Coef!$A:$B,2,FALSE),0),0),0)</f>
        <v/>
      </c>
      <c r="AA168">
        <f>IF(Q168="P",16.5944849573+0.2529999141*N168+0.2665900378*O168+0.2632687105*P168+0.0427586837*I168+0.0534777057*J168+0.009015832*K168+0.0204898106*(O168*P168/100)+1.0091022427*U168+1.0968542297*IF(D168="L",1,0)+0.3771555045*IF(D168="S",1,0)-0.2226159177*IF(E168="L",1,0)+1.21385024*R168-1.1652812274*S168+W168+X168+Z168,10.5965166711+0.2825983581*I168+0.2806503532*J168+0.2027213083*K168+0.1147824982*L168+0.0915305332*M168-0.0088454122*(I168*J168/100)-0.0336045706*(K168*L168/100)+2.8497389733*IF(D168="L",1,0)+4.5116226727*IF(D168="S",1,0)-0.6571546448*IF(E168="L",1,0)+0.0850728147*T168+0.0129488446*(T168*T168)+0.1909373936*IF(OR(F168="Utility",G168="Utility"),T168,0)+0.9656824071*R168-1.7517683256*S168+W168+X168+Y168)</f>
        <v/>
      </c>
      <c r="AB168">
        <f>LOOKUP(AA168,Grade_Scale!$A$2:$A$18,Grade_Scale!$B$2:$B$18)</f>
        <v/>
      </c>
      <c r="AC168">
        <f>LOOKUP(AA168,Grade_Scale!$A$2:$A$18,Grade_Scale!$C$2:$C$18)</f>
        <v/>
      </c>
      <c r="AE168">
        <f>IF(AD168="","",AB168-VLOOKUP(AD168,Grade_Scale!$C$2:$E$18,3,FALSE))</f>
        <v/>
      </c>
    </row>
    <row r="169">
      <c r="Q169">
        <f>IF(OR(B169="SP",B169="RP",B169="CP",B169="SP/RP"),"P","H")</f>
        <v/>
      </c>
      <c r="R169">
        <f>IF(F169="",0,IFNA(VLOOKUP(F169,Trait_Polarity!$A:$C,2,FALSE),0))+IF(G169="",0,IFNA(VLOOKUP(G169,Trait_Polarity!$A:$C,2,FALSE),0))</f>
        <v/>
      </c>
      <c r="S169">
        <f>IF(F169="",0,IFNA(VLOOKUP(F169,Trait_Polarity!$A:$C,3,FALSE),0))+IF(G169="",0,IFNA(VLOOKUP(G169,Trait_Polarity!$A:$C,3,FALSE),0))</f>
        <v/>
      </c>
      <c r="T169">
        <f>IF(Q169="P",0,IFNA(VLOOKUP(IF(C169="","(none)",C169),Secondary_Versatility!$A:$B,2,FALSE),0))</f>
        <v/>
      </c>
      <c r="U169">
        <f>IF(H169="",0,LEN(H169)-LEN(SUBSTITUTE(H169,"|",""))+1)</f>
        <v/>
      </c>
      <c r="V169">
        <f>IF(Q169="P",(N169+O169+P169)/3,0.3*I169+0.3*J169+0.2*K169+0.1*L169+0.1*M169)</f>
        <v/>
      </c>
      <c r="W169">
        <f>IF(Q169="P",IF(F169="",0,IFNA(VLOOKUP(F169,Pitcher_Trait_Coef!$A:$B,2,FALSE),0))+IF(G169="",0,IFNA(VLOOKUP(G169,Pitcher_Trait_Coef!$A:$B,2,FALSE),0)),IF(F169="",0,IFNA(VLOOKUP(F169,Hitter_Trait_Coef!$A:$B,2,FALSE),0))+IF(G169="",0,IFNA(VLOOKUP(G169,Hitter_Trait_Coef!$A:$B,2,FALSE),0)))</f>
        <v/>
      </c>
      <c r="X169">
        <f>IF(Q169="P",IFNA(VLOOKUP(B169,Pitcher_Primary_Coef!$A:$B,2,FALSE),0),IFNA(VLOOKUP(B169,Hitter_Primary_Coef!$A:$B,2,FALSE),0))</f>
        <v/>
      </c>
      <c r="Y169">
        <f>IF(Q169="P",0,IFNA(VLOOKUP(IF(C169="","(none)",C169),Hitter_Secondary_Coef!$A:$B,2,FALSE),0))</f>
        <v/>
      </c>
      <c r="Z169">
        <f>IF(Q169="P",IF(ISNUMBER(SEARCH("2F",H169)),IFNA(VLOOKUP("2F",Pitch_Coef!$A:$B,2,FALSE),0),0)+IF(ISNUMBER(SEARCH("4F",H169)),IFNA(VLOOKUP("4F",Pitch_Coef!$A:$B,2,FALSE),0),0)+IF(ISNUMBER(SEARCH("CB",H169)),IFNA(VLOOKUP("CB",Pitch_Coef!$A:$B,2,FALSE),0),0)+IF(ISNUMBER(SEARCH("CF",H169)),IFNA(VLOOKUP("CF",Pitch_Coef!$A:$B,2,FALSE),0),0)+IF(ISNUMBER(SEARCH("CH",H169)),IFNA(VLOOKUP("CH",Pitch_Coef!$A:$B,2,FALSE),0),0)+IF(ISNUMBER(SEARCH("FK",H169)),IFNA(VLOOKUP("FK",Pitch_Coef!$A:$B,2,FALSE),0),0)+IF(ISNUMBER(SEARCH("SB",H169)),IFNA(VLOOKUP("SB",Pitch_Coef!$A:$B,2,FALSE),0),0)+IF(ISNUMBER(SEARCH("SL",H169)),IFNA(VLOOKUP("SL",Pitch_Coef!$A:$B,2,FALSE),0),0),0)</f>
        <v/>
      </c>
      <c r="AA169">
        <f>IF(Q169="P",16.5944849573+0.2529999141*N169+0.2665900378*O169+0.2632687105*P169+0.0427586837*I169+0.0534777057*J169+0.009015832*K169+0.0204898106*(O169*P169/100)+1.0091022427*U169+1.0968542297*IF(D169="L",1,0)+0.3771555045*IF(D169="S",1,0)-0.2226159177*IF(E169="L",1,0)+1.21385024*R169-1.1652812274*S169+W169+X169+Z169,10.5965166711+0.2825983581*I169+0.2806503532*J169+0.2027213083*K169+0.1147824982*L169+0.0915305332*M169-0.0088454122*(I169*J169/100)-0.0336045706*(K169*L169/100)+2.8497389733*IF(D169="L",1,0)+4.5116226727*IF(D169="S",1,0)-0.6571546448*IF(E169="L",1,0)+0.0850728147*T169+0.0129488446*(T169*T169)+0.1909373936*IF(OR(F169="Utility",G169="Utility"),T169,0)+0.9656824071*R169-1.7517683256*S169+W169+X169+Y169)</f>
        <v/>
      </c>
      <c r="AB169">
        <f>LOOKUP(AA169,Grade_Scale!$A$2:$A$18,Grade_Scale!$B$2:$B$18)</f>
        <v/>
      </c>
      <c r="AC169">
        <f>LOOKUP(AA169,Grade_Scale!$A$2:$A$18,Grade_Scale!$C$2:$C$18)</f>
        <v/>
      </c>
      <c r="AE169">
        <f>IF(AD169="","",AB169-VLOOKUP(AD169,Grade_Scale!$C$2:$E$18,3,FALSE))</f>
        <v/>
      </c>
    </row>
    <row r="170">
      <c r="Q170">
        <f>IF(OR(B170="SP",B170="RP",B170="CP",B170="SP/RP"),"P","H")</f>
        <v/>
      </c>
      <c r="R170">
        <f>IF(F170="",0,IFNA(VLOOKUP(F170,Trait_Polarity!$A:$C,2,FALSE),0))+IF(G170="",0,IFNA(VLOOKUP(G170,Trait_Polarity!$A:$C,2,FALSE),0))</f>
        <v/>
      </c>
      <c r="S170">
        <f>IF(F170="",0,IFNA(VLOOKUP(F170,Trait_Polarity!$A:$C,3,FALSE),0))+IF(G170="",0,IFNA(VLOOKUP(G170,Trait_Polarity!$A:$C,3,FALSE),0))</f>
        <v/>
      </c>
      <c r="T170">
        <f>IF(Q170="P",0,IFNA(VLOOKUP(IF(C170="","(none)",C170),Secondary_Versatility!$A:$B,2,FALSE),0))</f>
        <v/>
      </c>
      <c r="U170">
        <f>IF(H170="",0,LEN(H170)-LEN(SUBSTITUTE(H170,"|",""))+1)</f>
        <v/>
      </c>
      <c r="V170">
        <f>IF(Q170="P",(N170+O170+P170)/3,0.3*I170+0.3*J170+0.2*K170+0.1*L170+0.1*M170)</f>
        <v/>
      </c>
      <c r="W170">
        <f>IF(Q170="P",IF(F170="",0,IFNA(VLOOKUP(F170,Pitcher_Trait_Coef!$A:$B,2,FALSE),0))+IF(G170="",0,IFNA(VLOOKUP(G170,Pitcher_Trait_Coef!$A:$B,2,FALSE),0)),IF(F170="",0,IFNA(VLOOKUP(F170,Hitter_Trait_Coef!$A:$B,2,FALSE),0))+IF(G170="",0,IFNA(VLOOKUP(G170,Hitter_Trait_Coef!$A:$B,2,FALSE),0)))</f>
        <v/>
      </c>
      <c r="X170">
        <f>IF(Q170="P",IFNA(VLOOKUP(B170,Pitcher_Primary_Coef!$A:$B,2,FALSE),0),IFNA(VLOOKUP(B170,Hitter_Primary_Coef!$A:$B,2,FALSE),0))</f>
        <v/>
      </c>
      <c r="Y170">
        <f>IF(Q170="P",0,IFNA(VLOOKUP(IF(C170="","(none)",C170),Hitter_Secondary_Coef!$A:$B,2,FALSE),0))</f>
        <v/>
      </c>
      <c r="Z170">
        <f>IF(Q170="P",IF(ISNUMBER(SEARCH("2F",H170)),IFNA(VLOOKUP("2F",Pitch_Coef!$A:$B,2,FALSE),0),0)+IF(ISNUMBER(SEARCH("4F",H170)),IFNA(VLOOKUP("4F",Pitch_Coef!$A:$B,2,FALSE),0),0)+IF(ISNUMBER(SEARCH("CB",H170)),IFNA(VLOOKUP("CB",Pitch_Coef!$A:$B,2,FALSE),0),0)+IF(ISNUMBER(SEARCH("CF",H170)),IFNA(VLOOKUP("CF",Pitch_Coef!$A:$B,2,FALSE),0),0)+IF(ISNUMBER(SEARCH("CH",H170)),IFNA(VLOOKUP("CH",Pitch_Coef!$A:$B,2,FALSE),0),0)+IF(ISNUMBER(SEARCH("FK",H170)),IFNA(VLOOKUP("FK",Pitch_Coef!$A:$B,2,FALSE),0),0)+IF(ISNUMBER(SEARCH("SB",H170)),IFNA(VLOOKUP("SB",Pitch_Coef!$A:$B,2,FALSE),0),0)+IF(ISNUMBER(SEARCH("SL",H170)),IFNA(VLOOKUP("SL",Pitch_Coef!$A:$B,2,FALSE),0),0),0)</f>
        <v/>
      </c>
      <c r="AA170">
        <f>IF(Q170="P",16.5944849573+0.2529999141*N170+0.2665900378*O170+0.2632687105*P170+0.0427586837*I170+0.0534777057*J170+0.009015832*K170+0.0204898106*(O170*P170/100)+1.0091022427*U170+1.0968542297*IF(D170="L",1,0)+0.3771555045*IF(D170="S",1,0)-0.2226159177*IF(E170="L",1,0)+1.21385024*R170-1.1652812274*S170+W170+X170+Z170,10.5965166711+0.2825983581*I170+0.2806503532*J170+0.2027213083*K170+0.1147824982*L170+0.0915305332*M170-0.0088454122*(I170*J170/100)-0.0336045706*(K170*L170/100)+2.8497389733*IF(D170="L",1,0)+4.5116226727*IF(D170="S",1,0)-0.6571546448*IF(E170="L",1,0)+0.0850728147*T170+0.0129488446*(T170*T170)+0.1909373936*IF(OR(F170="Utility",G170="Utility"),T170,0)+0.9656824071*R170-1.7517683256*S170+W170+X170+Y170)</f>
        <v/>
      </c>
      <c r="AB170">
        <f>LOOKUP(AA170,Grade_Scale!$A$2:$A$18,Grade_Scale!$B$2:$B$18)</f>
        <v/>
      </c>
      <c r="AC170">
        <f>LOOKUP(AA170,Grade_Scale!$A$2:$A$18,Grade_Scale!$C$2:$C$18)</f>
        <v/>
      </c>
      <c r="AE170">
        <f>IF(AD170="","",AB170-VLOOKUP(AD170,Grade_Scale!$C$2:$E$18,3,FALSE))</f>
        <v/>
      </c>
    </row>
    <row r="171">
      <c r="Q171">
        <f>IF(OR(B171="SP",B171="RP",B171="CP",B171="SP/RP"),"P","H")</f>
        <v/>
      </c>
      <c r="R171">
        <f>IF(F171="",0,IFNA(VLOOKUP(F171,Trait_Polarity!$A:$C,2,FALSE),0))+IF(G171="",0,IFNA(VLOOKUP(G171,Trait_Polarity!$A:$C,2,FALSE),0))</f>
        <v/>
      </c>
      <c r="S171">
        <f>IF(F171="",0,IFNA(VLOOKUP(F171,Trait_Polarity!$A:$C,3,FALSE),0))+IF(G171="",0,IFNA(VLOOKUP(G171,Trait_Polarity!$A:$C,3,FALSE),0))</f>
        <v/>
      </c>
      <c r="T171">
        <f>IF(Q171="P",0,IFNA(VLOOKUP(IF(C171="","(none)",C171),Secondary_Versatility!$A:$B,2,FALSE),0))</f>
        <v/>
      </c>
      <c r="U171">
        <f>IF(H171="",0,LEN(H171)-LEN(SUBSTITUTE(H171,"|",""))+1)</f>
        <v/>
      </c>
      <c r="V171">
        <f>IF(Q171="P",(N171+O171+P171)/3,0.3*I171+0.3*J171+0.2*K171+0.1*L171+0.1*M171)</f>
        <v/>
      </c>
      <c r="W171">
        <f>IF(Q171="P",IF(F171="",0,IFNA(VLOOKUP(F171,Pitcher_Trait_Coef!$A:$B,2,FALSE),0))+IF(G171="",0,IFNA(VLOOKUP(G171,Pitcher_Trait_Coef!$A:$B,2,FALSE),0)),IF(F171="",0,IFNA(VLOOKUP(F171,Hitter_Trait_Coef!$A:$B,2,FALSE),0))+IF(G171="",0,IFNA(VLOOKUP(G171,Hitter_Trait_Coef!$A:$B,2,FALSE),0)))</f>
        <v/>
      </c>
      <c r="X171">
        <f>IF(Q171="P",IFNA(VLOOKUP(B171,Pitcher_Primary_Coef!$A:$B,2,FALSE),0),IFNA(VLOOKUP(B171,Hitter_Primary_Coef!$A:$B,2,FALSE),0))</f>
        <v/>
      </c>
      <c r="Y171">
        <f>IF(Q171="P",0,IFNA(VLOOKUP(IF(C171="","(none)",C171),Hitter_Secondary_Coef!$A:$B,2,FALSE),0))</f>
        <v/>
      </c>
      <c r="Z171">
        <f>IF(Q171="P",IF(ISNUMBER(SEARCH("2F",H171)),IFNA(VLOOKUP("2F",Pitch_Coef!$A:$B,2,FALSE),0),0)+IF(ISNUMBER(SEARCH("4F",H171)),IFNA(VLOOKUP("4F",Pitch_Coef!$A:$B,2,FALSE),0),0)+IF(ISNUMBER(SEARCH("CB",H171)),IFNA(VLOOKUP("CB",Pitch_Coef!$A:$B,2,FALSE),0),0)+IF(ISNUMBER(SEARCH("CF",H171)),IFNA(VLOOKUP("CF",Pitch_Coef!$A:$B,2,FALSE),0),0)+IF(ISNUMBER(SEARCH("CH",H171)),IFNA(VLOOKUP("CH",Pitch_Coef!$A:$B,2,FALSE),0),0)+IF(ISNUMBER(SEARCH("FK",H171)),IFNA(VLOOKUP("FK",Pitch_Coef!$A:$B,2,FALSE),0),0)+IF(ISNUMBER(SEARCH("SB",H171)),IFNA(VLOOKUP("SB",Pitch_Coef!$A:$B,2,FALSE),0),0)+IF(ISNUMBER(SEARCH("SL",H171)),IFNA(VLOOKUP("SL",Pitch_Coef!$A:$B,2,FALSE),0),0),0)</f>
        <v/>
      </c>
      <c r="AA171">
        <f>IF(Q171="P",16.5944849573+0.2529999141*N171+0.2665900378*O171+0.2632687105*P171+0.0427586837*I171+0.0534777057*J171+0.009015832*K171+0.0204898106*(O171*P171/100)+1.0091022427*U171+1.0968542297*IF(D171="L",1,0)+0.3771555045*IF(D171="S",1,0)-0.2226159177*IF(E171="L",1,0)+1.21385024*R171-1.1652812274*S171+W171+X171+Z171,10.5965166711+0.2825983581*I171+0.2806503532*J171+0.2027213083*K171+0.1147824982*L171+0.0915305332*M171-0.0088454122*(I171*J171/100)-0.0336045706*(K171*L171/100)+2.8497389733*IF(D171="L",1,0)+4.5116226727*IF(D171="S",1,0)-0.6571546448*IF(E171="L",1,0)+0.0850728147*T171+0.0129488446*(T171*T171)+0.1909373936*IF(OR(F171="Utility",G171="Utility"),T171,0)+0.9656824071*R171-1.7517683256*S171+W171+X171+Y171)</f>
        <v/>
      </c>
      <c r="AB171">
        <f>LOOKUP(AA171,Grade_Scale!$A$2:$A$18,Grade_Scale!$B$2:$B$18)</f>
        <v/>
      </c>
      <c r="AC171">
        <f>LOOKUP(AA171,Grade_Scale!$A$2:$A$18,Grade_Scale!$C$2:$C$18)</f>
        <v/>
      </c>
      <c r="AE171">
        <f>IF(AD171="","",AB171-VLOOKUP(AD171,Grade_Scale!$C$2:$E$18,3,FALSE))</f>
        <v/>
      </c>
    </row>
    <row r="172">
      <c r="Q172">
        <f>IF(OR(B172="SP",B172="RP",B172="CP",B172="SP/RP"),"P","H")</f>
        <v/>
      </c>
      <c r="R172">
        <f>IF(F172="",0,IFNA(VLOOKUP(F172,Trait_Polarity!$A:$C,2,FALSE),0))+IF(G172="",0,IFNA(VLOOKUP(G172,Trait_Polarity!$A:$C,2,FALSE),0))</f>
        <v/>
      </c>
      <c r="S172">
        <f>IF(F172="",0,IFNA(VLOOKUP(F172,Trait_Polarity!$A:$C,3,FALSE),0))+IF(G172="",0,IFNA(VLOOKUP(G172,Trait_Polarity!$A:$C,3,FALSE),0))</f>
        <v/>
      </c>
      <c r="T172">
        <f>IF(Q172="P",0,IFNA(VLOOKUP(IF(C172="","(none)",C172),Secondary_Versatility!$A:$B,2,FALSE),0))</f>
        <v/>
      </c>
      <c r="U172">
        <f>IF(H172="",0,LEN(H172)-LEN(SUBSTITUTE(H172,"|",""))+1)</f>
        <v/>
      </c>
      <c r="V172">
        <f>IF(Q172="P",(N172+O172+P172)/3,0.3*I172+0.3*J172+0.2*K172+0.1*L172+0.1*M172)</f>
        <v/>
      </c>
      <c r="W172">
        <f>IF(Q172="P",IF(F172="",0,IFNA(VLOOKUP(F172,Pitcher_Trait_Coef!$A:$B,2,FALSE),0))+IF(G172="",0,IFNA(VLOOKUP(G172,Pitcher_Trait_Coef!$A:$B,2,FALSE),0)),IF(F172="",0,IFNA(VLOOKUP(F172,Hitter_Trait_Coef!$A:$B,2,FALSE),0))+IF(G172="",0,IFNA(VLOOKUP(G172,Hitter_Trait_Coef!$A:$B,2,FALSE),0)))</f>
        <v/>
      </c>
      <c r="X172">
        <f>IF(Q172="P",IFNA(VLOOKUP(B172,Pitcher_Primary_Coef!$A:$B,2,FALSE),0),IFNA(VLOOKUP(B172,Hitter_Primary_Coef!$A:$B,2,FALSE),0))</f>
        <v/>
      </c>
      <c r="Y172">
        <f>IF(Q172="P",0,IFNA(VLOOKUP(IF(C172="","(none)",C172),Hitter_Secondary_Coef!$A:$B,2,FALSE),0))</f>
        <v/>
      </c>
      <c r="Z172">
        <f>IF(Q172="P",IF(ISNUMBER(SEARCH("2F",H172)),IFNA(VLOOKUP("2F",Pitch_Coef!$A:$B,2,FALSE),0),0)+IF(ISNUMBER(SEARCH("4F",H172)),IFNA(VLOOKUP("4F",Pitch_Coef!$A:$B,2,FALSE),0),0)+IF(ISNUMBER(SEARCH("CB",H172)),IFNA(VLOOKUP("CB",Pitch_Coef!$A:$B,2,FALSE),0),0)+IF(ISNUMBER(SEARCH("CF",H172)),IFNA(VLOOKUP("CF",Pitch_Coef!$A:$B,2,FALSE),0),0)+IF(ISNUMBER(SEARCH("CH",H172)),IFNA(VLOOKUP("CH",Pitch_Coef!$A:$B,2,FALSE),0),0)+IF(ISNUMBER(SEARCH("FK",H172)),IFNA(VLOOKUP("FK",Pitch_Coef!$A:$B,2,FALSE),0),0)+IF(ISNUMBER(SEARCH("SB",H172)),IFNA(VLOOKUP("SB",Pitch_Coef!$A:$B,2,FALSE),0),0)+IF(ISNUMBER(SEARCH("SL",H172)),IFNA(VLOOKUP("SL",Pitch_Coef!$A:$B,2,FALSE),0),0),0)</f>
        <v/>
      </c>
      <c r="AA172">
        <f>IF(Q172="P",16.5944849573+0.2529999141*N172+0.2665900378*O172+0.2632687105*P172+0.0427586837*I172+0.0534777057*J172+0.009015832*K172+0.0204898106*(O172*P172/100)+1.0091022427*U172+1.0968542297*IF(D172="L",1,0)+0.3771555045*IF(D172="S",1,0)-0.2226159177*IF(E172="L",1,0)+1.21385024*R172-1.1652812274*S172+W172+X172+Z172,10.5965166711+0.2825983581*I172+0.2806503532*J172+0.2027213083*K172+0.1147824982*L172+0.0915305332*M172-0.0088454122*(I172*J172/100)-0.0336045706*(K172*L172/100)+2.8497389733*IF(D172="L",1,0)+4.5116226727*IF(D172="S",1,0)-0.6571546448*IF(E172="L",1,0)+0.0850728147*T172+0.0129488446*(T172*T172)+0.1909373936*IF(OR(F172="Utility",G172="Utility"),T172,0)+0.9656824071*R172-1.7517683256*S172+W172+X172+Y172)</f>
        <v/>
      </c>
      <c r="AB172">
        <f>LOOKUP(AA172,Grade_Scale!$A$2:$A$18,Grade_Scale!$B$2:$B$18)</f>
        <v/>
      </c>
      <c r="AC172">
        <f>LOOKUP(AA172,Grade_Scale!$A$2:$A$18,Grade_Scale!$C$2:$C$18)</f>
        <v/>
      </c>
      <c r="AE172">
        <f>IF(AD172="","",AB172-VLOOKUP(AD172,Grade_Scale!$C$2:$E$18,3,FALSE))</f>
        <v/>
      </c>
    </row>
    <row r="173">
      <c r="Q173">
        <f>IF(OR(B173="SP",B173="RP",B173="CP",B173="SP/RP"),"P","H")</f>
        <v/>
      </c>
      <c r="R173">
        <f>IF(F173="",0,IFNA(VLOOKUP(F173,Trait_Polarity!$A:$C,2,FALSE),0))+IF(G173="",0,IFNA(VLOOKUP(G173,Trait_Polarity!$A:$C,2,FALSE),0))</f>
        <v/>
      </c>
      <c r="S173">
        <f>IF(F173="",0,IFNA(VLOOKUP(F173,Trait_Polarity!$A:$C,3,FALSE),0))+IF(G173="",0,IFNA(VLOOKUP(G173,Trait_Polarity!$A:$C,3,FALSE),0))</f>
        <v/>
      </c>
      <c r="T173">
        <f>IF(Q173="P",0,IFNA(VLOOKUP(IF(C173="","(none)",C173),Secondary_Versatility!$A:$B,2,FALSE),0))</f>
        <v/>
      </c>
      <c r="U173">
        <f>IF(H173="",0,LEN(H173)-LEN(SUBSTITUTE(H173,"|",""))+1)</f>
        <v/>
      </c>
      <c r="V173">
        <f>IF(Q173="P",(N173+O173+P173)/3,0.3*I173+0.3*J173+0.2*K173+0.1*L173+0.1*M173)</f>
        <v/>
      </c>
      <c r="W173">
        <f>IF(Q173="P",IF(F173="",0,IFNA(VLOOKUP(F173,Pitcher_Trait_Coef!$A:$B,2,FALSE),0))+IF(G173="",0,IFNA(VLOOKUP(G173,Pitcher_Trait_Coef!$A:$B,2,FALSE),0)),IF(F173="",0,IFNA(VLOOKUP(F173,Hitter_Trait_Coef!$A:$B,2,FALSE),0))+IF(G173="",0,IFNA(VLOOKUP(G173,Hitter_Trait_Coef!$A:$B,2,FALSE),0)))</f>
        <v/>
      </c>
      <c r="X173">
        <f>IF(Q173="P",IFNA(VLOOKUP(B173,Pitcher_Primary_Coef!$A:$B,2,FALSE),0),IFNA(VLOOKUP(B173,Hitter_Primary_Coef!$A:$B,2,FALSE),0))</f>
        <v/>
      </c>
      <c r="Y173">
        <f>IF(Q173="P",0,IFNA(VLOOKUP(IF(C173="","(none)",C173),Hitter_Secondary_Coef!$A:$B,2,FALSE),0))</f>
        <v/>
      </c>
      <c r="Z173">
        <f>IF(Q173="P",IF(ISNUMBER(SEARCH("2F",H173)),IFNA(VLOOKUP("2F",Pitch_Coef!$A:$B,2,FALSE),0),0)+IF(ISNUMBER(SEARCH("4F",H173)),IFNA(VLOOKUP("4F",Pitch_Coef!$A:$B,2,FALSE),0),0)+IF(ISNUMBER(SEARCH("CB",H173)),IFNA(VLOOKUP("CB",Pitch_Coef!$A:$B,2,FALSE),0),0)+IF(ISNUMBER(SEARCH("CF",H173)),IFNA(VLOOKUP("CF",Pitch_Coef!$A:$B,2,FALSE),0),0)+IF(ISNUMBER(SEARCH("CH",H173)),IFNA(VLOOKUP("CH",Pitch_Coef!$A:$B,2,FALSE),0),0)+IF(ISNUMBER(SEARCH("FK",H173)),IFNA(VLOOKUP("FK",Pitch_Coef!$A:$B,2,FALSE),0),0)+IF(ISNUMBER(SEARCH("SB",H173)),IFNA(VLOOKUP("SB",Pitch_Coef!$A:$B,2,FALSE),0),0)+IF(ISNUMBER(SEARCH("SL",H173)),IFNA(VLOOKUP("SL",Pitch_Coef!$A:$B,2,FALSE),0),0),0)</f>
        <v/>
      </c>
      <c r="AA173">
        <f>IF(Q173="P",16.5944849573+0.2529999141*N173+0.2665900378*O173+0.2632687105*P173+0.0427586837*I173+0.0534777057*J173+0.009015832*K173+0.0204898106*(O173*P173/100)+1.0091022427*U173+1.0968542297*IF(D173="L",1,0)+0.3771555045*IF(D173="S",1,0)-0.2226159177*IF(E173="L",1,0)+1.21385024*R173-1.1652812274*S173+W173+X173+Z173,10.5965166711+0.2825983581*I173+0.2806503532*J173+0.2027213083*K173+0.1147824982*L173+0.0915305332*M173-0.0088454122*(I173*J173/100)-0.0336045706*(K173*L173/100)+2.8497389733*IF(D173="L",1,0)+4.5116226727*IF(D173="S",1,0)-0.6571546448*IF(E173="L",1,0)+0.0850728147*T173+0.0129488446*(T173*T173)+0.1909373936*IF(OR(F173="Utility",G173="Utility"),T173,0)+0.9656824071*R173-1.7517683256*S173+W173+X173+Y173)</f>
        <v/>
      </c>
      <c r="AB173">
        <f>LOOKUP(AA173,Grade_Scale!$A$2:$A$18,Grade_Scale!$B$2:$B$18)</f>
        <v/>
      </c>
      <c r="AC173">
        <f>LOOKUP(AA173,Grade_Scale!$A$2:$A$18,Grade_Scale!$C$2:$C$18)</f>
        <v/>
      </c>
      <c r="AE173">
        <f>IF(AD173="","",AB173-VLOOKUP(AD173,Grade_Scale!$C$2:$E$18,3,FALSE))</f>
        <v/>
      </c>
    </row>
    <row r="174">
      <c r="Q174">
        <f>IF(OR(B174="SP",B174="RP",B174="CP",B174="SP/RP"),"P","H")</f>
        <v/>
      </c>
      <c r="R174">
        <f>IF(F174="",0,IFNA(VLOOKUP(F174,Trait_Polarity!$A:$C,2,FALSE),0))+IF(G174="",0,IFNA(VLOOKUP(G174,Trait_Polarity!$A:$C,2,FALSE),0))</f>
        <v/>
      </c>
      <c r="S174">
        <f>IF(F174="",0,IFNA(VLOOKUP(F174,Trait_Polarity!$A:$C,3,FALSE),0))+IF(G174="",0,IFNA(VLOOKUP(G174,Trait_Polarity!$A:$C,3,FALSE),0))</f>
        <v/>
      </c>
      <c r="T174">
        <f>IF(Q174="P",0,IFNA(VLOOKUP(IF(C174="","(none)",C174),Secondary_Versatility!$A:$B,2,FALSE),0))</f>
        <v/>
      </c>
      <c r="U174">
        <f>IF(H174="",0,LEN(H174)-LEN(SUBSTITUTE(H174,"|",""))+1)</f>
        <v/>
      </c>
      <c r="V174">
        <f>IF(Q174="P",(N174+O174+P174)/3,0.3*I174+0.3*J174+0.2*K174+0.1*L174+0.1*M174)</f>
        <v/>
      </c>
      <c r="W174">
        <f>IF(Q174="P",IF(F174="",0,IFNA(VLOOKUP(F174,Pitcher_Trait_Coef!$A:$B,2,FALSE),0))+IF(G174="",0,IFNA(VLOOKUP(G174,Pitcher_Trait_Coef!$A:$B,2,FALSE),0)),IF(F174="",0,IFNA(VLOOKUP(F174,Hitter_Trait_Coef!$A:$B,2,FALSE),0))+IF(G174="",0,IFNA(VLOOKUP(G174,Hitter_Trait_Coef!$A:$B,2,FALSE),0)))</f>
        <v/>
      </c>
      <c r="X174">
        <f>IF(Q174="P",IFNA(VLOOKUP(B174,Pitcher_Primary_Coef!$A:$B,2,FALSE),0),IFNA(VLOOKUP(B174,Hitter_Primary_Coef!$A:$B,2,FALSE),0))</f>
        <v/>
      </c>
      <c r="Y174">
        <f>IF(Q174="P",0,IFNA(VLOOKUP(IF(C174="","(none)",C174),Hitter_Secondary_Coef!$A:$B,2,FALSE),0))</f>
        <v/>
      </c>
      <c r="Z174">
        <f>IF(Q174="P",IF(ISNUMBER(SEARCH("2F",H174)),IFNA(VLOOKUP("2F",Pitch_Coef!$A:$B,2,FALSE),0),0)+IF(ISNUMBER(SEARCH("4F",H174)),IFNA(VLOOKUP("4F",Pitch_Coef!$A:$B,2,FALSE),0),0)+IF(ISNUMBER(SEARCH("CB",H174)),IFNA(VLOOKUP("CB",Pitch_Coef!$A:$B,2,FALSE),0),0)+IF(ISNUMBER(SEARCH("CF",H174)),IFNA(VLOOKUP("CF",Pitch_Coef!$A:$B,2,FALSE),0),0)+IF(ISNUMBER(SEARCH("CH",H174)),IFNA(VLOOKUP("CH",Pitch_Coef!$A:$B,2,FALSE),0),0)+IF(ISNUMBER(SEARCH("FK",H174)),IFNA(VLOOKUP("FK",Pitch_Coef!$A:$B,2,FALSE),0),0)+IF(ISNUMBER(SEARCH("SB",H174)),IFNA(VLOOKUP("SB",Pitch_Coef!$A:$B,2,FALSE),0),0)+IF(ISNUMBER(SEARCH("SL",H174)),IFNA(VLOOKUP("SL",Pitch_Coef!$A:$B,2,FALSE),0),0),0)</f>
        <v/>
      </c>
      <c r="AA174">
        <f>IF(Q174="P",16.5944849573+0.2529999141*N174+0.2665900378*O174+0.2632687105*P174+0.0427586837*I174+0.0534777057*J174+0.009015832*K174+0.0204898106*(O174*P174/100)+1.0091022427*U174+1.0968542297*IF(D174="L",1,0)+0.3771555045*IF(D174="S",1,0)-0.2226159177*IF(E174="L",1,0)+1.21385024*R174-1.1652812274*S174+W174+X174+Z174,10.5965166711+0.2825983581*I174+0.2806503532*J174+0.2027213083*K174+0.1147824982*L174+0.0915305332*M174-0.0088454122*(I174*J174/100)-0.0336045706*(K174*L174/100)+2.8497389733*IF(D174="L",1,0)+4.5116226727*IF(D174="S",1,0)-0.6571546448*IF(E174="L",1,0)+0.0850728147*T174+0.0129488446*(T174*T174)+0.1909373936*IF(OR(F174="Utility",G174="Utility"),T174,0)+0.9656824071*R174-1.7517683256*S174+W174+X174+Y174)</f>
        <v/>
      </c>
      <c r="AB174">
        <f>LOOKUP(AA174,Grade_Scale!$A$2:$A$18,Grade_Scale!$B$2:$B$18)</f>
        <v/>
      </c>
      <c r="AC174">
        <f>LOOKUP(AA174,Grade_Scale!$A$2:$A$18,Grade_Scale!$C$2:$C$18)</f>
        <v/>
      </c>
      <c r="AE174">
        <f>IF(AD174="","",AB174-VLOOKUP(AD174,Grade_Scale!$C$2:$E$18,3,FALSE))</f>
        <v/>
      </c>
    </row>
    <row r="175">
      <c r="Q175">
        <f>IF(OR(B175="SP",B175="RP",B175="CP",B175="SP/RP"),"P","H")</f>
        <v/>
      </c>
      <c r="R175">
        <f>IF(F175="",0,IFNA(VLOOKUP(F175,Trait_Polarity!$A:$C,2,FALSE),0))+IF(G175="",0,IFNA(VLOOKUP(G175,Trait_Polarity!$A:$C,2,FALSE),0))</f>
        <v/>
      </c>
      <c r="S175">
        <f>IF(F175="",0,IFNA(VLOOKUP(F175,Trait_Polarity!$A:$C,3,FALSE),0))+IF(G175="",0,IFNA(VLOOKUP(G175,Trait_Polarity!$A:$C,3,FALSE),0))</f>
        <v/>
      </c>
      <c r="T175">
        <f>IF(Q175="P",0,IFNA(VLOOKUP(IF(C175="","(none)",C175),Secondary_Versatility!$A:$B,2,FALSE),0))</f>
        <v/>
      </c>
      <c r="U175">
        <f>IF(H175="",0,LEN(H175)-LEN(SUBSTITUTE(H175,"|",""))+1)</f>
        <v/>
      </c>
      <c r="V175">
        <f>IF(Q175="P",(N175+O175+P175)/3,0.3*I175+0.3*J175+0.2*K175+0.1*L175+0.1*M175)</f>
        <v/>
      </c>
      <c r="W175">
        <f>IF(Q175="P",IF(F175="",0,IFNA(VLOOKUP(F175,Pitcher_Trait_Coef!$A:$B,2,FALSE),0))+IF(G175="",0,IFNA(VLOOKUP(G175,Pitcher_Trait_Coef!$A:$B,2,FALSE),0)),IF(F175="",0,IFNA(VLOOKUP(F175,Hitter_Trait_Coef!$A:$B,2,FALSE),0))+IF(G175="",0,IFNA(VLOOKUP(G175,Hitter_Trait_Coef!$A:$B,2,FALSE),0)))</f>
        <v/>
      </c>
      <c r="X175">
        <f>IF(Q175="P",IFNA(VLOOKUP(B175,Pitcher_Primary_Coef!$A:$B,2,FALSE),0),IFNA(VLOOKUP(B175,Hitter_Primary_Coef!$A:$B,2,FALSE),0))</f>
        <v/>
      </c>
      <c r="Y175">
        <f>IF(Q175="P",0,IFNA(VLOOKUP(IF(C175="","(none)",C175),Hitter_Secondary_Coef!$A:$B,2,FALSE),0))</f>
        <v/>
      </c>
      <c r="Z175">
        <f>IF(Q175="P",IF(ISNUMBER(SEARCH("2F",H175)),IFNA(VLOOKUP("2F",Pitch_Coef!$A:$B,2,FALSE),0),0)+IF(ISNUMBER(SEARCH("4F",H175)),IFNA(VLOOKUP("4F",Pitch_Coef!$A:$B,2,FALSE),0),0)+IF(ISNUMBER(SEARCH("CB",H175)),IFNA(VLOOKUP("CB",Pitch_Coef!$A:$B,2,FALSE),0),0)+IF(ISNUMBER(SEARCH("CF",H175)),IFNA(VLOOKUP("CF",Pitch_Coef!$A:$B,2,FALSE),0),0)+IF(ISNUMBER(SEARCH("CH",H175)),IFNA(VLOOKUP("CH",Pitch_Coef!$A:$B,2,FALSE),0),0)+IF(ISNUMBER(SEARCH("FK",H175)),IFNA(VLOOKUP("FK",Pitch_Coef!$A:$B,2,FALSE),0),0)+IF(ISNUMBER(SEARCH("SB",H175)),IFNA(VLOOKUP("SB",Pitch_Coef!$A:$B,2,FALSE),0),0)+IF(ISNUMBER(SEARCH("SL",H175)),IFNA(VLOOKUP("SL",Pitch_Coef!$A:$B,2,FALSE),0),0),0)</f>
        <v/>
      </c>
      <c r="AA175">
        <f>IF(Q175="P",16.5944849573+0.2529999141*N175+0.2665900378*O175+0.2632687105*P175+0.0427586837*I175+0.0534777057*J175+0.009015832*K175+0.0204898106*(O175*P175/100)+1.0091022427*U175+1.0968542297*IF(D175="L",1,0)+0.3771555045*IF(D175="S",1,0)-0.2226159177*IF(E175="L",1,0)+1.21385024*R175-1.1652812274*S175+W175+X175+Z175,10.5965166711+0.2825983581*I175+0.2806503532*J175+0.2027213083*K175+0.1147824982*L175+0.0915305332*M175-0.0088454122*(I175*J175/100)-0.0336045706*(K175*L175/100)+2.8497389733*IF(D175="L",1,0)+4.5116226727*IF(D175="S",1,0)-0.6571546448*IF(E175="L",1,0)+0.0850728147*T175+0.0129488446*(T175*T175)+0.1909373936*IF(OR(F175="Utility",G175="Utility"),T175,0)+0.9656824071*R175-1.7517683256*S175+W175+X175+Y175)</f>
        <v/>
      </c>
      <c r="AB175">
        <f>LOOKUP(AA175,Grade_Scale!$A$2:$A$18,Grade_Scale!$B$2:$B$18)</f>
        <v/>
      </c>
      <c r="AC175">
        <f>LOOKUP(AA175,Grade_Scale!$A$2:$A$18,Grade_Scale!$C$2:$C$18)</f>
        <v/>
      </c>
      <c r="AE175">
        <f>IF(AD175="","",AB175-VLOOKUP(AD175,Grade_Scale!$C$2:$E$18,3,FALSE))</f>
        <v/>
      </c>
    </row>
    <row r="176">
      <c r="Q176">
        <f>IF(OR(B176="SP",B176="RP",B176="CP",B176="SP/RP"),"P","H")</f>
        <v/>
      </c>
      <c r="R176">
        <f>IF(F176="",0,IFNA(VLOOKUP(F176,Trait_Polarity!$A:$C,2,FALSE),0))+IF(G176="",0,IFNA(VLOOKUP(G176,Trait_Polarity!$A:$C,2,FALSE),0))</f>
        <v/>
      </c>
      <c r="S176">
        <f>IF(F176="",0,IFNA(VLOOKUP(F176,Trait_Polarity!$A:$C,3,FALSE),0))+IF(G176="",0,IFNA(VLOOKUP(G176,Trait_Polarity!$A:$C,3,FALSE),0))</f>
        <v/>
      </c>
      <c r="T176">
        <f>IF(Q176="P",0,IFNA(VLOOKUP(IF(C176="","(none)",C176),Secondary_Versatility!$A:$B,2,FALSE),0))</f>
        <v/>
      </c>
      <c r="U176">
        <f>IF(H176="",0,LEN(H176)-LEN(SUBSTITUTE(H176,"|",""))+1)</f>
        <v/>
      </c>
      <c r="V176">
        <f>IF(Q176="P",(N176+O176+P176)/3,0.3*I176+0.3*J176+0.2*K176+0.1*L176+0.1*M176)</f>
        <v/>
      </c>
      <c r="W176">
        <f>IF(Q176="P",IF(F176="",0,IFNA(VLOOKUP(F176,Pitcher_Trait_Coef!$A:$B,2,FALSE),0))+IF(G176="",0,IFNA(VLOOKUP(G176,Pitcher_Trait_Coef!$A:$B,2,FALSE),0)),IF(F176="",0,IFNA(VLOOKUP(F176,Hitter_Trait_Coef!$A:$B,2,FALSE),0))+IF(G176="",0,IFNA(VLOOKUP(G176,Hitter_Trait_Coef!$A:$B,2,FALSE),0)))</f>
        <v/>
      </c>
      <c r="X176">
        <f>IF(Q176="P",IFNA(VLOOKUP(B176,Pitcher_Primary_Coef!$A:$B,2,FALSE),0),IFNA(VLOOKUP(B176,Hitter_Primary_Coef!$A:$B,2,FALSE),0))</f>
        <v/>
      </c>
      <c r="Y176">
        <f>IF(Q176="P",0,IFNA(VLOOKUP(IF(C176="","(none)",C176),Hitter_Secondary_Coef!$A:$B,2,FALSE),0))</f>
        <v/>
      </c>
      <c r="Z176">
        <f>IF(Q176="P",IF(ISNUMBER(SEARCH("2F",H176)),IFNA(VLOOKUP("2F",Pitch_Coef!$A:$B,2,FALSE),0),0)+IF(ISNUMBER(SEARCH("4F",H176)),IFNA(VLOOKUP("4F",Pitch_Coef!$A:$B,2,FALSE),0),0)+IF(ISNUMBER(SEARCH("CB",H176)),IFNA(VLOOKUP("CB",Pitch_Coef!$A:$B,2,FALSE),0),0)+IF(ISNUMBER(SEARCH("CF",H176)),IFNA(VLOOKUP("CF",Pitch_Coef!$A:$B,2,FALSE),0),0)+IF(ISNUMBER(SEARCH("CH",H176)),IFNA(VLOOKUP("CH",Pitch_Coef!$A:$B,2,FALSE),0),0)+IF(ISNUMBER(SEARCH("FK",H176)),IFNA(VLOOKUP("FK",Pitch_Coef!$A:$B,2,FALSE),0),0)+IF(ISNUMBER(SEARCH("SB",H176)),IFNA(VLOOKUP("SB",Pitch_Coef!$A:$B,2,FALSE),0),0)+IF(ISNUMBER(SEARCH("SL",H176)),IFNA(VLOOKUP("SL",Pitch_Coef!$A:$B,2,FALSE),0),0),0)</f>
        <v/>
      </c>
      <c r="AA176">
        <f>IF(Q176="P",16.5944849573+0.2529999141*N176+0.2665900378*O176+0.2632687105*P176+0.0427586837*I176+0.0534777057*J176+0.009015832*K176+0.0204898106*(O176*P176/100)+1.0091022427*U176+1.0968542297*IF(D176="L",1,0)+0.3771555045*IF(D176="S",1,0)-0.2226159177*IF(E176="L",1,0)+1.21385024*R176-1.1652812274*S176+W176+X176+Z176,10.5965166711+0.2825983581*I176+0.2806503532*J176+0.2027213083*K176+0.1147824982*L176+0.0915305332*M176-0.0088454122*(I176*J176/100)-0.0336045706*(K176*L176/100)+2.8497389733*IF(D176="L",1,0)+4.5116226727*IF(D176="S",1,0)-0.6571546448*IF(E176="L",1,0)+0.0850728147*T176+0.0129488446*(T176*T176)+0.1909373936*IF(OR(F176="Utility",G176="Utility"),T176,0)+0.9656824071*R176-1.7517683256*S176+W176+X176+Y176)</f>
        <v/>
      </c>
      <c r="AB176">
        <f>LOOKUP(AA176,Grade_Scale!$A$2:$A$18,Grade_Scale!$B$2:$B$18)</f>
        <v/>
      </c>
      <c r="AC176">
        <f>LOOKUP(AA176,Grade_Scale!$A$2:$A$18,Grade_Scale!$C$2:$C$18)</f>
        <v/>
      </c>
      <c r="AE176">
        <f>IF(AD176="","",AB176-VLOOKUP(AD176,Grade_Scale!$C$2:$E$18,3,FALSE))</f>
        <v/>
      </c>
    </row>
    <row r="177">
      <c r="Q177">
        <f>IF(OR(B177="SP",B177="RP",B177="CP",B177="SP/RP"),"P","H")</f>
        <v/>
      </c>
      <c r="R177">
        <f>IF(F177="",0,IFNA(VLOOKUP(F177,Trait_Polarity!$A:$C,2,FALSE),0))+IF(G177="",0,IFNA(VLOOKUP(G177,Trait_Polarity!$A:$C,2,FALSE),0))</f>
        <v/>
      </c>
      <c r="S177">
        <f>IF(F177="",0,IFNA(VLOOKUP(F177,Trait_Polarity!$A:$C,3,FALSE),0))+IF(G177="",0,IFNA(VLOOKUP(G177,Trait_Polarity!$A:$C,3,FALSE),0))</f>
        <v/>
      </c>
      <c r="T177">
        <f>IF(Q177="P",0,IFNA(VLOOKUP(IF(C177="","(none)",C177),Secondary_Versatility!$A:$B,2,FALSE),0))</f>
        <v/>
      </c>
      <c r="U177">
        <f>IF(H177="",0,LEN(H177)-LEN(SUBSTITUTE(H177,"|",""))+1)</f>
        <v/>
      </c>
      <c r="V177">
        <f>IF(Q177="P",(N177+O177+P177)/3,0.3*I177+0.3*J177+0.2*K177+0.1*L177+0.1*M177)</f>
        <v/>
      </c>
      <c r="W177">
        <f>IF(Q177="P",IF(F177="",0,IFNA(VLOOKUP(F177,Pitcher_Trait_Coef!$A:$B,2,FALSE),0))+IF(G177="",0,IFNA(VLOOKUP(G177,Pitcher_Trait_Coef!$A:$B,2,FALSE),0)),IF(F177="",0,IFNA(VLOOKUP(F177,Hitter_Trait_Coef!$A:$B,2,FALSE),0))+IF(G177="",0,IFNA(VLOOKUP(G177,Hitter_Trait_Coef!$A:$B,2,FALSE),0)))</f>
        <v/>
      </c>
      <c r="X177">
        <f>IF(Q177="P",IFNA(VLOOKUP(B177,Pitcher_Primary_Coef!$A:$B,2,FALSE),0),IFNA(VLOOKUP(B177,Hitter_Primary_Coef!$A:$B,2,FALSE),0))</f>
        <v/>
      </c>
      <c r="Y177">
        <f>IF(Q177="P",0,IFNA(VLOOKUP(IF(C177="","(none)",C177),Hitter_Secondary_Coef!$A:$B,2,FALSE),0))</f>
        <v/>
      </c>
      <c r="Z177">
        <f>IF(Q177="P",IF(ISNUMBER(SEARCH("2F",H177)),IFNA(VLOOKUP("2F",Pitch_Coef!$A:$B,2,FALSE),0),0)+IF(ISNUMBER(SEARCH("4F",H177)),IFNA(VLOOKUP("4F",Pitch_Coef!$A:$B,2,FALSE),0),0)+IF(ISNUMBER(SEARCH("CB",H177)),IFNA(VLOOKUP("CB",Pitch_Coef!$A:$B,2,FALSE),0),0)+IF(ISNUMBER(SEARCH("CF",H177)),IFNA(VLOOKUP("CF",Pitch_Coef!$A:$B,2,FALSE),0),0)+IF(ISNUMBER(SEARCH("CH",H177)),IFNA(VLOOKUP("CH",Pitch_Coef!$A:$B,2,FALSE),0),0)+IF(ISNUMBER(SEARCH("FK",H177)),IFNA(VLOOKUP("FK",Pitch_Coef!$A:$B,2,FALSE),0),0)+IF(ISNUMBER(SEARCH("SB",H177)),IFNA(VLOOKUP("SB",Pitch_Coef!$A:$B,2,FALSE),0),0)+IF(ISNUMBER(SEARCH("SL",H177)),IFNA(VLOOKUP("SL",Pitch_Coef!$A:$B,2,FALSE),0),0),0)</f>
        <v/>
      </c>
      <c r="AA177">
        <f>IF(Q177="P",16.5944849573+0.2529999141*N177+0.2665900378*O177+0.2632687105*P177+0.0427586837*I177+0.0534777057*J177+0.009015832*K177+0.0204898106*(O177*P177/100)+1.0091022427*U177+1.0968542297*IF(D177="L",1,0)+0.3771555045*IF(D177="S",1,0)-0.2226159177*IF(E177="L",1,0)+1.21385024*R177-1.1652812274*S177+W177+X177+Z177,10.5965166711+0.2825983581*I177+0.2806503532*J177+0.2027213083*K177+0.1147824982*L177+0.0915305332*M177-0.0088454122*(I177*J177/100)-0.0336045706*(K177*L177/100)+2.8497389733*IF(D177="L",1,0)+4.5116226727*IF(D177="S",1,0)-0.6571546448*IF(E177="L",1,0)+0.0850728147*T177+0.0129488446*(T177*T177)+0.1909373936*IF(OR(F177="Utility",G177="Utility"),T177,0)+0.9656824071*R177-1.7517683256*S177+W177+X177+Y177)</f>
        <v/>
      </c>
      <c r="AB177">
        <f>LOOKUP(AA177,Grade_Scale!$A$2:$A$18,Grade_Scale!$B$2:$B$18)</f>
        <v/>
      </c>
      <c r="AC177">
        <f>LOOKUP(AA177,Grade_Scale!$A$2:$A$18,Grade_Scale!$C$2:$C$18)</f>
        <v/>
      </c>
      <c r="AE177">
        <f>IF(AD177="","",AB177-VLOOKUP(AD177,Grade_Scale!$C$2:$E$18,3,FALSE))</f>
        <v/>
      </c>
    </row>
    <row r="178">
      <c r="Q178">
        <f>IF(OR(B178="SP",B178="RP",B178="CP",B178="SP/RP"),"P","H")</f>
        <v/>
      </c>
      <c r="R178">
        <f>IF(F178="",0,IFNA(VLOOKUP(F178,Trait_Polarity!$A:$C,2,FALSE),0))+IF(G178="",0,IFNA(VLOOKUP(G178,Trait_Polarity!$A:$C,2,FALSE),0))</f>
        <v/>
      </c>
      <c r="S178">
        <f>IF(F178="",0,IFNA(VLOOKUP(F178,Trait_Polarity!$A:$C,3,FALSE),0))+IF(G178="",0,IFNA(VLOOKUP(G178,Trait_Polarity!$A:$C,3,FALSE),0))</f>
        <v/>
      </c>
      <c r="T178">
        <f>IF(Q178="P",0,IFNA(VLOOKUP(IF(C178="","(none)",C178),Secondary_Versatility!$A:$B,2,FALSE),0))</f>
        <v/>
      </c>
      <c r="U178">
        <f>IF(H178="",0,LEN(H178)-LEN(SUBSTITUTE(H178,"|",""))+1)</f>
        <v/>
      </c>
      <c r="V178">
        <f>IF(Q178="P",(N178+O178+P178)/3,0.3*I178+0.3*J178+0.2*K178+0.1*L178+0.1*M178)</f>
        <v/>
      </c>
      <c r="W178">
        <f>IF(Q178="P",IF(F178="",0,IFNA(VLOOKUP(F178,Pitcher_Trait_Coef!$A:$B,2,FALSE),0))+IF(G178="",0,IFNA(VLOOKUP(G178,Pitcher_Trait_Coef!$A:$B,2,FALSE),0)),IF(F178="",0,IFNA(VLOOKUP(F178,Hitter_Trait_Coef!$A:$B,2,FALSE),0))+IF(G178="",0,IFNA(VLOOKUP(G178,Hitter_Trait_Coef!$A:$B,2,FALSE),0)))</f>
        <v/>
      </c>
      <c r="X178">
        <f>IF(Q178="P",IFNA(VLOOKUP(B178,Pitcher_Primary_Coef!$A:$B,2,FALSE),0),IFNA(VLOOKUP(B178,Hitter_Primary_Coef!$A:$B,2,FALSE),0))</f>
        <v/>
      </c>
      <c r="Y178">
        <f>IF(Q178="P",0,IFNA(VLOOKUP(IF(C178="","(none)",C178),Hitter_Secondary_Coef!$A:$B,2,FALSE),0))</f>
        <v/>
      </c>
      <c r="Z178">
        <f>IF(Q178="P",IF(ISNUMBER(SEARCH("2F",H178)),IFNA(VLOOKUP("2F",Pitch_Coef!$A:$B,2,FALSE),0),0)+IF(ISNUMBER(SEARCH("4F",H178)),IFNA(VLOOKUP("4F",Pitch_Coef!$A:$B,2,FALSE),0),0)+IF(ISNUMBER(SEARCH("CB",H178)),IFNA(VLOOKUP("CB",Pitch_Coef!$A:$B,2,FALSE),0),0)+IF(ISNUMBER(SEARCH("CF",H178)),IFNA(VLOOKUP("CF",Pitch_Coef!$A:$B,2,FALSE),0),0)+IF(ISNUMBER(SEARCH("CH",H178)),IFNA(VLOOKUP("CH",Pitch_Coef!$A:$B,2,FALSE),0),0)+IF(ISNUMBER(SEARCH("FK",H178)),IFNA(VLOOKUP("FK",Pitch_Coef!$A:$B,2,FALSE),0),0)+IF(ISNUMBER(SEARCH("SB",H178)),IFNA(VLOOKUP("SB",Pitch_Coef!$A:$B,2,FALSE),0),0)+IF(ISNUMBER(SEARCH("SL",H178)),IFNA(VLOOKUP("SL",Pitch_Coef!$A:$B,2,FALSE),0),0),0)</f>
        <v/>
      </c>
      <c r="AA178">
        <f>IF(Q178="P",16.5944849573+0.2529999141*N178+0.2665900378*O178+0.2632687105*P178+0.0427586837*I178+0.0534777057*J178+0.009015832*K178+0.0204898106*(O178*P178/100)+1.0091022427*U178+1.0968542297*IF(D178="L",1,0)+0.3771555045*IF(D178="S",1,0)-0.2226159177*IF(E178="L",1,0)+1.21385024*R178-1.1652812274*S178+W178+X178+Z178,10.5965166711+0.2825983581*I178+0.2806503532*J178+0.2027213083*K178+0.1147824982*L178+0.0915305332*M178-0.0088454122*(I178*J178/100)-0.0336045706*(K178*L178/100)+2.8497389733*IF(D178="L",1,0)+4.5116226727*IF(D178="S",1,0)-0.6571546448*IF(E178="L",1,0)+0.0850728147*T178+0.0129488446*(T178*T178)+0.1909373936*IF(OR(F178="Utility",G178="Utility"),T178,0)+0.9656824071*R178-1.7517683256*S178+W178+X178+Y178)</f>
        <v/>
      </c>
      <c r="AB178">
        <f>LOOKUP(AA178,Grade_Scale!$A$2:$A$18,Grade_Scale!$B$2:$B$18)</f>
        <v/>
      </c>
      <c r="AC178">
        <f>LOOKUP(AA178,Grade_Scale!$A$2:$A$18,Grade_Scale!$C$2:$C$18)</f>
        <v/>
      </c>
      <c r="AE178">
        <f>IF(AD178="","",AB178-VLOOKUP(AD178,Grade_Scale!$C$2:$E$18,3,FALSE))</f>
        <v/>
      </c>
    </row>
    <row r="179">
      <c r="Q179">
        <f>IF(OR(B179="SP",B179="RP",B179="CP",B179="SP/RP"),"P","H")</f>
        <v/>
      </c>
      <c r="R179">
        <f>IF(F179="",0,IFNA(VLOOKUP(F179,Trait_Polarity!$A:$C,2,FALSE),0))+IF(G179="",0,IFNA(VLOOKUP(G179,Trait_Polarity!$A:$C,2,FALSE),0))</f>
        <v/>
      </c>
      <c r="S179">
        <f>IF(F179="",0,IFNA(VLOOKUP(F179,Trait_Polarity!$A:$C,3,FALSE),0))+IF(G179="",0,IFNA(VLOOKUP(G179,Trait_Polarity!$A:$C,3,FALSE),0))</f>
        <v/>
      </c>
      <c r="T179">
        <f>IF(Q179="P",0,IFNA(VLOOKUP(IF(C179="","(none)",C179),Secondary_Versatility!$A:$B,2,FALSE),0))</f>
        <v/>
      </c>
      <c r="U179">
        <f>IF(H179="",0,LEN(H179)-LEN(SUBSTITUTE(H179,"|",""))+1)</f>
        <v/>
      </c>
      <c r="V179">
        <f>IF(Q179="P",(N179+O179+P179)/3,0.3*I179+0.3*J179+0.2*K179+0.1*L179+0.1*M179)</f>
        <v/>
      </c>
      <c r="W179">
        <f>IF(Q179="P",IF(F179="",0,IFNA(VLOOKUP(F179,Pitcher_Trait_Coef!$A:$B,2,FALSE),0))+IF(G179="",0,IFNA(VLOOKUP(G179,Pitcher_Trait_Coef!$A:$B,2,FALSE),0)),IF(F179="",0,IFNA(VLOOKUP(F179,Hitter_Trait_Coef!$A:$B,2,FALSE),0))+IF(G179="",0,IFNA(VLOOKUP(G179,Hitter_Trait_Coef!$A:$B,2,FALSE),0)))</f>
        <v/>
      </c>
      <c r="X179">
        <f>IF(Q179="P",IFNA(VLOOKUP(B179,Pitcher_Primary_Coef!$A:$B,2,FALSE),0),IFNA(VLOOKUP(B179,Hitter_Primary_Coef!$A:$B,2,FALSE),0))</f>
        <v/>
      </c>
      <c r="Y179">
        <f>IF(Q179="P",0,IFNA(VLOOKUP(IF(C179="","(none)",C179),Hitter_Secondary_Coef!$A:$B,2,FALSE),0))</f>
        <v/>
      </c>
      <c r="Z179">
        <f>IF(Q179="P",IF(ISNUMBER(SEARCH("2F",H179)),IFNA(VLOOKUP("2F",Pitch_Coef!$A:$B,2,FALSE),0),0)+IF(ISNUMBER(SEARCH("4F",H179)),IFNA(VLOOKUP("4F",Pitch_Coef!$A:$B,2,FALSE),0),0)+IF(ISNUMBER(SEARCH("CB",H179)),IFNA(VLOOKUP("CB",Pitch_Coef!$A:$B,2,FALSE),0),0)+IF(ISNUMBER(SEARCH("CF",H179)),IFNA(VLOOKUP("CF",Pitch_Coef!$A:$B,2,FALSE),0),0)+IF(ISNUMBER(SEARCH("CH",H179)),IFNA(VLOOKUP("CH",Pitch_Coef!$A:$B,2,FALSE),0),0)+IF(ISNUMBER(SEARCH("FK",H179)),IFNA(VLOOKUP("FK",Pitch_Coef!$A:$B,2,FALSE),0),0)+IF(ISNUMBER(SEARCH("SB",H179)),IFNA(VLOOKUP("SB",Pitch_Coef!$A:$B,2,FALSE),0),0)+IF(ISNUMBER(SEARCH("SL",H179)),IFNA(VLOOKUP("SL",Pitch_Coef!$A:$B,2,FALSE),0),0),0)</f>
        <v/>
      </c>
      <c r="AA179">
        <f>IF(Q179="P",16.5944849573+0.2529999141*N179+0.2665900378*O179+0.2632687105*P179+0.0427586837*I179+0.0534777057*J179+0.009015832*K179+0.0204898106*(O179*P179/100)+1.0091022427*U179+1.0968542297*IF(D179="L",1,0)+0.3771555045*IF(D179="S",1,0)-0.2226159177*IF(E179="L",1,0)+1.21385024*R179-1.1652812274*S179+W179+X179+Z179,10.5965166711+0.2825983581*I179+0.2806503532*J179+0.2027213083*K179+0.1147824982*L179+0.0915305332*M179-0.0088454122*(I179*J179/100)-0.0336045706*(K179*L179/100)+2.8497389733*IF(D179="L",1,0)+4.5116226727*IF(D179="S",1,0)-0.6571546448*IF(E179="L",1,0)+0.0850728147*T179+0.0129488446*(T179*T179)+0.1909373936*IF(OR(F179="Utility",G179="Utility"),T179,0)+0.9656824071*R179-1.7517683256*S179+W179+X179+Y179)</f>
        <v/>
      </c>
      <c r="AB179">
        <f>LOOKUP(AA179,Grade_Scale!$A$2:$A$18,Grade_Scale!$B$2:$B$18)</f>
        <v/>
      </c>
      <c r="AC179">
        <f>LOOKUP(AA179,Grade_Scale!$A$2:$A$18,Grade_Scale!$C$2:$C$18)</f>
        <v/>
      </c>
      <c r="AE179">
        <f>IF(AD179="","",AB179-VLOOKUP(AD179,Grade_Scale!$C$2:$E$18,3,FALSE))</f>
        <v/>
      </c>
    </row>
    <row r="180">
      <c r="Q180">
        <f>IF(OR(B180="SP",B180="RP",B180="CP",B180="SP/RP"),"P","H")</f>
        <v/>
      </c>
      <c r="R180">
        <f>IF(F180="",0,IFNA(VLOOKUP(F180,Trait_Polarity!$A:$C,2,FALSE),0))+IF(G180="",0,IFNA(VLOOKUP(G180,Trait_Polarity!$A:$C,2,FALSE),0))</f>
        <v/>
      </c>
      <c r="S180">
        <f>IF(F180="",0,IFNA(VLOOKUP(F180,Trait_Polarity!$A:$C,3,FALSE),0))+IF(G180="",0,IFNA(VLOOKUP(G180,Trait_Polarity!$A:$C,3,FALSE),0))</f>
        <v/>
      </c>
      <c r="T180">
        <f>IF(Q180="P",0,IFNA(VLOOKUP(IF(C180="","(none)",C180),Secondary_Versatility!$A:$B,2,FALSE),0))</f>
        <v/>
      </c>
      <c r="U180">
        <f>IF(H180="",0,LEN(H180)-LEN(SUBSTITUTE(H180,"|",""))+1)</f>
        <v/>
      </c>
      <c r="V180">
        <f>IF(Q180="P",(N180+O180+P180)/3,0.3*I180+0.3*J180+0.2*K180+0.1*L180+0.1*M180)</f>
        <v/>
      </c>
      <c r="W180">
        <f>IF(Q180="P",IF(F180="",0,IFNA(VLOOKUP(F180,Pitcher_Trait_Coef!$A:$B,2,FALSE),0))+IF(G180="",0,IFNA(VLOOKUP(G180,Pitcher_Trait_Coef!$A:$B,2,FALSE),0)),IF(F180="",0,IFNA(VLOOKUP(F180,Hitter_Trait_Coef!$A:$B,2,FALSE),0))+IF(G180="",0,IFNA(VLOOKUP(G180,Hitter_Trait_Coef!$A:$B,2,FALSE),0)))</f>
        <v/>
      </c>
      <c r="X180">
        <f>IF(Q180="P",IFNA(VLOOKUP(B180,Pitcher_Primary_Coef!$A:$B,2,FALSE),0),IFNA(VLOOKUP(B180,Hitter_Primary_Coef!$A:$B,2,FALSE),0))</f>
        <v/>
      </c>
      <c r="Y180">
        <f>IF(Q180="P",0,IFNA(VLOOKUP(IF(C180="","(none)",C180),Hitter_Secondary_Coef!$A:$B,2,FALSE),0))</f>
        <v/>
      </c>
      <c r="Z180">
        <f>IF(Q180="P",IF(ISNUMBER(SEARCH("2F",H180)),IFNA(VLOOKUP("2F",Pitch_Coef!$A:$B,2,FALSE),0),0)+IF(ISNUMBER(SEARCH("4F",H180)),IFNA(VLOOKUP("4F",Pitch_Coef!$A:$B,2,FALSE),0),0)+IF(ISNUMBER(SEARCH("CB",H180)),IFNA(VLOOKUP("CB",Pitch_Coef!$A:$B,2,FALSE),0),0)+IF(ISNUMBER(SEARCH("CF",H180)),IFNA(VLOOKUP("CF",Pitch_Coef!$A:$B,2,FALSE),0),0)+IF(ISNUMBER(SEARCH("CH",H180)),IFNA(VLOOKUP("CH",Pitch_Coef!$A:$B,2,FALSE),0),0)+IF(ISNUMBER(SEARCH("FK",H180)),IFNA(VLOOKUP("FK",Pitch_Coef!$A:$B,2,FALSE),0),0)+IF(ISNUMBER(SEARCH("SB",H180)),IFNA(VLOOKUP("SB",Pitch_Coef!$A:$B,2,FALSE),0),0)+IF(ISNUMBER(SEARCH("SL",H180)),IFNA(VLOOKUP("SL",Pitch_Coef!$A:$B,2,FALSE),0),0),0)</f>
        <v/>
      </c>
      <c r="AA180">
        <f>IF(Q180="P",16.5944849573+0.2529999141*N180+0.2665900378*O180+0.2632687105*P180+0.0427586837*I180+0.0534777057*J180+0.009015832*K180+0.0204898106*(O180*P180/100)+1.0091022427*U180+1.0968542297*IF(D180="L",1,0)+0.3771555045*IF(D180="S",1,0)-0.2226159177*IF(E180="L",1,0)+1.21385024*R180-1.1652812274*S180+W180+X180+Z180,10.5965166711+0.2825983581*I180+0.2806503532*J180+0.2027213083*K180+0.1147824982*L180+0.0915305332*M180-0.0088454122*(I180*J180/100)-0.0336045706*(K180*L180/100)+2.8497389733*IF(D180="L",1,0)+4.5116226727*IF(D180="S",1,0)-0.6571546448*IF(E180="L",1,0)+0.0850728147*T180+0.0129488446*(T180*T180)+0.1909373936*IF(OR(F180="Utility",G180="Utility"),T180,0)+0.9656824071*R180-1.7517683256*S180+W180+X180+Y180)</f>
        <v/>
      </c>
      <c r="AB180">
        <f>LOOKUP(AA180,Grade_Scale!$A$2:$A$18,Grade_Scale!$B$2:$B$18)</f>
        <v/>
      </c>
      <c r="AC180">
        <f>LOOKUP(AA180,Grade_Scale!$A$2:$A$18,Grade_Scale!$C$2:$C$18)</f>
        <v/>
      </c>
      <c r="AE180">
        <f>IF(AD180="","",AB180-VLOOKUP(AD180,Grade_Scale!$C$2:$E$18,3,FALSE))</f>
        <v/>
      </c>
    </row>
    <row r="181">
      <c r="Q181">
        <f>IF(OR(B181="SP",B181="RP",B181="CP",B181="SP/RP"),"P","H")</f>
        <v/>
      </c>
      <c r="R181">
        <f>IF(F181="",0,IFNA(VLOOKUP(F181,Trait_Polarity!$A:$C,2,FALSE),0))+IF(G181="",0,IFNA(VLOOKUP(G181,Trait_Polarity!$A:$C,2,FALSE),0))</f>
        <v/>
      </c>
      <c r="S181">
        <f>IF(F181="",0,IFNA(VLOOKUP(F181,Trait_Polarity!$A:$C,3,FALSE),0))+IF(G181="",0,IFNA(VLOOKUP(G181,Trait_Polarity!$A:$C,3,FALSE),0))</f>
        <v/>
      </c>
      <c r="T181">
        <f>IF(Q181="P",0,IFNA(VLOOKUP(IF(C181="","(none)",C181),Secondary_Versatility!$A:$B,2,FALSE),0))</f>
        <v/>
      </c>
      <c r="U181">
        <f>IF(H181="",0,LEN(H181)-LEN(SUBSTITUTE(H181,"|",""))+1)</f>
        <v/>
      </c>
      <c r="V181">
        <f>IF(Q181="P",(N181+O181+P181)/3,0.3*I181+0.3*J181+0.2*K181+0.1*L181+0.1*M181)</f>
        <v/>
      </c>
      <c r="W181">
        <f>IF(Q181="P",IF(F181="",0,IFNA(VLOOKUP(F181,Pitcher_Trait_Coef!$A:$B,2,FALSE),0))+IF(G181="",0,IFNA(VLOOKUP(G181,Pitcher_Trait_Coef!$A:$B,2,FALSE),0)),IF(F181="",0,IFNA(VLOOKUP(F181,Hitter_Trait_Coef!$A:$B,2,FALSE),0))+IF(G181="",0,IFNA(VLOOKUP(G181,Hitter_Trait_Coef!$A:$B,2,FALSE),0)))</f>
        <v/>
      </c>
      <c r="X181">
        <f>IF(Q181="P",IFNA(VLOOKUP(B181,Pitcher_Primary_Coef!$A:$B,2,FALSE),0),IFNA(VLOOKUP(B181,Hitter_Primary_Coef!$A:$B,2,FALSE),0))</f>
        <v/>
      </c>
      <c r="Y181">
        <f>IF(Q181="P",0,IFNA(VLOOKUP(IF(C181="","(none)",C181),Hitter_Secondary_Coef!$A:$B,2,FALSE),0))</f>
        <v/>
      </c>
      <c r="Z181">
        <f>IF(Q181="P",IF(ISNUMBER(SEARCH("2F",H181)),IFNA(VLOOKUP("2F",Pitch_Coef!$A:$B,2,FALSE),0),0)+IF(ISNUMBER(SEARCH("4F",H181)),IFNA(VLOOKUP("4F",Pitch_Coef!$A:$B,2,FALSE),0),0)+IF(ISNUMBER(SEARCH("CB",H181)),IFNA(VLOOKUP("CB",Pitch_Coef!$A:$B,2,FALSE),0),0)+IF(ISNUMBER(SEARCH("CF",H181)),IFNA(VLOOKUP("CF",Pitch_Coef!$A:$B,2,FALSE),0),0)+IF(ISNUMBER(SEARCH("CH",H181)),IFNA(VLOOKUP("CH",Pitch_Coef!$A:$B,2,FALSE),0),0)+IF(ISNUMBER(SEARCH("FK",H181)),IFNA(VLOOKUP("FK",Pitch_Coef!$A:$B,2,FALSE),0),0)+IF(ISNUMBER(SEARCH("SB",H181)),IFNA(VLOOKUP("SB",Pitch_Coef!$A:$B,2,FALSE),0),0)+IF(ISNUMBER(SEARCH("SL",H181)),IFNA(VLOOKUP("SL",Pitch_Coef!$A:$B,2,FALSE),0),0),0)</f>
        <v/>
      </c>
      <c r="AA181">
        <f>IF(Q181="P",16.5944849573+0.2529999141*N181+0.2665900378*O181+0.2632687105*P181+0.0427586837*I181+0.0534777057*J181+0.009015832*K181+0.0204898106*(O181*P181/100)+1.0091022427*U181+1.0968542297*IF(D181="L",1,0)+0.3771555045*IF(D181="S",1,0)-0.2226159177*IF(E181="L",1,0)+1.21385024*R181-1.1652812274*S181+W181+X181+Z181,10.5965166711+0.2825983581*I181+0.2806503532*J181+0.2027213083*K181+0.1147824982*L181+0.0915305332*M181-0.0088454122*(I181*J181/100)-0.0336045706*(K181*L181/100)+2.8497389733*IF(D181="L",1,0)+4.5116226727*IF(D181="S",1,0)-0.6571546448*IF(E181="L",1,0)+0.0850728147*T181+0.0129488446*(T181*T181)+0.1909373936*IF(OR(F181="Utility",G181="Utility"),T181,0)+0.9656824071*R181-1.7517683256*S181+W181+X181+Y181)</f>
        <v/>
      </c>
      <c r="AB181">
        <f>LOOKUP(AA181,Grade_Scale!$A$2:$A$18,Grade_Scale!$B$2:$B$18)</f>
        <v/>
      </c>
      <c r="AC181">
        <f>LOOKUP(AA181,Grade_Scale!$A$2:$A$18,Grade_Scale!$C$2:$C$18)</f>
        <v/>
      </c>
      <c r="AE181">
        <f>IF(AD181="","",AB181-VLOOKUP(AD181,Grade_Scale!$C$2:$E$18,3,FALSE))</f>
        <v/>
      </c>
    </row>
    <row r="182">
      <c r="Q182">
        <f>IF(OR(B182="SP",B182="RP",B182="CP",B182="SP/RP"),"P","H")</f>
        <v/>
      </c>
      <c r="R182">
        <f>IF(F182="",0,IFNA(VLOOKUP(F182,Trait_Polarity!$A:$C,2,FALSE),0))+IF(G182="",0,IFNA(VLOOKUP(G182,Trait_Polarity!$A:$C,2,FALSE),0))</f>
        <v/>
      </c>
      <c r="S182">
        <f>IF(F182="",0,IFNA(VLOOKUP(F182,Trait_Polarity!$A:$C,3,FALSE),0))+IF(G182="",0,IFNA(VLOOKUP(G182,Trait_Polarity!$A:$C,3,FALSE),0))</f>
        <v/>
      </c>
      <c r="T182">
        <f>IF(Q182="P",0,IFNA(VLOOKUP(IF(C182="","(none)",C182),Secondary_Versatility!$A:$B,2,FALSE),0))</f>
        <v/>
      </c>
      <c r="U182">
        <f>IF(H182="",0,LEN(H182)-LEN(SUBSTITUTE(H182,"|",""))+1)</f>
        <v/>
      </c>
      <c r="V182">
        <f>IF(Q182="P",(N182+O182+P182)/3,0.3*I182+0.3*J182+0.2*K182+0.1*L182+0.1*M182)</f>
        <v/>
      </c>
      <c r="W182">
        <f>IF(Q182="P",IF(F182="",0,IFNA(VLOOKUP(F182,Pitcher_Trait_Coef!$A:$B,2,FALSE),0))+IF(G182="",0,IFNA(VLOOKUP(G182,Pitcher_Trait_Coef!$A:$B,2,FALSE),0)),IF(F182="",0,IFNA(VLOOKUP(F182,Hitter_Trait_Coef!$A:$B,2,FALSE),0))+IF(G182="",0,IFNA(VLOOKUP(G182,Hitter_Trait_Coef!$A:$B,2,FALSE),0)))</f>
        <v/>
      </c>
      <c r="X182">
        <f>IF(Q182="P",IFNA(VLOOKUP(B182,Pitcher_Primary_Coef!$A:$B,2,FALSE),0),IFNA(VLOOKUP(B182,Hitter_Primary_Coef!$A:$B,2,FALSE),0))</f>
        <v/>
      </c>
      <c r="Y182">
        <f>IF(Q182="P",0,IFNA(VLOOKUP(IF(C182="","(none)",C182),Hitter_Secondary_Coef!$A:$B,2,FALSE),0))</f>
        <v/>
      </c>
      <c r="Z182">
        <f>IF(Q182="P",IF(ISNUMBER(SEARCH("2F",H182)),IFNA(VLOOKUP("2F",Pitch_Coef!$A:$B,2,FALSE),0),0)+IF(ISNUMBER(SEARCH("4F",H182)),IFNA(VLOOKUP("4F",Pitch_Coef!$A:$B,2,FALSE),0),0)+IF(ISNUMBER(SEARCH("CB",H182)),IFNA(VLOOKUP("CB",Pitch_Coef!$A:$B,2,FALSE),0),0)+IF(ISNUMBER(SEARCH("CF",H182)),IFNA(VLOOKUP("CF",Pitch_Coef!$A:$B,2,FALSE),0),0)+IF(ISNUMBER(SEARCH("CH",H182)),IFNA(VLOOKUP("CH",Pitch_Coef!$A:$B,2,FALSE),0),0)+IF(ISNUMBER(SEARCH("FK",H182)),IFNA(VLOOKUP("FK",Pitch_Coef!$A:$B,2,FALSE),0),0)+IF(ISNUMBER(SEARCH("SB",H182)),IFNA(VLOOKUP("SB",Pitch_Coef!$A:$B,2,FALSE),0),0)+IF(ISNUMBER(SEARCH("SL",H182)),IFNA(VLOOKUP("SL",Pitch_Coef!$A:$B,2,FALSE),0),0),0)</f>
        <v/>
      </c>
      <c r="AA182">
        <f>IF(Q182="P",16.5944849573+0.2529999141*N182+0.2665900378*O182+0.2632687105*P182+0.0427586837*I182+0.0534777057*J182+0.009015832*K182+0.0204898106*(O182*P182/100)+1.0091022427*U182+1.0968542297*IF(D182="L",1,0)+0.3771555045*IF(D182="S",1,0)-0.2226159177*IF(E182="L",1,0)+1.21385024*R182-1.1652812274*S182+W182+X182+Z182,10.5965166711+0.2825983581*I182+0.2806503532*J182+0.2027213083*K182+0.1147824982*L182+0.0915305332*M182-0.0088454122*(I182*J182/100)-0.0336045706*(K182*L182/100)+2.8497389733*IF(D182="L",1,0)+4.5116226727*IF(D182="S",1,0)-0.6571546448*IF(E182="L",1,0)+0.0850728147*T182+0.0129488446*(T182*T182)+0.1909373936*IF(OR(F182="Utility",G182="Utility"),T182,0)+0.9656824071*R182-1.7517683256*S182+W182+X182+Y182)</f>
        <v/>
      </c>
      <c r="AB182">
        <f>LOOKUP(AA182,Grade_Scale!$A$2:$A$18,Grade_Scale!$B$2:$B$18)</f>
        <v/>
      </c>
      <c r="AC182">
        <f>LOOKUP(AA182,Grade_Scale!$A$2:$A$18,Grade_Scale!$C$2:$C$18)</f>
        <v/>
      </c>
      <c r="AE182">
        <f>IF(AD182="","",AB182-VLOOKUP(AD182,Grade_Scale!$C$2:$E$18,3,FALSE))</f>
        <v/>
      </c>
    </row>
    <row r="183">
      <c r="Q183">
        <f>IF(OR(B183="SP",B183="RP",B183="CP",B183="SP/RP"),"P","H")</f>
        <v/>
      </c>
      <c r="R183">
        <f>IF(F183="",0,IFNA(VLOOKUP(F183,Trait_Polarity!$A:$C,2,FALSE),0))+IF(G183="",0,IFNA(VLOOKUP(G183,Trait_Polarity!$A:$C,2,FALSE),0))</f>
        <v/>
      </c>
      <c r="S183">
        <f>IF(F183="",0,IFNA(VLOOKUP(F183,Trait_Polarity!$A:$C,3,FALSE),0))+IF(G183="",0,IFNA(VLOOKUP(G183,Trait_Polarity!$A:$C,3,FALSE),0))</f>
        <v/>
      </c>
      <c r="T183">
        <f>IF(Q183="P",0,IFNA(VLOOKUP(IF(C183="","(none)",C183),Secondary_Versatility!$A:$B,2,FALSE),0))</f>
        <v/>
      </c>
      <c r="U183">
        <f>IF(H183="",0,LEN(H183)-LEN(SUBSTITUTE(H183,"|",""))+1)</f>
        <v/>
      </c>
      <c r="V183">
        <f>IF(Q183="P",(N183+O183+P183)/3,0.3*I183+0.3*J183+0.2*K183+0.1*L183+0.1*M183)</f>
        <v/>
      </c>
      <c r="W183">
        <f>IF(Q183="P",IF(F183="",0,IFNA(VLOOKUP(F183,Pitcher_Trait_Coef!$A:$B,2,FALSE),0))+IF(G183="",0,IFNA(VLOOKUP(G183,Pitcher_Trait_Coef!$A:$B,2,FALSE),0)),IF(F183="",0,IFNA(VLOOKUP(F183,Hitter_Trait_Coef!$A:$B,2,FALSE),0))+IF(G183="",0,IFNA(VLOOKUP(G183,Hitter_Trait_Coef!$A:$B,2,FALSE),0)))</f>
        <v/>
      </c>
      <c r="X183">
        <f>IF(Q183="P",IFNA(VLOOKUP(B183,Pitcher_Primary_Coef!$A:$B,2,FALSE),0),IFNA(VLOOKUP(B183,Hitter_Primary_Coef!$A:$B,2,FALSE),0))</f>
        <v/>
      </c>
      <c r="Y183">
        <f>IF(Q183="P",0,IFNA(VLOOKUP(IF(C183="","(none)",C183),Hitter_Secondary_Coef!$A:$B,2,FALSE),0))</f>
        <v/>
      </c>
      <c r="Z183">
        <f>IF(Q183="P",IF(ISNUMBER(SEARCH("2F",H183)),IFNA(VLOOKUP("2F",Pitch_Coef!$A:$B,2,FALSE),0),0)+IF(ISNUMBER(SEARCH("4F",H183)),IFNA(VLOOKUP("4F",Pitch_Coef!$A:$B,2,FALSE),0),0)+IF(ISNUMBER(SEARCH("CB",H183)),IFNA(VLOOKUP("CB",Pitch_Coef!$A:$B,2,FALSE),0),0)+IF(ISNUMBER(SEARCH("CF",H183)),IFNA(VLOOKUP("CF",Pitch_Coef!$A:$B,2,FALSE),0),0)+IF(ISNUMBER(SEARCH("CH",H183)),IFNA(VLOOKUP("CH",Pitch_Coef!$A:$B,2,FALSE),0),0)+IF(ISNUMBER(SEARCH("FK",H183)),IFNA(VLOOKUP("FK",Pitch_Coef!$A:$B,2,FALSE),0),0)+IF(ISNUMBER(SEARCH("SB",H183)),IFNA(VLOOKUP("SB",Pitch_Coef!$A:$B,2,FALSE),0),0)+IF(ISNUMBER(SEARCH("SL",H183)),IFNA(VLOOKUP("SL",Pitch_Coef!$A:$B,2,FALSE),0),0),0)</f>
        <v/>
      </c>
      <c r="AA183">
        <f>IF(Q183="P",16.5944849573+0.2529999141*N183+0.2665900378*O183+0.2632687105*P183+0.0427586837*I183+0.0534777057*J183+0.009015832*K183+0.0204898106*(O183*P183/100)+1.0091022427*U183+1.0968542297*IF(D183="L",1,0)+0.3771555045*IF(D183="S",1,0)-0.2226159177*IF(E183="L",1,0)+1.21385024*R183-1.1652812274*S183+W183+X183+Z183,10.5965166711+0.2825983581*I183+0.2806503532*J183+0.2027213083*K183+0.1147824982*L183+0.0915305332*M183-0.0088454122*(I183*J183/100)-0.0336045706*(K183*L183/100)+2.8497389733*IF(D183="L",1,0)+4.5116226727*IF(D183="S",1,0)-0.6571546448*IF(E183="L",1,0)+0.0850728147*T183+0.0129488446*(T183*T183)+0.1909373936*IF(OR(F183="Utility",G183="Utility"),T183,0)+0.9656824071*R183-1.7517683256*S183+W183+X183+Y183)</f>
        <v/>
      </c>
      <c r="AB183">
        <f>LOOKUP(AA183,Grade_Scale!$A$2:$A$18,Grade_Scale!$B$2:$B$18)</f>
        <v/>
      </c>
      <c r="AC183">
        <f>LOOKUP(AA183,Grade_Scale!$A$2:$A$18,Grade_Scale!$C$2:$C$18)</f>
        <v/>
      </c>
      <c r="AE183">
        <f>IF(AD183="","",AB183-VLOOKUP(AD183,Grade_Scale!$C$2:$E$18,3,FALSE))</f>
        <v/>
      </c>
    </row>
    <row r="184">
      <c r="Q184">
        <f>IF(OR(B184="SP",B184="RP",B184="CP",B184="SP/RP"),"P","H")</f>
        <v/>
      </c>
      <c r="R184">
        <f>IF(F184="",0,IFNA(VLOOKUP(F184,Trait_Polarity!$A:$C,2,FALSE),0))+IF(G184="",0,IFNA(VLOOKUP(G184,Trait_Polarity!$A:$C,2,FALSE),0))</f>
        <v/>
      </c>
      <c r="S184">
        <f>IF(F184="",0,IFNA(VLOOKUP(F184,Trait_Polarity!$A:$C,3,FALSE),0))+IF(G184="",0,IFNA(VLOOKUP(G184,Trait_Polarity!$A:$C,3,FALSE),0))</f>
        <v/>
      </c>
      <c r="T184">
        <f>IF(Q184="P",0,IFNA(VLOOKUP(IF(C184="","(none)",C184),Secondary_Versatility!$A:$B,2,FALSE),0))</f>
        <v/>
      </c>
      <c r="U184">
        <f>IF(H184="",0,LEN(H184)-LEN(SUBSTITUTE(H184,"|",""))+1)</f>
        <v/>
      </c>
      <c r="V184">
        <f>IF(Q184="P",(N184+O184+P184)/3,0.3*I184+0.3*J184+0.2*K184+0.1*L184+0.1*M184)</f>
        <v/>
      </c>
      <c r="W184">
        <f>IF(Q184="P",IF(F184="",0,IFNA(VLOOKUP(F184,Pitcher_Trait_Coef!$A:$B,2,FALSE),0))+IF(G184="",0,IFNA(VLOOKUP(G184,Pitcher_Trait_Coef!$A:$B,2,FALSE),0)),IF(F184="",0,IFNA(VLOOKUP(F184,Hitter_Trait_Coef!$A:$B,2,FALSE),0))+IF(G184="",0,IFNA(VLOOKUP(G184,Hitter_Trait_Coef!$A:$B,2,FALSE),0)))</f>
        <v/>
      </c>
      <c r="X184">
        <f>IF(Q184="P",IFNA(VLOOKUP(B184,Pitcher_Primary_Coef!$A:$B,2,FALSE),0),IFNA(VLOOKUP(B184,Hitter_Primary_Coef!$A:$B,2,FALSE),0))</f>
        <v/>
      </c>
      <c r="Y184">
        <f>IF(Q184="P",0,IFNA(VLOOKUP(IF(C184="","(none)",C184),Hitter_Secondary_Coef!$A:$B,2,FALSE),0))</f>
        <v/>
      </c>
      <c r="Z184">
        <f>IF(Q184="P",IF(ISNUMBER(SEARCH("2F",H184)),IFNA(VLOOKUP("2F",Pitch_Coef!$A:$B,2,FALSE),0),0)+IF(ISNUMBER(SEARCH("4F",H184)),IFNA(VLOOKUP("4F",Pitch_Coef!$A:$B,2,FALSE),0),0)+IF(ISNUMBER(SEARCH("CB",H184)),IFNA(VLOOKUP("CB",Pitch_Coef!$A:$B,2,FALSE),0),0)+IF(ISNUMBER(SEARCH("CF",H184)),IFNA(VLOOKUP("CF",Pitch_Coef!$A:$B,2,FALSE),0),0)+IF(ISNUMBER(SEARCH("CH",H184)),IFNA(VLOOKUP("CH",Pitch_Coef!$A:$B,2,FALSE),0),0)+IF(ISNUMBER(SEARCH("FK",H184)),IFNA(VLOOKUP("FK",Pitch_Coef!$A:$B,2,FALSE),0),0)+IF(ISNUMBER(SEARCH("SB",H184)),IFNA(VLOOKUP("SB",Pitch_Coef!$A:$B,2,FALSE),0),0)+IF(ISNUMBER(SEARCH("SL",H184)),IFNA(VLOOKUP("SL",Pitch_Coef!$A:$B,2,FALSE),0),0),0)</f>
        <v/>
      </c>
      <c r="AA184">
        <f>IF(Q184="P",16.5944849573+0.2529999141*N184+0.2665900378*O184+0.2632687105*P184+0.0427586837*I184+0.0534777057*J184+0.009015832*K184+0.0204898106*(O184*P184/100)+1.0091022427*U184+1.0968542297*IF(D184="L",1,0)+0.3771555045*IF(D184="S",1,0)-0.2226159177*IF(E184="L",1,0)+1.21385024*R184-1.1652812274*S184+W184+X184+Z184,10.5965166711+0.2825983581*I184+0.2806503532*J184+0.2027213083*K184+0.1147824982*L184+0.0915305332*M184-0.0088454122*(I184*J184/100)-0.0336045706*(K184*L184/100)+2.8497389733*IF(D184="L",1,0)+4.5116226727*IF(D184="S",1,0)-0.6571546448*IF(E184="L",1,0)+0.0850728147*T184+0.0129488446*(T184*T184)+0.1909373936*IF(OR(F184="Utility",G184="Utility"),T184,0)+0.9656824071*R184-1.7517683256*S184+W184+X184+Y184)</f>
        <v/>
      </c>
      <c r="AB184">
        <f>LOOKUP(AA184,Grade_Scale!$A$2:$A$18,Grade_Scale!$B$2:$B$18)</f>
        <v/>
      </c>
      <c r="AC184">
        <f>LOOKUP(AA184,Grade_Scale!$A$2:$A$18,Grade_Scale!$C$2:$C$18)</f>
        <v/>
      </c>
      <c r="AE184">
        <f>IF(AD184="","",AB184-VLOOKUP(AD184,Grade_Scale!$C$2:$E$18,3,FALSE))</f>
        <v/>
      </c>
    </row>
    <row r="185">
      <c r="Q185">
        <f>IF(OR(B185="SP",B185="RP",B185="CP",B185="SP/RP"),"P","H")</f>
        <v/>
      </c>
      <c r="R185">
        <f>IF(F185="",0,IFNA(VLOOKUP(F185,Trait_Polarity!$A:$C,2,FALSE),0))+IF(G185="",0,IFNA(VLOOKUP(G185,Trait_Polarity!$A:$C,2,FALSE),0))</f>
        <v/>
      </c>
      <c r="S185">
        <f>IF(F185="",0,IFNA(VLOOKUP(F185,Trait_Polarity!$A:$C,3,FALSE),0))+IF(G185="",0,IFNA(VLOOKUP(G185,Trait_Polarity!$A:$C,3,FALSE),0))</f>
        <v/>
      </c>
      <c r="T185">
        <f>IF(Q185="P",0,IFNA(VLOOKUP(IF(C185="","(none)",C185),Secondary_Versatility!$A:$B,2,FALSE),0))</f>
        <v/>
      </c>
      <c r="U185">
        <f>IF(H185="",0,LEN(H185)-LEN(SUBSTITUTE(H185,"|",""))+1)</f>
        <v/>
      </c>
      <c r="V185">
        <f>IF(Q185="P",(N185+O185+P185)/3,0.3*I185+0.3*J185+0.2*K185+0.1*L185+0.1*M185)</f>
        <v/>
      </c>
      <c r="W185">
        <f>IF(Q185="P",IF(F185="",0,IFNA(VLOOKUP(F185,Pitcher_Trait_Coef!$A:$B,2,FALSE),0))+IF(G185="",0,IFNA(VLOOKUP(G185,Pitcher_Trait_Coef!$A:$B,2,FALSE),0)),IF(F185="",0,IFNA(VLOOKUP(F185,Hitter_Trait_Coef!$A:$B,2,FALSE),0))+IF(G185="",0,IFNA(VLOOKUP(G185,Hitter_Trait_Coef!$A:$B,2,FALSE),0)))</f>
        <v/>
      </c>
      <c r="X185">
        <f>IF(Q185="P",IFNA(VLOOKUP(B185,Pitcher_Primary_Coef!$A:$B,2,FALSE),0),IFNA(VLOOKUP(B185,Hitter_Primary_Coef!$A:$B,2,FALSE),0))</f>
        <v/>
      </c>
      <c r="Y185">
        <f>IF(Q185="P",0,IFNA(VLOOKUP(IF(C185="","(none)",C185),Hitter_Secondary_Coef!$A:$B,2,FALSE),0))</f>
        <v/>
      </c>
      <c r="Z185">
        <f>IF(Q185="P",IF(ISNUMBER(SEARCH("2F",H185)),IFNA(VLOOKUP("2F",Pitch_Coef!$A:$B,2,FALSE),0),0)+IF(ISNUMBER(SEARCH("4F",H185)),IFNA(VLOOKUP("4F",Pitch_Coef!$A:$B,2,FALSE),0),0)+IF(ISNUMBER(SEARCH("CB",H185)),IFNA(VLOOKUP("CB",Pitch_Coef!$A:$B,2,FALSE),0),0)+IF(ISNUMBER(SEARCH("CF",H185)),IFNA(VLOOKUP("CF",Pitch_Coef!$A:$B,2,FALSE),0),0)+IF(ISNUMBER(SEARCH("CH",H185)),IFNA(VLOOKUP("CH",Pitch_Coef!$A:$B,2,FALSE),0),0)+IF(ISNUMBER(SEARCH("FK",H185)),IFNA(VLOOKUP("FK",Pitch_Coef!$A:$B,2,FALSE),0),0)+IF(ISNUMBER(SEARCH("SB",H185)),IFNA(VLOOKUP("SB",Pitch_Coef!$A:$B,2,FALSE),0),0)+IF(ISNUMBER(SEARCH("SL",H185)),IFNA(VLOOKUP("SL",Pitch_Coef!$A:$B,2,FALSE),0),0),0)</f>
        <v/>
      </c>
      <c r="AA185">
        <f>IF(Q185="P",16.5944849573+0.2529999141*N185+0.2665900378*O185+0.2632687105*P185+0.0427586837*I185+0.0534777057*J185+0.009015832*K185+0.0204898106*(O185*P185/100)+1.0091022427*U185+1.0968542297*IF(D185="L",1,0)+0.3771555045*IF(D185="S",1,0)-0.2226159177*IF(E185="L",1,0)+1.21385024*R185-1.1652812274*S185+W185+X185+Z185,10.5965166711+0.2825983581*I185+0.2806503532*J185+0.2027213083*K185+0.1147824982*L185+0.0915305332*M185-0.0088454122*(I185*J185/100)-0.0336045706*(K185*L185/100)+2.8497389733*IF(D185="L",1,0)+4.5116226727*IF(D185="S",1,0)-0.6571546448*IF(E185="L",1,0)+0.0850728147*T185+0.0129488446*(T185*T185)+0.1909373936*IF(OR(F185="Utility",G185="Utility"),T185,0)+0.9656824071*R185-1.7517683256*S185+W185+X185+Y185)</f>
        <v/>
      </c>
      <c r="AB185">
        <f>LOOKUP(AA185,Grade_Scale!$A$2:$A$18,Grade_Scale!$B$2:$B$18)</f>
        <v/>
      </c>
      <c r="AC185">
        <f>LOOKUP(AA185,Grade_Scale!$A$2:$A$18,Grade_Scale!$C$2:$C$18)</f>
        <v/>
      </c>
      <c r="AE185">
        <f>IF(AD185="","",AB185-VLOOKUP(AD185,Grade_Scale!$C$2:$E$18,3,FALSE))</f>
        <v/>
      </c>
    </row>
    <row r="186">
      <c r="Q186">
        <f>IF(OR(B186="SP",B186="RP",B186="CP",B186="SP/RP"),"P","H")</f>
        <v/>
      </c>
      <c r="R186">
        <f>IF(F186="",0,IFNA(VLOOKUP(F186,Trait_Polarity!$A:$C,2,FALSE),0))+IF(G186="",0,IFNA(VLOOKUP(G186,Trait_Polarity!$A:$C,2,FALSE),0))</f>
        <v/>
      </c>
      <c r="S186">
        <f>IF(F186="",0,IFNA(VLOOKUP(F186,Trait_Polarity!$A:$C,3,FALSE),0))+IF(G186="",0,IFNA(VLOOKUP(G186,Trait_Polarity!$A:$C,3,FALSE),0))</f>
        <v/>
      </c>
      <c r="T186">
        <f>IF(Q186="P",0,IFNA(VLOOKUP(IF(C186="","(none)",C186),Secondary_Versatility!$A:$B,2,FALSE),0))</f>
        <v/>
      </c>
      <c r="U186">
        <f>IF(H186="",0,LEN(H186)-LEN(SUBSTITUTE(H186,"|",""))+1)</f>
        <v/>
      </c>
      <c r="V186">
        <f>IF(Q186="P",(N186+O186+P186)/3,0.3*I186+0.3*J186+0.2*K186+0.1*L186+0.1*M186)</f>
        <v/>
      </c>
      <c r="W186">
        <f>IF(Q186="P",IF(F186="",0,IFNA(VLOOKUP(F186,Pitcher_Trait_Coef!$A:$B,2,FALSE),0))+IF(G186="",0,IFNA(VLOOKUP(G186,Pitcher_Trait_Coef!$A:$B,2,FALSE),0)),IF(F186="",0,IFNA(VLOOKUP(F186,Hitter_Trait_Coef!$A:$B,2,FALSE),0))+IF(G186="",0,IFNA(VLOOKUP(G186,Hitter_Trait_Coef!$A:$B,2,FALSE),0)))</f>
        <v/>
      </c>
      <c r="X186">
        <f>IF(Q186="P",IFNA(VLOOKUP(B186,Pitcher_Primary_Coef!$A:$B,2,FALSE),0),IFNA(VLOOKUP(B186,Hitter_Primary_Coef!$A:$B,2,FALSE),0))</f>
        <v/>
      </c>
      <c r="Y186">
        <f>IF(Q186="P",0,IFNA(VLOOKUP(IF(C186="","(none)",C186),Hitter_Secondary_Coef!$A:$B,2,FALSE),0))</f>
        <v/>
      </c>
      <c r="Z186">
        <f>IF(Q186="P",IF(ISNUMBER(SEARCH("2F",H186)),IFNA(VLOOKUP("2F",Pitch_Coef!$A:$B,2,FALSE),0),0)+IF(ISNUMBER(SEARCH("4F",H186)),IFNA(VLOOKUP("4F",Pitch_Coef!$A:$B,2,FALSE),0),0)+IF(ISNUMBER(SEARCH("CB",H186)),IFNA(VLOOKUP("CB",Pitch_Coef!$A:$B,2,FALSE),0),0)+IF(ISNUMBER(SEARCH("CF",H186)),IFNA(VLOOKUP("CF",Pitch_Coef!$A:$B,2,FALSE),0),0)+IF(ISNUMBER(SEARCH("CH",H186)),IFNA(VLOOKUP("CH",Pitch_Coef!$A:$B,2,FALSE),0),0)+IF(ISNUMBER(SEARCH("FK",H186)),IFNA(VLOOKUP("FK",Pitch_Coef!$A:$B,2,FALSE),0),0)+IF(ISNUMBER(SEARCH("SB",H186)),IFNA(VLOOKUP("SB",Pitch_Coef!$A:$B,2,FALSE),0),0)+IF(ISNUMBER(SEARCH("SL",H186)),IFNA(VLOOKUP("SL",Pitch_Coef!$A:$B,2,FALSE),0),0),0)</f>
        <v/>
      </c>
      <c r="AA186">
        <f>IF(Q186="P",16.5944849573+0.2529999141*N186+0.2665900378*O186+0.2632687105*P186+0.0427586837*I186+0.0534777057*J186+0.009015832*K186+0.0204898106*(O186*P186/100)+1.0091022427*U186+1.0968542297*IF(D186="L",1,0)+0.3771555045*IF(D186="S",1,0)-0.2226159177*IF(E186="L",1,0)+1.21385024*R186-1.1652812274*S186+W186+X186+Z186,10.5965166711+0.2825983581*I186+0.2806503532*J186+0.2027213083*K186+0.1147824982*L186+0.0915305332*M186-0.0088454122*(I186*J186/100)-0.0336045706*(K186*L186/100)+2.8497389733*IF(D186="L",1,0)+4.5116226727*IF(D186="S",1,0)-0.6571546448*IF(E186="L",1,0)+0.0850728147*T186+0.0129488446*(T186*T186)+0.1909373936*IF(OR(F186="Utility",G186="Utility"),T186,0)+0.9656824071*R186-1.7517683256*S186+W186+X186+Y186)</f>
        <v/>
      </c>
      <c r="AB186">
        <f>LOOKUP(AA186,Grade_Scale!$A$2:$A$18,Grade_Scale!$B$2:$B$18)</f>
        <v/>
      </c>
      <c r="AC186">
        <f>LOOKUP(AA186,Grade_Scale!$A$2:$A$18,Grade_Scale!$C$2:$C$18)</f>
        <v/>
      </c>
      <c r="AE186">
        <f>IF(AD186="","",AB186-VLOOKUP(AD186,Grade_Scale!$C$2:$E$18,3,FALSE))</f>
        <v/>
      </c>
    </row>
    <row r="187">
      <c r="Q187">
        <f>IF(OR(B187="SP",B187="RP",B187="CP",B187="SP/RP"),"P","H")</f>
        <v/>
      </c>
      <c r="R187">
        <f>IF(F187="",0,IFNA(VLOOKUP(F187,Trait_Polarity!$A:$C,2,FALSE),0))+IF(G187="",0,IFNA(VLOOKUP(G187,Trait_Polarity!$A:$C,2,FALSE),0))</f>
        <v/>
      </c>
      <c r="S187">
        <f>IF(F187="",0,IFNA(VLOOKUP(F187,Trait_Polarity!$A:$C,3,FALSE),0))+IF(G187="",0,IFNA(VLOOKUP(G187,Trait_Polarity!$A:$C,3,FALSE),0))</f>
        <v/>
      </c>
      <c r="T187">
        <f>IF(Q187="P",0,IFNA(VLOOKUP(IF(C187="","(none)",C187),Secondary_Versatility!$A:$B,2,FALSE),0))</f>
        <v/>
      </c>
      <c r="U187">
        <f>IF(H187="",0,LEN(H187)-LEN(SUBSTITUTE(H187,"|",""))+1)</f>
        <v/>
      </c>
      <c r="V187">
        <f>IF(Q187="P",(N187+O187+P187)/3,0.3*I187+0.3*J187+0.2*K187+0.1*L187+0.1*M187)</f>
        <v/>
      </c>
      <c r="W187">
        <f>IF(Q187="P",IF(F187="",0,IFNA(VLOOKUP(F187,Pitcher_Trait_Coef!$A:$B,2,FALSE),0))+IF(G187="",0,IFNA(VLOOKUP(G187,Pitcher_Trait_Coef!$A:$B,2,FALSE),0)),IF(F187="",0,IFNA(VLOOKUP(F187,Hitter_Trait_Coef!$A:$B,2,FALSE),0))+IF(G187="",0,IFNA(VLOOKUP(G187,Hitter_Trait_Coef!$A:$B,2,FALSE),0)))</f>
        <v/>
      </c>
      <c r="X187">
        <f>IF(Q187="P",IFNA(VLOOKUP(B187,Pitcher_Primary_Coef!$A:$B,2,FALSE),0),IFNA(VLOOKUP(B187,Hitter_Primary_Coef!$A:$B,2,FALSE),0))</f>
        <v/>
      </c>
      <c r="Y187">
        <f>IF(Q187="P",0,IFNA(VLOOKUP(IF(C187="","(none)",C187),Hitter_Secondary_Coef!$A:$B,2,FALSE),0))</f>
        <v/>
      </c>
      <c r="Z187">
        <f>IF(Q187="P",IF(ISNUMBER(SEARCH("2F",H187)),IFNA(VLOOKUP("2F",Pitch_Coef!$A:$B,2,FALSE),0),0)+IF(ISNUMBER(SEARCH("4F",H187)),IFNA(VLOOKUP("4F",Pitch_Coef!$A:$B,2,FALSE),0),0)+IF(ISNUMBER(SEARCH("CB",H187)),IFNA(VLOOKUP("CB",Pitch_Coef!$A:$B,2,FALSE),0),0)+IF(ISNUMBER(SEARCH("CF",H187)),IFNA(VLOOKUP("CF",Pitch_Coef!$A:$B,2,FALSE),0),0)+IF(ISNUMBER(SEARCH("CH",H187)),IFNA(VLOOKUP("CH",Pitch_Coef!$A:$B,2,FALSE),0),0)+IF(ISNUMBER(SEARCH("FK",H187)),IFNA(VLOOKUP("FK",Pitch_Coef!$A:$B,2,FALSE),0),0)+IF(ISNUMBER(SEARCH("SB",H187)),IFNA(VLOOKUP("SB",Pitch_Coef!$A:$B,2,FALSE),0),0)+IF(ISNUMBER(SEARCH("SL",H187)),IFNA(VLOOKUP("SL",Pitch_Coef!$A:$B,2,FALSE),0),0),0)</f>
        <v/>
      </c>
      <c r="AA187">
        <f>IF(Q187="P",16.5944849573+0.2529999141*N187+0.2665900378*O187+0.2632687105*P187+0.0427586837*I187+0.0534777057*J187+0.009015832*K187+0.0204898106*(O187*P187/100)+1.0091022427*U187+1.0968542297*IF(D187="L",1,0)+0.3771555045*IF(D187="S",1,0)-0.2226159177*IF(E187="L",1,0)+1.21385024*R187-1.1652812274*S187+W187+X187+Z187,10.5965166711+0.2825983581*I187+0.2806503532*J187+0.2027213083*K187+0.1147824982*L187+0.0915305332*M187-0.0088454122*(I187*J187/100)-0.0336045706*(K187*L187/100)+2.8497389733*IF(D187="L",1,0)+4.5116226727*IF(D187="S",1,0)-0.6571546448*IF(E187="L",1,0)+0.0850728147*T187+0.0129488446*(T187*T187)+0.1909373936*IF(OR(F187="Utility",G187="Utility"),T187,0)+0.9656824071*R187-1.7517683256*S187+W187+X187+Y187)</f>
        <v/>
      </c>
      <c r="AB187">
        <f>LOOKUP(AA187,Grade_Scale!$A$2:$A$18,Grade_Scale!$B$2:$B$18)</f>
        <v/>
      </c>
      <c r="AC187">
        <f>LOOKUP(AA187,Grade_Scale!$A$2:$A$18,Grade_Scale!$C$2:$C$18)</f>
        <v/>
      </c>
      <c r="AE187">
        <f>IF(AD187="","",AB187-VLOOKUP(AD187,Grade_Scale!$C$2:$E$18,3,FALSE))</f>
        <v/>
      </c>
    </row>
    <row r="188">
      <c r="Q188">
        <f>IF(OR(B188="SP",B188="RP",B188="CP",B188="SP/RP"),"P","H")</f>
        <v/>
      </c>
      <c r="R188">
        <f>IF(F188="",0,IFNA(VLOOKUP(F188,Trait_Polarity!$A:$C,2,FALSE),0))+IF(G188="",0,IFNA(VLOOKUP(G188,Trait_Polarity!$A:$C,2,FALSE),0))</f>
        <v/>
      </c>
      <c r="S188">
        <f>IF(F188="",0,IFNA(VLOOKUP(F188,Trait_Polarity!$A:$C,3,FALSE),0))+IF(G188="",0,IFNA(VLOOKUP(G188,Trait_Polarity!$A:$C,3,FALSE),0))</f>
        <v/>
      </c>
      <c r="T188">
        <f>IF(Q188="P",0,IFNA(VLOOKUP(IF(C188="","(none)",C188),Secondary_Versatility!$A:$B,2,FALSE),0))</f>
        <v/>
      </c>
      <c r="U188">
        <f>IF(H188="",0,LEN(H188)-LEN(SUBSTITUTE(H188,"|",""))+1)</f>
        <v/>
      </c>
      <c r="V188">
        <f>IF(Q188="P",(N188+O188+P188)/3,0.3*I188+0.3*J188+0.2*K188+0.1*L188+0.1*M188)</f>
        <v/>
      </c>
      <c r="W188">
        <f>IF(Q188="P",IF(F188="",0,IFNA(VLOOKUP(F188,Pitcher_Trait_Coef!$A:$B,2,FALSE),0))+IF(G188="",0,IFNA(VLOOKUP(G188,Pitcher_Trait_Coef!$A:$B,2,FALSE),0)),IF(F188="",0,IFNA(VLOOKUP(F188,Hitter_Trait_Coef!$A:$B,2,FALSE),0))+IF(G188="",0,IFNA(VLOOKUP(G188,Hitter_Trait_Coef!$A:$B,2,FALSE),0)))</f>
        <v/>
      </c>
      <c r="X188">
        <f>IF(Q188="P",IFNA(VLOOKUP(B188,Pitcher_Primary_Coef!$A:$B,2,FALSE),0),IFNA(VLOOKUP(B188,Hitter_Primary_Coef!$A:$B,2,FALSE),0))</f>
        <v/>
      </c>
      <c r="Y188">
        <f>IF(Q188="P",0,IFNA(VLOOKUP(IF(C188="","(none)",C188),Hitter_Secondary_Coef!$A:$B,2,FALSE),0))</f>
        <v/>
      </c>
      <c r="Z188">
        <f>IF(Q188="P",IF(ISNUMBER(SEARCH("2F",H188)),IFNA(VLOOKUP("2F",Pitch_Coef!$A:$B,2,FALSE),0),0)+IF(ISNUMBER(SEARCH("4F",H188)),IFNA(VLOOKUP("4F",Pitch_Coef!$A:$B,2,FALSE),0),0)+IF(ISNUMBER(SEARCH("CB",H188)),IFNA(VLOOKUP("CB",Pitch_Coef!$A:$B,2,FALSE),0),0)+IF(ISNUMBER(SEARCH("CF",H188)),IFNA(VLOOKUP("CF",Pitch_Coef!$A:$B,2,FALSE),0),0)+IF(ISNUMBER(SEARCH("CH",H188)),IFNA(VLOOKUP("CH",Pitch_Coef!$A:$B,2,FALSE),0),0)+IF(ISNUMBER(SEARCH("FK",H188)),IFNA(VLOOKUP("FK",Pitch_Coef!$A:$B,2,FALSE),0),0)+IF(ISNUMBER(SEARCH("SB",H188)),IFNA(VLOOKUP("SB",Pitch_Coef!$A:$B,2,FALSE),0),0)+IF(ISNUMBER(SEARCH("SL",H188)),IFNA(VLOOKUP("SL",Pitch_Coef!$A:$B,2,FALSE),0),0),0)</f>
        <v/>
      </c>
      <c r="AA188">
        <f>IF(Q188="P",16.5944849573+0.2529999141*N188+0.2665900378*O188+0.2632687105*P188+0.0427586837*I188+0.0534777057*J188+0.009015832*K188+0.0204898106*(O188*P188/100)+1.0091022427*U188+1.0968542297*IF(D188="L",1,0)+0.3771555045*IF(D188="S",1,0)-0.2226159177*IF(E188="L",1,0)+1.21385024*R188-1.1652812274*S188+W188+X188+Z188,10.5965166711+0.2825983581*I188+0.2806503532*J188+0.2027213083*K188+0.1147824982*L188+0.0915305332*M188-0.0088454122*(I188*J188/100)-0.0336045706*(K188*L188/100)+2.8497389733*IF(D188="L",1,0)+4.5116226727*IF(D188="S",1,0)-0.6571546448*IF(E188="L",1,0)+0.0850728147*T188+0.0129488446*(T188*T188)+0.1909373936*IF(OR(F188="Utility",G188="Utility"),T188,0)+0.9656824071*R188-1.7517683256*S188+W188+X188+Y188)</f>
        <v/>
      </c>
      <c r="AB188">
        <f>LOOKUP(AA188,Grade_Scale!$A$2:$A$18,Grade_Scale!$B$2:$B$18)</f>
        <v/>
      </c>
      <c r="AC188">
        <f>LOOKUP(AA188,Grade_Scale!$A$2:$A$18,Grade_Scale!$C$2:$C$18)</f>
        <v/>
      </c>
      <c r="AE188">
        <f>IF(AD188="","",AB188-VLOOKUP(AD188,Grade_Scale!$C$2:$E$18,3,FALSE))</f>
        <v/>
      </c>
    </row>
    <row r="189">
      <c r="Q189">
        <f>IF(OR(B189="SP",B189="RP",B189="CP",B189="SP/RP"),"P","H")</f>
        <v/>
      </c>
      <c r="R189">
        <f>IF(F189="",0,IFNA(VLOOKUP(F189,Trait_Polarity!$A:$C,2,FALSE),0))+IF(G189="",0,IFNA(VLOOKUP(G189,Trait_Polarity!$A:$C,2,FALSE),0))</f>
        <v/>
      </c>
      <c r="S189">
        <f>IF(F189="",0,IFNA(VLOOKUP(F189,Trait_Polarity!$A:$C,3,FALSE),0))+IF(G189="",0,IFNA(VLOOKUP(G189,Trait_Polarity!$A:$C,3,FALSE),0))</f>
        <v/>
      </c>
      <c r="T189">
        <f>IF(Q189="P",0,IFNA(VLOOKUP(IF(C189="","(none)",C189),Secondary_Versatility!$A:$B,2,FALSE),0))</f>
        <v/>
      </c>
      <c r="U189">
        <f>IF(H189="",0,LEN(H189)-LEN(SUBSTITUTE(H189,"|",""))+1)</f>
        <v/>
      </c>
      <c r="V189">
        <f>IF(Q189="P",(N189+O189+P189)/3,0.3*I189+0.3*J189+0.2*K189+0.1*L189+0.1*M189)</f>
        <v/>
      </c>
      <c r="W189">
        <f>IF(Q189="P",IF(F189="",0,IFNA(VLOOKUP(F189,Pitcher_Trait_Coef!$A:$B,2,FALSE),0))+IF(G189="",0,IFNA(VLOOKUP(G189,Pitcher_Trait_Coef!$A:$B,2,FALSE),0)),IF(F189="",0,IFNA(VLOOKUP(F189,Hitter_Trait_Coef!$A:$B,2,FALSE),0))+IF(G189="",0,IFNA(VLOOKUP(G189,Hitter_Trait_Coef!$A:$B,2,FALSE),0)))</f>
        <v/>
      </c>
      <c r="X189">
        <f>IF(Q189="P",IFNA(VLOOKUP(B189,Pitcher_Primary_Coef!$A:$B,2,FALSE),0),IFNA(VLOOKUP(B189,Hitter_Primary_Coef!$A:$B,2,FALSE),0))</f>
        <v/>
      </c>
      <c r="Y189">
        <f>IF(Q189="P",0,IFNA(VLOOKUP(IF(C189="","(none)",C189),Hitter_Secondary_Coef!$A:$B,2,FALSE),0))</f>
        <v/>
      </c>
      <c r="Z189">
        <f>IF(Q189="P",IF(ISNUMBER(SEARCH("2F",H189)),IFNA(VLOOKUP("2F",Pitch_Coef!$A:$B,2,FALSE),0),0)+IF(ISNUMBER(SEARCH("4F",H189)),IFNA(VLOOKUP("4F",Pitch_Coef!$A:$B,2,FALSE),0),0)+IF(ISNUMBER(SEARCH("CB",H189)),IFNA(VLOOKUP("CB",Pitch_Coef!$A:$B,2,FALSE),0),0)+IF(ISNUMBER(SEARCH("CF",H189)),IFNA(VLOOKUP("CF",Pitch_Coef!$A:$B,2,FALSE),0),0)+IF(ISNUMBER(SEARCH("CH",H189)),IFNA(VLOOKUP("CH",Pitch_Coef!$A:$B,2,FALSE),0),0)+IF(ISNUMBER(SEARCH("FK",H189)),IFNA(VLOOKUP("FK",Pitch_Coef!$A:$B,2,FALSE),0),0)+IF(ISNUMBER(SEARCH("SB",H189)),IFNA(VLOOKUP("SB",Pitch_Coef!$A:$B,2,FALSE),0),0)+IF(ISNUMBER(SEARCH("SL",H189)),IFNA(VLOOKUP("SL",Pitch_Coef!$A:$B,2,FALSE),0),0),0)</f>
        <v/>
      </c>
      <c r="AA189">
        <f>IF(Q189="P",16.5944849573+0.2529999141*N189+0.2665900378*O189+0.2632687105*P189+0.0427586837*I189+0.0534777057*J189+0.009015832*K189+0.0204898106*(O189*P189/100)+1.0091022427*U189+1.0968542297*IF(D189="L",1,0)+0.3771555045*IF(D189="S",1,0)-0.2226159177*IF(E189="L",1,0)+1.21385024*R189-1.1652812274*S189+W189+X189+Z189,10.5965166711+0.2825983581*I189+0.2806503532*J189+0.2027213083*K189+0.1147824982*L189+0.0915305332*M189-0.0088454122*(I189*J189/100)-0.0336045706*(K189*L189/100)+2.8497389733*IF(D189="L",1,0)+4.5116226727*IF(D189="S",1,0)-0.6571546448*IF(E189="L",1,0)+0.0850728147*T189+0.0129488446*(T189*T189)+0.1909373936*IF(OR(F189="Utility",G189="Utility"),T189,0)+0.9656824071*R189-1.7517683256*S189+W189+X189+Y189)</f>
        <v/>
      </c>
      <c r="AB189">
        <f>LOOKUP(AA189,Grade_Scale!$A$2:$A$18,Grade_Scale!$B$2:$B$18)</f>
        <v/>
      </c>
      <c r="AC189">
        <f>LOOKUP(AA189,Grade_Scale!$A$2:$A$18,Grade_Scale!$C$2:$C$18)</f>
        <v/>
      </c>
      <c r="AE189">
        <f>IF(AD189="","",AB189-VLOOKUP(AD189,Grade_Scale!$C$2:$E$18,3,FALSE))</f>
        <v/>
      </c>
    </row>
    <row r="190">
      <c r="Q190">
        <f>IF(OR(B190="SP",B190="RP",B190="CP",B190="SP/RP"),"P","H")</f>
        <v/>
      </c>
      <c r="R190">
        <f>IF(F190="",0,IFNA(VLOOKUP(F190,Trait_Polarity!$A:$C,2,FALSE),0))+IF(G190="",0,IFNA(VLOOKUP(G190,Trait_Polarity!$A:$C,2,FALSE),0))</f>
        <v/>
      </c>
      <c r="S190">
        <f>IF(F190="",0,IFNA(VLOOKUP(F190,Trait_Polarity!$A:$C,3,FALSE),0))+IF(G190="",0,IFNA(VLOOKUP(G190,Trait_Polarity!$A:$C,3,FALSE),0))</f>
        <v/>
      </c>
      <c r="T190">
        <f>IF(Q190="P",0,IFNA(VLOOKUP(IF(C190="","(none)",C190),Secondary_Versatility!$A:$B,2,FALSE),0))</f>
        <v/>
      </c>
      <c r="U190">
        <f>IF(H190="",0,LEN(H190)-LEN(SUBSTITUTE(H190,"|",""))+1)</f>
        <v/>
      </c>
      <c r="V190">
        <f>IF(Q190="P",(N190+O190+P190)/3,0.3*I190+0.3*J190+0.2*K190+0.1*L190+0.1*M190)</f>
        <v/>
      </c>
      <c r="W190">
        <f>IF(Q190="P",IF(F190="",0,IFNA(VLOOKUP(F190,Pitcher_Trait_Coef!$A:$B,2,FALSE),0))+IF(G190="",0,IFNA(VLOOKUP(G190,Pitcher_Trait_Coef!$A:$B,2,FALSE),0)),IF(F190="",0,IFNA(VLOOKUP(F190,Hitter_Trait_Coef!$A:$B,2,FALSE),0))+IF(G190="",0,IFNA(VLOOKUP(G190,Hitter_Trait_Coef!$A:$B,2,FALSE),0)))</f>
        <v/>
      </c>
      <c r="X190">
        <f>IF(Q190="P",IFNA(VLOOKUP(B190,Pitcher_Primary_Coef!$A:$B,2,FALSE),0),IFNA(VLOOKUP(B190,Hitter_Primary_Coef!$A:$B,2,FALSE),0))</f>
        <v/>
      </c>
      <c r="Y190">
        <f>IF(Q190="P",0,IFNA(VLOOKUP(IF(C190="","(none)",C190),Hitter_Secondary_Coef!$A:$B,2,FALSE),0))</f>
        <v/>
      </c>
      <c r="Z190">
        <f>IF(Q190="P",IF(ISNUMBER(SEARCH("2F",H190)),IFNA(VLOOKUP("2F",Pitch_Coef!$A:$B,2,FALSE),0),0)+IF(ISNUMBER(SEARCH("4F",H190)),IFNA(VLOOKUP("4F",Pitch_Coef!$A:$B,2,FALSE),0),0)+IF(ISNUMBER(SEARCH("CB",H190)),IFNA(VLOOKUP("CB",Pitch_Coef!$A:$B,2,FALSE),0),0)+IF(ISNUMBER(SEARCH("CF",H190)),IFNA(VLOOKUP("CF",Pitch_Coef!$A:$B,2,FALSE),0),0)+IF(ISNUMBER(SEARCH("CH",H190)),IFNA(VLOOKUP("CH",Pitch_Coef!$A:$B,2,FALSE),0),0)+IF(ISNUMBER(SEARCH("FK",H190)),IFNA(VLOOKUP("FK",Pitch_Coef!$A:$B,2,FALSE),0),0)+IF(ISNUMBER(SEARCH("SB",H190)),IFNA(VLOOKUP("SB",Pitch_Coef!$A:$B,2,FALSE),0),0)+IF(ISNUMBER(SEARCH("SL",H190)),IFNA(VLOOKUP("SL",Pitch_Coef!$A:$B,2,FALSE),0),0),0)</f>
        <v/>
      </c>
      <c r="AA190">
        <f>IF(Q190="P",16.5944849573+0.2529999141*N190+0.2665900378*O190+0.2632687105*P190+0.0427586837*I190+0.0534777057*J190+0.009015832*K190+0.0204898106*(O190*P190/100)+1.0091022427*U190+1.0968542297*IF(D190="L",1,0)+0.3771555045*IF(D190="S",1,0)-0.2226159177*IF(E190="L",1,0)+1.21385024*R190-1.1652812274*S190+W190+X190+Z190,10.5965166711+0.2825983581*I190+0.2806503532*J190+0.2027213083*K190+0.1147824982*L190+0.0915305332*M190-0.0088454122*(I190*J190/100)-0.0336045706*(K190*L190/100)+2.8497389733*IF(D190="L",1,0)+4.5116226727*IF(D190="S",1,0)-0.6571546448*IF(E190="L",1,0)+0.0850728147*T190+0.0129488446*(T190*T190)+0.1909373936*IF(OR(F190="Utility",G190="Utility"),T190,0)+0.9656824071*R190-1.7517683256*S190+W190+X190+Y190)</f>
        <v/>
      </c>
      <c r="AB190">
        <f>LOOKUP(AA190,Grade_Scale!$A$2:$A$18,Grade_Scale!$B$2:$B$18)</f>
        <v/>
      </c>
      <c r="AC190">
        <f>LOOKUP(AA190,Grade_Scale!$A$2:$A$18,Grade_Scale!$C$2:$C$18)</f>
        <v/>
      </c>
      <c r="AE190">
        <f>IF(AD190="","",AB190-VLOOKUP(AD190,Grade_Scale!$C$2:$E$18,3,FALSE))</f>
        <v/>
      </c>
    </row>
    <row r="191">
      <c r="Q191">
        <f>IF(OR(B191="SP",B191="RP",B191="CP",B191="SP/RP"),"P","H")</f>
        <v/>
      </c>
      <c r="R191">
        <f>IF(F191="",0,IFNA(VLOOKUP(F191,Trait_Polarity!$A:$C,2,FALSE),0))+IF(G191="",0,IFNA(VLOOKUP(G191,Trait_Polarity!$A:$C,2,FALSE),0))</f>
        <v/>
      </c>
      <c r="S191">
        <f>IF(F191="",0,IFNA(VLOOKUP(F191,Trait_Polarity!$A:$C,3,FALSE),0))+IF(G191="",0,IFNA(VLOOKUP(G191,Trait_Polarity!$A:$C,3,FALSE),0))</f>
        <v/>
      </c>
      <c r="T191">
        <f>IF(Q191="P",0,IFNA(VLOOKUP(IF(C191="","(none)",C191),Secondary_Versatility!$A:$B,2,FALSE),0))</f>
        <v/>
      </c>
      <c r="U191">
        <f>IF(H191="",0,LEN(H191)-LEN(SUBSTITUTE(H191,"|",""))+1)</f>
        <v/>
      </c>
      <c r="V191">
        <f>IF(Q191="P",(N191+O191+P191)/3,0.3*I191+0.3*J191+0.2*K191+0.1*L191+0.1*M191)</f>
        <v/>
      </c>
      <c r="W191">
        <f>IF(Q191="P",IF(F191="",0,IFNA(VLOOKUP(F191,Pitcher_Trait_Coef!$A:$B,2,FALSE),0))+IF(G191="",0,IFNA(VLOOKUP(G191,Pitcher_Trait_Coef!$A:$B,2,FALSE),0)),IF(F191="",0,IFNA(VLOOKUP(F191,Hitter_Trait_Coef!$A:$B,2,FALSE),0))+IF(G191="",0,IFNA(VLOOKUP(G191,Hitter_Trait_Coef!$A:$B,2,FALSE),0)))</f>
        <v/>
      </c>
      <c r="X191">
        <f>IF(Q191="P",IFNA(VLOOKUP(B191,Pitcher_Primary_Coef!$A:$B,2,FALSE),0),IFNA(VLOOKUP(B191,Hitter_Primary_Coef!$A:$B,2,FALSE),0))</f>
        <v/>
      </c>
      <c r="Y191">
        <f>IF(Q191="P",0,IFNA(VLOOKUP(IF(C191="","(none)",C191),Hitter_Secondary_Coef!$A:$B,2,FALSE),0))</f>
        <v/>
      </c>
      <c r="Z191">
        <f>IF(Q191="P",IF(ISNUMBER(SEARCH("2F",H191)),IFNA(VLOOKUP("2F",Pitch_Coef!$A:$B,2,FALSE),0),0)+IF(ISNUMBER(SEARCH("4F",H191)),IFNA(VLOOKUP("4F",Pitch_Coef!$A:$B,2,FALSE),0),0)+IF(ISNUMBER(SEARCH("CB",H191)),IFNA(VLOOKUP("CB",Pitch_Coef!$A:$B,2,FALSE),0),0)+IF(ISNUMBER(SEARCH("CF",H191)),IFNA(VLOOKUP("CF",Pitch_Coef!$A:$B,2,FALSE),0),0)+IF(ISNUMBER(SEARCH("CH",H191)),IFNA(VLOOKUP("CH",Pitch_Coef!$A:$B,2,FALSE),0),0)+IF(ISNUMBER(SEARCH("FK",H191)),IFNA(VLOOKUP("FK",Pitch_Coef!$A:$B,2,FALSE),0),0)+IF(ISNUMBER(SEARCH("SB",H191)),IFNA(VLOOKUP("SB",Pitch_Coef!$A:$B,2,FALSE),0),0)+IF(ISNUMBER(SEARCH("SL",H191)),IFNA(VLOOKUP("SL",Pitch_Coef!$A:$B,2,FALSE),0),0),0)</f>
        <v/>
      </c>
      <c r="AA191">
        <f>IF(Q191="P",16.5944849573+0.2529999141*N191+0.2665900378*O191+0.2632687105*P191+0.0427586837*I191+0.0534777057*J191+0.009015832*K191+0.0204898106*(O191*P191/100)+1.0091022427*U191+1.0968542297*IF(D191="L",1,0)+0.3771555045*IF(D191="S",1,0)-0.2226159177*IF(E191="L",1,0)+1.21385024*R191-1.1652812274*S191+W191+X191+Z191,10.5965166711+0.2825983581*I191+0.2806503532*J191+0.2027213083*K191+0.1147824982*L191+0.0915305332*M191-0.0088454122*(I191*J191/100)-0.0336045706*(K191*L191/100)+2.8497389733*IF(D191="L",1,0)+4.5116226727*IF(D191="S",1,0)-0.6571546448*IF(E191="L",1,0)+0.0850728147*T191+0.0129488446*(T191*T191)+0.1909373936*IF(OR(F191="Utility",G191="Utility"),T191,0)+0.9656824071*R191-1.7517683256*S191+W191+X191+Y191)</f>
        <v/>
      </c>
      <c r="AB191">
        <f>LOOKUP(AA191,Grade_Scale!$A$2:$A$18,Grade_Scale!$B$2:$B$18)</f>
        <v/>
      </c>
      <c r="AC191">
        <f>LOOKUP(AA191,Grade_Scale!$A$2:$A$18,Grade_Scale!$C$2:$C$18)</f>
        <v/>
      </c>
      <c r="AE191">
        <f>IF(AD191="","",AB191-VLOOKUP(AD191,Grade_Scale!$C$2:$E$18,3,FALSE))</f>
        <v/>
      </c>
    </row>
    <row r="192">
      <c r="Q192">
        <f>IF(OR(B192="SP",B192="RP",B192="CP",B192="SP/RP"),"P","H")</f>
        <v/>
      </c>
      <c r="R192">
        <f>IF(F192="",0,IFNA(VLOOKUP(F192,Trait_Polarity!$A:$C,2,FALSE),0))+IF(G192="",0,IFNA(VLOOKUP(G192,Trait_Polarity!$A:$C,2,FALSE),0))</f>
        <v/>
      </c>
      <c r="S192">
        <f>IF(F192="",0,IFNA(VLOOKUP(F192,Trait_Polarity!$A:$C,3,FALSE),0))+IF(G192="",0,IFNA(VLOOKUP(G192,Trait_Polarity!$A:$C,3,FALSE),0))</f>
        <v/>
      </c>
      <c r="T192">
        <f>IF(Q192="P",0,IFNA(VLOOKUP(IF(C192="","(none)",C192),Secondary_Versatility!$A:$B,2,FALSE),0))</f>
        <v/>
      </c>
      <c r="U192">
        <f>IF(H192="",0,LEN(H192)-LEN(SUBSTITUTE(H192,"|",""))+1)</f>
        <v/>
      </c>
      <c r="V192">
        <f>IF(Q192="P",(N192+O192+P192)/3,0.3*I192+0.3*J192+0.2*K192+0.1*L192+0.1*M192)</f>
        <v/>
      </c>
      <c r="W192">
        <f>IF(Q192="P",IF(F192="",0,IFNA(VLOOKUP(F192,Pitcher_Trait_Coef!$A:$B,2,FALSE),0))+IF(G192="",0,IFNA(VLOOKUP(G192,Pitcher_Trait_Coef!$A:$B,2,FALSE),0)),IF(F192="",0,IFNA(VLOOKUP(F192,Hitter_Trait_Coef!$A:$B,2,FALSE),0))+IF(G192="",0,IFNA(VLOOKUP(G192,Hitter_Trait_Coef!$A:$B,2,FALSE),0)))</f>
        <v/>
      </c>
      <c r="X192">
        <f>IF(Q192="P",IFNA(VLOOKUP(B192,Pitcher_Primary_Coef!$A:$B,2,FALSE),0),IFNA(VLOOKUP(B192,Hitter_Primary_Coef!$A:$B,2,FALSE),0))</f>
        <v/>
      </c>
      <c r="Y192">
        <f>IF(Q192="P",0,IFNA(VLOOKUP(IF(C192="","(none)",C192),Hitter_Secondary_Coef!$A:$B,2,FALSE),0))</f>
        <v/>
      </c>
      <c r="Z192">
        <f>IF(Q192="P",IF(ISNUMBER(SEARCH("2F",H192)),IFNA(VLOOKUP("2F",Pitch_Coef!$A:$B,2,FALSE),0),0)+IF(ISNUMBER(SEARCH("4F",H192)),IFNA(VLOOKUP("4F",Pitch_Coef!$A:$B,2,FALSE),0),0)+IF(ISNUMBER(SEARCH("CB",H192)),IFNA(VLOOKUP("CB",Pitch_Coef!$A:$B,2,FALSE),0),0)+IF(ISNUMBER(SEARCH("CF",H192)),IFNA(VLOOKUP("CF",Pitch_Coef!$A:$B,2,FALSE),0),0)+IF(ISNUMBER(SEARCH("CH",H192)),IFNA(VLOOKUP("CH",Pitch_Coef!$A:$B,2,FALSE),0),0)+IF(ISNUMBER(SEARCH("FK",H192)),IFNA(VLOOKUP("FK",Pitch_Coef!$A:$B,2,FALSE),0),0)+IF(ISNUMBER(SEARCH("SB",H192)),IFNA(VLOOKUP("SB",Pitch_Coef!$A:$B,2,FALSE),0),0)+IF(ISNUMBER(SEARCH("SL",H192)),IFNA(VLOOKUP("SL",Pitch_Coef!$A:$B,2,FALSE),0),0),0)</f>
        <v/>
      </c>
      <c r="AA192">
        <f>IF(Q192="P",16.5944849573+0.2529999141*N192+0.2665900378*O192+0.2632687105*P192+0.0427586837*I192+0.0534777057*J192+0.009015832*K192+0.0204898106*(O192*P192/100)+1.0091022427*U192+1.0968542297*IF(D192="L",1,0)+0.3771555045*IF(D192="S",1,0)-0.2226159177*IF(E192="L",1,0)+1.21385024*R192-1.1652812274*S192+W192+X192+Z192,10.5965166711+0.2825983581*I192+0.2806503532*J192+0.2027213083*K192+0.1147824982*L192+0.0915305332*M192-0.0088454122*(I192*J192/100)-0.0336045706*(K192*L192/100)+2.8497389733*IF(D192="L",1,0)+4.5116226727*IF(D192="S",1,0)-0.6571546448*IF(E192="L",1,0)+0.0850728147*T192+0.0129488446*(T192*T192)+0.1909373936*IF(OR(F192="Utility",G192="Utility"),T192,0)+0.9656824071*R192-1.7517683256*S192+W192+X192+Y192)</f>
        <v/>
      </c>
      <c r="AB192">
        <f>LOOKUP(AA192,Grade_Scale!$A$2:$A$18,Grade_Scale!$B$2:$B$18)</f>
        <v/>
      </c>
      <c r="AC192">
        <f>LOOKUP(AA192,Grade_Scale!$A$2:$A$18,Grade_Scale!$C$2:$C$18)</f>
        <v/>
      </c>
      <c r="AE192">
        <f>IF(AD192="","",AB192-VLOOKUP(AD192,Grade_Scale!$C$2:$E$18,3,FALSE))</f>
        <v/>
      </c>
    </row>
    <row r="193">
      <c r="Q193">
        <f>IF(OR(B193="SP",B193="RP",B193="CP",B193="SP/RP"),"P","H")</f>
        <v/>
      </c>
      <c r="R193">
        <f>IF(F193="",0,IFNA(VLOOKUP(F193,Trait_Polarity!$A:$C,2,FALSE),0))+IF(G193="",0,IFNA(VLOOKUP(G193,Trait_Polarity!$A:$C,2,FALSE),0))</f>
        <v/>
      </c>
      <c r="S193">
        <f>IF(F193="",0,IFNA(VLOOKUP(F193,Trait_Polarity!$A:$C,3,FALSE),0))+IF(G193="",0,IFNA(VLOOKUP(G193,Trait_Polarity!$A:$C,3,FALSE),0))</f>
        <v/>
      </c>
      <c r="T193">
        <f>IF(Q193="P",0,IFNA(VLOOKUP(IF(C193="","(none)",C193),Secondary_Versatility!$A:$B,2,FALSE),0))</f>
        <v/>
      </c>
      <c r="U193">
        <f>IF(H193="",0,LEN(H193)-LEN(SUBSTITUTE(H193,"|",""))+1)</f>
        <v/>
      </c>
      <c r="V193">
        <f>IF(Q193="P",(N193+O193+P193)/3,0.3*I193+0.3*J193+0.2*K193+0.1*L193+0.1*M193)</f>
        <v/>
      </c>
      <c r="W193">
        <f>IF(Q193="P",IF(F193="",0,IFNA(VLOOKUP(F193,Pitcher_Trait_Coef!$A:$B,2,FALSE),0))+IF(G193="",0,IFNA(VLOOKUP(G193,Pitcher_Trait_Coef!$A:$B,2,FALSE),0)),IF(F193="",0,IFNA(VLOOKUP(F193,Hitter_Trait_Coef!$A:$B,2,FALSE),0))+IF(G193="",0,IFNA(VLOOKUP(G193,Hitter_Trait_Coef!$A:$B,2,FALSE),0)))</f>
        <v/>
      </c>
      <c r="X193">
        <f>IF(Q193="P",IFNA(VLOOKUP(B193,Pitcher_Primary_Coef!$A:$B,2,FALSE),0),IFNA(VLOOKUP(B193,Hitter_Primary_Coef!$A:$B,2,FALSE),0))</f>
        <v/>
      </c>
      <c r="Y193">
        <f>IF(Q193="P",0,IFNA(VLOOKUP(IF(C193="","(none)",C193),Hitter_Secondary_Coef!$A:$B,2,FALSE),0))</f>
        <v/>
      </c>
      <c r="Z193">
        <f>IF(Q193="P",IF(ISNUMBER(SEARCH("2F",H193)),IFNA(VLOOKUP("2F",Pitch_Coef!$A:$B,2,FALSE),0),0)+IF(ISNUMBER(SEARCH("4F",H193)),IFNA(VLOOKUP("4F",Pitch_Coef!$A:$B,2,FALSE),0),0)+IF(ISNUMBER(SEARCH("CB",H193)),IFNA(VLOOKUP("CB",Pitch_Coef!$A:$B,2,FALSE),0),0)+IF(ISNUMBER(SEARCH("CF",H193)),IFNA(VLOOKUP("CF",Pitch_Coef!$A:$B,2,FALSE),0),0)+IF(ISNUMBER(SEARCH("CH",H193)),IFNA(VLOOKUP("CH",Pitch_Coef!$A:$B,2,FALSE),0),0)+IF(ISNUMBER(SEARCH("FK",H193)),IFNA(VLOOKUP("FK",Pitch_Coef!$A:$B,2,FALSE),0),0)+IF(ISNUMBER(SEARCH("SB",H193)),IFNA(VLOOKUP("SB",Pitch_Coef!$A:$B,2,FALSE),0),0)+IF(ISNUMBER(SEARCH("SL",H193)),IFNA(VLOOKUP("SL",Pitch_Coef!$A:$B,2,FALSE),0),0),0)</f>
        <v/>
      </c>
      <c r="AA193">
        <f>IF(Q193="P",16.5944849573+0.2529999141*N193+0.2665900378*O193+0.2632687105*P193+0.0427586837*I193+0.0534777057*J193+0.009015832*K193+0.0204898106*(O193*P193/100)+1.0091022427*U193+1.0968542297*IF(D193="L",1,0)+0.3771555045*IF(D193="S",1,0)-0.2226159177*IF(E193="L",1,0)+1.21385024*R193-1.1652812274*S193+W193+X193+Z193,10.5965166711+0.2825983581*I193+0.2806503532*J193+0.2027213083*K193+0.1147824982*L193+0.0915305332*M193-0.0088454122*(I193*J193/100)-0.0336045706*(K193*L193/100)+2.8497389733*IF(D193="L",1,0)+4.5116226727*IF(D193="S",1,0)-0.6571546448*IF(E193="L",1,0)+0.0850728147*T193+0.0129488446*(T193*T193)+0.1909373936*IF(OR(F193="Utility",G193="Utility"),T193,0)+0.9656824071*R193-1.7517683256*S193+W193+X193+Y193)</f>
        <v/>
      </c>
      <c r="AB193">
        <f>LOOKUP(AA193,Grade_Scale!$A$2:$A$18,Grade_Scale!$B$2:$B$18)</f>
        <v/>
      </c>
      <c r="AC193">
        <f>LOOKUP(AA193,Grade_Scale!$A$2:$A$18,Grade_Scale!$C$2:$C$18)</f>
        <v/>
      </c>
      <c r="AE193">
        <f>IF(AD193="","",AB193-VLOOKUP(AD193,Grade_Scale!$C$2:$E$18,3,FALSE))</f>
        <v/>
      </c>
    </row>
    <row r="194">
      <c r="Q194">
        <f>IF(OR(B194="SP",B194="RP",B194="CP",B194="SP/RP"),"P","H")</f>
        <v/>
      </c>
      <c r="R194">
        <f>IF(F194="",0,IFNA(VLOOKUP(F194,Trait_Polarity!$A:$C,2,FALSE),0))+IF(G194="",0,IFNA(VLOOKUP(G194,Trait_Polarity!$A:$C,2,FALSE),0))</f>
        <v/>
      </c>
      <c r="S194">
        <f>IF(F194="",0,IFNA(VLOOKUP(F194,Trait_Polarity!$A:$C,3,FALSE),0))+IF(G194="",0,IFNA(VLOOKUP(G194,Trait_Polarity!$A:$C,3,FALSE),0))</f>
        <v/>
      </c>
      <c r="T194">
        <f>IF(Q194="P",0,IFNA(VLOOKUP(IF(C194="","(none)",C194),Secondary_Versatility!$A:$B,2,FALSE),0))</f>
        <v/>
      </c>
      <c r="U194">
        <f>IF(H194="",0,LEN(H194)-LEN(SUBSTITUTE(H194,"|",""))+1)</f>
        <v/>
      </c>
      <c r="V194">
        <f>IF(Q194="P",(N194+O194+P194)/3,0.3*I194+0.3*J194+0.2*K194+0.1*L194+0.1*M194)</f>
        <v/>
      </c>
      <c r="W194">
        <f>IF(Q194="P",IF(F194="",0,IFNA(VLOOKUP(F194,Pitcher_Trait_Coef!$A:$B,2,FALSE),0))+IF(G194="",0,IFNA(VLOOKUP(G194,Pitcher_Trait_Coef!$A:$B,2,FALSE),0)),IF(F194="",0,IFNA(VLOOKUP(F194,Hitter_Trait_Coef!$A:$B,2,FALSE),0))+IF(G194="",0,IFNA(VLOOKUP(G194,Hitter_Trait_Coef!$A:$B,2,FALSE),0)))</f>
        <v/>
      </c>
      <c r="X194">
        <f>IF(Q194="P",IFNA(VLOOKUP(B194,Pitcher_Primary_Coef!$A:$B,2,FALSE),0),IFNA(VLOOKUP(B194,Hitter_Primary_Coef!$A:$B,2,FALSE),0))</f>
        <v/>
      </c>
      <c r="Y194">
        <f>IF(Q194="P",0,IFNA(VLOOKUP(IF(C194="","(none)",C194),Hitter_Secondary_Coef!$A:$B,2,FALSE),0))</f>
        <v/>
      </c>
      <c r="Z194">
        <f>IF(Q194="P",IF(ISNUMBER(SEARCH("2F",H194)),IFNA(VLOOKUP("2F",Pitch_Coef!$A:$B,2,FALSE),0),0)+IF(ISNUMBER(SEARCH("4F",H194)),IFNA(VLOOKUP("4F",Pitch_Coef!$A:$B,2,FALSE),0),0)+IF(ISNUMBER(SEARCH("CB",H194)),IFNA(VLOOKUP("CB",Pitch_Coef!$A:$B,2,FALSE),0),0)+IF(ISNUMBER(SEARCH("CF",H194)),IFNA(VLOOKUP("CF",Pitch_Coef!$A:$B,2,FALSE),0),0)+IF(ISNUMBER(SEARCH("CH",H194)),IFNA(VLOOKUP("CH",Pitch_Coef!$A:$B,2,FALSE),0),0)+IF(ISNUMBER(SEARCH("FK",H194)),IFNA(VLOOKUP("FK",Pitch_Coef!$A:$B,2,FALSE),0),0)+IF(ISNUMBER(SEARCH("SB",H194)),IFNA(VLOOKUP("SB",Pitch_Coef!$A:$B,2,FALSE),0),0)+IF(ISNUMBER(SEARCH("SL",H194)),IFNA(VLOOKUP("SL",Pitch_Coef!$A:$B,2,FALSE),0),0),0)</f>
        <v/>
      </c>
      <c r="AA194">
        <f>IF(Q194="P",16.5944849573+0.2529999141*N194+0.2665900378*O194+0.2632687105*P194+0.0427586837*I194+0.0534777057*J194+0.009015832*K194+0.0204898106*(O194*P194/100)+1.0091022427*U194+1.0968542297*IF(D194="L",1,0)+0.3771555045*IF(D194="S",1,0)-0.2226159177*IF(E194="L",1,0)+1.21385024*R194-1.1652812274*S194+W194+X194+Z194,10.5965166711+0.2825983581*I194+0.2806503532*J194+0.2027213083*K194+0.1147824982*L194+0.0915305332*M194-0.0088454122*(I194*J194/100)-0.0336045706*(K194*L194/100)+2.8497389733*IF(D194="L",1,0)+4.5116226727*IF(D194="S",1,0)-0.6571546448*IF(E194="L",1,0)+0.0850728147*T194+0.0129488446*(T194*T194)+0.1909373936*IF(OR(F194="Utility",G194="Utility"),T194,0)+0.9656824071*R194-1.7517683256*S194+W194+X194+Y194)</f>
        <v/>
      </c>
      <c r="AB194">
        <f>LOOKUP(AA194,Grade_Scale!$A$2:$A$18,Grade_Scale!$B$2:$B$18)</f>
        <v/>
      </c>
      <c r="AC194">
        <f>LOOKUP(AA194,Grade_Scale!$A$2:$A$18,Grade_Scale!$C$2:$C$18)</f>
        <v/>
      </c>
      <c r="AE194">
        <f>IF(AD194="","",AB194-VLOOKUP(AD194,Grade_Scale!$C$2:$E$18,3,FALSE))</f>
        <v/>
      </c>
    </row>
    <row r="195">
      <c r="Q195">
        <f>IF(OR(B195="SP",B195="RP",B195="CP",B195="SP/RP"),"P","H")</f>
        <v/>
      </c>
      <c r="R195">
        <f>IF(F195="",0,IFNA(VLOOKUP(F195,Trait_Polarity!$A:$C,2,FALSE),0))+IF(G195="",0,IFNA(VLOOKUP(G195,Trait_Polarity!$A:$C,2,FALSE),0))</f>
        <v/>
      </c>
      <c r="S195">
        <f>IF(F195="",0,IFNA(VLOOKUP(F195,Trait_Polarity!$A:$C,3,FALSE),0))+IF(G195="",0,IFNA(VLOOKUP(G195,Trait_Polarity!$A:$C,3,FALSE),0))</f>
        <v/>
      </c>
      <c r="T195">
        <f>IF(Q195="P",0,IFNA(VLOOKUP(IF(C195="","(none)",C195),Secondary_Versatility!$A:$B,2,FALSE),0))</f>
        <v/>
      </c>
      <c r="U195">
        <f>IF(H195="",0,LEN(H195)-LEN(SUBSTITUTE(H195,"|",""))+1)</f>
        <v/>
      </c>
      <c r="V195">
        <f>IF(Q195="P",(N195+O195+P195)/3,0.3*I195+0.3*J195+0.2*K195+0.1*L195+0.1*M195)</f>
        <v/>
      </c>
      <c r="W195">
        <f>IF(Q195="P",IF(F195="",0,IFNA(VLOOKUP(F195,Pitcher_Trait_Coef!$A:$B,2,FALSE),0))+IF(G195="",0,IFNA(VLOOKUP(G195,Pitcher_Trait_Coef!$A:$B,2,FALSE),0)),IF(F195="",0,IFNA(VLOOKUP(F195,Hitter_Trait_Coef!$A:$B,2,FALSE),0))+IF(G195="",0,IFNA(VLOOKUP(G195,Hitter_Trait_Coef!$A:$B,2,FALSE),0)))</f>
        <v/>
      </c>
      <c r="X195">
        <f>IF(Q195="P",IFNA(VLOOKUP(B195,Pitcher_Primary_Coef!$A:$B,2,FALSE),0),IFNA(VLOOKUP(B195,Hitter_Primary_Coef!$A:$B,2,FALSE),0))</f>
        <v/>
      </c>
      <c r="Y195">
        <f>IF(Q195="P",0,IFNA(VLOOKUP(IF(C195="","(none)",C195),Hitter_Secondary_Coef!$A:$B,2,FALSE),0))</f>
        <v/>
      </c>
      <c r="Z195">
        <f>IF(Q195="P",IF(ISNUMBER(SEARCH("2F",H195)),IFNA(VLOOKUP("2F",Pitch_Coef!$A:$B,2,FALSE),0),0)+IF(ISNUMBER(SEARCH("4F",H195)),IFNA(VLOOKUP("4F",Pitch_Coef!$A:$B,2,FALSE),0),0)+IF(ISNUMBER(SEARCH("CB",H195)),IFNA(VLOOKUP("CB",Pitch_Coef!$A:$B,2,FALSE),0),0)+IF(ISNUMBER(SEARCH("CF",H195)),IFNA(VLOOKUP("CF",Pitch_Coef!$A:$B,2,FALSE),0),0)+IF(ISNUMBER(SEARCH("CH",H195)),IFNA(VLOOKUP("CH",Pitch_Coef!$A:$B,2,FALSE),0),0)+IF(ISNUMBER(SEARCH("FK",H195)),IFNA(VLOOKUP("FK",Pitch_Coef!$A:$B,2,FALSE),0),0)+IF(ISNUMBER(SEARCH("SB",H195)),IFNA(VLOOKUP("SB",Pitch_Coef!$A:$B,2,FALSE),0),0)+IF(ISNUMBER(SEARCH("SL",H195)),IFNA(VLOOKUP("SL",Pitch_Coef!$A:$B,2,FALSE),0),0),0)</f>
        <v/>
      </c>
      <c r="AA195">
        <f>IF(Q195="P",16.5944849573+0.2529999141*N195+0.2665900378*O195+0.2632687105*P195+0.0427586837*I195+0.0534777057*J195+0.009015832*K195+0.0204898106*(O195*P195/100)+1.0091022427*U195+1.0968542297*IF(D195="L",1,0)+0.3771555045*IF(D195="S",1,0)-0.2226159177*IF(E195="L",1,0)+1.21385024*R195-1.1652812274*S195+W195+X195+Z195,10.5965166711+0.2825983581*I195+0.2806503532*J195+0.2027213083*K195+0.1147824982*L195+0.0915305332*M195-0.0088454122*(I195*J195/100)-0.0336045706*(K195*L195/100)+2.8497389733*IF(D195="L",1,0)+4.5116226727*IF(D195="S",1,0)-0.6571546448*IF(E195="L",1,0)+0.0850728147*T195+0.0129488446*(T195*T195)+0.1909373936*IF(OR(F195="Utility",G195="Utility"),T195,0)+0.9656824071*R195-1.7517683256*S195+W195+X195+Y195)</f>
        <v/>
      </c>
      <c r="AB195">
        <f>LOOKUP(AA195,Grade_Scale!$A$2:$A$18,Grade_Scale!$B$2:$B$18)</f>
        <v/>
      </c>
      <c r="AC195">
        <f>LOOKUP(AA195,Grade_Scale!$A$2:$A$18,Grade_Scale!$C$2:$C$18)</f>
        <v/>
      </c>
      <c r="AE195">
        <f>IF(AD195="","",AB195-VLOOKUP(AD195,Grade_Scale!$C$2:$E$18,3,FALSE))</f>
        <v/>
      </c>
    </row>
    <row r="196">
      <c r="Q196">
        <f>IF(OR(B196="SP",B196="RP",B196="CP",B196="SP/RP"),"P","H")</f>
        <v/>
      </c>
      <c r="R196">
        <f>IF(F196="",0,IFNA(VLOOKUP(F196,Trait_Polarity!$A:$C,2,FALSE),0))+IF(G196="",0,IFNA(VLOOKUP(G196,Trait_Polarity!$A:$C,2,FALSE),0))</f>
        <v/>
      </c>
      <c r="S196">
        <f>IF(F196="",0,IFNA(VLOOKUP(F196,Trait_Polarity!$A:$C,3,FALSE),0))+IF(G196="",0,IFNA(VLOOKUP(G196,Trait_Polarity!$A:$C,3,FALSE),0))</f>
        <v/>
      </c>
      <c r="T196">
        <f>IF(Q196="P",0,IFNA(VLOOKUP(IF(C196="","(none)",C196),Secondary_Versatility!$A:$B,2,FALSE),0))</f>
        <v/>
      </c>
      <c r="U196">
        <f>IF(H196="",0,LEN(H196)-LEN(SUBSTITUTE(H196,"|",""))+1)</f>
        <v/>
      </c>
      <c r="V196">
        <f>IF(Q196="P",(N196+O196+P196)/3,0.3*I196+0.3*J196+0.2*K196+0.1*L196+0.1*M196)</f>
        <v/>
      </c>
      <c r="W196">
        <f>IF(Q196="P",IF(F196="",0,IFNA(VLOOKUP(F196,Pitcher_Trait_Coef!$A:$B,2,FALSE),0))+IF(G196="",0,IFNA(VLOOKUP(G196,Pitcher_Trait_Coef!$A:$B,2,FALSE),0)),IF(F196="",0,IFNA(VLOOKUP(F196,Hitter_Trait_Coef!$A:$B,2,FALSE),0))+IF(G196="",0,IFNA(VLOOKUP(G196,Hitter_Trait_Coef!$A:$B,2,FALSE),0)))</f>
        <v/>
      </c>
      <c r="X196">
        <f>IF(Q196="P",IFNA(VLOOKUP(B196,Pitcher_Primary_Coef!$A:$B,2,FALSE),0),IFNA(VLOOKUP(B196,Hitter_Primary_Coef!$A:$B,2,FALSE),0))</f>
        <v/>
      </c>
      <c r="Y196">
        <f>IF(Q196="P",0,IFNA(VLOOKUP(IF(C196="","(none)",C196),Hitter_Secondary_Coef!$A:$B,2,FALSE),0))</f>
        <v/>
      </c>
      <c r="Z196">
        <f>IF(Q196="P",IF(ISNUMBER(SEARCH("2F",H196)),IFNA(VLOOKUP("2F",Pitch_Coef!$A:$B,2,FALSE),0),0)+IF(ISNUMBER(SEARCH("4F",H196)),IFNA(VLOOKUP("4F",Pitch_Coef!$A:$B,2,FALSE),0),0)+IF(ISNUMBER(SEARCH("CB",H196)),IFNA(VLOOKUP("CB",Pitch_Coef!$A:$B,2,FALSE),0),0)+IF(ISNUMBER(SEARCH("CF",H196)),IFNA(VLOOKUP("CF",Pitch_Coef!$A:$B,2,FALSE),0),0)+IF(ISNUMBER(SEARCH("CH",H196)),IFNA(VLOOKUP("CH",Pitch_Coef!$A:$B,2,FALSE),0),0)+IF(ISNUMBER(SEARCH("FK",H196)),IFNA(VLOOKUP("FK",Pitch_Coef!$A:$B,2,FALSE),0),0)+IF(ISNUMBER(SEARCH("SB",H196)),IFNA(VLOOKUP("SB",Pitch_Coef!$A:$B,2,FALSE),0),0)+IF(ISNUMBER(SEARCH("SL",H196)),IFNA(VLOOKUP("SL",Pitch_Coef!$A:$B,2,FALSE),0),0),0)</f>
        <v/>
      </c>
      <c r="AA196">
        <f>IF(Q196="P",16.5944849573+0.2529999141*N196+0.2665900378*O196+0.2632687105*P196+0.0427586837*I196+0.0534777057*J196+0.009015832*K196+0.0204898106*(O196*P196/100)+1.0091022427*U196+1.0968542297*IF(D196="L",1,0)+0.3771555045*IF(D196="S",1,0)-0.2226159177*IF(E196="L",1,0)+1.21385024*R196-1.1652812274*S196+W196+X196+Z196,10.5965166711+0.2825983581*I196+0.2806503532*J196+0.2027213083*K196+0.1147824982*L196+0.0915305332*M196-0.0088454122*(I196*J196/100)-0.0336045706*(K196*L196/100)+2.8497389733*IF(D196="L",1,0)+4.5116226727*IF(D196="S",1,0)-0.6571546448*IF(E196="L",1,0)+0.0850728147*T196+0.0129488446*(T196*T196)+0.1909373936*IF(OR(F196="Utility",G196="Utility"),T196,0)+0.9656824071*R196-1.7517683256*S196+W196+X196+Y196)</f>
        <v/>
      </c>
      <c r="AB196">
        <f>LOOKUP(AA196,Grade_Scale!$A$2:$A$18,Grade_Scale!$B$2:$B$18)</f>
        <v/>
      </c>
      <c r="AC196">
        <f>LOOKUP(AA196,Grade_Scale!$A$2:$A$18,Grade_Scale!$C$2:$C$18)</f>
        <v/>
      </c>
      <c r="AE196">
        <f>IF(AD196="","",AB196-VLOOKUP(AD196,Grade_Scale!$C$2:$E$18,3,FALSE))</f>
        <v/>
      </c>
    </row>
    <row r="197">
      <c r="Q197">
        <f>IF(OR(B197="SP",B197="RP",B197="CP",B197="SP/RP"),"P","H")</f>
        <v/>
      </c>
      <c r="R197">
        <f>IF(F197="",0,IFNA(VLOOKUP(F197,Trait_Polarity!$A:$C,2,FALSE),0))+IF(G197="",0,IFNA(VLOOKUP(G197,Trait_Polarity!$A:$C,2,FALSE),0))</f>
        <v/>
      </c>
      <c r="S197">
        <f>IF(F197="",0,IFNA(VLOOKUP(F197,Trait_Polarity!$A:$C,3,FALSE),0))+IF(G197="",0,IFNA(VLOOKUP(G197,Trait_Polarity!$A:$C,3,FALSE),0))</f>
        <v/>
      </c>
      <c r="T197">
        <f>IF(Q197="P",0,IFNA(VLOOKUP(IF(C197="","(none)",C197),Secondary_Versatility!$A:$B,2,FALSE),0))</f>
        <v/>
      </c>
      <c r="U197">
        <f>IF(H197="",0,LEN(H197)-LEN(SUBSTITUTE(H197,"|",""))+1)</f>
        <v/>
      </c>
      <c r="V197">
        <f>IF(Q197="P",(N197+O197+P197)/3,0.3*I197+0.3*J197+0.2*K197+0.1*L197+0.1*M197)</f>
        <v/>
      </c>
      <c r="W197">
        <f>IF(Q197="P",IF(F197="",0,IFNA(VLOOKUP(F197,Pitcher_Trait_Coef!$A:$B,2,FALSE),0))+IF(G197="",0,IFNA(VLOOKUP(G197,Pitcher_Trait_Coef!$A:$B,2,FALSE),0)),IF(F197="",0,IFNA(VLOOKUP(F197,Hitter_Trait_Coef!$A:$B,2,FALSE),0))+IF(G197="",0,IFNA(VLOOKUP(G197,Hitter_Trait_Coef!$A:$B,2,FALSE),0)))</f>
        <v/>
      </c>
      <c r="X197">
        <f>IF(Q197="P",IFNA(VLOOKUP(B197,Pitcher_Primary_Coef!$A:$B,2,FALSE),0),IFNA(VLOOKUP(B197,Hitter_Primary_Coef!$A:$B,2,FALSE),0))</f>
        <v/>
      </c>
      <c r="Y197">
        <f>IF(Q197="P",0,IFNA(VLOOKUP(IF(C197="","(none)",C197),Hitter_Secondary_Coef!$A:$B,2,FALSE),0))</f>
        <v/>
      </c>
      <c r="Z197">
        <f>IF(Q197="P",IF(ISNUMBER(SEARCH("2F",H197)),IFNA(VLOOKUP("2F",Pitch_Coef!$A:$B,2,FALSE),0),0)+IF(ISNUMBER(SEARCH("4F",H197)),IFNA(VLOOKUP("4F",Pitch_Coef!$A:$B,2,FALSE),0),0)+IF(ISNUMBER(SEARCH("CB",H197)),IFNA(VLOOKUP("CB",Pitch_Coef!$A:$B,2,FALSE),0),0)+IF(ISNUMBER(SEARCH("CF",H197)),IFNA(VLOOKUP("CF",Pitch_Coef!$A:$B,2,FALSE),0),0)+IF(ISNUMBER(SEARCH("CH",H197)),IFNA(VLOOKUP("CH",Pitch_Coef!$A:$B,2,FALSE),0),0)+IF(ISNUMBER(SEARCH("FK",H197)),IFNA(VLOOKUP("FK",Pitch_Coef!$A:$B,2,FALSE),0),0)+IF(ISNUMBER(SEARCH("SB",H197)),IFNA(VLOOKUP("SB",Pitch_Coef!$A:$B,2,FALSE),0),0)+IF(ISNUMBER(SEARCH("SL",H197)),IFNA(VLOOKUP("SL",Pitch_Coef!$A:$B,2,FALSE),0),0),0)</f>
        <v/>
      </c>
      <c r="AA197">
        <f>IF(Q197="P",16.5944849573+0.2529999141*N197+0.2665900378*O197+0.2632687105*P197+0.0427586837*I197+0.0534777057*J197+0.009015832*K197+0.0204898106*(O197*P197/100)+1.0091022427*U197+1.0968542297*IF(D197="L",1,0)+0.3771555045*IF(D197="S",1,0)-0.2226159177*IF(E197="L",1,0)+1.21385024*R197-1.1652812274*S197+W197+X197+Z197,10.5965166711+0.2825983581*I197+0.2806503532*J197+0.2027213083*K197+0.1147824982*L197+0.0915305332*M197-0.0088454122*(I197*J197/100)-0.0336045706*(K197*L197/100)+2.8497389733*IF(D197="L",1,0)+4.5116226727*IF(D197="S",1,0)-0.6571546448*IF(E197="L",1,0)+0.0850728147*T197+0.0129488446*(T197*T197)+0.1909373936*IF(OR(F197="Utility",G197="Utility"),T197,0)+0.9656824071*R197-1.7517683256*S197+W197+X197+Y197)</f>
        <v/>
      </c>
      <c r="AB197">
        <f>LOOKUP(AA197,Grade_Scale!$A$2:$A$18,Grade_Scale!$B$2:$B$18)</f>
        <v/>
      </c>
      <c r="AC197">
        <f>LOOKUP(AA197,Grade_Scale!$A$2:$A$18,Grade_Scale!$C$2:$C$18)</f>
        <v/>
      </c>
      <c r="AE197">
        <f>IF(AD197="","",AB197-VLOOKUP(AD197,Grade_Scale!$C$2:$E$18,3,FALSE))</f>
        <v/>
      </c>
    </row>
    <row r="198">
      <c r="Q198">
        <f>IF(OR(B198="SP",B198="RP",B198="CP",B198="SP/RP"),"P","H")</f>
        <v/>
      </c>
      <c r="R198">
        <f>IF(F198="",0,IFNA(VLOOKUP(F198,Trait_Polarity!$A:$C,2,FALSE),0))+IF(G198="",0,IFNA(VLOOKUP(G198,Trait_Polarity!$A:$C,2,FALSE),0))</f>
        <v/>
      </c>
      <c r="S198">
        <f>IF(F198="",0,IFNA(VLOOKUP(F198,Trait_Polarity!$A:$C,3,FALSE),0))+IF(G198="",0,IFNA(VLOOKUP(G198,Trait_Polarity!$A:$C,3,FALSE),0))</f>
        <v/>
      </c>
      <c r="T198">
        <f>IF(Q198="P",0,IFNA(VLOOKUP(IF(C198="","(none)",C198),Secondary_Versatility!$A:$B,2,FALSE),0))</f>
        <v/>
      </c>
      <c r="U198">
        <f>IF(H198="",0,LEN(H198)-LEN(SUBSTITUTE(H198,"|",""))+1)</f>
        <v/>
      </c>
      <c r="V198">
        <f>IF(Q198="P",(N198+O198+P198)/3,0.3*I198+0.3*J198+0.2*K198+0.1*L198+0.1*M198)</f>
        <v/>
      </c>
      <c r="W198">
        <f>IF(Q198="P",IF(F198="",0,IFNA(VLOOKUP(F198,Pitcher_Trait_Coef!$A:$B,2,FALSE),0))+IF(G198="",0,IFNA(VLOOKUP(G198,Pitcher_Trait_Coef!$A:$B,2,FALSE),0)),IF(F198="",0,IFNA(VLOOKUP(F198,Hitter_Trait_Coef!$A:$B,2,FALSE),0))+IF(G198="",0,IFNA(VLOOKUP(G198,Hitter_Trait_Coef!$A:$B,2,FALSE),0)))</f>
        <v/>
      </c>
      <c r="X198">
        <f>IF(Q198="P",IFNA(VLOOKUP(B198,Pitcher_Primary_Coef!$A:$B,2,FALSE),0),IFNA(VLOOKUP(B198,Hitter_Primary_Coef!$A:$B,2,FALSE),0))</f>
        <v/>
      </c>
      <c r="Y198">
        <f>IF(Q198="P",0,IFNA(VLOOKUP(IF(C198="","(none)",C198),Hitter_Secondary_Coef!$A:$B,2,FALSE),0))</f>
        <v/>
      </c>
      <c r="Z198">
        <f>IF(Q198="P",IF(ISNUMBER(SEARCH("2F",H198)),IFNA(VLOOKUP("2F",Pitch_Coef!$A:$B,2,FALSE),0),0)+IF(ISNUMBER(SEARCH("4F",H198)),IFNA(VLOOKUP("4F",Pitch_Coef!$A:$B,2,FALSE),0),0)+IF(ISNUMBER(SEARCH("CB",H198)),IFNA(VLOOKUP("CB",Pitch_Coef!$A:$B,2,FALSE),0),0)+IF(ISNUMBER(SEARCH("CF",H198)),IFNA(VLOOKUP("CF",Pitch_Coef!$A:$B,2,FALSE),0),0)+IF(ISNUMBER(SEARCH("CH",H198)),IFNA(VLOOKUP("CH",Pitch_Coef!$A:$B,2,FALSE),0),0)+IF(ISNUMBER(SEARCH("FK",H198)),IFNA(VLOOKUP("FK",Pitch_Coef!$A:$B,2,FALSE),0),0)+IF(ISNUMBER(SEARCH("SB",H198)),IFNA(VLOOKUP("SB",Pitch_Coef!$A:$B,2,FALSE),0),0)+IF(ISNUMBER(SEARCH("SL",H198)),IFNA(VLOOKUP("SL",Pitch_Coef!$A:$B,2,FALSE),0),0),0)</f>
        <v/>
      </c>
      <c r="AA198">
        <f>IF(Q198="P",16.5944849573+0.2529999141*N198+0.2665900378*O198+0.2632687105*P198+0.0427586837*I198+0.0534777057*J198+0.009015832*K198+0.0204898106*(O198*P198/100)+1.0091022427*U198+1.0968542297*IF(D198="L",1,0)+0.3771555045*IF(D198="S",1,0)-0.2226159177*IF(E198="L",1,0)+1.21385024*R198-1.1652812274*S198+W198+X198+Z198,10.5965166711+0.2825983581*I198+0.2806503532*J198+0.2027213083*K198+0.1147824982*L198+0.0915305332*M198-0.0088454122*(I198*J198/100)-0.0336045706*(K198*L198/100)+2.8497389733*IF(D198="L",1,0)+4.5116226727*IF(D198="S",1,0)-0.6571546448*IF(E198="L",1,0)+0.0850728147*T198+0.0129488446*(T198*T198)+0.1909373936*IF(OR(F198="Utility",G198="Utility"),T198,0)+0.9656824071*R198-1.7517683256*S198+W198+X198+Y198)</f>
        <v/>
      </c>
      <c r="AB198">
        <f>LOOKUP(AA198,Grade_Scale!$A$2:$A$18,Grade_Scale!$B$2:$B$18)</f>
        <v/>
      </c>
      <c r="AC198">
        <f>LOOKUP(AA198,Grade_Scale!$A$2:$A$18,Grade_Scale!$C$2:$C$18)</f>
        <v/>
      </c>
      <c r="AE198">
        <f>IF(AD198="","",AB198-VLOOKUP(AD198,Grade_Scale!$C$2:$E$18,3,FALSE))</f>
        <v/>
      </c>
    </row>
    <row r="199">
      <c r="Q199">
        <f>IF(OR(B199="SP",B199="RP",B199="CP",B199="SP/RP"),"P","H")</f>
        <v/>
      </c>
      <c r="R199">
        <f>IF(F199="",0,IFNA(VLOOKUP(F199,Trait_Polarity!$A:$C,2,FALSE),0))+IF(G199="",0,IFNA(VLOOKUP(G199,Trait_Polarity!$A:$C,2,FALSE),0))</f>
        <v/>
      </c>
      <c r="S199">
        <f>IF(F199="",0,IFNA(VLOOKUP(F199,Trait_Polarity!$A:$C,3,FALSE),0))+IF(G199="",0,IFNA(VLOOKUP(G199,Trait_Polarity!$A:$C,3,FALSE),0))</f>
        <v/>
      </c>
      <c r="T199">
        <f>IF(Q199="P",0,IFNA(VLOOKUP(IF(C199="","(none)",C199),Secondary_Versatility!$A:$B,2,FALSE),0))</f>
        <v/>
      </c>
      <c r="U199">
        <f>IF(H199="",0,LEN(H199)-LEN(SUBSTITUTE(H199,"|",""))+1)</f>
        <v/>
      </c>
      <c r="V199">
        <f>IF(Q199="P",(N199+O199+P199)/3,0.3*I199+0.3*J199+0.2*K199+0.1*L199+0.1*M199)</f>
        <v/>
      </c>
      <c r="W199">
        <f>IF(Q199="P",IF(F199="",0,IFNA(VLOOKUP(F199,Pitcher_Trait_Coef!$A:$B,2,FALSE),0))+IF(G199="",0,IFNA(VLOOKUP(G199,Pitcher_Trait_Coef!$A:$B,2,FALSE),0)),IF(F199="",0,IFNA(VLOOKUP(F199,Hitter_Trait_Coef!$A:$B,2,FALSE),0))+IF(G199="",0,IFNA(VLOOKUP(G199,Hitter_Trait_Coef!$A:$B,2,FALSE),0)))</f>
        <v/>
      </c>
      <c r="X199">
        <f>IF(Q199="P",IFNA(VLOOKUP(B199,Pitcher_Primary_Coef!$A:$B,2,FALSE),0),IFNA(VLOOKUP(B199,Hitter_Primary_Coef!$A:$B,2,FALSE),0))</f>
        <v/>
      </c>
      <c r="Y199">
        <f>IF(Q199="P",0,IFNA(VLOOKUP(IF(C199="","(none)",C199),Hitter_Secondary_Coef!$A:$B,2,FALSE),0))</f>
        <v/>
      </c>
      <c r="Z199">
        <f>IF(Q199="P",IF(ISNUMBER(SEARCH("2F",H199)),IFNA(VLOOKUP("2F",Pitch_Coef!$A:$B,2,FALSE),0),0)+IF(ISNUMBER(SEARCH("4F",H199)),IFNA(VLOOKUP("4F",Pitch_Coef!$A:$B,2,FALSE),0),0)+IF(ISNUMBER(SEARCH("CB",H199)),IFNA(VLOOKUP("CB",Pitch_Coef!$A:$B,2,FALSE),0),0)+IF(ISNUMBER(SEARCH("CF",H199)),IFNA(VLOOKUP("CF",Pitch_Coef!$A:$B,2,FALSE),0),0)+IF(ISNUMBER(SEARCH("CH",H199)),IFNA(VLOOKUP("CH",Pitch_Coef!$A:$B,2,FALSE),0),0)+IF(ISNUMBER(SEARCH("FK",H199)),IFNA(VLOOKUP("FK",Pitch_Coef!$A:$B,2,FALSE),0),0)+IF(ISNUMBER(SEARCH("SB",H199)),IFNA(VLOOKUP("SB",Pitch_Coef!$A:$B,2,FALSE),0),0)+IF(ISNUMBER(SEARCH("SL",H199)),IFNA(VLOOKUP("SL",Pitch_Coef!$A:$B,2,FALSE),0),0),0)</f>
        <v/>
      </c>
      <c r="AA199">
        <f>IF(Q199="P",16.5944849573+0.2529999141*N199+0.2665900378*O199+0.2632687105*P199+0.0427586837*I199+0.0534777057*J199+0.009015832*K199+0.0204898106*(O199*P199/100)+1.0091022427*U199+1.0968542297*IF(D199="L",1,0)+0.3771555045*IF(D199="S",1,0)-0.2226159177*IF(E199="L",1,0)+1.21385024*R199-1.1652812274*S199+W199+X199+Z199,10.5965166711+0.2825983581*I199+0.2806503532*J199+0.2027213083*K199+0.1147824982*L199+0.0915305332*M199-0.0088454122*(I199*J199/100)-0.0336045706*(K199*L199/100)+2.8497389733*IF(D199="L",1,0)+4.5116226727*IF(D199="S",1,0)-0.6571546448*IF(E199="L",1,0)+0.0850728147*T199+0.0129488446*(T199*T199)+0.1909373936*IF(OR(F199="Utility",G199="Utility"),T199,0)+0.9656824071*R199-1.7517683256*S199+W199+X199+Y199)</f>
        <v/>
      </c>
      <c r="AB199">
        <f>LOOKUP(AA199,Grade_Scale!$A$2:$A$18,Grade_Scale!$B$2:$B$18)</f>
        <v/>
      </c>
      <c r="AC199">
        <f>LOOKUP(AA199,Grade_Scale!$A$2:$A$18,Grade_Scale!$C$2:$C$18)</f>
        <v/>
      </c>
      <c r="AE199">
        <f>IF(AD199="","",AB199-VLOOKUP(AD199,Grade_Scale!$C$2:$E$18,3,FALSE))</f>
        <v/>
      </c>
    </row>
    <row r="200">
      <c r="Q200">
        <f>IF(OR(B200="SP",B200="RP",B200="CP",B200="SP/RP"),"P","H")</f>
        <v/>
      </c>
      <c r="R200">
        <f>IF(F200="",0,IFNA(VLOOKUP(F200,Trait_Polarity!$A:$C,2,FALSE),0))+IF(G200="",0,IFNA(VLOOKUP(G200,Trait_Polarity!$A:$C,2,FALSE),0))</f>
        <v/>
      </c>
      <c r="S200">
        <f>IF(F200="",0,IFNA(VLOOKUP(F200,Trait_Polarity!$A:$C,3,FALSE),0))+IF(G200="",0,IFNA(VLOOKUP(G200,Trait_Polarity!$A:$C,3,FALSE),0))</f>
        <v/>
      </c>
      <c r="T200">
        <f>IF(Q200="P",0,IFNA(VLOOKUP(IF(C200="","(none)",C200),Secondary_Versatility!$A:$B,2,FALSE),0))</f>
        <v/>
      </c>
      <c r="U200">
        <f>IF(H200="",0,LEN(H200)-LEN(SUBSTITUTE(H200,"|",""))+1)</f>
        <v/>
      </c>
      <c r="V200">
        <f>IF(Q200="P",(N200+O200+P200)/3,0.3*I200+0.3*J200+0.2*K200+0.1*L200+0.1*M200)</f>
        <v/>
      </c>
      <c r="W200">
        <f>IF(Q200="P",IF(F200="",0,IFNA(VLOOKUP(F200,Pitcher_Trait_Coef!$A:$B,2,FALSE),0))+IF(G200="",0,IFNA(VLOOKUP(G200,Pitcher_Trait_Coef!$A:$B,2,FALSE),0)),IF(F200="",0,IFNA(VLOOKUP(F200,Hitter_Trait_Coef!$A:$B,2,FALSE),0))+IF(G200="",0,IFNA(VLOOKUP(G200,Hitter_Trait_Coef!$A:$B,2,FALSE),0)))</f>
        <v/>
      </c>
      <c r="X200">
        <f>IF(Q200="P",IFNA(VLOOKUP(B200,Pitcher_Primary_Coef!$A:$B,2,FALSE),0),IFNA(VLOOKUP(B200,Hitter_Primary_Coef!$A:$B,2,FALSE),0))</f>
        <v/>
      </c>
      <c r="Y200">
        <f>IF(Q200="P",0,IFNA(VLOOKUP(IF(C200="","(none)",C200),Hitter_Secondary_Coef!$A:$B,2,FALSE),0))</f>
        <v/>
      </c>
      <c r="Z200">
        <f>IF(Q200="P",IF(ISNUMBER(SEARCH("2F",H200)),IFNA(VLOOKUP("2F",Pitch_Coef!$A:$B,2,FALSE),0),0)+IF(ISNUMBER(SEARCH("4F",H200)),IFNA(VLOOKUP("4F",Pitch_Coef!$A:$B,2,FALSE),0),0)+IF(ISNUMBER(SEARCH("CB",H200)),IFNA(VLOOKUP("CB",Pitch_Coef!$A:$B,2,FALSE),0),0)+IF(ISNUMBER(SEARCH("CF",H200)),IFNA(VLOOKUP("CF",Pitch_Coef!$A:$B,2,FALSE),0),0)+IF(ISNUMBER(SEARCH("CH",H200)),IFNA(VLOOKUP("CH",Pitch_Coef!$A:$B,2,FALSE),0),0)+IF(ISNUMBER(SEARCH("FK",H200)),IFNA(VLOOKUP("FK",Pitch_Coef!$A:$B,2,FALSE),0),0)+IF(ISNUMBER(SEARCH("SB",H200)),IFNA(VLOOKUP("SB",Pitch_Coef!$A:$B,2,FALSE),0),0)+IF(ISNUMBER(SEARCH("SL",H200)),IFNA(VLOOKUP("SL",Pitch_Coef!$A:$B,2,FALSE),0),0),0)</f>
        <v/>
      </c>
      <c r="AA200">
        <f>IF(Q200="P",16.5944849573+0.2529999141*N200+0.2665900378*O200+0.2632687105*P200+0.0427586837*I200+0.0534777057*J200+0.009015832*K200+0.0204898106*(O200*P200/100)+1.0091022427*U200+1.0968542297*IF(D200="L",1,0)+0.3771555045*IF(D200="S",1,0)-0.2226159177*IF(E200="L",1,0)+1.21385024*R200-1.1652812274*S200+W200+X200+Z200,10.5965166711+0.2825983581*I200+0.2806503532*J200+0.2027213083*K200+0.1147824982*L200+0.0915305332*M200-0.0088454122*(I200*J200/100)-0.0336045706*(K200*L200/100)+2.8497389733*IF(D200="L",1,0)+4.5116226727*IF(D200="S",1,0)-0.6571546448*IF(E200="L",1,0)+0.0850728147*T200+0.0129488446*(T200*T200)+0.1909373936*IF(OR(F200="Utility",G200="Utility"),T200,0)+0.9656824071*R200-1.7517683256*S200+W200+X200+Y200)</f>
        <v/>
      </c>
      <c r="AB200">
        <f>LOOKUP(AA200,Grade_Scale!$A$2:$A$18,Grade_Scale!$B$2:$B$18)</f>
        <v/>
      </c>
      <c r="AC200">
        <f>LOOKUP(AA200,Grade_Scale!$A$2:$A$18,Grade_Scale!$C$2:$C$18)</f>
        <v/>
      </c>
      <c r="AE200">
        <f>IF(AD200="","",AB200-VLOOKUP(AD200,Grade_Scale!$C$2:$E$18,3,FALSE))</f>
        <v/>
      </c>
    </row>
    <row r="201">
      <c r="Q201">
        <f>IF(OR(B201="SP",B201="RP",B201="CP",B201="SP/RP"),"P","H")</f>
        <v/>
      </c>
      <c r="R201">
        <f>IF(F201="",0,IFNA(VLOOKUP(F201,Trait_Polarity!$A:$C,2,FALSE),0))+IF(G201="",0,IFNA(VLOOKUP(G201,Trait_Polarity!$A:$C,2,FALSE),0))</f>
        <v/>
      </c>
      <c r="S201">
        <f>IF(F201="",0,IFNA(VLOOKUP(F201,Trait_Polarity!$A:$C,3,FALSE),0))+IF(G201="",0,IFNA(VLOOKUP(G201,Trait_Polarity!$A:$C,3,FALSE),0))</f>
        <v/>
      </c>
      <c r="T201">
        <f>IF(Q201="P",0,IFNA(VLOOKUP(IF(C201="","(none)",C201),Secondary_Versatility!$A:$B,2,FALSE),0))</f>
        <v/>
      </c>
      <c r="U201">
        <f>IF(H201="",0,LEN(H201)-LEN(SUBSTITUTE(H201,"|",""))+1)</f>
        <v/>
      </c>
      <c r="V201">
        <f>IF(Q201="P",(N201+O201+P201)/3,0.3*I201+0.3*J201+0.2*K201+0.1*L201+0.1*M201)</f>
        <v/>
      </c>
      <c r="W201">
        <f>IF(Q201="P",IF(F201="",0,IFNA(VLOOKUP(F201,Pitcher_Trait_Coef!$A:$B,2,FALSE),0))+IF(G201="",0,IFNA(VLOOKUP(G201,Pitcher_Trait_Coef!$A:$B,2,FALSE),0)),IF(F201="",0,IFNA(VLOOKUP(F201,Hitter_Trait_Coef!$A:$B,2,FALSE),0))+IF(G201="",0,IFNA(VLOOKUP(G201,Hitter_Trait_Coef!$A:$B,2,FALSE),0)))</f>
        <v/>
      </c>
      <c r="X201">
        <f>IF(Q201="P",IFNA(VLOOKUP(B201,Pitcher_Primary_Coef!$A:$B,2,FALSE),0),IFNA(VLOOKUP(B201,Hitter_Primary_Coef!$A:$B,2,FALSE),0))</f>
        <v/>
      </c>
      <c r="Y201">
        <f>IF(Q201="P",0,IFNA(VLOOKUP(IF(C201="","(none)",C201),Hitter_Secondary_Coef!$A:$B,2,FALSE),0))</f>
        <v/>
      </c>
      <c r="Z201">
        <f>IF(Q201="P",IF(ISNUMBER(SEARCH("2F",H201)),IFNA(VLOOKUP("2F",Pitch_Coef!$A:$B,2,FALSE),0),0)+IF(ISNUMBER(SEARCH("4F",H201)),IFNA(VLOOKUP("4F",Pitch_Coef!$A:$B,2,FALSE),0),0)+IF(ISNUMBER(SEARCH("CB",H201)),IFNA(VLOOKUP("CB",Pitch_Coef!$A:$B,2,FALSE),0),0)+IF(ISNUMBER(SEARCH("CF",H201)),IFNA(VLOOKUP("CF",Pitch_Coef!$A:$B,2,FALSE),0),0)+IF(ISNUMBER(SEARCH("CH",H201)),IFNA(VLOOKUP("CH",Pitch_Coef!$A:$B,2,FALSE),0),0)+IF(ISNUMBER(SEARCH("FK",H201)),IFNA(VLOOKUP("FK",Pitch_Coef!$A:$B,2,FALSE),0),0)+IF(ISNUMBER(SEARCH("SB",H201)),IFNA(VLOOKUP("SB",Pitch_Coef!$A:$B,2,FALSE),0),0)+IF(ISNUMBER(SEARCH("SL",H201)),IFNA(VLOOKUP("SL",Pitch_Coef!$A:$B,2,FALSE),0),0),0)</f>
        <v/>
      </c>
      <c r="AA201">
        <f>IF(Q201="P",16.5944849573+0.2529999141*N201+0.2665900378*O201+0.2632687105*P201+0.0427586837*I201+0.0534777057*J201+0.009015832*K201+0.0204898106*(O201*P201/100)+1.0091022427*U201+1.0968542297*IF(D201="L",1,0)+0.3771555045*IF(D201="S",1,0)-0.2226159177*IF(E201="L",1,0)+1.21385024*R201-1.1652812274*S201+W201+X201+Z201,10.5965166711+0.2825983581*I201+0.2806503532*J201+0.2027213083*K201+0.1147824982*L201+0.0915305332*M201-0.0088454122*(I201*J201/100)-0.0336045706*(K201*L201/100)+2.8497389733*IF(D201="L",1,0)+4.5116226727*IF(D201="S",1,0)-0.6571546448*IF(E201="L",1,0)+0.0850728147*T201+0.0129488446*(T201*T201)+0.1909373936*IF(OR(F201="Utility",G201="Utility"),T201,0)+0.9656824071*R201-1.7517683256*S201+W201+X201+Y201)</f>
        <v/>
      </c>
      <c r="AB201">
        <f>LOOKUP(AA201,Grade_Scale!$A$2:$A$18,Grade_Scale!$B$2:$B$18)</f>
        <v/>
      </c>
      <c r="AC201">
        <f>LOOKUP(AA201,Grade_Scale!$A$2:$A$18,Grade_Scale!$C$2:$C$18)</f>
        <v/>
      </c>
      <c r="AE201">
        <f>IF(AD201="","",AB201-VLOOKUP(AD201,Grade_Scale!$C$2:$E$18,3,FALSE))</f>
        <v/>
      </c>
    </row>
    <row r="202">
      <c r="Q202">
        <f>IF(OR(B202="SP",B202="RP",B202="CP",B202="SP/RP"),"P","H")</f>
        <v/>
      </c>
      <c r="R202">
        <f>IF(F202="",0,IFNA(VLOOKUP(F202,Trait_Polarity!$A:$C,2,FALSE),0))+IF(G202="",0,IFNA(VLOOKUP(G202,Trait_Polarity!$A:$C,2,FALSE),0))</f>
        <v/>
      </c>
      <c r="S202">
        <f>IF(F202="",0,IFNA(VLOOKUP(F202,Trait_Polarity!$A:$C,3,FALSE),0))+IF(G202="",0,IFNA(VLOOKUP(G202,Trait_Polarity!$A:$C,3,FALSE),0))</f>
        <v/>
      </c>
      <c r="T202">
        <f>IF(Q202="P",0,IFNA(VLOOKUP(IF(C202="","(none)",C202),Secondary_Versatility!$A:$B,2,FALSE),0))</f>
        <v/>
      </c>
      <c r="U202">
        <f>IF(H202="",0,LEN(H202)-LEN(SUBSTITUTE(H202,"|",""))+1)</f>
        <v/>
      </c>
      <c r="V202">
        <f>IF(Q202="P",(N202+O202+P202)/3,0.3*I202+0.3*J202+0.2*K202+0.1*L202+0.1*M202)</f>
        <v/>
      </c>
      <c r="W202">
        <f>IF(Q202="P",IF(F202="",0,IFNA(VLOOKUP(F202,Pitcher_Trait_Coef!$A:$B,2,FALSE),0))+IF(G202="",0,IFNA(VLOOKUP(G202,Pitcher_Trait_Coef!$A:$B,2,FALSE),0)),IF(F202="",0,IFNA(VLOOKUP(F202,Hitter_Trait_Coef!$A:$B,2,FALSE),0))+IF(G202="",0,IFNA(VLOOKUP(G202,Hitter_Trait_Coef!$A:$B,2,FALSE),0)))</f>
        <v/>
      </c>
      <c r="X202">
        <f>IF(Q202="P",IFNA(VLOOKUP(B202,Pitcher_Primary_Coef!$A:$B,2,FALSE),0),IFNA(VLOOKUP(B202,Hitter_Primary_Coef!$A:$B,2,FALSE),0))</f>
        <v/>
      </c>
      <c r="Y202">
        <f>IF(Q202="P",0,IFNA(VLOOKUP(IF(C202="","(none)",C202),Hitter_Secondary_Coef!$A:$B,2,FALSE),0))</f>
        <v/>
      </c>
      <c r="Z202">
        <f>IF(Q202="P",IF(ISNUMBER(SEARCH("2F",H202)),IFNA(VLOOKUP("2F",Pitch_Coef!$A:$B,2,FALSE),0),0)+IF(ISNUMBER(SEARCH("4F",H202)),IFNA(VLOOKUP("4F",Pitch_Coef!$A:$B,2,FALSE),0),0)+IF(ISNUMBER(SEARCH("CB",H202)),IFNA(VLOOKUP("CB",Pitch_Coef!$A:$B,2,FALSE),0),0)+IF(ISNUMBER(SEARCH("CF",H202)),IFNA(VLOOKUP("CF",Pitch_Coef!$A:$B,2,FALSE),0),0)+IF(ISNUMBER(SEARCH("CH",H202)),IFNA(VLOOKUP("CH",Pitch_Coef!$A:$B,2,FALSE),0),0)+IF(ISNUMBER(SEARCH("FK",H202)),IFNA(VLOOKUP("FK",Pitch_Coef!$A:$B,2,FALSE),0),0)+IF(ISNUMBER(SEARCH("SB",H202)),IFNA(VLOOKUP("SB",Pitch_Coef!$A:$B,2,FALSE),0),0)+IF(ISNUMBER(SEARCH("SL",H202)),IFNA(VLOOKUP("SL",Pitch_Coef!$A:$B,2,FALSE),0),0),0)</f>
        <v/>
      </c>
      <c r="AA202">
        <f>IF(Q202="P",16.5944849573+0.2529999141*N202+0.2665900378*O202+0.2632687105*P202+0.0427586837*I202+0.0534777057*J202+0.009015832*K202+0.0204898106*(O202*P202/100)+1.0091022427*U202+1.0968542297*IF(D202="L",1,0)+0.3771555045*IF(D202="S",1,0)-0.2226159177*IF(E202="L",1,0)+1.21385024*R202-1.1652812274*S202+W202+X202+Z202,10.5965166711+0.2825983581*I202+0.2806503532*J202+0.2027213083*K202+0.1147824982*L202+0.0915305332*M202-0.0088454122*(I202*J202/100)-0.0336045706*(K202*L202/100)+2.8497389733*IF(D202="L",1,0)+4.5116226727*IF(D202="S",1,0)-0.6571546448*IF(E202="L",1,0)+0.0850728147*T202+0.0129488446*(T202*T202)+0.1909373936*IF(OR(F202="Utility",G202="Utility"),T202,0)+0.9656824071*R202-1.7517683256*S202+W202+X202+Y202)</f>
        <v/>
      </c>
      <c r="AB202">
        <f>LOOKUP(AA202,Grade_Scale!$A$2:$A$18,Grade_Scale!$B$2:$B$18)</f>
        <v/>
      </c>
      <c r="AC202">
        <f>LOOKUP(AA202,Grade_Scale!$A$2:$A$18,Grade_Scale!$C$2:$C$18)</f>
        <v/>
      </c>
      <c r="AE202">
        <f>IF(AD202="","",AB202-VLOOKUP(AD202,Grade_Scale!$C$2:$E$18,3,FALSE))</f>
        <v/>
      </c>
    </row>
    <row r="203">
      <c r="Q203">
        <f>IF(OR(B203="SP",B203="RP",B203="CP",B203="SP/RP"),"P","H")</f>
        <v/>
      </c>
      <c r="R203">
        <f>IF(F203="",0,IFNA(VLOOKUP(F203,Trait_Polarity!$A:$C,2,FALSE),0))+IF(G203="",0,IFNA(VLOOKUP(G203,Trait_Polarity!$A:$C,2,FALSE),0))</f>
        <v/>
      </c>
      <c r="S203">
        <f>IF(F203="",0,IFNA(VLOOKUP(F203,Trait_Polarity!$A:$C,3,FALSE),0))+IF(G203="",0,IFNA(VLOOKUP(G203,Trait_Polarity!$A:$C,3,FALSE),0))</f>
        <v/>
      </c>
      <c r="T203">
        <f>IF(Q203="P",0,IFNA(VLOOKUP(IF(C203="","(none)",C203),Secondary_Versatility!$A:$B,2,FALSE),0))</f>
        <v/>
      </c>
      <c r="U203">
        <f>IF(H203="",0,LEN(H203)-LEN(SUBSTITUTE(H203,"|",""))+1)</f>
        <v/>
      </c>
      <c r="V203">
        <f>IF(Q203="P",(N203+O203+P203)/3,0.3*I203+0.3*J203+0.2*K203+0.1*L203+0.1*M203)</f>
        <v/>
      </c>
      <c r="W203">
        <f>IF(Q203="P",IF(F203="",0,IFNA(VLOOKUP(F203,Pitcher_Trait_Coef!$A:$B,2,FALSE),0))+IF(G203="",0,IFNA(VLOOKUP(G203,Pitcher_Trait_Coef!$A:$B,2,FALSE),0)),IF(F203="",0,IFNA(VLOOKUP(F203,Hitter_Trait_Coef!$A:$B,2,FALSE),0))+IF(G203="",0,IFNA(VLOOKUP(G203,Hitter_Trait_Coef!$A:$B,2,FALSE),0)))</f>
        <v/>
      </c>
      <c r="X203">
        <f>IF(Q203="P",IFNA(VLOOKUP(B203,Pitcher_Primary_Coef!$A:$B,2,FALSE),0),IFNA(VLOOKUP(B203,Hitter_Primary_Coef!$A:$B,2,FALSE),0))</f>
        <v/>
      </c>
      <c r="Y203">
        <f>IF(Q203="P",0,IFNA(VLOOKUP(IF(C203="","(none)",C203),Hitter_Secondary_Coef!$A:$B,2,FALSE),0))</f>
        <v/>
      </c>
      <c r="Z203">
        <f>IF(Q203="P",IF(ISNUMBER(SEARCH("2F",H203)),IFNA(VLOOKUP("2F",Pitch_Coef!$A:$B,2,FALSE),0),0)+IF(ISNUMBER(SEARCH("4F",H203)),IFNA(VLOOKUP("4F",Pitch_Coef!$A:$B,2,FALSE),0),0)+IF(ISNUMBER(SEARCH("CB",H203)),IFNA(VLOOKUP("CB",Pitch_Coef!$A:$B,2,FALSE),0),0)+IF(ISNUMBER(SEARCH("CF",H203)),IFNA(VLOOKUP("CF",Pitch_Coef!$A:$B,2,FALSE),0),0)+IF(ISNUMBER(SEARCH("CH",H203)),IFNA(VLOOKUP("CH",Pitch_Coef!$A:$B,2,FALSE),0),0)+IF(ISNUMBER(SEARCH("FK",H203)),IFNA(VLOOKUP("FK",Pitch_Coef!$A:$B,2,FALSE),0),0)+IF(ISNUMBER(SEARCH("SB",H203)),IFNA(VLOOKUP("SB",Pitch_Coef!$A:$B,2,FALSE),0),0)+IF(ISNUMBER(SEARCH("SL",H203)),IFNA(VLOOKUP("SL",Pitch_Coef!$A:$B,2,FALSE),0),0),0)</f>
        <v/>
      </c>
      <c r="AA203">
        <f>IF(Q203="P",16.5944849573+0.2529999141*N203+0.2665900378*O203+0.2632687105*P203+0.0427586837*I203+0.0534777057*J203+0.009015832*K203+0.0204898106*(O203*P203/100)+1.0091022427*U203+1.0968542297*IF(D203="L",1,0)+0.3771555045*IF(D203="S",1,0)-0.2226159177*IF(E203="L",1,0)+1.21385024*R203-1.1652812274*S203+W203+X203+Z203,10.5965166711+0.2825983581*I203+0.2806503532*J203+0.2027213083*K203+0.1147824982*L203+0.0915305332*M203-0.0088454122*(I203*J203/100)-0.0336045706*(K203*L203/100)+2.8497389733*IF(D203="L",1,0)+4.5116226727*IF(D203="S",1,0)-0.6571546448*IF(E203="L",1,0)+0.0850728147*T203+0.0129488446*(T203*T203)+0.1909373936*IF(OR(F203="Utility",G203="Utility"),T203,0)+0.9656824071*R203-1.7517683256*S203+W203+X203+Y203)</f>
        <v/>
      </c>
      <c r="AB203">
        <f>LOOKUP(AA203,Grade_Scale!$A$2:$A$18,Grade_Scale!$B$2:$B$18)</f>
        <v/>
      </c>
      <c r="AC203">
        <f>LOOKUP(AA203,Grade_Scale!$A$2:$A$18,Grade_Scale!$C$2:$C$18)</f>
        <v/>
      </c>
      <c r="AE203">
        <f>IF(AD203="","",AB203-VLOOKUP(AD203,Grade_Scale!$C$2:$E$18,3,FALSE))</f>
        <v/>
      </c>
    </row>
    <row r="204">
      <c r="Q204">
        <f>IF(OR(B204="SP",B204="RP",B204="CP",B204="SP/RP"),"P","H")</f>
        <v/>
      </c>
      <c r="R204">
        <f>IF(F204="",0,IFNA(VLOOKUP(F204,Trait_Polarity!$A:$C,2,FALSE),0))+IF(G204="",0,IFNA(VLOOKUP(G204,Trait_Polarity!$A:$C,2,FALSE),0))</f>
        <v/>
      </c>
      <c r="S204">
        <f>IF(F204="",0,IFNA(VLOOKUP(F204,Trait_Polarity!$A:$C,3,FALSE),0))+IF(G204="",0,IFNA(VLOOKUP(G204,Trait_Polarity!$A:$C,3,FALSE),0))</f>
        <v/>
      </c>
      <c r="T204">
        <f>IF(Q204="P",0,IFNA(VLOOKUP(IF(C204="","(none)",C204),Secondary_Versatility!$A:$B,2,FALSE),0))</f>
        <v/>
      </c>
      <c r="U204">
        <f>IF(H204="",0,LEN(H204)-LEN(SUBSTITUTE(H204,"|",""))+1)</f>
        <v/>
      </c>
      <c r="V204">
        <f>IF(Q204="P",(N204+O204+P204)/3,0.3*I204+0.3*J204+0.2*K204+0.1*L204+0.1*M204)</f>
        <v/>
      </c>
      <c r="W204">
        <f>IF(Q204="P",IF(F204="",0,IFNA(VLOOKUP(F204,Pitcher_Trait_Coef!$A:$B,2,FALSE),0))+IF(G204="",0,IFNA(VLOOKUP(G204,Pitcher_Trait_Coef!$A:$B,2,FALSE),0)),IF(F204="",0,IFNA(VLOOKUP(F204,Hitter_Trait_Coef!$A:$B,2,FALSE),0))+IF(G204="",0,IFNA(VLOOKUP(G204,Hitter_Trait_Coef!$A:$B,2,FALSE),0)))</f>
        <v/>
      </c>
      <c r="X204">
        <f>IF(Q204="P",IFNA(VLOOKUP(B204,Pitcher_Primary_Coef!$A:$B,2,FALSE),0),IFNA(VLOOKUP(B204,Hitter_Primary_Coef!$A:$B,2,FALSE),0))</f>
        <v/>
      </c>
      <c r="Y204">
        <f>IF(Q204="P",0,IFNA(VLOOKUP(IF(C204="","(none)",C204),Hitter_Secondary_Coef!$A:$B,2,FALSE),0))</f>
        <v/>
      </c>
      <c r="Z204">
        <f>IF(Q204="P",IF(ISNUMBER(SEARCH("2F",H204)),IFNA(VLOOKUP("2F",Pitch_Coef!$A:$B,2,FALSE),0),0)+IF(ISNUMBER(SEARCH("4F",H204)),IFNA(VLOOKUP("4F",Pitch_Coef!$A:$B,2,FALSE),0),0)+IF(ISNUMBER(SEARCH("CB",H204)),IFNA(VLOOKUP("CB",Pitch_Coef!$A:$B,2,FALSE),0),0)+IF(ISNUMBER(SEARCH("CF",H204)),IFNA(VLOOKUP("CF",Pitch_Coef!$A:$B,2,FALSE),0),0)+IF(ISNUMBER(SEARCH("CH",H204)),IFNA(VLOOKUP("CH",Pitch_Coef!$A:$B,2,FALSE),0),0)+IF(ISNUMBER(SEARCH("FK",H204)),IFNA(VLOOKUP("FK",Pitch_Coef!$A:$B,2,FALSE),0),0)+IF(ISNUMBER(SEARCH("SB",H204)),IFNA(VLOOKUP("SB",Pitch_Coef!$A:$B,2,FALSE),0),0)+IF(ISNUMBER(SEARCH("SL",H204)),IFNA(VLOOKUP("SL",Pitch_Coef!$A:$B,2,FALSE),0),0),0)</f>
        <v/>
      </c>
      <c r="AA204">
        <f>IF(Q204="P",16.5944849573+0.2529999141*N204+0.2665900378*O204+0.2632687105*P204+0.0427586837*I204+0.0534777057*J204+0.009015832*K204+0.0204898106*(O204*P204/100)+1.0091022427*U204+1.0968542297*IF(D204="L",1,0)+0.3771555045*IF(D204="S",1,0)-0.2226159177*IF(E204="L",1,0)+1.21385024*R204-1.1652812274*S204+W204+X204+Z204,10.5965166711+0.2825983581*I204+0.2806503532*J204+0.2027213083*K204+0.1147824982*L204+0.0915305332*M204-0.0088454122*(I204*J204/100)-0.0336045706*(K204*L204/100)+2.8497389733*IF(D204="L",1,0)+4.5116226727*IF(D204="S",1,0)-0.6571546448*IF(E204="L",1,0)+0.0850728147*T204+0.0129488446*(T204*T204)+0.1909373936*IF(OR(F204="Utility",G204="Utility"),T204,0)+0.9656824071*R204-1.7517683256*S204+W204+X204+Y204)</f>
        <v/>
      </c>
      <c r="AB204">
        <f>LOOKUP(AA204,Grade_Scale!$A$2:$A$18,Grade_Scale!$B$2:$B$18)</f>
        <v/>
      </c>
      <c r="AC204">
        <f>LOOKUP(AA204,Grade_Scale!$A$2:$A$18,Grade_Scale!$C$2:$C$18)</f>
        <v/>
      </c>
      <c r="AE204">
        <f>IF(AD204="","",AB204-VLOOKUP(AD204,Grade_Scale!$C$2:$E$18,3,FALSE))</f>
        <v/>
      </c>
    </row>
    <row r="205">
      <c r="Q205">
        <f>IF(OR(B205="SP",B205="RP",B205="CP",B205="SP/RP"),"P","H")</f>
        <v/>
      </c>
      <c r="R205">
        <f>IF(F205="",0,IFNA(VLOOKUP(F205,Trait_Polarity!$A:$C,2,FALSE),0))+IF(G205="",0,IFNA(VLOOKUP(G205,Trait_Polarity!$A:$C,2,FALSE),0))</f>
        <v/>
      </c>
      <c r="S205">
        <f>IF(F205="",0,IFNA(VLOOKUP(F205,Trait_Polarity!$A:$C,3,FALSE),0))+IF(G205="",0,IFNA(VLOOKUP(G205,Trait_Polarity!$A:$C,3,FALSE),0))</f>
        <v/>
      </c>
      <c r="T205">
        <f>IF(Q205="P",0,IFNA(VLOOKUP(IF(C205="","(none)",C205),Secondary_Versatility!$A:$B,2,FALSE),0))</f>
        <v/>
      </c>
      <c r="U205">
        <f>IF(H205="",0,LEN(H205)-LEN(SUBSTITUTE(H205,"|",""))+1)</f>
        <v/>
      </c>
      <c r="V205">
        <f>IF(Q205="P",(N205+O205+P205)/3,0.3*I205+0.3*J205+0.2*K205+0.1*L205+0.1*M205)</f>
        <v/>
      </c>
      <c r="W205">
        <f>IF(Q205="P",IF(F205="",0,IFNA(VLOOKUP(F205,Pitcher_Trait_Coef!$A:$B,2,FALSE),0))+IF(G205="",0,IFNA(VLOOKUP(G205,Pitcher_Trait_Coef!$A:$B,2,FALSE),0)),IF(F205="",0,IFNA(VLOOKUP(F205,Hitter_Trait_Coef!$A:$B,2,FALSE),0))+IF(G205="",0,IFNA(VLOOKUP(G205,Hitter_Trait_Coef!$A:$B,2,FALSE),0)))</f>
        <v/>
      </c>
      <c r="X205">
        <f>IF(Q205="P",IFNA(VLOOKUP(B205,Pitcher_Primary_Coef!$A:$B,2,FALSE),0),IFNA(VLOOKUP(B205,Hitter_Primary_Coef!$A:$B,2,FALSE),0))</f>
        <v/>
      </c>
      <c r="Y205">
        <f>IF(Q205="P",0,IFNA(VLOOKUP(IF(C205="","(none)",C205),Hitter_Secondary_Coef!$A:$B,2,FALSE),0))</f>
        <v/>
      </c>
      <c r="Z205">
        <f>IF(Q205="P",IF(ISNUMBER(SEARCH("2F",H205)),IFNA(VLOOKUP("2F",Pitch_Coef!$A:$B,2,FALSE),0),0)+IF(ISNUMBER(SEARCH("4F",H205)),IFNA(VLOOKUP("4F",Pitch_Coef!$A:$B,2,FALSE),0),0)+IF(ISNUMBER(SEARCH("CB",H205)),IFNA(VLOOKUP("CB",Pitch_Coef!$A:$B,2,FALSE),0),0)+IF(ISNUMBER(SEARCH("CF",H205)),IFNA(VLOOKUP("CF",Pitch_Coef!$A:$B,2,FALSE),0),0)+IF(ISNUMBER(SEARCH("CH",H205)),IFNA(VLOOKUP("CH",Pitch_Coef!$A:$B,2,FALSE),0),0)+IF(ISNUMBER(SEARCH("FK",H205)),IFNA(VLOOKUP("FK",Pitch_Coef!$A:$B,2,FALSE),0),0)+IF(ISNUMBER(SEARCH("SB",H205)),IFNA(VLOOKUP("SB",Pitch_Coef!$A:$B,2,FALSE),0),0)+IF(ISNUMBER(SEARCH("SL",H205)),IFNA(VLOOKUP("SL",Pitch_Coef!$A:$B,2,FALSE),0),0),0)</f>
        <v/>
      </c>
      <c r="AA205">
        <f>IF(Q205="P",16.5944849573+0.2529999141*N205+0.2665900378*O205+0.2632687105*P205+0.0427586837*I205+0.0534777057*J205+0.009015832*K205+0.0204898106*(O205*P205/100)+1.0091022427*U205+1.0968542297*IF(D205="L",1,0)+0.3771555045*IF(D205="S",1,0)-0.2226159177*IF(E205="L",1,0)+1.21385024*R205-1.1652812274*S205+W205+X205+Z205,10.5965166711+0.2825983581*I205+0.2806503532*J205+0.2027213083*K205+0.1147824982*L205+0.0915305332*M205-0.0088454122*(I205*J205/100)-0.0336045706*(K205*L205/100)+2.8497389733*IF(D205="L",1,0)+4.5116226727*IF(D205="S",1,0)-0.6571546448*IF(E205="L",1,0)+0.0850728147*T205+0.0129488446*(T205*T205)+0.1909373936*IF(OR(F205="Utility",G205="Utility"),T205,0)+0.9656824071*R205-1.7517683256*S205+W205+X205+Y205)</f>
        <v/>
      </c>
      <c r="AB205">
        <f>LOOKUP(AA205,Grade_Scale!$A$2:$A$18,Grade_Scale!$B$2:$B$18)</f>
        <v/>
      </c>
      <c r="AC205">
        <f>LOOKUP(AA205,Grade_Scale!$A$2:$A$18,Grade_Scale!$C$2:$C$18)</f>
        <v/>
      </c>
      <c r="AE205">
        <f>IF(AD205="","",AB205-VLOOKUP(AD205,Grade_Scale!$C$2:$E$18,3,FALSE))</f>
        <v/>
      </c>
    </row>
    <row r="206">
      <c r="Q206">
        <f>IF(OR(B206="SP",B206="RP",B206="CP",B206="SP/RP"),"P","H")</f>
        <v/>
      </c>
      <c r="R206">
        <f>IF(F206="",0,IFNA(VLOOKUP(F206,Trait_Polarity!$A:$C,2,FALSE),0))+IF(G206="",0,IFNA(VLOOKUP(G206,Trait_Polarity!$A:$C,2,FALSE),0))</f>
        <v/>
      </c>
      <c r="S206">
        <f>IF(F206="",0,IFNA(VLOOKUP(F206,Trait_Polarity!$A:$C,3,FALSE),0))+IF(G206="",0,IFNA(VLOOKUP(G206,Trait_Polarity!$A:$C,3,FALSE),0))</f>
        <v/>
      </c>
      <c r="T206">
        <f>IF(Q206="P",0,IFNA(VLOOKUP(IF(C206="","(none)",C206),Secondary_Versatility!$A:$B,2,FALSE),0))</f>
        <v/>
      </c>
      <c r="U206">
        <f>IF(H206="",0,LEN(H206)-LEN(SUBSTITUTE(H206,"|",""))+1)</f>
        <v/>
      </c>
      <c r="V206">
        <f>IF(Q206="P",(N206+O206+P206)/3,0.3*I206+0.3*J206+0.2*K206+0.1*L206+0.1*M206)</f>
        <v/>
      </c>
      <c r="W206">
        <f>IF(Q206="P",IF(F206="",0,IFNA(VLOOKUP(F206,Pitcher_Trait_Coef!$A:$B,2,FALSE),0))+IF(G206="",0,IFNA(VLOOKUP(G206,Pitcher_Trait_Coef!$A:$B,2,FALSE),0)),IF(F206="",0,IFNA(VLOOKUP(F206,Hitter_Trait_Coef!$A:$B,2,FALSE),0))+IF(G206="",0,IFNA(VLOOKUP(G206,Hitter_Trait_Coef!$A:$B,2,FALSE),0)))</f>
        <v/>
      </c>
      <c r="X206">
        <f>IF(Q206="P",IFNA(VLOOKUP(B206,Pitcher_Primary_Coef!$A:$B,2,FALSE),0),IFNA(VLOOKUP(B206,Hitter_Primary_Coef!$A:$B,2,FALSE),0))</f>
        <v/>
      </c>
      <c r="Y206">
        <f>IF(Q206="P",0,IFNA(VLOOKUP(IF(C206="","(none)",C206),Hitter_Secondary_Coef!$A:$B,2,FALSE),0))</f>
        <v/>
      </c>
      <c r="Z206">
        <f>IF(Q206="P",IF(ISNUMBER(SEARCH("2F",H206)),IFNA(VLOOKUP("2F",Pitch_Coef!$A:$B,2,FALSE),0),0)+IF(ISNUMBER(SEARCH("4F",H206)),IFNA(VLOOKUP("4F",Pitch_Coef!$A:$B,2,FALSE),0),0)+IF(ISNUMBER(SEARCH("CB",H206)),IFNA(VLOOKUP("CB",Pitch_Coef!$A:$B,2,FALSE),0),0)+IF(ISNUMBER(SEARCH("CF",H206)),IFNA(VLOOKUP("CF",Pitch_Coef!$A:$B,2,FALSE),0),0)+IF(ISNUMBER(SEARCH("CH",H206)),IFNA(VLOOKUP("CH",Pitch_Coef!$A:$B,2,FALSE),0),0)+IF(ISNUMBER(SEARCH("FK",H206)),IFNA(VLOOKUP("FK",Pitch_Coef!$A:$B,2,FALSE),0),0)+IF(ISNUMBER(SEARCH("SB",H206)),IFNA(VLOOKUP("SB",Pitch_Coef!$A:$B,2,FALSE),0),0)+IF(ISNUMBER(SEARCH("SL",H206)),IFNA(VLOOKUP("SL",Pitch_Coef!$A:$B,2,FALSE),0),0),0)</f>
        <v/>
      </c>
      <c r="AA206">
        <f>IF(Q206="P",16.5944849573+0.2529999141*N206+0.2665900378*O206+0.2632687105*P206+0.0427586837*I206+0.0534777057*J206+0.009015832*K206+0.0204898106*(O206*P206/100)+1.0091022427*U206+1.0968542297*IF(D206="L",1,0)+0.3771555045*IF(D206="S",1,0)-0.2226159177*IF(E206="L",1,0)+1.21385024*R206-1.1652812274*S206+W206+X206+Z206,10.5965166711+0.2825983581*I206+0.2806503532*J206+0.2027213083*K206+0.1147824982*L206+0.0915305332*M206-0.0088454122*(I206*J206/100)-0.0336045706*(K206*L206/100)+2.8497389733*IF(D206="L",1,0)+4.5116226727*IF(D206="S",1,0)-0.6571546448*IF(E206="L",1,0)+0.0850728147*T206+0.0129488446*(T206*T206)+0.1909373936*IF(OR(F206="Utility",G206="Utility"),T206,0)+0.9656824071*R206-1.7517683256*S206+W206+X206+Y206)</f>
        <v/>
      </c>
      <c r="AB206">
        <f>LOOKUP(AA206,Grade_Scale!$A$2:$A$18,Grade_Scale!$B$2:$B$18)</f>
        <v/>
      </c>
      <c r="AC206">
        <f>LOOKUP(AA206,Grade_Scale!$A$2:$A$18,Grade_Scale!$C$2:$C$18)</f>
        <v/>
      </c>
      <c r="AE206">
        <f>IF(AD206="","",AB206-VLOOKUP(AD206,Grade_Scale!$C$2:$E$18,3,FALSE))</f>
        <v/>
      </c>
    </row>
    <row r="207">
      <c r="Q207">
        <f>IF(OR(B207="SP",B207="RP",B207="CP",B207="SP/RP"),"P","H")</f>
        <v/>
      </c>
      <c r="R207">
        <f>IF(F207="",0,IFNA(VLOOKUP(F207,Trait_Polarity!$A:$C,2,FALSE),0))+IF(G207="",0,IFNA(VLOOKUP(G207,Trait_Polarity!$A:$C,2,FALSE),0))</f>
        <v/>
      </c>
      <c r="S207">
        <f>IF(F207="",0,IFNA(VLOOKUP(F207,Trait_Polarity!$A:$C,3,FALSE),0))+IF(G207="",0,IFNA(VLOOKUP(G207,Trait_Polarity!$A:$C,3,FALSE),0))</f>
        <v/>
      </c>
      <c r="T207">
        <f>IF(Q207="P",0,IFNA(VLOOKUP(IF(C207="","(none)",C207),Secondary_Versatility!$A:$B,2,FALSE),0))</f>
        <v/>
      </c>
      <c r="U207">
        <f>IF(H207="",0,LEN(H207)-LEN(SUBSTITUTE(H207,"|",""))+1)</f>
        <v/>
      </c>
      <c r="V207">
        <f>IF(Q207="P",(N207+O207+P207)/3,0.3*I207+0.3*J207+0.2*K207+0.1*L207+0.1*M207)</f>
        <v/>
      </c>
      <c r="W207">
        <f>IF(Q207="P",IF(F207="",0,IFNA(VLOOKUP(F207,Pitcher_Trait_Coef!$A:$B,2,FALSE),0))+IF(G207="",0,IFNA(VLOOKUP(G207,Pitcher_Trait_Coef!$A:$B,2,FALSE),0)),IF(F207="",0,IFNA(VLOOKUP(F207,Hitter_Trait_Coef!$A:$B,2,FALSE),0))+IF(G207="",0,IFNA(VLOOKUP(G207,Hitter_Trait_Coef!$A:$B,2,FALSE),0)))</f>
        <v/>
      </c>
      <c r="X207">
        <f>IF(Q207="P",IFNA(VLOOKUP(B207,Pitcher_Primary_Coef!$A:$B,2,FALSE),0),IFNA(VLOOKUP(B207,Hitter_Primary_Coef!$A:$B,2,FALSE),0))</f>
        <v/>
      </c>
      <c r="Y207">
        <f>IF(Q207="P",0,IFNA(VLOOKUP(IF(C207="","(none)",C207),Hitter_Secondary_Coef!$A:$B,2,FALSE),0))</f>
        <v/>
      </c>
      <c r="Z207">
        <f>IF(Q207="P",IF(ISNUMBER(SEARCH("2F",H207)),IFNA(VLOOKUP("2F",Pitch_Coef!$A:$B,2,FALSE),0),0)+IF(ISNUMBER(SEARCH("4F",H207)),IFNA(VLOOKUP("4F",Pitch_Coef!$A:$B,2,FALSE),0),0)+IF(ISNUMBER(SEARCH("CB",H207)),IFNA(VLOOKUP("CB",Pitch_Coef!$A:$B,2,FALSE),0),0)+IF(ISNUMBER(SEARCH("CF",H207)),IFNA(VLOOKUP("CF",Pitch_Coef!$A:$B,2,FALSE),0),0)+IF(ISNUMBER(SEARCH("CH",H207)),IFNA(VLOOKUP("CH",Pitch_Coef!$A:$B,2,FALSE),0),0)+IF(ISNUMBER(SEARCH("FK",H207)),IFNA(VLOOKUP("FK",Pitch_Coef!$A:$B,2,FALSE),0),0)+IF(ISNUMBER(SEARCH("SB",H207)),IFNA(VLOOKUP("SB",Pitch_Coef!$A:$B,2,FALSE),0),0)+IF(ISNUMBER(SEARCH("SL",H207)),IFNA(VLOOKUP("SL",Pitch_Coef!$A:$B,2,FALSE),0),0),0)</f>
        <v/>
      </c>
      <c r="AA207">
        <f>IF(Q207="P",16.5944849573+0.2529999141*N207+0.2665900378*O207+0.2632687105*P207+0.0427586837*I207+0.0534777057*J207+0.009015832*K207+0.0204898106*(O207*P207/100)+1.0091022427*U207+1.0968542297*IF(D207="L",1,0)+0.3771555045*IF(D207="S",1,0)-0.2226159177*IF(E207="L",1,0)+1.21385024*R207-1.1652812274*S207+W207+X207+Z207,10.5965166711+0.2825983581*I207+0.2806503532*J207+0.2027213083*K207+0.1147824982*L207+0.0915305332*M207-0.0088454122*(I207*J207/100)-0.0336045706*(K207*L207/100)+2.8497389733*IF(D207="L",1,0)+4.5116226727*IF(D207="S",1,0)-0.6571546448*IF(E207="L",1,0)+0.0850728147*T207+0.0129488446*(T207*T207)+0.1909373936*IF(OR(F207="Utility",G207="Utility"),T207,0)+0.9656824071*R207-1.7517683256*S207+W207+X207+Y207)</f>
        <v/>
      </c>
      <c r="AB207">
        <f>LOOKUP(AA207,Grade_Scale!$A$2:$A$18,Grade_Scale!$B$2:$B$18)</f>
        <v/>
      </c>
      <c r="AC207">
        <f>LOOKUP(AA207,Grade_Scale!$A$2:$A$18,Grade_Scale!$C$2:$C$18)</f>
        <v/>
      </c>
      <c r="AE207">
        <f>IF(AD207="","",AB207-VLOOKUP(AD207,Grade_Scale!$C$2:$E$18,3,FALSE))</f>
        <v/>
      </c>
    </row>
    <row r="208">
      <c r="Q208">
        <f>IF(OR(B208="SP",B208="RP",B208="CP",B208="SP/RP"),"P","H")</f>
        <v/>
      </c>
      <c r="R208">
        <f>IF(F208="",0,IFNA(VLOOKUP(F208,Trait_Polarity!$A:$C,2,FALSE),0))+IF(G208="",0,IFNA(VLOOKUP(G208,Trait_Polarity!$A:$C,2,FALSE),0))</f>
        <v/>
      </c>
      <c r="S208">
        <f>IF(F208="",0,IFNA(VLOOKUP(F208,Trait_Polarity!$A:$C,3,FALSE),0))+IF(G208="",0,IFNA(VLOOKUP(G208,Trait_Polarity!$A:$C,3,FALSE),0))</f>
        <v/>
      </c>
      <c r="T208">
        <f>IF(Q208="P",0,IFNA(VLOOKUP(IF(C208="","(none)",C208),Secondary_Versatility!$A:$B,2,FALSE),0))</f>
        <v/>
      </c>
      <c r="U208">
        <f>IF(H208="",0,LEN(H208)-LEN(SUBSTITUTE(H208,"|",""))+1)</f>
        <v/>
      </c>
      <c r="V208">
        <f>IF(Q208="P",(N208+O208+P208)/3,0.3*I208+0.3*J208+0.2*K208+0.1*L208+0.1*M208)</f>
        <v/>
      </c>
      <c r="W208">
        <f>IF(Q208="P",IF(F208="",0,IFNA(VLOOKUP(F208,Pitcher_Trait_Coef!$A:$B,2,FALSE),0))+IF(G208="",0,IFNA(VLOOKUP(G208,Pitcher_Trait_Coef!$A:$B,2,FALSE),0)),IF(F208="",0,IFNA(VLOOKUP(F208,Hitter_Trait_Coef!$A:$B,2,FALSE),0))+IF(G208="",0,IFNA(VLOOKUP(G208,Hitter_Trait_Coef!$A:$B,2,FALSE),0)))</f>
        <v/>
      </c>
      <c r="X208">
        <f>IF(Q208="P",IFNA(VLOOKUP(B208,Pitcher_Primary_Coef!$A:$B,2,FALSE),0),IFNA(VLOOKUP(B208,Hitter_Primary_Coef!$A:$B,2,FALSE),0))</f>
        <v/>
      </c>
      <c r="Y208">
        <f>IF(Q208="P",0,IFNA(VLOOKUP(IF(C208="","(none)",C208),Hitter_Secondary_Coef!$A:$B,2,FALSE),0))</f>
        <v/>
      </c>
      <c r="Z208">
        <f>IF(Q208="P",IF(ISNUMBER(SEARCH("2F",H208)),IFNA(VLOOKUP("2F",Pitch_Coef!$A:$B,2,FALSE),0),0)+IF(ISNUMBER(SEARCH("4F",H208)),IFNA(VLOOKUP("4F",Pitch_Coef!$A:$B,2,FALSE),0),0)+IF(ISNUMBER(SEARCH("CB",H208)),IFNA(VLOOKUP("CB",Pitch_Coef!$A:$B,2,FALSE),0),0)+IF(ISNUMBER(SEARCH("CF",H208)),IFNA(VLOOKUP("CF",Pitch_Coef!$A:$B,2,FALSE),0),0)+IF(ISNUMBER(SEARCH("CH",H208)),IFNA(VLOOKUP("CH",Pitch_Coef!$A:$B,2,FALSE),0),0)+IF(ISNUMBER(SEARCH("FK",H208)),IFNA(VLOOKUP("FK",Pitch_Coef!$A:$B,2,FALSE),0),0)+IF(ISNUMBER(SEARCH("SB",H208)),IFNA(VLOOKUP("SB",Pitch_Coef!$A:$B,2,FALSE),0),0)+IF(ISNUMBER(SEARCH("SL",H208)),IFNA(VLOOKUP("SL",Pitch_Coef!$A:$B,2,FALSE),0),0),0)</f>
        <v/>
      </c>
      <c r="AA208">
        <f>IF(Q208="P",16.5944849573+0.2529999141*N208+0.2665900378*O208+0.2632687105*P208+0.0427586837*I208+0.0534777057*J208+0.009015832*K208+0.0204898106*(O208*P208/100)+1.0091022427*U208+1.0968542297*IF(D208="L",1,0)+0.3771555045*IF(D208="S",1,0)-0.2226159177*IF(E208="L",1,0)+1.21385024*R208-1.1652812274*S208+W208+X208+Z208,10.5965166711+0.2825983581*I208+0.2806503532*J208+0.2027213083*K208+0.1147824982*L208+0.0915305332*M208-0.0088454122*(I208*J208/100)-0.0336045706*(K208*L208/100)+2.8497389733*IF(D208="L",1,0)+4.5116226727*IF(D208="S",1,0)-0.6571546448*IF(E208="L",1,0)+0.0850728147*T208+0.0129488446*(T208*T208)+0.1909373936*IF(OR(F208="Utility",G208="Utility"),T208,0)+0.9656824071*R208-1.7517683256*S208+W208+X208+Y208)</f>
        <v/>
      </c>
      <c r="AB208">
        <f>LOOKUP(AA208,Grade_Scale!$A$2:$A$18,Grade_Scale!$B$2:$B$18)</f>
        <v/>
      </c>
      <c r="AC208">
        <f>LOOKUP(AA208,Grade_Scale!$A$2:$A$18,Grade_Scale!$C$2:$C$18)</f>
        <v/>
      </c>
      <c r="AE208">
        <f>IF(AD208="","",AB208-VLOOKUP(AD208,Grade_Scale!$C$2:$E$18,3,FALSE))</f>
        <v/>
      </c>
    </row>
    <row r="209">
      <c r="Q209">
        <f>IF(OR(B209="SP",B209="RP",B209="CP",B209="SP/RP"),"P","H")</f>
        <v/>
      </c>
      <c r="R209">
        <f>IF(F209="",0,IFNA(VLOOKUP(F209,Trait_Polarity!$A:$C,2,FALSE),0))+IF(G209="",0,IFNA(VLOOKUP(G209,Trait_Polarity!$A:$C,2,FALSE),0))</f>
        <v/>
      </c>
      <c r="S209">
        <f>IF(F209="",0,IFNA(VLOOKUP(F209,Trait_Polarity!$A:$C,3,FALSE),0))+IF(G209="",0,IFNA(VLOOKUP(G209,Trait_Polarity!$A:$C,3,FALSE),0))</f>
        <v/>
      </c>
      <c r="T209">
        <f>IF(Q209="P",0,IFNA(VLOOKUP(IF(C209="","(none)",C209),Secondary_Versatility!$A:$B,2,FALSE),0))</f>
        <v/>
      </c>
      <c r="U209">
        <f>IF(H209="",0,LEN(H209)-LEN(SUBSTITUTE(H209,"|",""))+1)</f>
        <v/>
      </c>
      <c r="V209">
        <f>IF(Q209="P",(N209+O209+P209)/3,0.3*I209+0.3*J209+0.2*K209+0.1*L209+0.1*M209)</f>
        <v/>
      </c>
      <c r="W209">
        <f>IF(Q209="P",IF(F209="",0,IFNA(VLOOKUP(F209,Pitcher_Trait_Coef!$A:$B,2,FALSE),0))+IF(G209="",0,IFNA(VLOOKUP(G209,Pitcher_Trait_Coef!$A:$B,2,FALSE),0)),IF(F209="",0,IFNA(VLOOKUP(F209,Hitter_Trait_Coef!$A:$B,2,FALSE),0))+IF(G209="",0,IFNA(VLOOKUP(G209,Hitter_Trait_Coef!$A:$B,2,FALSE),0)))</f>
        <v/>
      </c>
      <c r="X209">
        <f>IF(Q209="P",IFNA(VLOOKUP(B209,Pitcher_Primary_Coef!$A:$B,2,FALSE),0),IFNA(VLOOKUP(B209,Hitter_Primary_Coef!$A:$B,2,FALSE),0))</f>
        <v/>
      </c>
      <c r="Y209">
        <f>IF(Q209="P",0,IFNA(VLOOKUP(IF(C209="","(none)",C209),Hitter_Secondary_Coef!$A:$B,2,FALSE),0))</f>
        <v/>
      </c>
      <c r="Z209">
        <f>IF(Q209="P",IF(ISNUMBER(SEARCH("2F",H209)),IFNA(VLOOKUP("2F",Pitch_Coef!$A:$B,2,FALSE),0),0)+IF(ISNUMBER(SEARCH("4F",H209)),IFNA(VLOOKUP("4F",Pitch_Coef!$A:$B,2,FALSE),0),0)+IF(ISNUMBER(SEARCH("CB",H209)),IFNA(VLOOKUP("CB",Pitch_Coef!$A:$B,2,FALSE),0),0)+IF(ISNUMBER(SEARCH("CF",H209)),IFNA(VLOOKUP("CF",Pitch_Coef!$A:$B,2,FALSE),0),0)+IF(ISNUMBER(SEARCH("CH",H209)),IFNA(VLOOKUP("CH",Pitch_Coef!$A:$B,2,FALSE),0),0)+IF(ISNUMBER(SEARCH("FK",H209)),IFNA(VLOOKUP("FK",Pitch_Coef!$A:$B,2,FALSE),0),0)+IF(ISNUMBER(SEARCH("SB",H209)),IFNA(VLOOKUP("SB",Pitch_Coef!$A:$B,2,FALSE),0),0)+IF(ISNUMBER(SEARCH("SL",H209)),IFNA(VLOOKUP("SL",Pitch_Coef!$A:$B,2,FALSE),0),0),0)</f>
        <v/>
      </c>
      <c r="AA209">
        <f>IF(Q209="P",16.5944849573+0.2529999141*N209+0.2665900378*O209+0.2632687105*P209+0.0427586837*I209+0.0534777057*J209+0.009015832*K209+0.0204898106*(O209*P209/100)+1.0091022427*U209+1.0968542297*IF(D209="L",1,0)+0.3771555045*IF(D209="S",1,0)-0.2226159177*IF(E209="L",1,0)+1.21385024*R209-1.1652812274*S209+W209+X209+Z209,10.5965166711+0.2825983581*I209+0.2806503532*J209+0.2027213083*K209+0.1147824982*L209+0.0915305332*M209-0.0088454122*(I209*J209/100)-0.0336045706*(K209*L209/100)+2.8497389733*IF(D209="L",1,0)+4.5116226727*IF(D209="S",1,0)-0.6571546448*IF(E209="L",1,0)+0.0850728147*T209+0.0129488446*(T209*T209)+0.1909373936*IF(OR(F209="Utility",G209="Utility"),T209,0)+0.9656824071*R209-1.7517683256*S209+W209+X209+Y209)</f>
        <v/>
      </c>
      <c r="AB209">
        <f>LOOKUP(AA209,Grade_Scale!$A$2:$A$18,Grade_Scale!$B$2:$B$18)</f>
        <v/>
      </c>
      <c r="AC209">
        <f>LOOKUP(AA209,Grade_Scale!$A$2:$A$18,Grade_Scale!$C$2:$C$18)</f>
        <v/>
      </c>
      <c r="AE209">
        <f>IF(AD209="","",AB209-VLOOKUP(AD209,Grade_Scale!$C$2:$E$18,3,FALSE))</f>
        <v/>
      </c>
    </row>
    <row r="210">
      <c r="Q210">
        <f>IF(OR(B210="SP",B210="RP",B210="CP",B210="SP/RP"),"P","H")</f>
        <v/>
      </c>
      <c r="R210">
        <f>IF(F210="",0,IFNA(VLOOKUP(F210,Trait_Polarity!$A:$C,2,FALSE),0))+IF(G210="",0,IFNA(VLOOKUP(G210,Trait_Polarity!$A:$C,2,FALSE),0))</f>
        <v/>
      </c>
      <c r="S210">
        <f>IF(F210="",0,IFNA(VLOOKUP(F210,Trait_Polarity!$A:$C,3,FALSE),0))+IF(G210="",0,IFNA(VLOOKUP(G210,Trait_Polarity!$A:$C,3,FALSE),0))</f>
        <v/>
      </c>
      <c r="T210">
        <f>IF(Q210="P",0,IFNA(VLOOKUP(IF(C210="","(none)",C210),Secondary_Versatility!$A:$B,2,FALSE),0))</f>
        <v/>
      </c>
      <c r="U210">
        <f>IF(H210="",0,LEN(H210)-LEN(SUBSTITUTE(H210,"|",""))+1)</f>
        <v/>
      </c>
      <c r="V210">
        <f>IF(Q210="P",(N210+O210+P210)/3,0.3*I210+0.3*J210+0.2*K210+0.1*L210+0.1*M210)</f>
        <v/>
      </c>
      <c r="W210">
        <f>IF(Q210="P",IF(F210="",0,IFNA(VLOOKUP(F210,Pitcher_Trait_Coef!$A:$B,2,FALSE),0))+IF(G210="",0,IFNA(VLOOKUP(G210,Pitcher_Trait_Coef!$A:$B,2,FALSE),0)),IF(F210="",0,IFNA(VLOOKUP(F210,Hitter_Trait_Coef!$A:$B,2,FALSE),0))+IF(G210="",0,IFNA(VLOOKUP(G210,Hitter_Trait_Coef!$A:$B,2,FALSE),0)))</f>
        <v/>
      </c>
      <c r="X210">
        <f>IF(Q210="P",IFNA(VLOOKUP(B210,Pitcher_Primary_Coef!$A:$B,2,FALSE),0),IFNA(VLOOKUP(B210,Hitter_Primary_Coef!$A:$B,2,FALSE),0))</f>
        <v/>
      </c>
      <c r="Y210">
        <f>IF(Q210="P",0,IFNA(VLOOKUP(IF(C210="","(none)",C210),Hitter_Secondary_Coef!$A:$B,2,FALSE),0))</f>
        <v/>
      </c>
      <c r="Z210">
        <f>IF(Q210="P",IF(ISNUMBER(SEARCH("2F",H210)),IFNA(VLOOKUP("2F",Pitch_Coef!$A:$B,2,FALSE),0),0)+IF(ISNUMBER(SEARCH("4F",H210)),IFNA(VLOOKUP("4F",Pitch_Coef!$A:$B,2,FALSE),0),0)+IF(ISNUMBER(SEARCH("CB",H210)),IFNA(VLOOKUP("CB",Pitch_Coef!$A:$B,2,FALSE),0),0)+IF(ISNUMBER(SEARCH("CF",H210)),IFNA(VLOOKUP("CF",Pitch_Coef!$A:$B,2,FALSE),0),0)+IF(ISNUMBER(SEARCH("CH",H210)),IFNA(VLOOKUP("CH",Pitch_Coef!$A:$B,2,FALSE),0),0)+IF(ISNUMBER(SEARCH("FK",H210)),IFNA(VLOOKUP("FK",Pitch_Coef!$A:$B,2,FALSE),0),0)+IF(ISNUMBER(SEARCH("SB",H210)),IFNA(VLOOKUP("SB",Pitch_Coef!$A:$B,2,FALSE),0),0)+IF(ISNUMBER(SEARCH("SL",H210)),IFNA(VLOOKUP("SL",Pitch_Coef!$A:$B,2,FALSE),0),0),0)</f>
        <v/>
      </c>
      <c r="AA210">
        <f>IF(Q210="P",16.5944849573+0.2529999141*N210+0.2665900378*O210+0.2632687105*P210+0.0427586837*I210+0.0534777057*J210+0.009015832*K210+0.0204898106*(O210*P210/100)+1.0091022427*U210+1.0968542297*IF(D210="L",1,0)+0.3771555045*IF(D210="S",1,0)-0.2226159177*IF(E210="L",1,0)+1.21385024*R210-1.1652812274*S210+W210+X210+Z210,10.5965166711+0.2825983581*I210+0.2806503532*J210+0.2027213083*K210+0.1147824982*L210+0.0915305332*M210-0.0088454122*(I210*J210/100)-0.0336045706*(K210*L210/100)+2.8497389733*IF(D210="L",1,0)+4.5116226727*IF(D210="S",1,0)-0.6571546448*IF(E210="L",1,0)+0.0850728147*T210+0.0129488446*(T210*T210)+0.1909373936*IF(OR(F210="Utility",G210="Utility"),T210,0)+0.9656824071*R210-1.7517683256*S210+W210+X210+Y210)</f>
        <v/>
      </c>
      <c r="AB210">
        <f>LOOKUP(AA210,Grade_Scale!$A$2:$A$18,Grade_Scale!$B$2:$B$18)</f>
        <v/>
      </c>
      <c r="AC210">
        <f>LOOKUP(AA210,Grade_Scale!$A$2:$A$18,Grade_Scale!$C$2:$C$18)</f>
        <v/>
      </c>
      <c r="AE210">
        <f>IF(AD210="","",AB210-VLOOKUP(AD210,Grade_Scale!$C$2:$E$18,3,FALSE))</f>
        <v/>
      </c>
    </row>
    <row r="211">
      <c r="Q211">
        <f>IF(OR(B211="SP",B211="RP",B211="CP",B211="SP/RP"),"P","H")</f>
        <v/>
      </c>
      <c r="R211">
        <f>IF(F211="",0,IFNA(VLOOKUP(F211,Trait_Polarity!$A:$C,2,FALSE),0))+IF(G211="",0,IFNA(VLOOKUP(G211,Trait_Polarity!$A:$C,2,FALSE),0))</f>
        <v/>
      </c>
      <c r="S211">
        <f>IF(F211="",0,IFNA(VLOOKUP(F211,Trait_Polarity!$A:$C,3,FALSE),0))+IF(G211="",0,IFNA(VLOOKUP(G211,Trait_Polarity!$A:$C,3,FALSE),0))</f>
        <v/>
      </c>
      <c r="T211">
        <f>IF(Q211="P",0,IFNA(VLOOKUP(IF(C211="","(none)",C211),Secondary_Versatility!$A:$B,2,FALSE),0))</f>
        <v/>
      </c>
      <c r="U211">
        <f>IF(H211="",0,LEN(H211)-LEN(SUBSTITUTE(H211,"|",""))+1)</f>
        <v/>
      </c>
      <c r="V211">
        <f>IF(Q211="P",(N211+O211+P211)/3,0.3*I211+0.3*J211+0.2*K211+0.1*L211+0.1*M211)</f>
        <v/>
      </c>
      <c r="W211">
        <f>IF(Q211="P",IF(F211="",0,IFNA(VLOOKUP(F211,Pitcher_Trait_Coef!$A:$B,2,FALSE),0))+IF(G211="",0,IFNA(VLOOKUP(G211,Pitcher_Trait_Coef!$A:$B,2,FALSE),0)),IF(F211="",0,IFNA(VLOOKUP(F211,Hitter_Trait_Coef!$A:$B,2,FALSE),0))+IF(G211="",0,IFNA(VLOOKUP(G211,Hitter_Trait_Coef!$A:$B,2,FALSE),0)))</f>
        <v/>
      </c>
      <c r="X211">
        <f>IF(Q211="P",IFNA(VLOOKUP(B211,Pitcher_Primary_Coef!$A:$B,2,FALSE),0),IFNA(VLOOKUP(B211,Hitter_Primary_Coef!$A:$B,2,FALSE),0))</f>
        <v/>
      </c>
      <c r="Y211">
        <f>IF(Q211="P",0,IFNA(VLOOKUP(IF(C211="","(none)",C211),Hitter_Secondary_Coef!$A:$B,2,FALSE),0))</f>
        <v/>
      </c>
      <c r="Z211">
        <f>IF(Q211="P",IF(ISNUMBER(SEARCH("2F",H211)),IFNA(VLOOKUP("2F",Pitch_Coef!$A:$B,2,FALSE),0),0)+IF(ISNUMBER(SEARCH("4F",H211)),IFNA(VLOOKUP("4F",Pitch_Coef!$A:$B,2,FALSE),0),0)+IF(ISNUMBER(SEARCH("CB",H211)),IFNA(VLOOKUP("CB",Pitch_Coef!$A:$B,2,FALSE),0),0)+IF(ISNUMBER(SEARCH("CF",H211)),IFNA(VLOOKUP("CF",Pitch_Coef!$A:$B,2,FALSE),0),0)+IF(ISNUMBER(SEARCH("CH",H211)),IFNA(VLOOKUP("CH",Pitch_Coef!$A:$B,2,FALSE),0),0)+IF(ISNUMBER(SEARCH("FK",H211)),IFNA(VLOOKUP("FK",Pitch_Coef!$A:$B,2,FALSE),0),0)+IF(ISNUMBER(SEARCH("SB",H211)),IFNA(VLOOKUP("SB",Pitch_Coef!$A:$B,2,FALSE),0),0)+IF(ISNUMBER(SEARCH("SL",H211)),IFNA(VLOOKUP("SL",Pitch_Coef!$A:$B,2,FALSE),0),0),0)</f>
        <v/>
      </c>
      <c r="AA211">
        <f>IF(Q211="P",16.5944849573+0.2529999141*N211+0.2665900378*O211+0.2632687105*P211+0.0427586837*I211+0.0534777057*J211+0.009015832*K211+0.0204898106*(O211*P211/100)+1.0091022427*U211+1.0968542297*IF(D211="L",1,0)+0.3771555045*IF(D211="S",1,0)-0.2226159177*IF(E211="L",1,0)+1.21385024*R211-1.1652812274*S211+W211+X211+Z211,10.5965166711+0.2825983581*I211+0.2806503532*J211+0.2027213083*K211+0.1147824982*L211+0.0915305332*M211-0.0088454122*(I211*J211/100)-0.0336045706*(K211*L211/100)+2.8497389733*IF(D211="L",1,0)+4.5116226727*IF(D211="S",1,0)-0.6571546448*IF(E211="L",1,0)+0.0850728147*T211+0.0129488446*(T211*T211)+0.1909373936*IF(OR(F211="Utility",G211="Utility"),T211,0)+0.9656824071*R211-1.7517683256*S211+W211+X211+Y211)</f>
        <v/>
      </c>
      <c r="AB211">
        <f>LOOKUP(AA211,Grade_Scale!$A$2:$A$18,Grade_Scale!$B$2:$B$18)</f>
        <v/>
      </c>
      <c r="AC211">
        <f>LOOKUP(AA211,Grade_Scale!$A$2:$A$18,Grade_Scale!$C$2:$C$18)</f>
        <v/>
      </c>
      <c r="AE211">
        <f>IF(AD211="","",AB211-VLOOKUP(AD211,Grade_Scale!$C$2:$E$18,3,FALSE))</f>
        <v/>
      </c>
    </row>
    <row r="212">
      <c r="Q212">
        <f>IF(OR(B212="SP",B212="RP",B212="CP",B212="SP/RP"),"P","H")</f>
        <v/>
      </c>
      <c r="R212">
        <f>IF(F212="",0,IFNA(VLOOKUP(F212,Trait_Polarity!$A:$C,2,FALSE),0))+IF(G212="",0,IFNA(VLOOKUP(G212,Trait_Polarity!$A:$C,2,FALSE),0))</f>
        <v/>
      </c>
      <c r="S212">
        <f>IF(F212="",0,IFNA(VLOOKUP(F212,Trait_Polarity!$A:$C,3,FALSE),0))+IF(G212="",0,IFNA(VLOOKUP(G212,Trait_Polarity!$A:$C,3,FALSE),0))</f>
        <v/>
      </c>
      <c r="T212">
        <f>IF(Q212="P",0,IFNA(VLOOKUP(IF(C212="","(none)",C212),Secondary_Versatility!$A:$B,2,FALSE),0))</f>
        <v/>
      </c>
      <c r="U212">
        <f>IF(H212="",0,LEN(H212)-LEN(SUBSTITUTE(H212,"|",""))+1)</f>
        <v/>
      </c>
      <c r="V212">
        <f>IF(Q212="P",(N212+O212+P212)/3,0.3*I212+0.3*J212+0.2*K212+0.1*L212+0.1*M212)</f>
        <v/>
      </c>
      <c r="W212">
        <f>IF(Q212="P",IF(F212="",0,IFNA(VLOOKUP(F212,Pitcher_Trait_Coef!$A:$B,2,FALSE),0))+IF(G212="",0,IFNA(VLOOKUP(G212,Pitcher_Trait_Coef!$A:$B,2,FALSE),0)),IF(F212="",0,IFNA(VLOOKUP(F212,Hitter_Trait_Coef!$A:$B,2,FALSE),0))+IF(G212="",0,IFNA(VLOOKUP(G212,Hitter_Trait_Coef!$A:$B,2,FALSE),0)))</f>
        <v/>
      </c>
      <c r="X212">
        <f>IF(Q212="P",IFNA(VLOOKUP(B212,Pitcher_Primary_Coef!$A:$B,2,FALSE),0),IFNA(VLOOKUP(B212,Hitter_Primary_Coef!$A:$B,2,FALSE),0))</f>
        <v/>
      </c>
      <c r="Y212">
        <f>IF(Q212="P",0,IFNA(VLOOKUP(IF(C212="","(none)",C212),Hitter_Secondary_Coef!$A:$B,2,FALSE),0))</f>
        <v/>
      </c>
      <c r="Z212">
        <f>IF(Q212="P",IF(ISNUMBER(SEARCH("2F",H212)),IFNA(VLOOKUP("2F",Pitch_Coef!$A:$B,2,FALSE),0),0)+IF(ISNUMBER(SEARCH("4F",H212)),IFNA(VLOOKUP("4F",Pitch_Coef!$A:$B,2,FALSE),0),0)+IF(ISNUMBER(SEARCH("CB",H212)),IFNA(VLOOKUP("CB",Pitch_Coef!$A:$B,2,FALSE),0),0)+IF(ISNUMBER(SEARCH("CF",H212)),IFNA(VLOOKUP("CF",Pitch_Coef!$A:$B,2,FALSE),0),0)+IF(ISNUMBER(SEARCH("CH",H212)),IFNA(VLOOKUP("CH",Pitch_Coef!$A:$B,2,FALSE),0),0)+IF(ISNUMBER(SEARCH("FK",H212)),IFNA(VLOOKUP("FK",Pitch_Coef!$A:$B,2,FALSE),0),0)+IF(ISNUMBER(SEARCH("SB",H212)),IFNA(VLOOKUP("SB",Pitch_Coef!$A:$B,2,FALSE),0),0)+IF(ISNUMBER(SEARCH("SL",H212)),IFNA(VLOOKUP("SL",Pitch_Coef!$A:$B,2,FALSE),0),0),0)</f>
        <v/>
      </c>
      <c r="AA212">
        <f>IF(Q212="P",16.5944849573+0.2529999141*N212+0.2665900378*O212+0.2632687105*P212+0.0427586837*I212+0.0534777057*J212+0.009015832*K212+0.0204898106*(O212*P212/100)+1.0091022427*U212+1.0968542297*IF(D212="L",1,0)+0.3771555045*IF(D212="S",1,0)-0.2226159177*IF(E212="L",1,0)+1.21385024*R212-1.1652812274*S212+W212+X212+Z212,10.5965166711+0.2825983581*I212+0.2806503532*J212+0.2027213083*K212+0.1147824982*L212+0.0915305332*M212-0.0088454122*(I212*J212/100)-0.0336045706*(K212*L212/100)+2.8497389733*IF(D212="L",1,0)+4.5116226727*IF(D212="S",1,0)-0.6571546448*IF(E212="L",1,0)+0.0850728147*T212+0.0129488446*(T212*T212)+0.1909373936*IF(OR(F212="Utility",G212="Utility"),T212,0)+0.9656824071*R212-1.7517683256*S212+W212+X212+Y212)</f>
        <v/>
      </c>
      <c r="AB212">
        <f>LOOKUP(AA212,Grade_Scale!$A$2:$A$18,Grade_Scale!$B$2:$B$18)</f>
        <v/>
      </c>
      <c r="AC212">
        <f>LOOKUP(AA212,Grade_Scale!$A$2:$A$18,Grade_Scale!$C$2:$C$18)</f>
        <v/>
      </c>
      <c r="AE212">
        <f>IF(AD212="","",AB212-VLOOKUP(AD212,Grade_Scale!$C$2:$E$18,3,FALSE))</f>
        <v/>
      </c>
    </row>
    <row r="213">
      <c r="Q213">
        <f>IF(OR(B213="SP",B213="RP",B213="CP",B213="SP/RP"),"P","H")</f>
        <v/>
      </c>
      <c r="R213">
        <f>IF(F213="",0,IFNA(VLOOKUP(F213,Trait_Polarity!$A:$C,2,FALSE),0))+IF(G213="",0,IFNA(VLOOKUP(G213,Trait_Polarity!$A:$C,2,FALSE),0))</f>
        <v/>
      </c>
      <c r="S213">
        <f>IF(F213="",0,IFNA(VLOOKUP(F213,Trait_Polarity!$A:$C,3,FALSE),0))+IF(G213="",0,IFNA(VLOOKUP(G213,Trait_Polarity!$A:$C,3,FALSE),0))</f>
        <v/>
      </c>
      <c r="T213">
        <f>IF(Q213="P",0,IFNA(VLOOKUP(IF(C213="","(none)",C213),Secondary_Versatility!$A:$B,2,FALSE),0))</f>
        <v/>
      </c>
      <c r="U213">
        <f>IF(H213="",0,LEN(H213)-LEN(SUBSTITUTE(H213,"|",""))+1)</f>
        <v/>
      </c>
      <c r="V213">
        <f>IF(Q213="P",(N213+O213+P213)/3,0.3*I213+0.3*J213+0.2*K213+0.1*L213+0.1*M213)</f>
        <v/>
      </c>
      <c r="W213">
        <f>IF(Q213="P",IF(F213="",0,IFNA(VLOOKUP(F213,Pitcher_Trait_Coef!$A:$B,2,FALSE),0))+IF(G213="",0,IFNA(VLOOKUP(G213,Pitcher_Trait_Coef!$A:$B,2,FALSE),0)),IF(F213="",0,IFNA(VLOOKUP(F213,Hitter_Trait_Coef!$A:$B,2,FALSE),0))+IF(G213="",0,IFNA(VLOOKUP(G213,Hitter_Trait_Coef!$A:$B,2,FALSE),0)))</f>
        <v/>
      </c>
      <c r="X213">
        <f>IF(Q213="P",IFNA(VLOOKUP(B213,Pitcher_Primary_Coef!$A:$B,2,FALSE),0),IFNA(VLOOKUP(B213,Hitter_Primary_Coef!$A:$B,2,FALSE),0))</f>
        <v/>
      </c>
      <c r="Y213">
        <f>IF(Q213="P",0,IFNA(VLOOKUP(IF(C213="","(none)",C213),Hitter_Secondary_Coef!$A:$B,2,FALSE),0))</f>
        <v/>
      </c>
      <c r="Z213">
        <f>IF(Q213="P",IF(ISNUMBER(SEARCH("2F",H213)),IFNA(VLOOKUP("2F",Pitch_Coef!$A:$B,2,FALSE),0),0)+IF(ISNUMBER(SEARCH("4F",H213)),IFNA(VLOOKUP("4F",Pitch_Coef!$A:$B,2,FALSE),0),0)+IF(ISNUMBER(SEARCH("CB",H213)),IFNA(VLOOKUP("CB",Pitch_Coef!$A:$B,2,FALSE),0),0)+IF(ISNUMBER(SEARCH("CF",H213)),IFNA(VLOOKUP("CF",Pitch_Coef!$A:$B,2,FALSE),0),0)+IF(ISNUMBER(SEARCH("CH",H213)),IFNA(VLOOKUP("CH",Pitch_Coef!$A:$B,2,FALSE),0),0)+IF(ISNUMBER(SEARCH("FK",H213)),IFNA(VLOOKUP("FK",Pitch_Coef!$A:$B,2,FALSE),0),0)+IF(ISNUMBER(SEARCH("SB",H213)),IFNA(VLOOKUP("SB",Pitch_Coef!$A:$B,2,FALSE),0),0)+IF(ISNUMBER(SEARCH("SL",H213)),IFNA(VLOOKUP("SL",Pitch_Coef!$A:$B,2,FALSE),0),0),0)</f>
        <v/>
      </c>
      <c r="AA213">
        <f>IF(Q213="P",16.5944849573+0.2529999141*N213+0.2665900378*O213+0.2632687105*P213+0.0427586837*I213+0.0534777057*J213+0.009015832*K213+0.0204898106*(O213*P213/100)+1.0091022427*U213+1.0968542297*IF(D213="L",1,0)+0.3771555045*IF(D213="S",1,0)-0.2226159177*IF(E213="L",1,0)+1.21385024*R213-1.1652812274*S213+W213+X213+Z213,10.5965166711+0.2825983581*I213+0.2806503532*J213+0.2027213083*K213+0.1147824982*L213+0.0915305332*M213-0.0088454122*(I213*J213/100)-0.0336045706*(K213*L213/100)+2.8497389733*IF(D213="L",1,0)+4.5116226727*IF(D213="S",1,0)-0.6571546448*IF(E213="L",1,0)+0.0850728147*T213+0.0129488446*(T213*T213)+0.1909373936*IF(OR(F213="Utility",G213="Utility"),T213,0)+0.9656824071*R213-1.7517683256*S213+W213+X213+Y213)</f>
        <v/>
      </c>
      <c r="AB213">
        <f>LOOKUP(AA213,Grade_Scale!$A$2:$A$18,Grade_Scale!$B$2:$B$18)</f>
        <v/>
      </c>
      <c r="AC213">
        <f>LOOKUP(AA213,Grade_Scale!$A$2:$A$18,Grade_Scale!$C$2:$C$18)</f>
        <v/>
      </c>
      <c r="AE213">
        <f>IF(AD213="","",AB213-VLOOKUP(AD213,Grade_Scale!$C$2:$E$18,3,FALSE))</f>
        <v/>
      </c>
    </row>
    <row r="214">
      <c r="Q214">
        <f>IF(OR(B214="SP",B214="RP",B214="CP",B214="SP/RP"),"P","H")</f>
        <v/>
      </c>
      <c r="R214">
        <f>IF(F214="",0,IFNA(VLOOKUP(F214,Trait_Polarity!$A:$C,2,FALSE),0))+IF(G214="",0,IFNA(VLOOKUP(G214,Trait_Polarity!$A:$C,2,FALSE),0))</f>
        <v/>
      </c>
      <c r="S214">
        <f>IF(F214="",0,IFNA(VLOOKUP(F214,Trait_Polarity!$A:$C,3,FALSE),0))+IF(G214="",0,IFNA(VLOOKUP(G214,Trait_Polarity!$A:$C,3,FALSE),0))</f>
        <v/>
      </c>
      <c r="T214">
        <f>IF(Q214="P",0,IFNA(VLOOKUP(IF(C214="","(none)",C214),Secondary_Versatility!$A:$B,2,FALSE),0))</f>
        <v/>
      </c>
      <c r="U214">
        <f>IF(H214="",0,LEN(H214)-LEN(SUBSTITUTE(H214,"|",""))+1)</f>
        <v/>
      </c>
      <c r="V214">
        <f>IF(Q214="P",(N214+O214+P214)/3,0.3*I214+0.3*J214+0.2*K214+0.1*L214+0.1*M214)</f>
        <v/>
      </c>
      <c r="W214">
        <f>IF(Q214="P",IF(F214="",0,IFNA(VLOOKUP(F214,Pitcher_Trait_Coef!$A:$B,2,FALSE),0))+IF(G214="",0,IFNA(VLOOKUP(G214,Pitcher_Trait_Coef!$A:$B,2,FALSE),0)),IF(F214="",0,IFNA(VLOOKUP(F214,Hitter_Trait_Coef!$A:$B,2,FALSE),0))+IF(G214="",0,IFNA(VLOOKUP(G214,Hitter_Trait_Coef!$A:$B,2,FALSE),0)))</f>
        <v/>
      </c>
      <c r="X214">
        <f>IF(Q214="P",IFNA(VLOOKUP(B214,Pitcher_Primary_Coef!$A:$B,2,FALSE),0),IFNA(VLOOKUP(B214,Hitter_Primary_Coef!$A:$B,2,FALSE),0))</f>
        <v/>
      </c>
      <c r="Y214">
        <f>IF(Q214="P",0,IFNA(VLOOKUP(IF(C214="","(none)",C214),Hitter_Secondary_Coef!$A:$B,2,FALSE),0))</f>
        <v/>
      </c>
      <c r="Z214">
        <f>IF(Q214="P",IF(ISNUMBER(SEARCH("2F",H214)),IFNA(VLOOKUP("2F",Pitch_Coef!$A:$B,2,FALSE),0),0)+IF(ISNUMBER(SEARCH("4F",H214)),IFNA(VLOOKUP("4F",Pitch_Coef!$A:$B,2,FALSE),0),0)+IF(ISNUMBER(SEARCH("CB",H214)),IFNA(VLOOKUP("CB",Pitch_Coef!$A:$B,2,FALSE),0),0)+IF(ISNUMBER(SEARCH("CF",H214)),IFNA(VLOOKUP("CF",Pitch_Coef!$A:$B,2,FALSE),0),0)+IF(ISNUMBER(SEARCH("CH",H214)),IFNA(VLOOKUP("CH",Pitch_Coef!$A:$B,2,FALSE),0),0)+IF(ISNUMBER(SEARCH("FK",H214)),IFNA(VLOOKUP("FK",Pitch_Coef!$A:$B,2,FALSE),0),0)+IF(ISNUMBER(SEARCH("SB",H214)),IFNA(VLOOKUP("SB",Pitch_Coef!$A:$B,2,FALSE),0),0)+IF(ISNUMBER(SEARCH("SL",H214)),IFNA(VLOOKUP("SL",Pitch_Coef!$A:$B,2,FALSE),0),0),0)</f>
        <v/>
      </c>
      <c r="AA214">
        <f>IF(Q214="P",16.5944849573+0.2529999141*N214+0.2665900378*O214+0.2632687105*P214+0.0427586837*I214+0.0534777057*J214+0.009015832*K214+0.0204898106*(O214*P214/100)+1.0091022427*U214+1.0968542297*IF(D214="L",1,0)+0.3771555045*IF(D214="S",1,0)-0.2226159177*IF(E214="L",1,0)+1.21385024*R214-1.1652812274*S214+W214+X214+Z214,10.5965166711+0.2825983581*I214+0.2806503532*J214+0.2027213083*K214+0.1147824982*L214+0.0915305332*M214-0.0088454122*(I214*J214/100)-0.0336045706*(K214*L214/100)+2.8497389733*IF(D214="L",1,0)+4.5116226727*IF(D214="S",1,0)-0.6571546448*IF(E214="L",1,0)+0.0850728147*T214+0.0129488446*(T214*T214)+0.1909373936*IF(OR(F214="Utility",G214="Utility"),T214,0)+0.9656824071*R214-1.7517683256*S214+W214+X214+Y214)</f>
        <v/>
      </c>
      <c r="AB214">
        <f>LOOKUP(AA214,Grade_Scale!$A$2:$A$18,Grade_Scale!$B$2:$B$18)</f>
        <v/>
      </c>
      <c r="AC214">
        <f>LOOKUP(AA214,Grade_Scale!$A$2:$A$18,Grade_Scale!$C$2:$C$18)</f>
        <v/>
      </c>
      <c r="AE214">
        <f>IF(AD214="","",AB214-VLOOKUP(AD214,Grade_Scale!$C$2:$E$18,3,FALSE))</f>
        <v/>
      </c>
    </row>
    <row r="215">
      <c r="Q215">
        <f>IF(OR(B215="SP",B215="RP",B215="CP",B215="SP/RP"),"P","H")</f>
        <v/>
      </c>
      <c r="R215">
        <f>IF(F215="",0,IFNA(VLOOKUP(F215,Trait_Polarity!$A:$C,2,FALSE),0))+IF(G215="",0,IFNA(VLOOKUP(G215,Trait_Polarity!$A:$C,2,FALSE),0))</f>
        <v/>
      </c>
      <c r="S215">
        <f>IF(F215="",0,IFNA(VLOOKUP(F215,Trait_Polarity!$A:$C,3,FALSE),0))+IF(G215="",0,IFNA(VLOOKUP(G215,Trait_Polarity!$A:$C,3,FALSE),0))</f>
        <v/>
      </c>
      <c r="T215">
        <f>IF(Q215="P",0,IFNA(VLOOKUP(IF(C215="","(none)",C215),Secondary_Versatility!$A:$B,2,FALSE),0))</f>
        <v/>
      </c>
      <c r="U215">
        <f>IF(H215="",0,LEN(H215)-LEN(SUBSTITUTE(H215,"|",""))+1)</f>
        <v/>
      </c>
      <c r="V215">
        <f>IF(Q215="P",(N215+O215+P215)/3,0.3*I215+0.3*J215+0.2*K215+0.1*L215+0.1*M215)</f>
        <v/>
      </c>
      <c r="W215">
        <f>IF(Q215="P",IF(F215="",0,IFNA(VLOOKUP(F215,Pitcher_Trait_Coef!$A:$B,2,FALSE),0))+IF(G215="",0,IFNA(VLOOKUP(G215,Pitcher_Trait_Coef!$A:$B,2,FALSE),0)),IF(F215="",0,IFNA(VLOOKUP(F215,Hitter_Trait_Coef!$A:$B,2,FALSE),0))+IF(G215="",0,IFNA(VLOOKUP(G215,Hitter_Trait_Coef!$A:$B,2,FALSE),0)))</f>
        <v/>
      </c>
      <c r="X215">
        <f>IF(Q215="P",IFNA(VLOOKUP(B215,Pitcher_Primary_Coef!$A:$B,2,FALSE),0),IFNA(VLOOKUP(B215,Hitter_Primary_Coef!$A:$B,2,FALSE),0))</f>
        <v/>
      </c>
      <c r="Y215">
        <f>IF(Q215="P",0,IFNA(VLOOKUP(IF(C215="","(none)",C215),Hitter_Secondary_Coef!$A:$B,2,FALSE),0))</f>
        <v/>
      </c>
      <c r="Z215">
        <f>IF(Q215="P",IF(ISNUMBER(SEARCH("2F",H215)),IFNA(VLOOKUP("2F",Pitch_Coef!$A:$B,2,FALSE),0),0)+IF(ISNUMBER(SEARCH("4F",H215)),IFNA(VLOOKUP("4F",Pitch_Coef!$A:$B,2,FALSE),0),0)+IF(ISNUMBER(SEARCH("CB",H215)),IFNA(VLOOKUP("CB",Pitch_Coef!$A:$B,2,FALSE),0),0)+IF(ISNUMBER(SEARCH("CF",H215)),IFNA(VLOOKUP("CF",Pitch_Coef!$A:$B,2,FALSE),0),0)+IF(ISNUMBER(SEARCH("CH",H215)),IFNA(VLOOKUP("CH",Pitch_Coef!$A:$B,2,FALSE),0),0)+IF(ISNUMBER(SEARCH("FK",H215)),IFNA(VLOOKUP("FK",Pitch_Coef!$A:$B,2,FALSE),0),0)+IF(ISNUMBER(SEARCH("SB",H215)),IFNA(VLOOKUP("SB",Pitch_Coef!$A:$B,2,FALSE),0),0)+IF(ISNUMBER(SEARCH("SL",H215)),IFNA(VLOOKUP("SL",Pitch_Coef!$A:$B,2,FALSE),0),0),0)</f>
        <v/>
      </c>
      <c r="AA215">
        <f>IF(Q215="P",16.5944849573+0.2529999141*N215+0.2665900378*O215+0.2632687105*P215+0.0427586837*I215+0.0534777057*J215+0.009015832*K215+0.0204898106*(O215*P215/100)+1.0091022427*U215+1.0968542297*IF(D215="L",1,0)+0.3771555045*IF(D215="S",1,0)-0.2226159177*IF(E215="L",1,0)+1.21385024*R215-1.1652812274*S215+W215+X215+Z215,10.5965166711+0.2825983581*I215+0.2806503532*J215+0.2027213083*K215+0.1147824982*L215+0.0915305332*M215-0.0088454122*(I215*J215/100)-0.0336045706*(K215*L215/100)+2.8497389733*IF(D215="L",1,0)+4.5116226727*IF(D215="S",1,0)-0.6571546448*IF(E215="L",1,0)+0.0850728147*T215+0.0129488446*(T215*T215)+0.1909373936*IF(OR(F215="Utility",G215="Utility"),T215,0)+0.9656824071*R215-1.7517683256*S215+W215+X215+Y215)</f>
        <v/>
      </c>
      <c r="AB215">
        <f>LOOKUP(AA215,Grade_Scale!$A$2:$A$18,Grade_Scale!$B$2:$B$18)</f>
        <v/>
      </c>
      <c r="AC215">
        <f>LOOKUP(AA215,Grade_Scale!$A$2:$A$18,Grade_Scale!$C$2:$C$18)</f>
        <v/>
      </c>
      <c r="AE215">
        <f>IF(AD215="","",AB215-VLOOKUP(AD215,Grade_Scale!$C$2:$E$18,3,FALSE))</f>
        <v/>
      </c>
    </row>
    <row r="216">
      <c r="Q216">
        <f>IF(OR(B216="SP",B216="RP",B216="CP",B216="SP/RP"),"P","H")</f>
        <v/>
      </c>
      <c r="R216">
        <f>IF(F216="",0,IFNA(VLOOKUP(F216,Trait_Polarity!$A:$C,2,FALSE),0))+IF(G216="",0,IFNA(VLOOKUP(G216,Trait_Polarity!$A:$C,2,FALSE),0))</f>
        <v/>
      </c>
      <c r="S216">
        <f>IF(F216="",0,IFNA(VLOOKUP(F216,Trait_Polarity!$A:$C,3,FALSE),0))+IF(G216="",0,IFNA(VLOOKUP(G216,Trait_Polarity!$A:$C,3,FALSE),0))</f>
        <v/>
      </c>
      <c r="T216">
        <f>IF(Q216="P",0,IFNA(VLOOKUP(IF(C216="","(none)",C216),Secondary_Versatility!$A:$B,2,FALSE),0))</f>
        <v/>
      </c>
      <c r="U216">
        <f>IF(H216="",0,LEN(H216)-LEN(SUBSTITUTE(H216,"|",""))+1)</f>
        <v/>
      </c>
      <c r="V216">
        <f>IF(Q216="P",(N216+O216+P216)/3,0.3*I216+0.3*J216+0.2*K216+0.1*L216+0.1*M216)</f>
        <v/>
      </c>
      <c r="W216">
        <f>IF(Q216="P",IF(F216="",0,IFNA(VLOOKUP(F216,Pitcher_Trait_Coef!$A:$B,2,FALSE),0))+IF(G216="",0,IFNA(VLOOKUP(G216,Pitcher_Trait_Coef!$A:$B,2,FALSE),0)),IF(F216="",0,IFNA(VLOOKUP(F216,Hitter_Trait_Coef!$A:$B,2,FALSE),0))+IF(G216="",0,IFNA(VLOOKUP(G216,Hitter_Trait_Coef!$A:$B,2,FALSE),0)))</f>
        <v/>
      </c>
      <c r="X216">
        <f>IF(Q216="P",IFNA(VLOOKUP(B216,Pitcher_Primary_Coef!$A:$B,2,FALSE),0),IFNA(VLOOKUP(B216,Hitter_Primary_Coef!$A:$B,2,FALSE),0))</f>
        <v/>
      </c>
      <c r="Y216">
        <f>IF(Q216="P",0,IFNA(VLOOKUP(IF(C216="","(none)",C216),Hitter_Secondary_Coef!$A:$B,2,FALSE),0))</f>
        <v/>
      </c>
      <c r="Z216">
        <f>IF(Q216="P",IF(ISNUMBER(SEARCH("2F",H216)),IFNA(VLOOKUP("2F",Pitch_Coef!$A:$B,2,FALSE),0),0)+IF(ISNUMBER(SEARCH("4F",H216)),IFNA(VLOOKUP("4F",Pitch_Coef!$A:$B,2,FALSE),0),0)+IF(ISNUMBER(SEARCH("CB",H216)),IFNA(VLOOKUP("CB",Pitch_Coef!$A:$B,2,FALSE),0),0)+IF(ISNUMBER(SEARCH("CF",H216)),IFNA(VLOOKUP("CF",Pitch_Coef!$A:$B,2,FALSE),0),0)+IF(ISNUMBER(SEARCH("CH",H216)),IFNA(VLOOKUP("CH",Pitch_Coef!$A:$B,2,FALSE),0),0)+IF(ISNUMBER(SEARCH("FK",H216)),IFNA(VLOOKUP("FK",Pitch_Coef!$A:$B,2,FALSE),0),0)+IF(ISNUMBER(SEARCH("SB",H216)),IFNA(VLOOKUP("SB",Pitch_Coef!$A:$B,2,FALSE),0),0)+IF(ISNUMBER(SEARCH("SL",H216)),IFNA(VLOOKUP("SL",Pitch_Coef!$A:$B,2,FALSE),0),0),0)</f>
        <v/>
      </c>
      <c r="AA216">
        <f>IF(Q216="P",16.5944849573+0.2529999141*N216+0.2665900378*O216+0.2632687105*P216+0.0427586837*I216+0.0534777057*J216+0.009015832*K216+0.0204898106*(O216*P216/100)+1.0091022427*U216+1.0968542297*IF(D216="L",1,0)+0.3771555045*IF(D216="S",1,0)-0.2226159177*IF(E216="L",1,0)+1.21385024*R216-1.1652812274*S216+W216+X216+Z216,10.5965166711+0.2825983581*I216+0.2806503532*J216+0.2027213083*K216+0.1147824982*L216+0.0915305332*M216-0.0088454122*(I216*J216/100)-0.0336045706*(K216*L216/100)+2.8497389733*IF(D216="L",1,0)+4.5116226727*IF(D216="S",1,0)-0.6571546448*IF(E216="L",1,0)+0.0850728147*T216+0.0129488446*(T216*T216)+0.1909373936*IF(OR(F216="Utility",G216="Utility"),T216,0)+0.9656824071*R216-1.7517683256*S216+W216+X216+Y216)</f>
        <v/>
      </c>
      <c r="AB216">
        <f>LOOKUP(AA216,Grade_Scale!$A$2:$A$18,Grade_Scale!$B$2:$B$18)</f>
        <v/>
      </c>
      <c r="AC216">
        <f>LOOKUP(AA216,Grade_Scale!$A$2:$A$18,Grade_Scale!$C$2:$C$18)</f>
        <v/>
      </c>
      <c r="AE216">
        <f>IF(AD216="","",AB216-VLOOKUP(AD216,Grade_Scale!$C$2:$E$18,3,FALSE))</f>
        <v/>
      </c>
    </row>
    <row r="217">
      <c r="Q217">
        <f>IF(OR(B217="SP",B217="RP",B217="CP",B217="SP/RP"),"P","H")</f>
        <v/>
      </c>
      <c r="R217">
        <f>IF(F217="",0,IFNA(VLOOKUP(F217,Trait_Polarity!$A:$C,2,FALSE),0))+IF(G217="",0,IFNA(VLOOKUP(G217,Trait_Polarity!$A:$C,2,FALSE),0))</f>
        <v/>
      </c>
      <c r="S217">
        <f>IF(F217="",0,IFNA(VLOOKUP(F217,Trait_Polarity!$A:$C,3,FALSE),0))+IF(G217="",0,IFNA(VLOOKUP(G217,Trait_Polarity!$A:$C,3,FALSE),0))</f>
        <v/>
      </c>
      <c r="T217">
        <f>IF(Q217="P",0,IFNA(VLOOKUP(IF(C217="","(none)",C217),Secondary_Versatility!$A:$B,2,FALSE),0))</f>
        <v/>
      </c>
      <c r="U217">
        <f>IF(H217="",0,LEN(H217)-LEN(SUBSTITUTE(H217,"|",""))+1)</f>
        <v/>
      </c>
      <c r="V217">
        <f>IF(Q217="P",(N217+O217+P217)/3,0.3*I217+0.3*J217+0.2*K217+0.1*L217+0.1*M217)</f>
        <v/>
      </c>
      <c r="W217">
        <f>IF(Q217="P",IF(F217="",0,IFNA(VLOOKUP(F217,Pitcher_Trait_Coef!$A:$B,2,FALSE),0))+IF(G217="",0,IFNA(VLOOKUP(G217,Pitcher_Trait_Coef!$A:$B,2,FALSE),0)),IF(F217="",0,IFNA(VLOOKUP(F217,Hitter_Trait_Coef!$A:$B,2,FALSE),0))+IF(G217="",0,IFNA(VLOOKUP(G217,Hitter_Trait_Coef!$A:$B,2,FALSE),0)))</f>
        <v/>
      </c>
      <c r="X217">
        <f>IF(Q217="P",IFNA(VLOOKUP(B217,Pitcher_Primary_Coef!$A:$B,2,FALSE),0),IFNA(VLOOKUP(B217,Hitter_Primary_Coef!$A:$B,2,FALSE),0))</f>
        <v/>
      </c>
      <c r="Y217">
        <f>IF(Q217="P",0,IFNA(VLOOKUP(IF(C217="","(none)",C217),Hitter_Secondary_Coef!$A:$B,2,FALSE),0))</f>
        <v/>
      </c>
      <c r="Z217">
        <f>IF(Q217="P",IF(ISNUMBER(SEARCH("2F",H217)),IFNA(VLOOKUP("2F",Pitch_Coef!$A:$B,2,FALSE),0),0)+IF(ISNUMBER(SEARCH("4F",H217)),IFNA(VLOOKUP("4F",Pitch_Coef!$A:$B,2,FALSE),0),0)+IF(ISNUMBER(SEARCH("CB",H217)),IFNA(VLOOKUP("CB",Pitch_Coef!$A:$B,2,FALSE),0),0)+IF(ISNUMBER(SEARCH("CF",H217)),IFNA(VLOOKUP("CF",Pitch_Coef!$A:$B,2,FALSE),0),0)+IF(ISNUMBER(SEARCH("CH",H217)),IFNA(VLOOKUP("CH",Pitch_Coef!$A:$B,2,FALSE),0),0)+IF(ISNUMBER(SEARCH("FK",H217)),IFNA(VLOOKUP("FK",Pitch_Coef!$A:$B,2,FALSE),0),0)+IF(ISNUMBER(SEARCH("SB",H217)),IFNA(VLOOKUP("SB",Pitch_Coef!$A:$B,2,FALSE),0),0)+IF(ISNUMBER(SEARCH("SL",H217)),IFNA(VLOOKUP("SL",Pitch_Coef!$A:$B,2,FALSE),0),0),0)</f>
        <v/>
      </c>
      <c r="AA217">
        <f>IF(Q217="P",16.5944849573+0.2529999141*N217+0.2665900378*O217+0.2632687105*P217+0.0427586837*I217+0.0534777057*J217+0.009015832*K217+0.0204898106*(O217*P217/100)+1.0091022427*U217+1.0968542297*IF(D217="L",1,0)+0.3771555045*IF(D217="S",1,0)-0.2226159177*IF(E217="L",1,0)+1.21385024*R217-1.1652812274*S217+W217+X217+Z217,10.5965166711+0.2825983581*I217+0.2806503532*J217+0.2027213083*K217+0.1147824982*L217+0.0915305332*M217-0.0088454122*(I217*J217/100)-0.0336045706*(K217*L217/100)+2.8497389733*IF(D217="L",1,0)+4.5116226727*IF(D217="S",1,0)-0.6571546448*IF(E217="L",1,0)+0.0850728147*T217+0.0129488446*(T217*T217)+0.1909373936*IF(OR(F217="Utility",G217="Utility"),T217,0)+0.9656824071*R217-1.7517683256*S217+W217+X217+Y217)</f>
        <v/>
      </c>
      <c r="AB217">
        <f>LOOKUP(AA217,Grade_Scale!$A$2:$A$18,Grade_Scale!$B$2:$B$18)</f>
        <v/>
      </c>
      <c r="AC217">
        <f>LOOKUP(AA217,Grade_Scale!$A$2:$A$18,Grade_Scale!$C$2:$C$18)</f>
        <v/>
      </c>
      <c r="AE217">
        <f>IF(AD217="","",AB217-VLOOKUP(AD217,Grade_Scale!$C$2:$E$18,3,FALSE))</f>
        <v/>
      </c>
    </row>
    <row r="218">
      <c r="Q218">
        <f>IF(OR(B218="SP",B218="RP",B218="CP",B218="SP/RP"),"P","H")</f>
        <v/>
      </c>
      <c r="R218">
        <f>IF(F218="",0,IFNA(VLOOKUP(F218,Trait_Polarity!$A:$C,2,FALSE),0))+IF(G218="",0,IFNA(VLOOKUP(G218,Trait_Polarity!$A:$C,2,FALSE),0))</f>
        <v/>
      </c>
      <c r="S218">
        <f>IF(F218="",0,IFNA(VLOOKUP(F218,Trait_Polarity!$A:$C,3,FALSE),0))+IF(G218="",0,IFNA(VLOOKUP(G218,Trait_Polarity!$A:$C,3,FALSE),0))</f>
        <v/>
      </c>
      <c r="T218">
        <f>IF(Q218="P",0,IFNA(VLOOKUP(IF(C218="","(none)",C218),Secondary_Versatility!$A:$B,2,FALSE),0))</f>
        <v/>
      </c>
      <c r="U218">
        <f>IF(H218="",0,LEN(H218)-LEN(SUBSTITUTE(H218,"|",""))+1)</f>
        <v/>
      </c>
      <c r="V218">
        <f>IF(Q218="P",(N218+O218+P218)/3,0.3*I218+0.3*J218+0.2*K218+0.1*L218+0.1*M218)</f>
        <v/>
      </c>
      <c r="W218">
        <f>IF(Q218="P",IF(F218="",0,IFNA(VLOOKUP(F218,Pitcher_Trait_Coef!$A:$B,2,FALSE),0))+IF(G218="",0,IFNA(VLOOKUP(G218,Pitcher_Trait_Coef!$A:$B,2,FALSE),0)),IF(F218="",0,IFNA(VLOOKUP(F218,Hitter_Trait_Coef!$A:$B,2,FALSE),0))+IF(G218="",0,IFNA(VLOOKUP(G218,Hitter_Trait_Coef!$A:$B,2,FALSE),0)))</f>
        <v/>
      </c>
      <c r="X218">
        <f>IF(Q218="P",IFNA(VLOOKUP(B218,Pitcher_Primary_Coef!$A:$B,2,FALSE),0),IFNA(VLOOKUP(B218,Hitter_Primary_Coef!$A:$B,2,FALSE),0))</f>
        <v/>
      </c>
      <c r="Y218">
        <f>IF(Q218="P",0,IFNA(VLOOKUP(IF(C218="","(none)",C218),Hitter_Secondary_Coef!$A:$B,2,FALSE),0))</f>
        <v/>
      </c>
      <c r="Z218">
        <f>IF(Q218="P",IF(ISNUMBER(SEARCH("2F",H218)),IFNA(VLOOKUP("2F",Pitch_Coef!$A:$B,2,FALSE),0),0)+IF(ISNUMBER(SEARCH("4F",H218)),IFNA(VLOOKUP("4F",Pitch_Coef!$A:$B,2,FALSE),0),0)+IF(ISNUMBER(SEARCH("CB",H218)),IFNA(VLOOKUP("CB",Pitch_Coef!$A:$B,2,FALSE),0),0)+IF(ISNUMBER(SEARCH("CF",H218)),IFNA(VLOOKUP("CF",Pitch_Coef!$A:$B,2,FALSE),0),0)+IF(ISNUMBER(SEARCH("CH",H218)),IFNA(VLOOKUP("CH",Pitch_Coef!$A:$B,2,FALSE),0),0)+IF(ISNUMBER(SEARCH("FK",H218)),IFNA(VLOOKUP("FK",Pitch_Coef!$A:$B,2,FALSE),0),0)+IF(ISNUMBER(SEARCH("SB",H218)),IFNA(VLOOKUP("SB",Pitch_Coef!$A:$B,2,FALSE),0),0)+IF(ISNUMBER(SEARCH("SL",H218)),IFNA(VLOOKUP("SL",Pitch_Coef!$A:$B,2,FALSE),0),0),0)</f>
        <v/>
      </c>
      <c r="AA218">
        <f>IF(Q218="P",16.5944849573+0.2529999141*N218+0.2665900378*O218+0.2632687105*P218+0.0427586837*I218+0.0534777057*J218+0.009015832*K218+0.0204898106*(O218*P218/100)+1.0091022427*U218+1.0968542297*IF(D218="L",1,0)+0.3771555045*IF(D218="S",1,0)-0.2226159177*IF(E218="L",1,0)+1.21385024*R218-1.1652812274*S218+W218+X218+Z218,10.5965166711+0.2825983581*I218+0.2806503532*J218+0.2027213083*K218+0.1147824982*L218+0.0915305332*M218-0.0088454122*(I218*J218/100)-0.0336045706*(K218*L218/100)+2.8497389733*IF(D218="L",1,0)+4.5116226727*IF(D218="S",1,0)-0.6571546448*IF(E218="L",1,0)+0.0850728147*T218+0.0129488446*(T218*T218)+0.1909373936*IF(OR(F218="Utility",G218="Utility"),T218,0)+0.9656824071*R218-1.7517683256*S218+W218+X218+Y218)</f>
        <v/>
      </c>
      <c r="AB218">
        <f>LOOKUP(AA218,Grade_Scale!$A$2:$A$18,Grade_Scale!$B$2:$B$18)</f>
        <v/>
      </c>
      <c r="AC218">
        <f>LOOKUP(AA218,Grade_Scale!$A$2:$A$18,Grade_Scale!$C$2:$C$18)</f>
        <v/>
      </c>
      <c r="AE218">
        <f>IF(AD218="","",AB218-VLOOKUP(AD218,Grade_Scale!$C$2:$E$18,3,FALSE))</f>
        <v/>
      </c>
    </row>
    <row r="219">
      <c r="Q219">
        <f>IF(OR(B219="SP",B219="RP",B219="CP",B219="SP/RP"),"P","H")</f>
        <v/>
      </c>
      <c r="R219">
        <f>IF(F219="",0,IFNA(VLOOKUP(F219,Trait_Polarity!$A:$C,2,FALSE),0))+IF(G219="",0,IFNA(VLOOKUP(G219,Trait_Polarity!$A:$C,2,FALSE),0))</f>
        <v/>
      </c>
      <c r="S219">
        <f>IF(F219="",0,IFNA(VLOOKUP(F219,Trait_Polarity!$A:$C,3,FALSE),0))+IF(G219="",0,IFNA(VLOOKUP(G219,Trait_Polarity!$A:$C,3,FALSE),0))</f>
        <v/>
      </c>
      <c r="T219">
        <f>IF(Q219="P",0,IFNA(VLOOKUP(IF(C219="","(none)",C219),Secondary_Versatility!$A:$B,2,FALSE),0))</f>
        <v/>
      </c>
      <c r="U219">
        <f>IF(H219="",0,LEN(H219)-LEN(SUBSTITUTE(H219,"|",""))+1)</f>
        <v/>
      </c>
      <c r="V219">
        <f>IF(Q219="P",(N219+O219+P219)/3,0.3*I219+0.3*J219+0.2*K219+0.1*L219+0.1*M219)</f>
        <v/>
      </c>
      <c r="W219">
        <f>IF(Q219="P",IF(F219="",0,IFNA(VLOOKUP(F219,Pitcher_Trait_Coef!$A:$B,2,FALSE),0))+IF(G219="",0,IFNA(VLOOKUP(G219,Pitcher_Trait_Coef!$A:$B,2,FALSE),0)),IF(F219="",0,IFNA(VLOOKUP(F219,Hitter_Trait_Coef!$A:$B,2,FALSE),0))+IF(G219="",0,IFNA(VLOOKUP(G219,Hitter_Trait_Coef!$A:$B,2,FALSE),0)))</f>
        <v/>
      </c>
      <c r="X219">
        <f>IF(Q219="P",IFNA(VLOOKUP(B219,Pitcher_Primary_Coef!$A:$B,2,FALSE),0),IFNA(VLOOKUP(B219,Hitter_Primary_Coef!$A:$B,2,FALSE),0))</f>
        <v/>
      </c>
      <c r="Y219">
        <f>IF(Q219="P",0,IFNA(VLOOKUP(IF(C219="","(none)",C219),Hitter_Secondary_Coef!$A:$B,2,FALSE),0))</f>
        <v/>
      </c>
      <c r="Z219">
        <f>IF(Q219="P",IF(ISNUMBER(SEARCH("2F",H219)),IFNA(VLOOKUP("2F",Pitch_Coef!$A:$B,2,FALSE),0),0)+IF(ISNUMBER(SEARCH("4F",H219)),IFNA(VLOOKUP("4F",Pitch_Coef!$A:$B,2,FALSE),0),0)+IF(ISNUMBER(SEARCH("CB",H219)),IFNA(VLOOKUP("CB",Pitch_Coef!$A:$B,2,FALSE),0),0)+IF(ISNUMBER(SEARCH("CF",H219)),IFNA(VLOOKUP("CF",Pitch_Coef!$A:$B,2,FALSE),0),0)+IF(ISNUMBER(SEARCH("CH",H219)),IFNA(VLOOKUP("CH",Pitch_Coef!$A:$B,2,FALSE),0),0)+IF(ISNUMBER(SEARCH("FK",H219)),IFNA(VLOOKUP("FK",Pitch_Coef!$A:$B,2,FALSE),0),0)+IF(ISNUMBER(SEARCH("SB",H219)),IFNA(VLOOKUP("SB",Pitch_Coef!$A:$B,2,FALSE),0),0)+IF(ISNUMBER(SEARCH("SL",H219)),IFNA(VLOOKUP("SL",Pitch_Coef!$A:$B,2,FALSE),0),0),0)</f>
        <v/>
      </c>
      <c r="AA219">
        <f>IF(Q219="P",16.5944849573+0.2529999141*N219+0.2665900378*O219+0.2632687105*P219+0.0427586837*I219+0.0534777057*J219+0.009015832*K219+0.0204898106*(O219*P219/100)+1.0091022427*U219+1.0968542297*IF(D219="L",1,0)+0.3771555045*IF(D219="S",1,0)-0.2226159177*IF(E219="L",1,0)+1.21385024*R219-1.1652812274*S219+W219+X219+Z219,10.5965166711+0.2825983581*I219+0.2806503532*J219+0.2027213083*K219+0.1147824982*L219+0.0915305332*M219-0.0088454122*(I219*J219/100)-0.0336045706*(K219*L219/100)+2.8497389733*IF(D219="L",1,0)+4.5116226727*IF(D219="S",1,0)-0.6571546448*IF(E219="L",1,0)+0.0850728147*T219+0.0129488446*(T219*T219)+0.1909373936*IF(OR(F219="Utility",G219="Utility"),T219,0)+0.9656824071*R219-1.7517683256*S219+W219+X219+Y219)</f>
        <v/>
      </c>
      <c r="AB219">
        <f>LOOKUP(AA219,Grade_Scale!$A$2:$A$18,Grade_Scale!$B$2:$B$18)</f>
        <v/>
      </c>
      <c r="AC219">
        <f>LOOKUP(AA219,Grade_Scale!$A$2:$A$18,Grade_Scale!$C$2:$C$18)</f>
        <v/>
      </c>
      <c r="AE219">
        <f>IF(AD219="","",AB219-VLOOKUP(AD219,Grade_Scale!$C$2:$E$18,3,FALSE))</f>
        <v/>
      </c>
    </row>
    <row r="220">
      <c r="Q220">
        <f>IF(OR(B220="SP",B220="RP",B220="CP",B220="SP/RP"),"P","H")</f>
        <v/>
      </c>
      <c r="R220">
        <f>IF(F220="",0,IFNA(VLOOKUP(F220,Trait_Polarity!$A:$C,2,FALSE),0))+IF(G220="",0,IFNA(VLOOKUP(G220,Trait_Polarity!$A:$C,2,FALSE),0))</f>
        <v/>
      </c>
      <c r="S220">
        <f>IF(F220="",0,IFNA(VLOOKUP(F220,Trait_Polarity!$A:$C,3,FALSE),0))+IF(G220="",0,IFNA(VLOOKUP(G220,Trait_Polarity!$A:$C,3,FALSE),0))</f>
        <v/>
      </c>
      <c r="T220">
        <f>IF(Q220="P",0,IFNA(VLOOKUP(IF(C220="","(none)",C220),Secondary_Versatility!$A:$B,2,FALSE),0))</f>
        <v/>
      </c>
      <c r="U220">
        <f>IF(H220="",0,LEN(H220)-LEN(SUBSTITUTE(H220,"|",""))+1)</f>
        <v/>
      </c>
      <c r="V220">
        <f>IF(Q220="P",(N220+O220+P220)/3,0.3*I220+0.3*J220+0.2*K220+0.1*L220+0.1*M220)</f>
        <v/>
      </c>
      <c r="W220">
        <f>IF(Q220="P",IF(F220="",0,IFNA(VLOOKUP(F220,Pitcher_Trait_Coef!$A:$B,2,FALSE),0))+IF(G220="",0,IFNA(VLOOKUP(G220,Pitcher_Trait_Coef!$A:$B,2,FALSE),0)),IF(F220="",0,IFNA(VLOOKUP(F220,Hitter_Trait_Coef!$A:$B,2,FALSE),0))+IF(G220="",0,IFNA(VLOOKUP(G220,Hitter_Trait_Coef!$A:$B,2,FALSE),0)))</f>
        <v/>
      </c>
      <c r="X220">
        <f>IF(Q220="P",IFNA(VLOOKUP(B220,Pitcher_Primary_Coef!$A:$B,2,FALSE),0),IFNA(VLOOKUP(B220,Hitter_Primary_Coef!$A:$B,2,FALSE),0))</f>
        <v/>
      </c>
      <c r="Y220">
        <f>IF(Q220="P",0,IFNA(VLOOKUP(IF(C220="","(none)",C220),Hitter_Secondary_Coef!$A:$B,2,FALSE),0))</f>
        <v/>
      </c>
      <c r="Z220">
        <f>IF(Q220="P",IF(ISNUMBER(SEARCH("2F",H220)),IFNA(VLOOKUP("2F",Pitch_Coef!$A:$B,2,FALSE),0),0)+IF(ISNUMBER(SEARCH("4F",H220)),IFNA(VLOOKUP("4F",Pitch_Coef!$A:$B,2,FALSE),0),0)+IF(ISNUMBER(SEARCH("CB",H220)),IFNA(VLOOKUP("CB",Pitch_Coef!$A:$B,2,FALSE),0),0)+IF(ISNUMBER(SEARCH("CF",H220)),IFNA(VLOOKUP("CF",Pitch_Coef!$A:$B,2,FALSE),0),0)+IF(ISNUMBER(SEARCH("CH",H220)),IFNA(VLOOKUP("CH",Pitch_Coef!$A:$B,2,FALSE),0),0)+IF(ISNUMBER(SEARCH("FK",H220)),IFNA(VLOOKUP("FK",Pitch_Coef!$A:$B,2,FALSE),0),0)+IF(ISNUMBER(SEARCH("SB",H220)),IFNA(VLOOKUP("SB",Pitch_Coef!$A:$B,2,FALSE),0),0)+IF(ISNUMBER(SEARCH("SL",H220)),IFNA(VLOOKUP("SL",Pitch_Coef!$A:$B,2,FALSE),0),0),0)</f>
        <v/>
      </c>
      <c r="AA220">
        <f>IF(Q220="P",16.5944849573+0.2529999141*N220+0.2665900378*O220+0.2632687105*P220+0.0427586837*I220+0.0534777057*J220+0.009015832*K220+0.0204898106*(O220*P220/100)+1.0091022427*U220+1.0968542297*IF(D220="L",1,0)+0.3771555045*IF(D220="S",1,0)-0.2226159177*IF(E220="L",1,0)+1.21385024*R220-1.1652812274*S220+W220+X220+Z220,10.5965166711+0.2825983581*I220+0.2806503532*J220+0.2027213083*K220+0.1147824982*L220+0.0915305332*M220-0.0088454122*(I220*J220/100)-0.0336045706*(K220*L220/100)+2.8497389733*IF(D220="L",1,0)+4.5116226727*IF(D220="S",1,0)-0.6571546448*IF(E220="L",1,0)+0.0850728147*T220+0.0129488446*(T220*T220)+0.1909373936*IF(OR(F220="Utility",G220="Utility"),T220,0)+0.9656824071*R220-1.7517683256*S220+W220+X220+Y220)</f>
        <v/>
      </c>
      <c r="AB220">
        <f>LOOKUP(AA220,Grade_Scale!$A$2:$A$18,Grade_Scale!$B$2:$B$18)</f>
        <v/>
      </c>
      <c r="AC220">
        <f>LOOKUP(AA220,Grade_Scale!$A$2:$A$18,Grade_Scale!$C$2:$C$18)</f>
        <v/>
      </c>
      <c r="AE220">
        <f>IF(AD220="","",AB220-VLOOKUP(AD220,Grade_Scale!$C$2:$E$18,3,FALSE))</f>
        <v/>
      </c>
    </row>
    <row r="221">
      <c r="Q221">
        <f>IF(OR(B221="SP",B221="RP",B221="CP",B221="SP/RP"),"P","H")</f>
        <v/>
      </c>
      <c r="R221">
        <f>IF(F221="",0,IFNA(VLOOKUP(F221,Trait_Polarity!$A:$C,2,FALSE),0))+IF(G221="",0,IFNA(VLOOKUP(G221,Trait_Polarity!$A:$C,2,FALSE),0))</f>
        <v/>
      </c>
      <c r="S221">
        <f>IF(F221="",0,IFNA(VLOOKUP(F221,Trait_Polarity!$A:$C,3,FALSE),0))+IF(G221="",0,IFNA(VLOOKUP(G221,Trait_Polarity!$A:$C,3,FALSE),0))</f>
        <v/>
      </c>
      <c r="T221">
        <f>IF(Q221="P",0,IFNA(VLOOKUP(IF(C221="","(none)",C221),Secondary_Versatility!$A:$B,2,FALSE),0))</f>
        <v/>
      </c>
      <c r="U221">
        <f>IF(H221="",0,LEN(H221)-LEN(SUBSTITUTE(H221,"|",""))+1)</f>
        <v/>
      </c>
      <c r="V221">
        <f>IF(Q221="P",(N221+O221+P221)/3,0.3*I221+0.3*J221+0.2*K221+0.1*L221+0.1*M221)</f>
        <v/>
      </c>
      <c r="W221">
        <f>IF(Q221="P",IF(F221="",0,IFNA(VLOOKUP(F221,Pitcher_Trait_Coef!$A:$B,2,FALSE),0))+IF(G221="",0,IFNA(VLOOKUP(G221,Pitcher_Trait_Coef!$A:$B,2,FALSE),0)),IF(F221="",0,IFNA(VLOOKUP(F221,Hitter_Trait_Coef!$A:$B,2,FALSE),0))+IF(G221="",0,IFNA(VLOOKUP(G221,Hitter_Trait_Coef!$A:$B,2,FALSE),0)))</f>
        <v/>
      </c>
      <c r="X221">
        <f>IF(Q221="P",IFNA(VLOOKUP(B221,Pitcher_Primary_Coef!$A:$B,2,FALSE),0),IFNA(VLOOKUP(B221,Hitter_Primary_Coef!$A:$B,2,FALSE),0))</f>
        <v/>
      </c>
      <c r="Y221">
        <f>IF(Q221="P",0,IFNA(VLOOKUP(IF(C221="","(none)",C221),Hitter_Secondary_Coef!$A:$B,2,FALSE),0))</f>
        <v/>
      </c>
      <c r="Z221">
        <f>IF(Q221="P",IF(ISNUMBER(SEARCH("2F",H221)),IFNA(VLOOKUP("2F",Pitch_Coef!$A:$B,2,FALSE),0),0)+IF(ISNUMBER(SEARCH("4F",H221)),IFNA(VLOOKUP("4F",Pitch_Coef!$A:$B,2,FALSE),0),0)+IF(ISNUMBER(SEARCH("CB",H221)),IFNA(VLOOKUP("CB",Pitch_Coef!$A:$B,2,FALSE),0),0)+IF(ISNUMBER(SEARCH("CF",H221)),IFNA(VLOOKUP("CF",Pitch_Coef!$A:$B,2,FALSE),0),0)+IF(ISNUMBER(SEARCH("CH",H221)),IFNA(VLOOKUP("CH",Pitch_Coef!$A:$B,2,FALSE),0),0)+IF(ISNUMBER(SEARCH("FK",H221)),IFNA(VLOOKUP("FK",Pitch_Coef!$A:$B,2,FALSE),0),0)+IF(ISNUMBER(SEARCH("SB",H221)),IFNA(VLOOKUP("SB",Pitch_Coef!$A:$B,2,FALSE),0),0)+IF(ISNUMBER(SEARCH("SL",H221)),IFNA(VLOOKUP("SL",Pitch_Coef!$A:$B,2,FALSE),0),0),0)</f>
        <v/>
      </c>
      <c r="AA221">
        <f>IF(Q221="P",16.5944849573+0.2529999141*N221+0.2665900378*O221+0.2632687105*P221+0.0427586837*I221+0.0534777057*J221+0.009015832*K221+0.0204898106*(O221*P221/100)+1.0091022427*U221+1.0968542297*IF(D221="L",1,0)+0.3771555045*IF(D221="S",1,0)-0.2226159177*IF(E221="L",1,0)+1.21385024*R221-1.1652812274*S221+W221+X221+Z221,10.5965166711+0.2825983581*I221+0.2806503532*J221+0.2027213083*K221+0.1147824982*L221+0.0915305332*M221-0.0088454122*(I221*J221/100)-0.0336045706*(K221*L221/100)+2.8497389733*IF(D221="L",1,0)+4.5116226727*IF(D221="S",1,0)-0.6571546448*IF(E221="L",1,0)+0.0850728147*T221+0.0129488446*(T221*T221)+0.1909373936*IF(OR(F221="Utility",G221="Utility"),T221,0)+0.9656824071*R221-1.7517683256*S221+W221+X221+Y221)</f>
        <v/>
      </c>
      <c r="AB221">
        <f>LOOKUP(AA221,Grade_Scale!$A$2:$A$18,Grade_Scale!$B$2:$B$18)</f>
        <v/>
      </c>
      <c r="AC221">
        <f>LOOKUP(AA221,Grade_Scale!$A$2:$A$18,Grade_Scale!$C$2:$C$18)</f>
        <v/>
      </c>
      <c r="AE221">
        <f>IF(AD221="","",AB221-VLOOKUP(AD221,Grade_Scale!$C$2:$E$18,3,FALSE))</f>
        <v/>
      </c>
    </row>
    <row r="222">
      <c r="Q222">
        <f>IF(OR(B222="SP",B222="RP",B222="CP",B222="SP/RP"),"P","H")</f>
        <v/>
      </c>
      <c r="R222">
        <f>IF(F222="",0,IFNA(VLOOKUP(F222,Trait_Polarity!$A:$C,2,FALSE),0))+IF(G222="",0,IFNA(VLOOKUP(G222,Trait_Polarity!$A:$C,2,FALSE),0))</f>
        <v/>
      </c>
      <c r="S222">
        <f>IF(F222="",0,IFNA(VLOOKUP(F222,Trait_Polarity!$A:$C,3,FALSE),0))+IF(G222="",0,IFNA(VLOOKUP(G222,Trait_Polarity!$A:$C,3,FALSE),0))</f>
        <v/>
      </c>
      <c r="T222">
        <f>IF(Q222="P",0,IFNA(VLOOKUP(IF(C222="","(none)",C222),Secondary_Versatility!$A:$B,2,FALSE),0))</f>
        <v/>
      </c>
      <c r="U222">
        <f>IF(H222="",0,LEN(H222)-LEN(SUBSTITUTE(H222,"|",""))+1)</f>
        <v/>
      </c>
      <c r="V222">
        <f>IF(Q222="P",(N222+O222+P222)/3,0.3*I222+0.3*J222+0.2*K222+0.1*L222+0.1*M222)</f>
        <v/>
      </c>
      <c r="W222">
        <f>IF(Q222="P",IF(F222="",0,IFNA(VLOOKUP(F222,Pitcher_Trait_Coef!$A:$B,2,FALSE),0))+IF(G222="",0,IFNA(VLOOKUP(G222,Pitcher_Trait_Coef!$A:$B,2,FALSE),0)),IF(F222="",0,IFNA(VLOOKUP(F222,Hitter_Trait_Coef!$A:$B,2,FALSE),0))+IF(G222="",0,IFNA(VLOOKUP(G222,Hitter_Trait_Coef!$A:$B,2,FALSE),0)))</f>
        <v/>
      </c>
      <c r="X222">
        <f>IF(Q222="P",IFNA(VLOOKUP(B222,Pitcher_Primary_Coef!$A:$B,2,FALSE),0),IFNA(VLOOKUP(B222,Hitter_Primary_Coef!$A:$B,2,FALSE),0))</f>
        <v/>
      </c>
      <c r="Y222">
        <f>IF(Q222="P",0,IFNA(VLOOKUP(IF(C222="","(none)",C222),Hitter_Secondary_Coef!$A:$B,2,FALSE),0))</f>
        <v/>
      </c>
      <c r="Z222">
        <f>IF(Q222="P",IF(ISNUMBER(SEARCH("2F",H222)),IFNA(VLOOKUP("2F",Pitch_Coef!$A:$B,2,FALSE),0),0)+IF(ISNUMBER(SEARCH("4F",H222)),IFNA(VLOOKUP("4F",Pitch_Coef!$A:$B,2,FALSE),0),0)+IF(ISNUMBER(SEARCH("CB",H222)),IFNA(VLOOKUP("CB",Pitch_Coef!$A:$B,2,FALSE),0),0)+IF(ISNUMBER(SEARCH("CF",H222)),IFNA(VLOOKUP("CF",Pitch_Coef!$A:$B,2,FALSE),0),0)+IF(ISNUMBER(SEARCH("CH",H222)),IFNA(VLOOKUP("CH",Pitch_Coef!$A:$B,2,FALSE),0),0)+IF(ISNUMBER(SEARCH("FK",H222)),IFNA(VLOOKUP("FK",Pitch_Coef!$A:$B,2,FALSE),0),0)+IF(ISNUMBER(SEARCH("SB",H222)),IFNA(VLOOKUP("SB",Pitch_Coef!$A:$B,2,FALSE),0),0)+IF(ISNUMBER(SEARCH("SL",H222)),IFNA(VLOOKUP("SL",Pitch_Coef!$A:$B,2,FALSE),0),0),0)</f>
        <v/>
      </c>
      <c r="AA222">
        <f>IF(Q222="P",16.5944849573+0.2529999141*N222+0.2665900378*O222+0.2632687105*P222+0.0427586837*I222+0.0534777057*J222+0.009015832*K222+0.0204898106*(O222*P222/100)+1.0091022427*U222+1.0968542297*IF(D222="L",1,0)+0.3771555045*IF(D222="S",1,0)-0.2226159177*IF(E222="L",1,0)+1.21385024*R222-1.1652812274*S222+W222+X222+Z222,10.5965166711+0.2825983581*I222+0.2806503532*J222+0.2027213083*K222+0.1147824982*L222+0.0915305332*M222-0.0088454122*(I222*J222/100)-0.0336045706*(K222*L222/100)+2.8497389733*IF(D222="L",1,0)+4.5116226727*IF(D222="S",1,0)-0.6571546448*IF(E222="L",1,0)+0.0850728147*T222+0.0129488446*(T222*T222)+0.1909373936*IF(OR(F222="Utility",G222="Utility"),T222,0)+0.9656824071*R222-1.7517683256*S222+W222+X222+Y222)</f>
        <v/>
      </c>
      <c r="AB222">
        <f>LOOKUP(AA222,Grade_Scale!$A$2:$A$18,Grade_Scale!$B$2:$B$18)</f>
        <v/>
      </c>
      <c r="AC222">
        <f>LOOKUP(AA222,Grade_Scale!$A$2:$A$18,Grade_Scale!$C$2:$C$18)</f>
        <v/>
      </c>
      <c r="AE222">
        <f>IF(AD222="","",AB222-VLOOKUP(AD222,Grade_Scale!$C$2:$E$18,3,FALSE))</f>
        <v/>
      </c>
    </row>
    <row r="223">
      <c r="Q223">
        <f>IF(OR(B223="SP",B223="RP",B223="CP",B223="SP/RP"),"P","H")</f>
        <v/>
      </c>
      <c r="R223">
        <f>IF(F223="",0,IFNA(VLOOKUP(F223,Trait_Polarity!$A:$C,2,FALSE),0))+IF(G223="",0,IFNA(VLOOKUP(G223,Trait_Polarity!$A:$C,2,FALSE),0))</f>
        <v/>
      </c>
      <c r="S223">
        <f>IF(F223="",0,IFNA(VLOOKUP(F223,Trait_Polarity!$A:$C,3,FALSE),0))+IF(G223="",0,IFNA(VLOOKUP(G223,Trait_Polarity!$A:$C,3,FALSE),0))</f>
        <v/>
      </c>
      <c r="T223">
        <f>IF(Q223="P",0,IFNA(VLOOKUP(IF(C223="","(none)",C223),Secondary_Versatility!$A:$B,2,FALSE),0))</f>
        <v/>
      </c>
      <c r="U223">
        <f>IF(H223="",0,LEN(H223)-LEN(SUBSTITUTE(H223,"|",""))+1)</f>
        <v/>
      </c>
      <c r="V223">
        <f>IF(Q223="P",(N223+O223+P223)/3,0.3*I223+0.3*J223+0.2*K223+0.1*L223+0.1*M223)</f>
        <v/>
      </c>
      <c r="W223">
        <f>IF(Q223="P",IF(F223="",0,IFNA(VLOOKUP(F223,Pitcher_Trait_Coef!$A:$B,2,FALSE),0))+IF(G223="",0,IFNA(VLOOKUP(G223,Pitcher_Trait_Coef!$A:$B,2,FALSE),0)),IF(F223="",0,IFNA(VLOOKUP(F223,Hitter_Trait_Coef!$A:$B,2,FALSE),0))+IF(G223="",0,IFNA(VLOOKUP(G223,Hitter_Trait_Coef!$A:$B,2,FALSE),0)))</f>
        <v/>
      </c>
      <c r="X223">
        <f>IF(Q223="P",IFNA(VLOOKUP(B223,Pitcher_Primary_Coef!$A:$B,2,FALSE),0),IFNA(VLOOKUP(B223,Hitter_Primary_Coef!$A:$B,2,FALSE),0))</f>
        <v/>
      </c>
      <c r="Y223">
        <f>IF(Q223="P",0,IFNA(VLOOKUP(IF(C223="","(none)",C223),Hitter_Secondary_Coef!$A:$B,2,FALSE),0))</f>
        <v/>
      </c>
      <c r="Z223">
        <f>IF(Q223="P",IF(ISNUMBER(SEARCH("2F",H223)),IFNA(VLOOKUP("2F",Pitch_Coef!$A:$B,2,FALSE),0),0)+IF(ISNUMBER(SEARCH("4F",H223)),IFNA(VLOOKUP("4F",Pitch_Coef!$A:$B,2,FALSE),0),0)+IF(ISNUMBER(SEARCH("CB",H223)),IFNA(VLOOKUP("CB",Pitch_Coef!$A:$B,2,FALSE),0),0)+IF(ISNUMBER(SEARCH("CF",H223)),IFNA(VLOOKUP("CF",Pitch_Coef!$A:$B,2,FALSE),0),0)+IF(ISNUMBER(SEARCH("CH",H223)),IFNA(VLOOKUP("CH",Pitch_Coef!$A:$B,2,FALSE),0),0)+IF(ISNUMBER(SEARCH("FK",H223)),IFNA(VLOOKUP("FK",Pitch_Coef!$A:$B,2,FALSE),0),0)+IF(ISNUMBER(SEARCH("SB",H223)),IFNA(VLOOKUP("SB",Pitch_Coef!$A:$B,2,FALSE),0),0)+IF(ISNUMBER(SEARCH("SL",H223)),IFNA(VLOOKUP("SL",Pitch_Coef!$A:$B,2,FALSE),0),0),0)</f>
        <v/>
      </c>
      <c r="AA223">
        <f>IF(Q223="P",16.5944849573+0.2529999141*N223+0.2665900378*O223+0.2632687105*P223+0.0427586837*I223+0.0534777057*J223+0.009015832*K223+0.0204898106*(O223*P223/100)+1.0091022427*U223+1.0968542297*IF(D223="L",1,0)+0.3771555045*IF(D223="S",1,0)-0.2226159177*IF(E223="L",1,0)+1.21385024*R223-1.1652812274*S223+W223+X223+Z223,10.5965166711+0.2825983581*I223+0.2806503532*J223+0.2027213083*K223+0.1147824982*L223+0.0915305332*M223-0.0088454122*(I223*J223/100)-0.0336045706*(K223*L223/100)+2.8497389733*IF(D223="L",1,0)+4.5116226727*IF(D223="S",1,0)-0.6571546448*IF(E223="L",1,0)+0.0850728147*T223+0.0129488446*(T223*T223)+0.1909373936*IF(OR(F223="Utility",G223="Utility"),T223,0)+0.9656824071*R223-1.7517683256*S223+W223+X223+Y223)</f>
        <v/>
      </c>
      <c r="AB223">
        <f>LOOKUP(AA223,Grade_Scale!$A$2:$A$18,Grade_Scale!$B$2:$B$18)</f>
        <v/>
      </c>
      <c r="AC223">
        <f>LOOKUP(AA223,Grade_Scale!$A$2:$A$18,Grade_Scale!$C$2:$C$18)</f>
        <v/>
      </c>
      <c r="AE223">
        <f>IF(AD223="","",AB223-VLOOKUP(AD223,Grade_Scale!$C$2:$E$18,3,FALSE))</f>
        <v/>
      </c>
    </row>
    <row r="224">
      <c r="Q224">
        <f>IF(OR(B224="SP",B224="RP",B224="CP",B224="SP/RP"),"P","H")</f>
        <v/>
      </c>
      <c r="R224">
        <f>IF(F224="",0,IFNA(VLOOKUP(F224,Trait_Polarity!$A:$C,2,FALSE),0))+IF(G224="",0,IFNA(VLOOKUP(G224,Trait_Polarity!$A:$C,2,FALSE),0))</f>
        <v/>
      </c>
      <c r="S224">
        <f>IF(F224="",0,IFNA(VLOOKUP(F224,Trait_Polarity!$A:$C,3,FALSE),0))+IF(G224="",0,IFNA(VLOOKUP(G224,Trait_Polarity!$A:$C,3,FALSE),0))</f>
        <v/>
      </c>
      <c r="T224">
        <f>IF(Q224="P",0,IFNA(VLOOKUP(IF(C224="","(none)",C224),Secondary_Versatility!$A:$B,2,FALSE),0))</f>
        <v/>
      </c>
      <c r="U224">
        <f>IF(H224="",0,LEN(H224)-LEN(SUBSTITUTE(H224,"|",""))+1)</f>
        <v/>
      </c>
      <c r="V224">
        <f>IF(Q224="P",(N224+O224+P224)/3,0.3*I224+0.3*J224+0.2*K224+0.1*L224+0.1*M224)</f>
        <v/>
      </c>
      <c r="W224">
        <f>IF(Q224="P",IF(F224="",0,IFNA(VLOOKUP(F224,Pitcher_Trait_Coef!$A:$B,2,FALSE),0))+IF(G224="",0,IFNA(VLOOKUP(G224,Pitcher_Trait_Coef!$A:$B,2,FALSE),0)),IF(F224="",0,IFNA(VLOOKUP(F224,Hitter_Trait_Coef!$A:$B,2,FALSE),0))+IF(G224="",0,IFNA(VLOOKUP(G224,Hitter_Trait_Coef!$A:$B,2,FALSE),0)))</f>
        <v/>
      </c>
      <c r="X224">
        <f>IF(Q224="P",IFNA(VLOOKUP(B224,Pitcher_Primary_Coef!$A:$B,2,FALSE),0),IFNA(VLOOKUP(B224,Hitter_Primary_Coef!$A:$B,2,FALSE),0))</f>
        <v/>
      </c>
      <c r="Y224">
        <f>IF(Q224="P",0,IFNA(VLOOKUP(IF(C224="","(none)",C224),Hitter_Secondary_Coef!$A:$B,2,FALSE),0))</f>
        <v/>
      </c>
      <c r="Z224">
        <f>IF(Q224="P",IF(ISNUMBER(SEARCH("2F",H224)),IFNA(VLOOKUP("2F",Pitch_Coef!$A:$B,2,FALSE),0),0)+IF(ISNUMBER(SEARCH("4F",H224)),IFNA(VLOOKUP("4F",Pitch_Coef!$A:$B,2,FALSE),0),0)+IF(ISNUMBER(SEARCH("CB",H224)),IFNA(VLOOKUP("CB",Pitch_Coef!$A:$B,2,FALSE),0),0)+IF(ISNUMBER(SEARCH("CF",H224)),IFNA(VLOOKUP("CF",Pitch_Coef!$A:$B,2,FALSE),0),0)+IF(ISNUMBER(SEARCH("CH",H224)),IFNA(VLOOKUP("CH",Pitch_Coef!$A:$B,2,FALSE),0),0)+IF(ISNUMBER(SEARCH("FK",H224)),IFNA(VLOOKUP("FK",Pitch_Coef!$A:$B,2,FALSE),0),0)+IF(ISNUMBER(SEARCH("SB",H224)),IFNA(VLOOKUP("SB",Pitch_Coef!$A:$B,2,FALSE),0),0)+IF(ISNUMBER(SEARCH("SL",H224)),IFNA(VLOOKUP("SL",Pitch_Coef!$A:$B,2,FALSE),0),0),0)</f>
        <v/>
      </c>
      <c r="AA224">
        <f>IF(Q224="P",16.5944849573+0.2529999141*N224+0.2665900378*O224+0.2632687105*P224+0.0427586837*I224+0.0534777057*J224+0.009015832*K224+0.0204898106*(O224*P224/100)+1.0091022427*U224+1.0968542297*IF(D224="L",1,0)+0.3771555045*IF(D224="S",1,0)-0.2226159177*IF(E224="L",1,0)+1.21385024*R224-1.1652812274*S224+W224+X224+Z224,10.5965166711+0.2825983581*I224+0.2806503532*J224+0.2027213083*K224+0.1147824982*L224+0.0915305332*M224-0.0088454122*(I224*J224/100)-0.0336045706*(K224*L224/100)+2.8497389733*IF(D224="L",1,0)+4.5116226727*IF(D224="S",1,0)-0.6571546448*IF(E224="L",1,0)+0.0850728147*T224+0.0129488446*(T224*T224)+0.1909373936*IF(OR(F224="Utility",G224="Utility"),T224,0)+0.9656824071*R224-1.7517683256*S224+W224+X224+Y224)</f>
        <v/>
      </c>
      <c r="AB224">
        <f>LOOKUP(AA224,Grade_Scale!$A$2:$A$18,Grade_Scale!$B$2:$B$18)</f>
        <v/>
      </c>
      <c r="AC224">
        <f>LOOKUP(AA224,Grade_Scale!$A$2:$A$18,Grade_Scale!$C$2:$C$18)</f>
        <v/>
      </c>
      <c r="AE224">
        <f>IF(AD224="","",AB224-VLOOKUP(AD224,Grade_Scale!$C$2:$E$18,3,FALSE))</f>
        <v/>
      </c>
    </row>
    <row r="225">
      <c r="Q225">
        <f>IF(OR(B225="SP",B225="RP",B225="CP",B225="SP/RP"),"P","H")</f>
        <v/>
      </c>
      <c r="R225">
        <f>IF(F225="",0,IFNA(VLOOKUP(F225,Trait_Polarity!$A:$C,2,FALSE),0))+IF(G225="",0,IFNA(VLOOKUP(G225,Trait_Polarity!$A:$C,2,FALSE),0))</f>
        <v/>
      </c>
      <c r="S225">
        <f>IF(F225="",0,IFNA(VLOOKUP(F225,Trait_Polarity!$A:$C,3,FALSE),0))+IF(G225="",0,IFNA(VLOOKUP(G225,Trait_Polarity!$A:$C,3,FALSE),0))</f>
        <v/>
      </c>
      <c r="T225">
        <f>IF(Q225="P",0,IFNA(VLOOKUP(IF(C225="","(none)",C225),Secondary_Versatility!$A:$B,2,FALSE),0))</f>
        <v/>
      </c>
      <c r="U225">
        <f>IF(H225="",0,LEN(H225)-LEN(SUBSTITUTE(H225,"|",""))+1)</f>
        <v/>
      </c>
      <c r="V225">
        <f>IF(Q225="P",(N225+O225+P225)/3,0.3*I225+0.3*J225+0.2*K225+0.1*L225+0.1*M225)</f>
        <v/>
      </c>
      <c r="W225">
        <f>IF(Q225="P",IF(F225="",0,IFNA(VLOOKUP(F225,Pitcher_Trait_Coef!$A:$B,2,FALSE),0))+IF(G225="",0,IFNA(VLOOKUP(G225,Pitcher_Trait_Coef!$A:$B,2,FALSE),0)),IF(F225="",0,IFNA(VLOOKUP(F225,Hitter_Trait_Coef!$A:$B,2,FALSE),0))+IF(G225="",0,IFNA(VLOOKUP(G225,Hitter_Trait_Coef!$A:$B,2,FALSE),0)))</f>
        <v/>
      </c>
      <c r="X225">
        <f>IF(Q225="P",IFNA(VLOOKUP(B225,Pitcher_Primary_Coef!$A:$B,2,FALSE),0),IFNA(VLOOKUP(B225,Hitter_Primary_Coef!$A:$B,2,FALSE),0))</f>
        <v/>
      </c>
      <c r="Y225">
        <f>IF(Q225="P",0,IFNA(VLOOKUP(IF(C225="","(none)",C225),Hitter_Secondary_Coef!$A:$B,2,FALSE),0))</f>
        <v/>
      </c>
      <c r="Z225">
        <f>IF(Q225="P",IF(ISNUMBER(SEARCH("2F",H225)),IFNA(VLOOKUP("2F",Pitch_Coef!$A:$B,2,FALSE),0),0)+IF(ISNUMBER(SEARCH("4F",H225)),IFNA(VLOOKUP("4F",Pitch_Coef!$A:$B,2,FALSE),0),0)+IF(ISNUMBER(SEARCH("CB",H225)),IFNA(VLOOKUP("CB",Pitch_Coef!$A:$B,2,FALSE),0),0)+IF(ISNUMBER(SEARCH("CF",H225)),IFNA(VLOOKUP("CF",Pitch_Coef!$A:$B,2,FALSE),0),0)+IF(ISNUMBER(SEARCH("CH",H225)),IFNA(VLOOKUP("CH",Pitch_Coef!$A:$B,2,FALSE),0),0)+IF(ISNUMBER(SEARCH("FK",H225)),IFNA(VLOOKUP("FK",Pitch_Coef!$A:$B,2,FALSE),0),0)+IF(ISNUMBER(SEARCH("SB",H225)),IFNA(VLOOKUP("SB",Pitch_Coef!$A:$B,2,FALSE),0),0)+IF(ISNUMBER(SEARCH("SL",H225)),IFNA(VLOOKUP("SL",Pitch_Coef!$A:$B,2,FALSE),0),0),0)</f>
        <v/>
      </c>
      <c r="AA225">
        <f>IF(Q225="P",16.5944849573+0.2529999141*N225+0.2665900378*O225+0.2632687105*P225+0.0427586837*I225+0.0534777057*J225+0.009015832*K225+0.0204898106*(O225*P225/100)+1.0091022427*U225+1.0968542297*IF(D225="L",1,0)+0.3771555045*IF(D225="S",1,0)-0.2226159177*IF(E225="L",1,0)+1.21385024*R225-1.1652812274*S225+W225+X225+Z225,10.5965166711+0.2825983581*I225+0.2806503532*J225+0.2027213083*K225+0.1147824982*L225+0.0915305332*M225-0.0088454122*(I225*J225/100)-0.0336045706*(K225*L225/100)+2.8497389733*IF(D225="L",1,0)+4.5116226727*IF(D225="S",1,0)-0.6571546448*IF(E225="L",1,0)+0.0850728147*T225+0.0129488446*(T225*T225)+0.1909373936*IF(OR(F225="Utility",G225="Utility"),T225,0)+0.9656824071*R225-1.7517683256*S225+W225+X225+Y225)</f>
        <v/>
      </c>
      <c r="AB225">
        <f>LOOKUP(AA225,Grade_Scale!$A$2:$A$18,Grade_Scale!$B$2:$B$18)</f>
        <v/>
      </c>
      <c r="AC225">
        <f>LOOKUP(AA225,Grade_Scale!$A$2:$A$18,Grade_Scale!$C$2:$C$18)</f>
        <v/>
      </c>
      <c r="AE225">
        <f>IF(AD225="","",AB225-VLOOKUP(AD225,Grade_Scale!$C$2:$E$18,3,FALSE))</f>
        <v/>
      </c>
    </row>
    <row r="226">
      <c r="Q226">
        <f>IF(OR(B226="SP",B226="RP",B226="CP",B226="SP/RP"),"P","H")</f>
        <v/>
      </c>
      <c r="R226">
        <f>IF(F226="",0,IFNA(VLOOKUP(F226,Trait_Polarity!$A:$C,2,FALSE),0))+IF(G226="",0,IFNA(VLOOKUP(G226,Trait_Polarity!$A:$C,2,FALSE),0))</f>
        <v/>
      </c>
      <c r="S226">
        <f>IF(F226="",0,IFNA(VLOOKUP(F226,Trait_Polarity!$A:$C,3,FALSE),0))+IF(G226="",0,IFNA(VLOOKUP(G226,Trait_Polarity!$A:$C,3,FALSE),0))</f>
        <v/>
      </c>
      <c r="T226">
        <f>IF(Q226="P",0,IFNA(VLOOKUP(IF(C226="","(none)",C226),Secondary_Versatility!$A:$B,2,FALSE),0))</f>
        <v/>
      </c>
      <c r="U226">
        <f>IF(H226="",0,LEN(H226)-LEN(SUBSTITUTE(H226,"|",""))+1)</f>
        <v/>
      </c>
      <c r="V226">
        <f>IF(Q226="P",(N226+O226+P226)/3,0.3*I226+0.3*J226+0.2*K226+0.1*L226+0.1*M226)</f>
        <v/>
      </c>
      <c r="W226">
        <f>IF(Q226="P",IF(F226="",0,IFNA(VLOOKUP(F226,Pitcher_Trait_Coef!$A:$B,2,FALSE),0))+IF(G226="",0,IFNA(VLOOKUP(G226,Pitcher_Trait_Coef!$A:$B,2,FALSE),0)),IF(F226="",0,IFNA(VLOOKUP(F226,Hitter_Trait_Coef!$A:$B,2,FALSE),0))+IF(G226="",0,IFNA(VLOOKUP(G226,Hitter_Trait_Coef!$A:$B,2,FALSE),0)))</f>
        <v/>
      </c>
      <c r="X226">
        <f>IF(Q226="P",IFNA(VLOOKUP(B226,Pitcher_Primary_Coef!$A:$B,2,FALSE),0),IFNA(VLOOKUP(B226,Hitter_Primary_Coef!$A:$B,2,FALSE),0))</f>
        <v/>
      </c>
      <c r="Y226">
        <f>IF(Q226="P",0,IFNA(VLOOKUP(IF(C226="","(none)",C226),Hitter_Secondary_Coef!$A:$B,2,FALSE),0))</f>
        <v/>
      </c>
      <c r="Z226">
        <f>IF(Q226="P",IF(ISNUMBER(SEARCH("2F",H226)),IFNA(VLOOKUP("2F",Pitch_Coef!$A:$B,2,FALSE),0),0)+IF(ISNUMBER(SEARCH("4F",H226)),IFNA(VLOOKUP("4F",Pitch_Coef!$A:$B,2,FALSE),0),0)+IF(ISNUMBER(SEARCH("CB",H226)),IFNA(VLOOKUP("CB",Pitch_Coef!$A:$B,2,FALSE),0),0)+IF(ISNUMBER(SEARCH("CF",H226)),IFNA(VLOOKUP("CF",Pitch_Coef!$A:$B,2,FALSE),0),0)+IF(ISNUMBER(SEARCH("CH",H226)),IFNA(VLOOKUP("CH",Pitch_Coef!$A:$B,2,FALSE),0),0)+IF(ISNUMBER(SEARCH("FK",H226)),IFNA(VLOOKUP("FK",Pitch_Coef!$A:$B,2,FALSE),0),0)+IF(ISNUMBER(SEARCH("SB",H226)),IFNA(VLOOKUP("SB",Pitch_Coef!$A:$B,2,FALSE),0),0)+IF(ISNUMBER(SEARCH("SL",H226)),IFNA(VLOOKUP("SL",Pitch_Coef!$A:$B,2,FALSE),0),0),0)</f>
        <v/>
      </c>
      <c r="AA226">
        <f>IF(Q226="P",16.5944849573+0.2529999141*N226+0.2665900378*O226+0.2632687105*P226+0.0427586837*I226+0.0534777057*J226+0.009015832*K226+0.0204898106*(O226*P226/100)+1.0091022427*U226+1.0968542297*IF(D226="L",1,0)+0.3771555045*IF(D226="S",1,0)-0.2226159177*IF(E226="L",1,0)+1.21385024*R226-1.1652812274*S226+W226+X226+Z226,10.5965166711+0.2825983581*I226+0.2806503532*J226+0.2027213083*K226+0.1147824982*L226+0.0915305332*M226-0.0088454122*(I226*J226/100)-0.0336045706*(K226*L226/100)+2.8497389733*IF(D226="L",1,0)+4.5116226727*IF(D226="S",1,0)-0.6571546448*IF(E226="L",1,0)+0.0850728147*T226+0.0129488446*(T226*T226)+0.1909373936*IF(OR(F226="Utility",G226="Utility"),T226,0)+0.9656824071*R226-1.7517683256*S226+W226+X226+Y226)</f>
        <v/>
      </c>
      <c r="AB226">
        <f>LOOKUP(AA226,Grade_Scale!$A$2:$A$18,Grade_Scale!$B$2:$B$18)</f>
        <v/>
      </c>
      <c r="AC226">
        <f>LOOKUP(AA226,Grade_Scale!$A$2:$A$18,Grade_Scale!$C$2:$C$18)</f>
        <v/>
      </c>
      <c r="AE226">
        <f>IF(AD226="","",AB226-VLOOKUP(AD226,Grade_Scale!$C$2:$E$18,3,FALSE))</f>
        <v/>
      </c>
    </row>
    <row r="227">
      <c r="Q227">
        <f>IF(OR(B227="SP",B227="RP",B227="CP",B227="SP/RP"),"P","H")</f>
        <v/>
      </c>
      <c r="R227">
        <f>IF(F227="",0,IFNA(VLOOKUP(F227,Trait_Polarity!$A:$C,2,FALSE),0))+IF(G227="",0,IFNA(VLOOKUP(G227,Trait_Polarity!$A:$C,2,FALSE),0))</f>
        <v/>
      </c>
      <c r="S227">
        <f>IF(F227="",0,IFNA(VLOOKUP(F227,Trait_Polarity!$A:$C,3,FALSE),0))+IF(G227="",0,IFNA(VLOOKUP(G227,Trait_Polarity!$A:$C,3,FALSE),0))</f>
        <v/>
      </c>
      <c r="T227">
        <f>IF(Q227="P",0,IFNA(VLOOKUP(IF(C227="","(none)",C227),Secondary_Versatility!$A:$B,2,FALSE),0))</f>
        <v/>
      </c>
      <c r="U227">
        <f>IF(H227="",0,LEN(H227)-LEN(SUBSTITUTE(H227,"|",""))+1)</f>
        <v/>
      </c>
      <c r="V227">
        <f>IF(Q227="P",(N227+O227+P227)/3,0.3*I227+0.3*J227+0.2*K227+0.1*L227+0.1*M227)</f>
        <v/>
      </c>
      <c r="W227">
        <f>IF(Q227="P",IF(F227="",0,IFNA(VLOOKUP(F227,Pitcher_Trait_Coef!$A:$B,2,FALSE),0))+IF(G227="",0,IFNA(VLOOKUP(G227,Pitcher_Trait_Coef!$A:$B,2,FALSE),0)),IF(F227="",0,IFNA(VLOOKUP(F227,Hitter_Trait_Coef!$A:$B,2,FALSE),0))+IF(G227="",0,IFNA(VLOOKUP(G227,Hitter_Trait_Coef!$A:$B,2,FALSE),0)))</f>
        <v/>
      </c>
      <c r="X227">
        <f>IF(Q227="P",IFNA(VLOOKUP(B227,Pitcher_Primary_Coef!$A:$B,2,FALSE),0),IFNA(VLOOKUP(B227,Hitter_Primary_Coef!$A:$B,2,FALSE),0))</f>
        <v/>
      </c>
      <c r="Y227">
        <f>IF(Q227="P",0,IFNA(VLOOKUP(IF(C227="","(none)",C227),Hitter_Secondary_Coef!$A:$B,2,FALSE),0))</f>
        <v/>
      </c>
      <c r="Z227">
        <f>IF(Q227="P",IF(ISNUMBER(SEARCH("2F",H227)),IFNA(VLOOKUP("2F",Pitch_Coef!$A:$B,2,FALSE),0),0)+IF(ISNUMBER(SEARCH("4F",H227)),IFNA(VLOOKUP("4F",Pitch_Coef!$A:$B,2,FALSE),0),0)+IF(ISNUMBER(SEARCH("CB",H227)),IFNA(VLOOKUP("CB",Pitch_Coef!$A:$B,2,FALSE),0),0)+IF(ISNUMBER(SEARCH("CF",H227)),IFNA(VLOOKUP("CF",Pitch_Coef!$A:$B,2,FALSE),0),0)+IF(ISNUMBER(SEARCH("CH",H227)),IFNA(VLOOKUP("CH",Pitch_Coef!$A:$B,2,FALSE),0),0)+IF(ISNUMBER(SEARCH("FK",H227)),IFNA(VLOOKUP("FK",Pitch_Coef!$A:$B,2,FALSE),0),0)+IF(ISNUMBER(SEARCH("SB",H227)),IFNA(VLOOKUP("SB",Pitch_Coef!$A:$B,2,FALSE),0),0)+IF(ISNUMBER(SEARCH("SL",H227)),IFNA(VLOOKUP("SL",Pitch_Coef!$A:$B,2,FALSE),0),0),0)</f>
        <v/>
      </c>
      <c r="AA227">
        <f>IF(Q227="P",16.5944849573+0.2529999141*N227+0.2665900378*O227+0.2632687105*P227+0.0427586837*I227+0.0534777057*J227+0.009015832*K227+0.0204898106*(O227*P227/100)+1.0091022427*U227+1.0968542297*IF(D227="L",1,0)+0.3771555045*IF(D227="S",1,0)-0.2226159177*IF(E227="L",1,0)+1.21385024*R227-1.1652812274*S227+W227+X227+Z227,10.5965166711+0.2825983581*I227+0.2806503532*J227+0.2027213083*K227+0.1147824982*L227+0.0915305332*M227-0.0088454122*(I227*J227/100)-0.0336045706*(K227*L227/100)+2.8497389733*IF(D227="L",1,0)+4.5116226727*IF(D227="S",1,0)-0.6571546448*IF(E227="L",1,0)+0.0850728147*T227+0.0129488446*(T227*T227)+0.1909373936*IF(OR(F227="Utility",G227="Utility"),T227,0)+0.9656824071*R227-1.7517683256*S227+W227+X227+Y227)</f>
        <v/>
      </c>
      <c r="AB227">
        <f>LOOKUP(AA227,Grade_Scale!$A$2:$A$18,Grade_Scale!$B$2:$B$18)</f>
        <v/>
      </c>
      <c r="AC227">
        <f>LOOKUP(AA227,Grade_Scale!$A$2:$A$18,Grade_Scale!$C$2:$C$18)</f>
        <v/>
      </c>
      <c r="AE227">
        <f>IF(AD227="","",AB227-VLOOKUP(AD227,Grade_Scale!$C$2:$E$18,3,FALSE))</f>
        <v/>
      </c>
    </row>
    <row r="228">
      <c r="Q228">
        <f>IF(OR(B228="SP",B228="RP",B228="CP",B228="SP/RP"),"P","H")</f>
        <v/>
      </c>
      <c r="R228">
        <f>IF(F228="",0,IFNA(VLOOKUP(F228,Trait_Polarity!$A:$C,2,FALSE),0))+IF(G228="",0,IFNA(VLOOKUP(G228,Trait_Polarity!$A:$C,2,FALSE),0))</f>
        <v/>
      </c>
      <c r="S228">
        <f>IF(F228="",0,IFNA(VLOOKUP(F228,Trait_Polarity!$A:$C,3,FALSE),0))+IF(G228="",0,IFNA(VLOOKUP(G228,Trait_Polarity!$A:$C,3,FALSE),0))</f>
        <v/>
      </c>
      <c r="T228">
        <f>IF(Q228="P",0,IFNA(VLOOKUP(IF(C228="","(none)",C228),Secondary_Versatility!$A:$B,2,FALSE),0))</f>
        <v/>
      </c>
      <c r="U228">
        <f>IF(H228="",0,LEN(H228)-LEN(SUBSTITUTE(H228,"|",""))+1)</f>
        <v/>
      </c>
      <c r="V228">
        <f>IF(Q228="P",(N228+O228+P228)/3,0.3*I228+0.3*J228+0.2*K228+0.1*L228+0.1*M228)</f>
        <v/>
      </c>
      <c r="W228">
        <f>IF(Q228="P",IF(F228="",0,IFNA(VLOOKUP(F228,Pitcher_Trait_Coef!$A:$B,2,FALSE),0))+IF(G228="",0,IFNA(VLOOKUP(G228,Pitcher_Trait_Coef!$A:$B,2,FALSE),0)),IF(F228="",0,IFNA(VLOOKUP(F228,Hitter_Trait_Coef!$A:$B,2,FALSE),0))+IF(G228="",0,IFNA(VLOOKUP(G228,Hitter_Trait_Coef!$A:$B,2,FALSE),0)))</f>
        <v/>
      </c>
      <c r="X228">
        <f>IF(Q228="P",IFNA(VLOOKUP(B228,Pitcher_Primary_Coef!$A:$B,2,FALSE),0),IFNA(VLOOKUP(B228,Hitter_Primary_Coef!$A:$B,2,FALSE),0))</f>
        <v/>
      </c>
      <c r="Y228">
        <f>IF(Q228="P",0,IFNA(VLOOKUP(IF(C228="","(none)",C228),Hitter_Secondary_Coef!$A:$B,2,FALSE),0))</f>
        <v/>
      </c>
      <c r="Z228">
        <f>IF(Q228="P",IF(ISNUMBER(SEARCH("2F",H228)),IFNA(VLOOKUP("2F",Pitch_Coef!$A:$B,2,FALSE),0),0)+IF(ISNUMBER(SEARCH("4F",H228)),IFNA(VLOOKUP("4F",Pitch_Coef!$A:$B,2,FALSE),0),0)+IF(ISNUMBER(SEARCH("CB",H228)),IFNA(VLOOKUP("CB",Pitch_Coef!$A:$B,2,FALSE),0),0)+IF(ISNUMBER(SEARCH("CF",H228)),IFNA(VLOOKUP("CF",Pitch_Coef!$A:$B,2,FALSE),0),0)+IF(ISNUMBER(SEARCH("CH",H228)),IFNA(VLOOKUP("CH",Pitch_Coef!$A:$B,2,FALSE),0),0)+IF(ISNUMBER(SEARCH("FK",H228)),IFNA(VLOOKUP("FK",Pitch_Coef!$A:$B,2,FALSE),0),0)+IF(ISNUMBER(SEARCH("SB",H228)),IFNA(VLOOKUP("SB",Pitch_Coef!$A:$B,2,FALSE),0),0)+IF(ISNUMBER(SEARCH("SL",H228)),IFNA(VLOOKUP("SL",Pitch_Coef!$A:$B,2,FALSE),0),0),0)</f>
        <v/>
      </c>
      <c r="AA228">
        <f>IF(Q228="P",16.5944849573+0.2529999141*N228+0.2665900378*O228+0.2632687105*P228+0.0427586837*I228+0.0534777057*J228+0.009015832*K228+0.0204898106*(O228*P228/100)+1.0091022427*U228+1.0968542297*IF(D228="L",1,0)+0.3771555045*IF(D228="S",1,0)-0.2226159177*IF(E228="L",1,0)+1.21385024*R228-1.1652812274*S228+W228+X228+Z228,10.5965166711+0.2825983581*I228+0.2806503532*J228+0.2027213083*K228+0.1147824982*L228+0.0915305332*M228-0.0088454122*(I228*J228/100)-0.0336045706*(K228*L228/100)+2.8497389733*IF(D228="L",1,0)+4.5116226727*IF(D228="S",1,0)-0.6571546448*IF(E228="L",1,0)+0.0850728147*T228+0.0129488446*(T228*T228)+0.1909373936*IF(OR(F228="Utility",G228="Utility"),T228,0)+0.9656824071*R228-1.7517683256*S228+W228+X228+Y228)</f>
        <v/>
      </c>
      <c r="AB228">
        <f>LOOKUP(AA228,Grade_Scale!$A$2:$A$18,Grade_Scale!$B$2:$B$18)</f>
        <v/>
      </c>
      <c r="AC228">
        <f>LOOKUP(AA228,Grade_Scale!$A$2:$A$18,Grade_Scale!$C$2:$C$18)</f>
        <v/>
      </c>
      <c r="AE228">
        <f>IF(AD228="","",AB228-VLOOKUP(AD228,Grade_Scale!$C$2:$E$18,3,FALSE))</f>
        <v/>
      </c>
    </row>
    <row r="229">
      <c r="Q229">
        <f>IF(OR(B229="SP",B229="RP",B229="CP",B229="SP/RP"),"P","H")</f>
        <v/>
      </c>
      <c r="R229">
        <f>IF(F229="",0,IFNA(VLOOKUP(F229,Trait_Polarity!$A:$C,2,FALSE),0))+IF(G229="",0,IFNA(VLOOKUP(G229,Trait_Polarity!$A:$C,2,FALSE),0))</f>
        <v/>
      </c>
      <c r="S229">
        <f>IF(F229="",0,IFNA(VLOOKUP(F229,Trait_Polarity!$A:$C,3,FALSE),0))+IF(G229="",0,IFNA(VLOOKUP(G229,Trait_Polarity!$A:$C,3,FALSE),0))</f>
        <v/>
      </c>
      <c r="T229">
        <f>IF(Q229="P",0,IFNA(VLOOKUP(IF(C229="","(none)",C229),Secondary_Versatility!$A:$B,2,FALSE),0))</f>
        <v/>
      </c>
      <c r="U229">
        <f>IF(H229="",0,LEN(H229)-LEN(SUBSTITUTE(H229,"|",""))+1)</f>
        <v/>
      </c>
      <c r="V229">
        <f>IF(Q229="P",(N229+O229+P229)/3,0.3*I229+0.3*J229+0.2*K229+0.1*L229+0.1*M229)</f>
        <v/>
      </c>
      <c r="W229">
        <f>IF(Q229="P",IF(F229="",0,IFNA(VLOOKUP(F229,Pitcher_Trait_Coef!$A:$B,2,FALSE),0))+IF(G229="",0,IFNA(VLOOKUP(G229,Pitcher_Trait_Coef!$A:$B,2,FALSE),0)),IF(F229="",0,IFNA(VLOOKUP(F229,Hitter_Trait_Coef!$A:$B,2,FALSE),0))+IF(G229="",0,IFNA(VLOOKUP(G229,Hitter_Trait_Coef!$A:$B,2,FALSE),0)))</f>
        <v/>
      </c>
      <c r="X229">
        <f>IF(Q229="P",IFNA(VLOOKUP(B229,Pitcher_Primary_Coef!$A:$B,2,FALSE),0),IFNA(VLOOKUP(B229,Hitter_Primary_Coef!$A:$B,2,FALSE),0))</f>
        <v/>
      </c>
      <c r="Y229">
        <f>IF(Q229="P",0,IFNA(VLOOKUP(IF(C229="","(none)",C229),Hitter_Secondary_Coef!$A:$B,2,FALSE),0))</f>
        <v/>
      </c>
      <c r="Z229">
        <f>IF(Q229="P",IF(ISNUMBER(SEARCH("2F",H229)),IFNA(VLOOKUP("2F",Pitch_Coef!$A:$B,2,FALSE),0),0)+IF(ISNUMBER(SEARCH("4F",H229)),IFNA(VLOOKUP("4F",Pitch_Coef!$A:$B,2,FALSE),0),0)+IF(ISNUMBER(SEARCH("CB",H229)),IFNA(VLOOKUP("CB",Pitch_Coef!$A:$B,2,FALSE),0),0)+IF(ISNUMBER(SEARCH("CF",H229)),IFNA(VLOOKUP("CF",Pitch_Coef!$A:$B,2,FALSE),0),0)+IF(ISNUMBER(SEARCH("CH",H229)),IFNA(VLOOKUP("CH",Pitch_Coef!$A:$B,2,FALSE),0),0)+IF(ISNUMBER(SEARCH("FK",H229)),IFNA(VLOOKUP("FK",Pitch_Coef!$A:$B,2,FALSE),0),0)+IF(ISNUMBER(SEARCH("SB",H229)),IFNA(VLOOKUP("SB",Pitch_Coef!$A:$B,2,FALSE),0),0)+IF(ISNUMBER(SEARCH("SL",H229)),IFNA(VLOOKUP("SL",Pitch_Coef!$A:$B,2,FALSE),0),0),0)</f>
        <v/>
      </c>
      <c r="AA229">
        <f>IF(Q229="P",16.5944849573+0.2529999141*N229+0.2665900378*O229+0.2632687105*P229+0.0427586837*I229+0.0534777057*J229+0.009015832*K229+0.0204898106*(O229*P229/100)+1.0091022427*U229+1.0968542297*IF(D229="L",1,0)+0.3771555045*IF(D229="S",1,0)-0.2226159177*IF(E229="L",1,0)+1.21385024*R229-1.1652812274*S229+W229+X229+Z229,10.5965166711+0.2825983581*I229+0.2806503532*J229+0.2027213083*K229+0.1147824982*L229+0.0915305332*M229-0.0088454122*(I229*J229/100)-0.0336045706*(K229*L229/100)+2.8497389733*IF(D229="L",1,0)+4.5116226727*IF(D229="S",1,0)-0.6571546448*IF(E229="L",1,0)+0.0850728147*T229+0.0129488446*(T229*T229)+0.1909373936*IF(OR(F229="Utility",G229="Utility"),T229,0)+0.9656824071*R229-1.7517683256*S229+W229+X229+Y229)</f>
        <v/>
      </c>
      <c r="AB229">
        <f>LOOKUP(AA229,Grade_Scale!$A$2:$A$18,Grade_Scale!$B$2:$B$18)</f>
        <v/>
      </c>
      <c r="AC229">
        <f>LOOKUP(AA229,Grade_Scale!$A$2:$A$18,Grade_Scale!$C$2:$C$18)</f>
        <v/>
      </c>
      <c r="AE229">
        <f>IF(AD229="","",AB229-VLOOKUP(AD229,Grade_Scale!$C$2:$E$18,3,FALSE))</f>
        <v/>
      </c>
    </row>
    <row r="230">
      <c r="Q230">
        <f>IF(OR(B230="SP",B230="RP",B230="CP",B230="SP/RP"),"P","H")</f>
        <v/>
      </c>
      <c r="R230">
        <f>IF(F230="",0,IFNA(VLOOKUP(F230,Trait_Polarity!$A:$C,2,FALSE),0))+IF(G230="",0,IFNA(VLOOKUP(G230,Trait_Polarity!$A:$C,2,FALSE),0))</f>
        <v/>
      </c>
      <c r="S230">
        <f>IF(F230="",0,IFNA(VLOOKUP(F230,Trait_Polarity!$A:$C,3,FALSE),0))+IF(G230="",0,IFNA(VLOOKUP(G230,Trait_Polarity!$A:$C,3,FALSE),0))</f>
        <v/>
      </c>
      <c r="T230">
        <f>IF(Q230="P",0,IFNA(VLOOKUP(IF(C230="","(none)",C230),Secondary_Versatility!$A:$B,2,FALSE),0))</f>
        <v/>
      </c>
      <c r="U230">
        <f>IF(H230="",0,LEN(H230)-LEN(SUBSTITUTE(H230,"|",""))+1)</f>
        <v/>
      </c>
      <c r="V230">
        <f>IF(Q230="P",(N230+O230+P230)/3,0.3*I230+0.3*J230+0.2*K230+0.1*L230+0.1*M230)</f>
        <v/>
      </c>
      <c r="W230">
        <f>IF(Q230="P",IF(F230="",0,IFNA(VLOOKUP(F230,Pitcher_Trait_Coef!$A:$B,2,FALSE),0))+IF(G230="",0,IFNA(VLOOKUP(G230,Pitcher_Trait_Coef!$A:$B,2,FALSE),0)),IF(F230="",0,IFNA(VLOOKUP(F230,Hitter_Trait_Coef!$A:$B,2,FALSE),0))+IF(G230="",0,IFNA(VLOOKUP(G230,Hitter_Trait_Coef!$A:$B,2,FALSE),0)))</f>
        <v/>
      </c>
      <c r="X230">
        <f>IF(Q230="P",IFNA(VLOOKUP(B230,Pitcher_Primary_Coef!$A:$B,2,FALSE),0),IFNA(VLOOKUP(B230,Hitter_Primary_Coef!$A:$B,2,FALSE),0))</f>
        <v/>
      </c>
      <c r="Y230">
        <f>IF(Q230="P",0,IFNA(VLOOKUP(IF(C230="","(none)",C230),Hitter_Secondary_Coef!$A:$B,2,FALSE),0))</f>
        <v/>
      </c>
      <c r="Z230">
        <f>IF(Q230="P",IF(ISNUMBER(SEARCH("2F",H230)),IFNA(VLOOKUP("2F",Pitch_Coef!$A:$B,2,FALSE),0),0)+IF(ISNUMBER(SEARCH("4F",H230)),IFNA(VLOOKUP("4F",Pitch_Coef!$A:$B,2,FALSE),0),0)+IF(ISNUMBER(SEARCH("CB",H230)),IFNA(VLOOKUP("CB",Pitch_Coef!$A:$B,2,FALSE),0),0)+IF(ISNUMBER(SEARCH("CF",H230)),IFNA(VLOOKUP("CF",Pitch_Coef!$A:$B,2,FALSE),0),0)+IF(ISNUMBER(SEARCH("CH",H230)),IFNA(VLOOKUP("CH",Pitch_Coef!$A:$B,2,FALSE),0),0)+IF(ISNUMBER(SEARCH("FK",H230)),IFNA(VLOOKUP("FK",Pitch_Coef!$A:$B,2,FALSE),0),0)+IF(ISNUMBER(SEARCH("SB",H230)),IFNA(VLOOKUP("SB",Pitch_Coef!$A:$B,2,FALSE),0),0)+IF(ISNUMBER(SEARCH("SL",H230)),IFNA(VLOOKUP("SL",Pitch_Coef!$A:$B,2,FALSE),0),0),0)</f>
        <v/>
      </c>
      <c r="AA230">
        <f>IF(Q230="P",16.5944849573+0.2529999141*N230+0.2665900378*O230+0.2632687105*P230+0.0427586837*I230+0.0534777057*J230+0.009015832*K230+0.0204898106*(O230*P230/100)+1.0091022427*U230+1.0968542297*IF(D230="L",1,0)+0.3771555045*IF(D230="S",1,0)-0.2226159177*IF(E230="L",1,0)+1.21385024*R230-1.1652812274*S230+W230+X230+Z230,10.5965166711+0.2825983581*I230+0.2806503532*J230+0.2027213083*K230+0.1147824982*L230+0.0915305332*M230-0.0088454122*(I230*J230/100)-0.0336045706*(K230*L230/100)+2.8497389733*IF(D230="L",1,0)+4.5116226727*IF(D230="S",1,0)-0.6571546448*IF(E230="L",1,0)+0.0850728147*T230+0.0129488446*(T230*T230)+0.1909373936*IF(OR(F230="Utility",G230="Utility"),T230,0)+0.9656824071*R230-1.7517683256*S230+W230+X230+Y230)</f>
        <v/>
      </c>
      <c r="AB230">
        <f>LOOKUP(AA230,Grade_Scale!$A$2:$A$18,Grade_Scale!$B$2:$B$18)</f>
        <v/>
      </c>
      <c r="AC230">
        <f>LOOKUP(AA230,Grade_Scale!$A$2:$A$18,Grade_Scale!$C$2:$C$18)</f>
        <v/>
      </c>
      <c r="AE230">
        <f>IF(AD230="","",AB230-VLOOKUP(AD230,Grade_Scale!$C$2:$E$18,3,FALSE))</f>
        <v/>
      </c>
    </row>
    <row r="231">
      <c r="Q231">
        <f>IF(OR(B231="SP",B231="RP",B231="CP",B231="SP/RP"),"P","H")</f>
        <v/>
      </c>
      <c r="R231">
        <f>IF(F231="",0,IFNA(VLOOKUP(F231,Trait_Polarity!$A:$C,2,FALSE),0))+IF(G231="",0,IFNA(VLOOKUP(G231,Trait_Polarity!$A:$C,2,FALSE),0))</f>
        <v/>
      </c>
      <c r="S231">
        <f>IF(F231="",0,IFNA(VLOOKUP(F231,Trait_Polarity!$A:$C,3,FALSE),0))+IF(G231="",0,IFNA(VLOOKUP(G231,Trait_Polarity!$A:$C,3,FALSE),0))</f>
        <v/>
      </c>
      <c r="T231">
        <f>IF(Q231="P",0,IFNA(VLOOKUP(IF(C231="","(none)",C231),Secondary_Versatility!$A:$B,2,FALSE),0))</f>
        <v/>
      </c>
      <c r="U231">
        <f>IF(H231="",0,LEN(H231)-LEN(SUBSTITUTE(H231,"|",""))+1)</f>
        <v/>
      </c>
      <c r="V231">
        <f>IF(Q231="P",(N231+O231+P231)/3,0.3*I231+0.3*J231+0.2*K231+0.1*L231+0.1*M231)</f>
        <v/>
      </c>
      <c r="W231">
        <f>IF(Q231="P",IF(F231="",0,IFNA(VLOOKUP(F231,Pitcher_Trait_Coef!$A:$B,2,FALSE),0))+IF(G231="",0,IFNA(VLOOKUP(G231,Pitcher_Trait_Coef!$A:$B,2,FALSE),0)),IF(F231="",0,IFNA(VLOOKUP(F231,Hitter_Trait_Coef!$A:$B,2,FALSE),0))+IF(G231="",0,IFNA(VLOOKUP(G231,Hitter_Trait_Coef!$A:$B,2,FALSE),0)))</f>
        <v/>
      </c>
      <c r="X231">
        <f>IF(Q231="P",IFNA(VLOOKUP(B231,Pitcher_Primary_Coef!$A:$B,2,FALSE),0),IFNA(VLOOKUP(B231,Hitter_Primary_Coef!$A:$B,2,FALSE),0))</f>
        <v/>
      </c>
      <c r="Y231">
        <f>IF(Q231="P",0,IFNA(VLOOKUP(IF(C231="","(none)",C231),Hitter_Secondary_Coef!$A:$B,2,FALSE),0))</f>
        <v/>
      </c>
      <c r="Z231">
        <f>IF(Q231="P",IF(ISNUMBER(SEARCH("2F",H231)),IFNA(VLOOKUP("2F",Pitch_Coef!$A:$B,2,FALSE),0),0)+IF(ISNUMBER(SEARCH("4F",H231)),IFNA(VLOOKUP("4F",Pitch_Coef!$A:$B,2,FALSE),0),0)+IF(ISNUMBER(SEARCH("CB",H231)),IFNA(VLOOKUP("CB",Pitch_Coef!$A:$B,2,FALSE),0),0)+IF(ISNUMBER(SEARCH("CF",H231)),IFNA(VLOOKUP("CF",Pitch_Coef!$A:$B,2,FALSE),0),0)+IF(ISNUMBER(SEARCH("CH",H231)),IFNA(VLOOKUP("CH",Pitch_Coef!$A:$B,2,FALSE),0),0)+IF(ISNUMBER(SEARCH("FK",H231)),IFNA(VLOOKUP("FK",Pitch_Coef!$A:$B,2,FALSE),0),0)+IF(ISNUMBER(SEARCH("SB",H231)),IFNA(VLOOKUP("SB",Pitch_Coef!$A:$B,2,FALSE),0),0)+IF(ISNUMBER(SEARCH("SL",H231)),IFNA(VLOOKUP("SL",Pitch_Coef!$A:$B,2,FALSE),0),0),0)</f>
        <v/>
      </c>
      <c r="AA231">
        <f>IF(Q231="P",16.5944849573+0.2529999141*N231+0.2665900378*O231+0.2632687105*P231+0.0427586837*I231+0.0534777057*J231+0.009015832*K231+0.0204898106*(O231*P231/100)+1.0091022427*U231+1.0968542297*IF(D231="L",1,0)+0.3771555045*IF(D231="S",1,0)-0.2226159177*IF(E231="L",1,0)+1.21385024*R231-1.1652812274*S231+W231+X231+Z231,10.5965166711+0.2825983581*I231+0.2806503532*J231+0.2027213083*K231+0.1147824982*L231+0.0915305332*M231-0.0088454122*(I231*J231/100)-0.0336045706*(K231*L231/100)+2.8497389733*IF(D231="L",1,0)+4.5116226727*IF(D231="S",1,0)-0.6571546448*IF(E231="L",1,0)+0.0850728147*T231+0.0129488446*(T231*T231)+0.1909373936*IF(OR(F231="Utility",G231="Utility"),T231,0)+0.9656824071*R231-1.7517683256*S231+W231+X231+Y231)</f>
        <v/>
      </c>
      <c r="AB231">
        <f>LOOKUP(AA231,Grade_Scale!$A$2:$A$18,Grade_Scale!$B$2:$B$18)</f>
        <v/>
      </c>
      <c r="AC231">
        <f>LOOKUP(AA231,Grade_Scale!$A$2:$A$18,Grade_Scale!$C$2:$C$18)</f>
        <v/>
      </c>
      <c r="AE231">
        <f>IF(AD231="","",AB231-VLOOKUP(AD231,Grade_Scale!$C$2:$E$18,3,FALSE))</f>
        <v/>
      </c>
    </row>
    <row r="232">
      <c r="Q232">
        <f>IF(OR(B232="SP",B232="RP",B232="CP",B232="SP/RP"),"P","H")</f>
        <v/>
      </c>
      <c r="R232">
        <f>IF(F232="",0,IFNA(VLOOKUP(F232,Trait_Polarity!$A:$C,2,FALSE),0))+IF(G232="",0,IFNA(VLOOKUP(G232,Trait_Polarity!$A:$C,2,FALSE),0))</f>
        <v/>
      </c>
      <c r="S232">
        <f>IF(F232="",0,IFNA(VLOOKUP(F232,Trait_Polarity!$A:$C,3,FALSE),0))+IF(G232="",0,IFNA(VLOOKUP(G232,Trait_Polarity!$A:$C,3,FALSE),0))</f>
        <v/>
      </c>
      <c r="T232">
        <f>IF(Q232="P",0,IFNA(VLOOKUP(IF(C232="","(none)",C232),Secondary_Versatility!$A:$B,2,FALSE),0))</f>
        <v/>
      </c>
      <c r="U232">
        <f>IF(H232="",0,LEN(H232)-LEN(SUBSTITUTE(H232,"|",""))+1)</f>
        <v/>
      </c>
      <c r="V232">
        <f>IF(Q232="P",(N232+O232+P232)/3,0.3*I232+0.3*J232+0.2*K232+0.1*L232+0.1*M232)</f>
        <v/>
      </c>
      <c r="W232">
        <f>IF(Q232="P",IF(F232="",0,IFNA(VLOOKUP(F232,Pitcher_Trait_Coef!$A:$B,2,FALSE),0))+IF(G232="",0,IFNA(VLOOKUP(G232,Pitcher_Trait_Coef!$A:$B,2,FALSE),0)),IF(F232="",0,IFNA(VLOOKUP(F232,Hitter_Trait_Coef!$A:$B,2,FALSE),0))+IF(G232="",0,IFNA(VLOOKUP(G232,Hitter_Trait_Coef!$A:$B,2,FALSE),0)))</f>
        <v/>
      </c>
      <c r="X232">
        <f>IF(Q232="P",IFNA(VLOOKUP(B232,Pitcher_Primary_Coef!$A:$B,2,FALSE),0),IFNA(VLOOKUP(B232,Hitter_Primary_Coef!$A:$B,2,FALSE),0))</f>
        <v/>
      </c>
      <c r="Y232">
        <f>IF(Q232="P",0,IFNA(VLOOKUP(IF(C232="","(none)",C232),Hitter_Secondary_Coef!$A:$B,2,FALSE),0))</f>
        <v/>
      </c>
      <c r="Z232">
        <f>IF(Q232="P",IF(ISNUMBER(SEARCH("2F",H232)),IFNA(VLOOKUP("2F",Pitch_Coef!$A:$B,2,FALSE),0),0)+IF(ISNUMBER(SEARCH("4F",H232)),IFNA(VLOOKUP("4F",Pitch_Coef!$A:$B,2,FALSE),0),0)+IF(ISNUMBER(SEARCH("CB",H232)),IFNA(VLOOKUP("CB",Pitch_Coef!$A:$B,2,FALSE),0),0)+IF(ISNUMBER(SEARCH("CF",H232)),IFNA(VLOOKUP("CF",Pitch_Coef!$A:$B,2,FALSE),0),0)+IF(ISNUMBER(SEARCH("CH",H232)),IFNA(VLOOKUP("CH",Pitch_Coef!$A:$B,2,FALSE),0),0)+IF(ISNUMBER(SEARCH("FK",H232)),IFNA(VLOOKUP("FK",Pitch_Coef!$A:$B,2,FALSE),0),0)+IF(ISNUMBER(SEARCH("SB",H232)),IFNA(VLOOKUP("SB",Pitch_Coef!$A:$B,2,FALSE),0),0)+IF(ISNUMBER(SEARCH("SL",H232)),IFNA(VLOOKUP("SL",Pitch_Coef!$A:$B,2,FALSE),0),0),0)</f>
        <v/>
      </c>
      <c r="AA232">
        <f>IF(Q232="P",16.5944849573+0.2529999141*N232+0.2665900378*O232+0.2632687105*P232+0.0427586837*I232+0.0534777057*J232+0.009015832*K232+0.0204898106*(O232*P232/100)+1.0091022427*U232+1.0968542297*IF(D232="L",1,0)+0.3771555045*IF(D232="S",1,0)-0.2226159177*IF(E232="L",1,0)+1.21385024*R232-1.1652812274*S232+W232+X232+Z232,10.5965166711+0.2825983581*I232+0.2806503532*J232+0.2027213083*K232+0.1147824982*L232+0.0915305332*M232-0.0088454122*(I232*J232/100)-0.0336045706*(K232*L232/100)+2.8497389733*IF(D232="L",1,0)+4.5116226727*IF(D232="S",1,0)-0.6571546448*IF(E232="L",1,0)+0.0850728147*T232+0.0129488446*(T232*T232)+0.1909373936*IF(OR(F232="Utility",G232="Utility"),T232,0)+0.9656824071*R232-1.7517683256*S232+W232+X232+Y232)</f>
        <v/>
      </c>
      <c r="AB232">
        <f>LOOKUP(AA232,Grade_Scale!$A$2:$A$18,Grade_Scale!$B$2:$B$18)</f>
        <v/>
      </c>
      <c r="AC232">
        <f>LOOKUP(AA232,Grade_Scale!$A$2:$A$18,Grade_Scale!$C$2:$C$18)</f>
        <v/>
      </c>
      <c r="AE232">
        <f>IF(AD232="","",AB232-VLOOKUP(AD232,Grade_Scale!$C$2:$E$18,3,FALSE))</f>
        <v/>
      </c>
    </row>
    <row r="233">
      <c r="Q233">
        <f>IF(OR(B233="SP",B233="RP",B233="CP",B233="SP/RP"),"P","H")</f>
        <v/>
      </c>
      <c r="R233">
        <f>IF(F233="",0,IFNA(VLOOKUP(F233,Trait_Polarity!$A:$C,2,FALSE),0))+IF(G233="",0,IFNA(VLOOKUP(G233,Trait_Polarity!$A:$C,2,FALSE),0))</f>
        <v/>
      </c>
      <c r="S233">
        <f>IF(F233="",0,IFNA(VLOOKUP(F233,Trait_Polarity!$A:$C,3,FALSE),0))+IF(G233="",0,IFNA(VLOOKUP(G233,Trait_Polarity!$A:$C,3,FALSE),0))</f>
        <v/>
      </c>
      <c r="T233">
        <f>IF(Q233="P",0,IFNA(VLOOKUP(IF(C233="","(none)",C233),Secondary_Versatility!$A:$B,2,FALSE),0))</f>
        <v/>
      </c>
      <c r="U233">
        <f>IF(H233="",0,LEN(H233)-LEN(SUBSTITUTE(H233,"|",""))+1)</f>
        <v/>
      </c>
      <c r="V233">
        <f>IF(Q233="P",(N233+O233+P233)/3,0.3*I233+0.3*J233+0.2*K233+0.1*L233+0.1*M233)</f>
        <v/>
      </c>
      <c r="W233">
        <f>IF(Q233="P",IF(F233="",0,IFNA(VLOOKUP(F233,Pitcher_Trait_Coef!$A:$B,2,FALSE),0))+IF(G233="",0,IFNA(VLOOKUP(G233,Pitcher_Trait_Coef!$A:$B,2,FALSE),0)),IF(F233="",0,IFNA(VLOOKUP(F233,Hitter_Trait_Coef!$A:$B,2,FALSE),0))+IF(G233="",0,IFNA(VLOOKUP(G233,Hitter_Trait_Coef!$A:$B,2,FALSE),0)))</f>
        <v/>
      </c>
      <c r="X233">
        <f>IF(Q233="P",IFNA(VLOOKUP(B233,Pitcher_Primary_Coef!$A:$B,2,FALSE),0),IFNA(VLOOKUP(B233,Hitter_Primary_Coef!$A:$B,2,FALSE),0))</f>
        <v/>
      </c>
      <c r="Y233">
        <f>IF(Q233="P",0,IFNA(VLOOKUP(IF(C233="","(none)",C233),Hitter_Secondary_Coef!$A:$B,2,FALSE),0))</f>
        <v/>
      </c>
      <c r="Z233">
        <f>IF(Q233="P",IF(ISNUMBER(SEARCH("2F",H233)),IFNA(VLOOKUP("2F",Pitch_Coef!$A:$B,2,FALSE),0),0)+IF(ISNUMBER(SEARCH("4F",H233)),IFNA(VLOOKUP("4F",Pitch_Coef!$A:$B,2,FALSE),0),0)+IF(ISNUMBER(SEARCH("CB",H233)),IFNA(VLOOKUP("CB",Pitch_Coef!$A:$B,2,FALSE),0),0)+IF(ISNUMBER(SEARCH("CF",H233)),IFNA(VLOOKUP("CF",Pitch_Coef!$A:$B,2,FALSE),0),0)+IF(ISNUMBER(SEARCH("CH",H233)),IFNA(VLOOKUP("CH",Pitch_Coef!$A:$B,2,FALSE),0),0)+IF(ISNUMBER(SEARCH("FK",H233)),IFNA(VLOOKUP("FK",Pitch_Coef!$A:$B,2,FALSE),0),0)+IF(ISNUMBER(SEARCH("SB",H233)),IFNA(VLOOKUP("SB",Pitch_Coef!$A:$B,2,FALSE),0),0)+IF(ISNUMBER(SEARCH("SL",H233)),IFNA(VLOOKUP("SL",Pitch_Coef!$A:$B,2,FALSE),0),0),0)</f>
        <v/>
      </c>
      <c r="AA233">
        <f>IF(Q233="P",16.5944849573+0.2529999141*N233+0.2665900378*O233+0.2632687105*P233+0.0427586837*I233+0.0534777057*J233+0.009015832*K233+0.0204898106*(O233*P233/100)+1.0091022427*U233+1.0968542297*IF(D233="L",1,0)+0.3771555045*IF(D233="S",1,0)-0.2226159177*IF(E233="L",1,0)+1.21385024*R233-1.1652812274*S233+W233+X233+Z233,10.5965166711+0.2825983581*I233+0.2806503532*J233+0.2027213083*K233+0.1147824982*L233+0.0915305332*M233-0.0088454122*(I233*J233/100)-0.0336045706*(K233*L233/100)+2.8497389733*IF(D233="L",1,0)+4.5116226727*IF(D233="S",1,0)-0.6571546448*IF(E233="L",1,0)+0.0850728147*T233+0.0129488446*(T233*T233)+0.1909373936*IF(OR(F233="Utility",G233="Utility"),T233,0)+0.9656824071*R233-1.7517683256*S233+W233+X233+Y233)</f>
        <v/>
      </c>
      <c r="AB233">
        <f>LOOKUP(AA233,Grade_Scale!$A$2:$A$18,Grade_Scale!$B$2:$B$18)</f>
        <v/>
      </c>
      <c r="AC233">
        <f>LOOKUP(AA233,Grade_Scale!$A$2:$A$18,Grade_Scale!$C$2:$C$18)</f>
        <v/>
      </c>
      <c r="AE233">
        <f>IF(AD233="","",AB233-VLOOKUP(AD233,Grade_Scale!$C$2:$E$18,3,FALSE))</f>
        <v/>
      </c>
    </row>
    <row r="234">
      <c r="Q234">
        <f>IF(OR(B234="SP",B234="RP",B234="CP",B234="SP/RP"),"P","H")</f>
        <v/>
      </c>
      <c r="R234">
        <f>IF(F234="",0,IFNA(VLOOKUP(F234,Trait_Polarity!$A:$C,2,FALSE),0))+IF(G234="",0,IFNA(VLOOKUP(G234,Trait_Polarity!$A:$C,2,FALSE),0))</f>
        <v/>
      </c>
      <c r="S234">
        <f>IF(F234="",0,IFNA(VLOOKUP(F234,Trait_Polarity!$A:$C,3,FALSE),0))+IF(G234="",0,IFNA(VLOOKUP(G234,Trait_Polarity!$A:$C,3,FALSE),0))</f>
        <v/>
      </c>
      <c r="T234">
        <f>IF(Q234="P",0,IFNA(VLOOKUP(IF(C234="","(none)",C234),Secondary_Versatility!$A:$B,2,FALSE),0))</f>
        <v/>
      </c>
      <c r="U234">
        <f>IF(H234="",0,LEN(H234)-LEN(SUBSTITUTE(H234,"|",""))+1)</f>
        <v/>
      </c>
      <c r="V234">
        <f>IF(Q234="P",(N234+O234+P234)/3,0.3*I234+0.3*J234+0.2*K234+0.1*L234+0.1*M234)</f>
        <v/>
      </c>
      <c r="W234">
        <f>IF(Q234="P",IF(F234="",0,IFNA(VLOOKUP(F234,Pitcher_Trait_Coef!$A:$B,2,FALSE),0))+IF(G234="",0,IFNA(VLOOKUP(G234,Pitcher_Trait_Coef!$A:$B,2,FALSE),0)),IF(F234="",0,IFNA(VLOOKUP(F234,Hitter_Trait_Coef!$A:$B,2,FALSE),0))+IF(G234="",0,IFNA(VLOOKUP(G234,Hitter_Trait_Coef!$A:$B,2,FALSE),0)))</f>
        <v/>
      </c>
      <c r="X234">
        <f>IF(Q234="P",IFNA(VLOOKUP(B234,Pitcher_Primary_Coef!$A:$B,2,FALSE),0),IFNA(VLOOKUP(B234,Hitter_Primary_Coef!$A:$B,2,FALSE),0))</f>
        <v/>
      </c>
      <c r="Y234">
        <f>IF(Q234="P",0,IFNA(VLOOKUP(IF(C234="","(none)",C234),Hitter_Secondary_Coef!$A:$B,2,FALSE),0))</f>
        <v/>
      </c>
      <c r="Z234">
        <f>IF(Q234="P",IF(ISNUMBER(SEARCH("2F",H234)),IFNA(VLOOKUP("2F",Pitch_Coef!$A:$B,2,FALSE),0),0)+IF(ISNUMBER(SEARCH("4F",H234)),IFNA(VLOOKUP("4F",Pitch_Coef!$A:$B,2,FALSE),0),0)+IF(ISNUMBER(SEARCH("CB",H234)),IFNA(VLOOKUP("CB",Pitch_Coef!$A:$B,2,FALSE),0),0)+IF(ISNUMBER(SEARCH("CF",H234)),IFNA(VLOOKUP("CF",Pitch_Coef!$A:$B,2,FALSE),0),0)+IF(ISNUMBER(SEARCH("CH",H234)),IFNA(VLOOKUP("CH",Pitch_Coef!$A:$B,2,FALSE),0),0)+IF(ISNUMBER(SEARCH("FK",H234)),IFNA(VLOOKUP("FK",Pitch_Coef!$A:$B,2,FALSE),0),0)+IF(ISNUMBER(SEARCH("SB",H234)),IFNA(VLOOKUP("SB",Pitch_Coef!$A:$B,2,FALSE),0),0)+IF(ISNUMBER(SEARCH("SL",H234)),IFNA(VLOOKUP("SL",Pitch_Coef!$A:$B,2,FALSE),0),0),0)</f>
        <v/>
      </c>
      <c r="AA234">
        <f>IF(Q234="P",16.5944849573+0.2529999141*N234+0.2665900378*O234+0.2632687105*P234+0.0427586837*I234+0.0534777057*J234+0.009015832*K234+0.0204898106*(O234*P234/100)+1.0091022427*U234+1.0968542297*IF(D234="L",1,0)+0.3771555045*IF(D234="S",1,0)-0.2226159177*IF(E234="L",1,0)+1.21385024*R234-1.1652812274*S234+W234+X234+Z234,10.5965166711+0.2825983581*I234+0.2806503532*J234+0.2027213083*K234+0.1147824982*L234+0.0915305332*M234-0.0088454122*(I234*J234/100)-0.0336045706*(K234*L234/100)+2.8497389733*IF(D234="L",1,0)+4.5116226727*IF(D234="S",1,0)-0.6571546448*IF(E234="L",1,0)+0.0850728147*T234+0.0129488446*(T234*T234)+0.1909373936*IF(OR(F234="Utility",G234="Utility"),T234,0)+0.9656824071*R234-1.7517683256*S234+W234+X234+Y234)</f>
        <v/>
      </c>
      <c r="AB234">
        <f>LOOKUP(AA234,Grade_Scale!$A$2:$A$18,Grade_Scale!$B$2:$B$18)</f>
        <v/>
      </c>
      <c r="AC234">
        <f>LOOKUP(AA234,Grade_Scale!$A$2:$A$18,Grade_Scale!$C$2:$C$18)</f>
        <v/>
      </c>
      <c r="AE234">
        <f>IF(AD234="","",AB234-VLOOKUP(AD234,Grade_Scale!$C$2:$E$18,3,FALSE))</f>
        <v/>
      </c>
    </row>
    <row r="235">
      <c r="Q235">
        <f>IF(OR(B235="SP",B235="RP",B235="CP",B235="SP/RP"),"P","H")</f>
        <v/>
      </c>
      <c r="R235">
        <f>IF(F235="",0,IFNA(VLOOKUP(F235,Trait_Polarity!$A:$C,2,FALSE),0))+IF(G235="",0,IFNA(VLOOKUP(G235,Trait_Polarity!$A:$C,2,FALSE),0))</f>
        <v/>
      </c>
      <c r="S235">
        <f>IF(F235="",0,IFNA(VLOOKUP(F235,Trait_Polarity!$A:$C,3,FALSE),0))+IF(G235="",0,IFNA(VLOOKUP(G235,Trait_Polarity!$A:$C,3,FALSE),0))</f>
        <v/>
      </c>
      <c r="T235">
        <f>IF(Q235="P",0,IFNA(VLOOKUP(IF(C235="","(none)",C235),Secondary_Versatility!$A:$B,2,FALSE),0))</f>
        <v/>
      </c>
      <c r="U235">
        <f>IF(H235="",0,LEN(H235)-LEN(SUBSTITUTE(H235,"|",""))+1)</f>
        <v/>
      </c>
      <c r="V235">
        <f>IF(Q235="P",(N235+O235+P235)/3,0.3*I235+0.3*J235+0.2*K235+0.1*L235+0.1*M235)</f>
        <v/>
      </c>
      <c r="W235">
        <f>IF(Q235="P",IF(F235="",0,IFNA(VLOOKUP(F235,Pitcher_Trait_Coef!$A:$B,2,FALSE),0))+IF(G235="",0,IFNA(VLOOKUP(G235,Pitcher_Trait_Coef!$A:$B,2,FALSE),0)),IF(F235="",0,IFNA(VLOOKUP(F235,Hitter_Trait_Coef!$A:$B,2,FALSE),0))+IF(G235="",0,IFNA(VLOOKUP(G235,Hitter_Trait_Coef!$A:$B,2,FALSE),0)))</f>
        <v/>
      </c>
      <c r="X235">
        <f>IF(Q235="P",IFNA(VLOOKUP(B235,Pitcher_Primary_Coef!$A:$B,2,FALSE),0),IFNA(VLOOKUP(B235,Hitter_Primary_Coef!$A:$B,2,FALSE),0))</f>
        <v/>
      </c>
      <c r="Y235">
        <f>IF(Q235="P",0,IFNA(VLOOKUP(IF(C235="","(none)",C235),Hitter_Secondary_Coef!$A:$B,2,FALSE),0))</f>
        <v/>
      </c>
      <c r="Z235">
        <f>IF(Q235="P",IF(ISNUMBER(SEARCH("2F",H235)),IFNA(VLOOKUP("2F",Pitch_Coef!$A:$B,2,FALSE),0),0)+IF(ISNUMBER(SEARCH("4F",H235)),IFNA(VLOOKUP("4F",Pitch_Coef!$A:$B,2,FALSE),0),0)+IF(ISNUMBER(SEARCH("CB",H235)),IFNA(VLOOKUP("CB",Pitch_Coef!$A:$B,2,FALSE),0),0)+IF(ISNUMBER(SEARCH("CF",H235)),IFNA(VLOOKUP("CF",Pitch_Coef!$A:$B,2,FALSE),0),0)+IF(ISNUMBER(SEARCH("CH",H235)),IFNA(VLOOKUP("CH",Pitch_Coef!$A:$B,2,FALSE),0),0)+IF(ISNUMBER(SEARCH("FK",H235)),IFNA(VLOOKUP("FK",Pitch_Coef!$A:$B,2,FALSE),0),0)+IF(ISNUMBER(SEARCH("SB",H235)),IFNA(VLOOKUP("SB",Pitch_Coef!$A:$B,2,FALSE),0),0)+IF(ISNUMBER(SEARCH("SL",H235)),IFNA(VLOOKUP("SL",Pitch_Coef!$A:$B,2,FALSE),0),0),0)</f>
        <v/>
      </c>
      <c r="AA235">
        <f>IF(Q235="P",16.5944849573+0.2529999141*N235+0.2665900378*O235+0.2632687105*P235+0.0427586837*I235+0.0534777057*J235+0.009015832*K235+0.0204898106*(O235*P235/100)+1.0091022427*U235+1.0968542297*IF(D235="L",1,0)+0.3771555045*IF(D235="S",1,0)-0.2226159177*IF(E235="L",1,0)+1.21385024*R235-1.1652812274*S235+W235+X235+Z235,10.5965166711+0.2825983581*I235+0.2806503532*J235+0.2027213083*K235+0.1147824982*L235+0.0915305332*M235-0.0088454122*(I235*J235/100)-0.0336045706*(K235*L235/100)+2.8497389733*IF(D235="L",1,0)+4.5116226727*IF(D235="S",1,0)-0.6571546448*IF(E235="L",1,0)+0.0850728147*T235+0.0129488446*(T235*T235)+0.1909373936*IF(OR(F235="Utility",G235="Utility"),T235,0)+0.9656824071*R235-1.7517683256*S235+W235+X235+Y235)</f>
        <v/>
      </c>
      <c r="AB235">
        <f>LOOKUP(AA235,Grade_Scale!$A$2:$A$18,Grade_Scale!$B$2:$B$18)</f>
        <v/>
      </c>
      <c r="AC235">
        <f>LOOKUP(AA235,Grade_Scale!$A$2:$A$18,Grade_Scale!$C$2:$C$18)</f>
        <v/>
      </c>
      <c r="AE235">
        <f>IF(AD235="","",AB235-VLOOKUP(AD235,Grade_Scale!$C$2:$E$18,3,FALSE))</f>
        <v/>
      </c>
    </row>
    <row r="236">
      <c r="Q236">
        <f>IF(OR(B236="SP",B236="RP",B236="CP",B236="SP/RP"),"P","H")</f>
        <v/>
      </c>
      <c r="R236">
        <f>IF(F236="",0,IFNA(VLOOKUP(F236,Trait_Polarity!$A:$C,2,FALSE),0))+IF(G236="",0,IFNA(VLOOKUP(G236,Trait_Polarity!$A:$C,2,FALSE),0))</f>
        <v/>
      </c>
      <c r="S236">
        <f>IF(F236="",0,IFNA(VLOOKUP(F236,Trait_Polarity!$A:$C,3,FALSE),0))+IF(G236="",0,IFNA(VLOOKUP(G236,Trait_Polarity!$A:$C,3,FALSE),0))</f>
        <v/>
      </c>
      <c r="T236">
        <f>IF(Q236="P",0,IFNA(VLOOKUP(IF(C236="","(none)",C236),Secondary_Versatility!$A:$B,2,FALSE),0))</f>
        <v/>
      </c>
      <c r="U236">
        <f>IF(H236="",0,LEN(H236)-LEN(SUBSTITUTE(H236,"|",""))+1)</f>
        <v/>
      </c>
      <c r="V236">
        <f>IF(Q236="P",(N236+O236+P236)/3,0.3*I236+0.3*J236+0.2*K236+0.1*L236+0.1*M236)</f>
        <v/>
      </c>
      <c r="W236">
        <f>IF(Q236="P",IF(F236="",0,IFNA(VLOOKUP(F236,Pitcher_Trait_Coef!$A:$B,2,FALSE),0))+IF(G236="",0,IFNA(VLOOKUP(G236,Pitcher_Trait_Coef!$A:$B,2,FALSE),0)),IF(F236="",0,IFNA(VLOOKUP(F236,Hitter_Trait_Coef!$A:$B,2,FALSE),0))+IF(G236="",0,IFNA(VLOOKUP(G236,Hitter_Trait_Coef!$A:$B,2,FALSE),0)))</f>
        <v/>
      </c>
      <c r="X236">
        <f>IF(Q236="P",IFNA(VLOOKUP(B236,Pitcher_Primary_Coef!$A:$B,2,FALSE),0),IFNA(VLOOKUP(B236,Hitter_Primary_Coef!$A:$B,2,FALSE),0))</f>
        <v/>
      </c>
      <c r="Y236">
        <f>IF(Q236="P",0,IFNA(VLOOKUP(IF(C236="","(none)",C236),Hitter_Secondary_Coef!$A:$B,2,FALSE),0))</f>
        <v/>
      </c>
      <c r="Z236">
        <f>IF(Q236="P",IF(ISNUMBER(SEARCH("2F",H236)),IFNA(VLOOKUP("2F",Pitch_Coef!$A:$B,2,FALSE),0),0)+IF(ISNUMBER(SEARCH("4F",H236)),IFNA(VLOOKUP("4F",Pitch_Coef!$A:$B,2,FALSE),0),0)+IF(ISNUMBER(SEARCH("CB",H236)),IFNA(VLOOKUP("CB",Pitch_Coef!$A:$B,2,FALSE),0),0)+IF(ISNUMBER(SEARCH("CF",H236)),IFNA(VLOOKUP("CF",Pitch_Coef!$A:$B,2,FALSE),0),0)+IF(ISNUMBER(SEARCH("CH",H236)),IFNA(VLOOKUP("CH",Pitch_Coef!$A:$B,2,FALSE),0),0)+IF(ISNUMBER(SEARCH("FK",H236)),IFNA(VLOOKUP("FK",Pitch_Coef!$A:$B,2,FALSE),0),0)+IF(ISNUMBER(SEARCH("SB",H236)),IFNA(VLOOKUP("SB",Pitch_Coef!$A:$B,2,FALSE),0),0)+IF(ISNUMBER(SEARCH("SL",H236)),IFNA(VLOOKUP("SL",Pitch_Coef!$A:$B,2,FALSE),0),0),0)</f>
        <v/>
      </c>
      <c r="AA236">
        <f>IF(Q236="P",16.5944849573+0.2529999141*N236+0.2665900378*O236+0.2632687105*P236+0.0427586837*I236+0.0534777057*J236+0.009015832*K236+0.0204898106*(O236*P236/100)+1.0091022427*U236+1.0968542297*IF(D236="L",1,0)+0.3771555045*IF(D236="S",1,0)-0.2226159177*IF(E236="L",1,0)+1.21385024*R236-1.1652812274*S236+W236+X236+Z236,10.5965166711+0.2825983581*I236+0.2806503532*J236+0.2027213083*K236+0.1147824982*L236+0.0915305332*M236-0.0088454122*(I236*J236/100)-0.0336045706*(K236*L236/100)+2.8497389733*IF(D236="L",1,0)+4.5116226727*IF(D236="S",1,0)-0.6571546448*IF(E236="L",1,0)+0.0850728147*T236+0.0129488446*(T236*T236)+0.1909373936*IF(OR(F236="Utility",G236="Utility"),T236,0)+0.9656824071*R236-1.7517683256*S236+W236+X236+Y236)</f>
        <v/>
      </c>
      <c r="AB236">
        <f>LOOKUP(AA236,Grade_Scale!$A$2:$A$18,Grade_Scale!$B$2:$B$18)</f>
        <v/>
      </c>
      <c r="AC236">
        <f>LOOKUP(AA236,Grade_Scale!$A$2:$A$18,Grade_Scale!$C$2:$C$18)</f>
        <v/>
      </c>
      <c r="AE236">
        <f>IF(AD236="","",AB236-VLOOKUP(AD236,Grade_Scale!$C$2:$E$18,3,FALSE))</f>
        <v/>
      </c>
    </row>
    <row r="237">
      <c r="Q237">
        <f>IF(OR(B237="SP",B237="RP",B237="CP",B237="SP/RP"),"P","H")</f>
        <v/>
      </c>
      <c r="R237">
        <f>IF(F237="",0,IFNA(VLOOKUP(F237,Trait_Polarity!$A:$C,2,FALSE),0))+IF(G237="",0,IFNA(VLOOKUP(G237,Trait_Polarity!$A:$C,2,FALSE),0))</f>
        <v/>
      </c>
      <c r="S237">
        <f>IF(F237="",0,IFNA(VLOOKUP(F237,Trait_Polarity!$A:$C,3,FALSE),0))+IF(G237="",0,IFNA(VLOOKUP(G237,Trait_Polarity!$A:$C,3,FALSE),0))</f>
        <v/>
      </c>
      <c r="T237">
        <f>IF(Q237="P",0,IFNA(VLOOKUP(IF(C237="","(none)",C237),Secondary_Versatility!$A:$B,2,FALSE),0))</f>
        <v/>
      </c>
      <c r="U237">
        <f>IF(H237="",0,LEN(H237)-LEN(SUBSTITUTE(H237,"|",""))+1)</f>
        <v/>
      </c>
      <c r="V237">
        <f>IF(Q237="P",(N237+O237+P237)/3,0.3*I237+0.3*J237+0.2*K237+0.1*L237+0.1*M237)</f>
        <v/>
      </c>
      <c r="W237">
        <f>IF(Q237="P",IF(F237="",0,IFNA(VLOOKUP(F237,Pitcher_Trait_Coef!$A:$B,2,FALSE),0))+IF(G237="",0,IFNA(VLOOKUP(G237,Pitcher_Trait_Coef!$A:$B,2,FALSE),0)),IF(F237="",0,IFNA(VLOOKUP(F237,Hitter_Trait_Coef!$A:$B,2,FALSE),0))+IF(G237="",0,IFNA(VLOOKUP(G237,Hitter_Trait_Coef!$A:$B,2,FALSE),0)))</f>
        <v/>
      </c>
      <c r="X237">
        <f>IF(Q237="P",IFNA(VLOOKUP(B237,Pitcher_Primary_Coef!$A:$B,2,FALSE),0),IFNA(VLOOKUP(B237,Hitter_Primary_Coef!$A:$B,2,FALSE),0))</f>
        <v/>
      </c>
      <c r="Y237">
        <f>IF(Q237="P",0,IFNA(VLOOKUP(IF(C237="","(none)",C237),Hitter_Secondary_Coef!$A:$B,2,FALSE),0))</f>
        <v/>
      </c>
      <c r="Z237">
        <f>IF(Q237="P",IF(ISNUMBER(SEARCH("2F",H237)),IFNA(VLOOKUP("2F",Pitch_Coef!$A:$B,2,FALSE),0),0)+IF(ISNUMBER(SEARCH("4F",H237)),IFNA(VLOOKUP("4F",Pitch_Coef!$A:$B,2,FALSE),0),0)+IF(ISNUMBER(SEARCH("CB",H237)),IFNA(VLOOKUP("CB",Pitch_Coef!$A:$B,2,FALSE),0),0)+IF(ISNUMBER(SEARCH("CF",H237)),IFNA(VLOOKUP("CF",Pitch_Coef!$A:$B,2,FALSE),0),0)+IF(ISNUMBER(SEARCH("CH",H237)),IFNA(VLOOKUP("CH",Pitch_Coef!$A:$B,2,FALSE),0),0)+IF(ISNUMBER(SEARCH("FK",H237)),IFNA(VLOOKUP("FK",Pitch_Coef!$A:$B,2,FALSE),0),0)+IF(ISNUMBER(SEARCH("SB",H237)),IFNA(VLOOKUP("SB",Pitch_Coef!$A:$B,2,FALSE),0),0)+IF(ISNUMBER(SEARCH("SL",H237)),IFNA(VLOOKUP("SL",Pitch_Coef!$A:$B,2,FALSE),0),0),0)</f>
        <v/>
      </c>
      <c r="AA237">
        <f>IF(Q237="P",16.5944849573+0.2529999141*N237+0.2665900378*O237+0.2632687105*P237+0.0427586837*I237+0.0534777057*J237+0.009015832*K237+0.0204898106*(O237*P237/100)+1.0091022427*U237+1.0968542297*IF(D237="L",1,0)+0.3771555045*IF(D237="S",1,0)-0.2226159177*IF(E237="L",1,0)+1.21385024*R237-1.1652812274*S237+W237+X237+Z237,10.5965166711+0.2825983581*I237+0.2806503532*J237+0.2027213083*K237+0.1147824982*L237+0.0915305332*M237-0.0088454122*(I237*J237/100)-0.0336045706*(K237*L237/100)+2.8497389733*IF(D237="L",1,0)+4.5116226727*IF(D237="S",1,0)-0.6571546448*IF(E237="L",1,0)+0.0850728147*T237+0.0129488446*(T237*T237)+0.1909373936*IF(OR(F237="Utility",G237="Utility"),T237,0)+0.9656824071*R237-1.7517683256*S237+W237+X237+Y237)</f>
        <v/>
      </c>
      <c r="AB237">
        <f>LOOKUP(AA237,Grade_Scale!$A$2:$A$18,Grade_Scale!$B$2:$B$18)</f>
        <v/>
      </c>
      <c r="AC237">
        <f>LOOKUP(AA237,Grade_Scale!$A$2:$A$18,Grade_Scale!$C$2:$C$18)</f>
        <v/>
      </c>
      <c r="AE237">
        <f>IF(AD237="","",AB237-VLOOKUP(AD237,Grade_Scale!$C$2:$E$18,3,FALSE))</f>
        <v/>
      </c>
    </row>
    <row r="238">
      <c r="Q238">
        <f>IF(OR(B238="SP",B238="RP",B238="CP",B238="SP/RP"),"P","H")</f>
        <v/>
      </c>
      <c r="R238">
        <f>IF(F238="",0,IFNA(VLOOKUP(F238,Trait_Polarity!$A:$C,2,FALSE),0))+IF(G238="",0,IFNA(VLOOKUP(G238,Trait_Polarity!$A:$C,2,FALSE),0))</f>
        <v/>
      </c>
      <c r="S238">
        <f>IF(F238="",0,IFNA(VLOOKUP(F238,Trait_Polarity!$A:$C,3,FALSE),0))+IF(G238="",0,IFNA(VLOOKUP(G238,Trait_Polarity!$A:$C,3,FALSE),0))</f>
        <v/>
      </c>
      <c r="T238">
        <f>IF(Q238="P",0,IFNA(VLOOKUP(IF(C238="","(none)",C238),Secondary_Versatility!$A:$B,2,FALSE),0))</f>
        <v/>
      </c>
      <c r="U238">
        <f>IF(H238="",0,LEN(H238)-LEN(SUBSTITUTE(H238,"|",""))+1)</f>
        <v/>
      </c>
      <c r="V238">
        <f>IF(Q238="P",(N238+O238+P238)/3,0.3*I238+0.3*J238+0.2*K238+0.1*L238+0.1*M238)</f>
        <v/>
      </c>
      <c r="W238">
        <f>IF(Q238="P",IF(F238="",0,IFNA(VLOOKUP(F238,Pitcher_Trait_Coef!$A:$B,2,FALSE),0))+IF(G238="",0,IFNA(VLOOKUP(G238,Pitcher_Trait_Coef!$A:$B,2,FALSE),0)),IF(F238="",0,IFNA(VLOOKUP(F238,Hitter_Trait_Coef!$A:$B,2,FALSE),0))+IF(G238="",0,IFNA(VLOOKUP(G238,Hitter_Trait_Coef!$A:$B,2,FALSE),0)))</f>
        <v/>
      </c>
      <c r="X238">
        <f>IF(Q238="P",IFNA(VLOOKUP(B238,Pitcher_Primary_Coef!$A:$B,2,FALSE),0),IFNA(VLOOKUP(B238,Hitter_Primary_Coef!$A:$B,2,FALSE),0))</f>
        <v/>
      </c>
      <c r="Y238">
        <f>IF(Q238="P",0,IFNA(VLOOKUP(IF(C238="","(none)",C238),Hitter_Secondary_Coef!$A:$B,2,FALSE),0))</f>
        <v/>
      </c>
      <c r="Z238">
        <f>IF(Q238="P",IF(ISNUMBER(SEARCH("2F",H238)),IFNA(VLOOKUP("2F",Pitch_Coef!$A:$B,2,FALSE),0),0)+IF(ISNUMBER(SEARCH("4F",H238)),IFNA(VLOOKUP("4F",Pitch_Coef!$A:$B,2,FALSE),0),0)+IF(ISNUMBER(SEARCH("CB",H238)),IFNA(VLOOKUP("CB",Pitch_Coef!$A:$B,2,FALSE),0),0)+IF(ISNUMBER(SEARCH("CF",H238)),IFNA(VLOOKUP("CF",Pitch_Coef!$A:$B,2,FALSE),0),0)+IF(ISNUMBER(SEARCH("CH",H238)),IFNA(VLOOKUP("CH",Pitch_Coef!$A:$B,2,FALSE),0),0)+IF(ISNUMBER(SEARCH("FK",H238)),IFNA(VLOOKUP("FK",Pitch_Coef!$A:$B,2,FALSE),0),0)+IF(ISNUMBER(SEARCH("SB",H238)),IFNA(VLOOKUP("SB",Pitch_Coef!$A:$B,2,FALSE),0),0)+IF(ISNUMBER(SEARCH("SL",H238)),IFNA(VLOOKUP("SL",Pitch_Coef!$A:$B,2,FALSE),0),0),0)</f>
        <v/>
      </c>
      <c r="AA238">
        <f>IF(Q238="P",16.5944849573+0.2529999141*N238+0.2665900378*O238+0.2632687105*P238+0.0427586837*I238+0.0534777057*J238+0.009015832*K238+0.0204898106*(O238*P238/100)+1.0091022427*U238+1.0968542297*IF(D238="L",1,0)+0.3771555045*IF(D238="S",1,0)-0.2226159177*IF(E238="L",1,0)+1.21385024*R238-1.1652812274*S238+W238+X238+Z238,10.5965166711+0.2825983581*I238+0.2806503532*J238+0.2027213083*K238+0.1147824982*L238+0.0915305332*M238-0.0088454122*(I238*J238/100)-0.0336045706*(K238*L238/100)+2.8497389733*IF(D238="L",1,0)+4.5116226727*IF(D238="S",1,0)-0.6571546448*IF(E238="L",1,0)+0.0850728147*T238+0.0129488446*(T238*T238)+0.1909373936*IF(OR(F238="Utility",G238="Utility"),T238,0)+0.9656824071*R238-1.7517683256*S238+W238+X238+Y238)</f>
        <v/>
      </c>
      <c r="AB238">
        <f>LOOKUP(AA238,Grade_Scale!$A$2:$A$18,Grade_Scale!$B$2:$B$18)</f>
        <v/>
      </c>
      <c r="AC238">
        <f>LOOKUP(AA238,Grade_Scale!$A$2:$A$18,Grade_Scale!$C$2:$C$18)</f>
        <v/>
      </c>
      <c r="AE238">
        <f>IF(AD238="","",AB238-VLOOKUP(AD238,Grade_Scale!$C$2:$E$18,3,FALSE))</f>
        <v/>
      </c>
    </row>
    <row r="239">
      <c r="Q239">
        <f>IF(OR(B239="SP",B239="RP",B239="CP",B239="SP/RP"),"P","H")</f>
        <v/>
      </c>
      <c r="R239">
        <f>IF(F239="",0,IFNA(VLOOKUP(F239,Trait_Polarity!$A:$C,2,FALSE),0))+IF(G239="",0,IFNA(VLOOKUP(G239,Trait_Polarity!$A:$C,2,FALSE),0))</f>
        <v/>
      </c>
      <c r="S239">
        <f>IF(F239="",0,IFNA(VLOOKUP(F239,Trait_Polarity!$A:$C,3,FALSE),0))+IF(G239="",0,IFNA(VLOOKUP(G239,Trait_Polarity!$A:$C,3,FALSE),0))</f>
        <v/>
      </c>
      <c r="T239">
        <f>IF(Q239="P",0,IFNA(VLOOKUP(IF(C239="","(none)",C239),Secondary_Versatility!$A:$B,2,FALSE),0))</f>
        <v/>
      </c>
      <c r="U239">
        <f>IF(H239="",0,LEN(H239)-LEN(SUBSTITUTE(H239,"|",""))+1)</f>
        <v/>
      </c>
      <c r="V239">
        <f>IF(Q239="P",(N239+O239+P239)/3,0.3*I239+0.3*J239+0.2*K239+0.1*L239+0.1*M239)</f>
        <v/>
      </c>
      <c r="W239">
        <f>IF(Q239="P",IF(F239="",0,IFNA(VLOOKUP(F239,Pitcher_Trait_Coef!$A:$B,2,FALSE),0))+IF(G239="",0,IFNA(VLOOKUP(G239,Pitcher_Trait_Coef!$A:$B,2,FALSE),0)),IF(F239="",0,IFNA(VLOOKUP(F239,Hitter_Trait_Coef!$A:$B,2,FALSE),0))+IF(G239="",0,IFNA(VLOOKUP(G239,Hitter_Trait_Coef!$A:$B,2,FALSE),0)))</f>
        <v/>
      </c>
      <c r="X239">
        <f>IF(Q239="P",IFNA(VLOOKUP(B239,Pitcher_Primary_Coef!$A:$B,2,FALSE),0),IFNA(VLOOKUP(B239,Hitter_Primary_Coef!$A:$B,2,FALSE),0))</f>
        <v/>
      </c>
      <c r="Y239">
        <f>IF(Q239="P",0,IFNA(VLOOKUP(IF(C239="","(none)",C239),Hitter_Secondary_Coef!$A:$B,2,FALSE),0))</f>
        <v/>
      </c>
      <c r="Z239">
        <f>IF(Q239="P",IF(ISNUMBER(SEARCH("2F",H239)),IFNA(VLOOKUP("2F",Pitch_Coef!$A:$B,2,FALSE),0),0)+IF(ISNUMBER(SEARCH("4F",H239)),IFNA(VLOOKUP("4F",Pitch_Coef!$A:$B,2,FALSE),0),0)+IF(ISNUMBER(SEARCH("CB",H239)),IFNA(VLOOKUP("CB",Pitch_Coef!$A:$B,2,FALSE),0),0)+IF(ISNUMBER(SEARCH("CF",H239)),IFNA(VLOOKUP("CF",Pitch_Coef!$A:$B,2,FALSE),0),0)+IF(ISNUMBER(SEARCH("CH",H239)),IFNA(VLOOKUP("CH",Pitch_Coef!$A:$B,2,FALSE),0),0)+IF(ISNUMBER(SEARCH("FK",H239)),IFNA(VLOOKUP("FK",Pitch_Coef!$A:$B,2,FALSE),0),0)+IF(ISNUMBER(SEARCH("SB",H239)),IFNA(VLOOKUP("SB",Pitch_Coef!$A:$B,2,FALSE),0),0)+IF(ISNUMBER(SEARCH("SL",H239)),IFNA(VLOOKUP("SL",Pitch_Coef!$A:$B,2,FALSE),0),0),0)</f>
        <v/>
      </c>
      <c r="AA239">
        <f>IF(Q239="P",16.5944849573+0.2529999141*N239+0.2665900378*O239+0.2632687105*P239+0.0427586837*I239+0.0534777057*J239+0.009015832*K239+0.0204898106*(O239*P239/100)+1.0091022427*U239+1.0968542297*IF(D239="L",1,0)+0.3771555045*IF(D239="S",1,0)-0.2226159177*IF(E239="L",1,0)+1.21385024*R239-1.1652812274*S239+W239+X239+Z239,10.5965166711+0.2825983581*I239+0.2806503532*J239+0.2027213083*K239+0.1147824982*L239+0.0915305332*M239-0.0088454122*(I239*J239/100)-0.0336045706*(K239*L239/100)+2.8497389733*IF(D239="L",1,0)+4.5116226727*IF(D239="S",1,0)-0.6571546448*IF(E239="L",1,0)+0.0850728147*T239+0.0129488446*(T239*T239)+0.1909373936*IF(OR(F239="Utility",G239="Utility"),T239,0)+0.9656824071*R239-1.7517683256*S239+W239+X239+Y239)</f>
        <v/>
      </c>
      <c r="AB239">
        <f>LOOKUP(AA239,Grade_Scale!$A$2:$A$18,Grade_Scale!$B$2:$B$18)</f>
        <v/>
      </c>
      <c r="AC239">
        <f>LOOKUP(AA239,Grade_Scale!$A$2:$A$18,Grade_Scale!$C$2:$C$18)</f>
        <v/>
      </c>
      <c r="AE239">
        <f>IF(AD239="","",AB239-VLOOKUP(AD239,Grade_Scale!$C$2:$E$18,3,FALSE))</f>
        <v/>
      </c>
    </row>
    <row r="240">
      <c r="Q240">
        <f>IF(OR(B240="SP",B240="RP",B240="CP",B240="SP/RP"),"P","H")</f>
        <v/>
      </c>
      <c r="R240">
        <f>IF(F240="",0,IFNA(VLOOKUP(F240,Trait_Polarity!$A:$C,2,FALSE),0))+IF(G240="",0,IFNA(VLOOKUP(G240,Trait_Polarity!$A:$C,2,FALSE),0))</f>
        <v/>
      </c>
      <c r="S240">
        <f>IF(F240="",0,IFNA(VLOOKUP(F240,Trait_Polarity!$A:$C,3,FALSE),0))+IF(G240="",0,IFNA(VLOOKUP(G240,Trait_Polarity!$A:$C,3,FALSE),0))</f>
        <v/>
      </c>
      <c r="T240">
        <f>IF(Q240="P",0,IFNA(VLOOKUP(IF(C240="","(none)",C240),Secondary_Versatility!$A:$B,2,FALSE),0))</f>
        <v/>
      </c>
      <c r="U240">
        <f>IF(H240="",0,LEN(H240)-LEN(SUBSTITUTE(H240,"|",""))+1)</f>
        <v/>
      </c>
      <c r="V240">
        <f>IF(Q240="P",(N240+O240+P240)/3,0.3*I240+0.3*J240+0.2*K240+0.1*L240+0.1*M240)</f>
        <v/>
      </c>
      <c r="W240">
        <f>IF(Q240="P",IF(F240="",0,IFNA(VLOOKUP(F240,Pitcher_Trait_Coef!$A:$B,2,FALSE),0))+IF(G240="",0,IFNA(VLOOKUP(G240,Pitcher_Trait_Coef!$A:$B,2,FALSE),0)),IF(F240="",0,IFNA(VLOOKUP(F240,Hitter_Trait_Coef!$A:$B,2,FALSE),0))+IF(G240="",0,IFNA(VLOOKUP(G240,Hitter_Trait_Coef!$A:$B,2,FALSE),0)))</f>
        <v/>
      </c>
      <c r="X240">
        <f>IF(Q240="P",IFNA(VLOOKUP(B240,Pitcher_Primary_Coef!$A:$B,2,FALSE),0),IFNA(VLOOKUP(B240,Hitter_Primary_Coef!$A:$B,2,FALSE),0))</f>
        <v/>
      </c>
      <c r="Y240">
        <f>IF(Q240="P",0,IFNA(VLOOKUP(IF(C240="","(none)",C240),Hitter_Secondary_Coef!$A:$B,2,FALSE),0))</f>
        <v/>
      </c>
      <c r="Z240">
        <f>IF(Q240="P",IF(ISNUMBER(SEARCH("2F",H240)),IFNA(VLOOKUP("2F",Pitch_Coef!$A:$B,2,FALSE),0),0)+IF(ISNUMBER(SEARCH("4F",H240)),IFNA(VLOOKUP("4F",Pitch_Coef!$A:$B,2,FALSE),0),0)+IF(ISNUMBER(SEARCH("CB",H240)),IFNA(VLOOKUP("CB",Pitch_Coef!$A:$B,2,FALSE),0),0)+IF(ISNUMBER(SEARCH("CF",H240)),IFNA(VLOOKUP("CF",Pitch_Coef!$A:$B,2,FALSE),0),0)+IF(ISNUMBER(SEARCH("CH",H240)),IFNA(VLOOKUP("CH",Pitch_Coef!$A:$B,2,FALSE),0),0)+IF(ISNUMBER(SEARCH("FK",H240)),IFNA(VLOOKUP("FK",Pitch_Coef!$A:$B,2,FALSE),0),0)+IF(ISNUMBER(SEARCH("SB",H240)),IFNA(VLOOKUP("SB",Pitch_Coef!$A:$B,2,FALSE),0),0)+IF(ISNUMBER(SEARCH("SL",H240)),IFNA(VLOOKUP("SL",Pitch_Coef!$A:$B,2,FALSE),0),0),0)</f>
        <v/>
      </c>
      <c r="AA240">
        <f>IF(Q240="P",16.5944849573+0.2529999141*N240+0.2665900378*O240+0.2632687105*P240+0.0427586837*I240+0.0534777057*J240+0.009015832*K240+0.0204898106*(O240*P240/100)+1.0091022427*U240+1.0968542297*IF(D240="L",1,0)+0.3771555045*IF(D240="S",1,0)-0.2226159177*IF(E240="L",1,0)+1.21385024*R240-1.1652812274*S240+W240+X240+Z240,10.5965166711+0.2825983581*I240+0.2806503532*J240+0.2027213083*K240+0.1147824982*L240+0.0915305332*M240-0.0088454122*(I240*J240/100)-0.0336045706*(K240*L240/100)+2.8497389733*IF(D240="L",1,0)+4.5116226727*IF(D240="S",1,0)-0.6571546448*IF(E240="L",1,0)+0.0850728147*T240+0.0129488446*(T240*T240)+0.1909373936*IF(OR(F240="Utility",G240="Utility"),T240,0)+0.9656824071*R240-1.7517683256*S240+W240+X240+Y240)</f>
        <v/>
      </c>
      <c r="AB240">
        <f>LOOKUP(AA240,Grade_Scale!$A$2:$A$18,Grade_Scale!$B$2:$B$18)</f>
        <v/>
      </c>
      <c r="AC240">
        <f>LOOKUP(AA240,Grade_Scale!$A$2:$A$18,Grade_Scale!$C$2:$C$18)</f>
        <v/>
      </c>
      <c r="AE240">
        <f>IF(AD240="","",AB240-VLOOKUP(AD240,Grade_Scale!$C$2:$E$18,3,FALSE))</f>
        <v/>
      </c>
    </row>
    <row r="241">
      <c r="Q241">
        <f>IF(OR(B241="SP",B241="RP",B241="CP",B241="SP/RP"),"P","H")</f>
        <v/>
      </c>
      <c r="R241">
        <f>IF(F241="",0,IFNA(VLOOKUP(F241,Trait_Polarity!$A:$C,2,FALSE),0))+IF(G241="",0,IFNA(VLOOKUP(G241,Trait_Polarity!$A:$C,2,FALSE),0))</f>
        <v/>
      </c>
      <c r="S241">
        <f>IF(F241="",0,IFNA(VLOOKUP(F241,Trait_Polarity!$A:$C,3,FALSE),0))+IF(G241="",0,IFNA(VLOOKUP(G241,Trait_Polarity!$A:$C,3,FALSE),0))</f>
        <v/>
      </c>
      <c r="T241">
        <f>IF(Q241="P",0,IFNA(VLOOKUP(IF(C241="","(none)",C241),Secondary_Versatility!$A:$B,2,FALSE),0))</f>
        <v/>
      </c>
      <c r="U241">
        <f>IF(H241="",0,LEN(H241)-LEN(SUBSTITUTE(H241,"|",""))+1)</f>
        <v/>
      </c>
      <c r="V241">
        <f>IF(Q241="P",(N241+O241+P241)/3,0.3*I241+0.3*J241+0.2*K241+0.1*L241+0.1*M241)</f>
        <v/>
      </c>
      <c r="W241">
        <f>IF(Q241="P",IF(F241="",0,IFNA(VLOOKUP(F241,Pitcher_Trait_Coef!$A:$B,2,FALSE),0))+IF(G241="",0,IFNA(VLOOKUP(G241,Pitcher_Trait_Coef!$A:$B,2,FALSE),0)),IF(F241="",0,IFNA(VLOOKUP(F241,Hitter_Trait_Coef!$A:$B,2,FALSE),0))+IF(G241="",0,IFNA(VLOOKUP(G241,Hitter_Trait_Coef!$A:$B,2,FALSE),0)))</f>
        <v/>
      </c>
      <c r="X241">
        <f>IF(Q241="P",IFNA(VLOOKUP(B241,Pitcher_Primary_Coef!$A:$B,2,FALSE),0),IFNA(VLOOKUP(B241,Hitter_Primary_Coef!$A:$B,2,FALSE),0))</f>
        <v/>
      </c>
      <c r="Y241">
        <f>IF(Q241="P",0,IFNA(VLOOKUP(IF(C241="","(none)",C241),Hitter_Secondary_Coef!$A:$B,2,FALSE),0))</f>
        <v/>
      </c>
      <c r="Z241">
        <f>IF(Q241="P",IF(ISNUMBER(SEARCH("2F",H241)),IFNA(VLOOKUP("2F",Pitch_Coef!$A:$B,2,FALSE),0),0)+IF(ISNUMBER(SEARCH("4F",H241)),IFNA(VLOOKUP("4F",Pitch_Coef!$A:$B,2,FALSE),0),0)+IF(ISNUMBER(SEARCH("CB",H241)),IFNA(VLOOKUP("CB",Pitch_Coef!$A:$B,2,FALSE),0),0)+IF(ISNUMBER(SEARCH("CF",H241)),IFNA(VLOOKUP("CF",Pitch_Coef!$A:$B,2,FALSE),0),0)+IF(ISNUMBER(SEARCH("CH",H241)),IFNA(VLOOKUP("CH",Pitch_Coef!$A:$B,2,FALSE),0),0)+IF(ISNUMBER(SEARCH("FK",H241)),IFNA(VLOOKUP("FK",Pitch_Coef!$A:$B,2,FALSE),0),0)+IF(ISNUMBER(SEARCH("SB",H241)),IFNA(VLOOKUP("SB",Pitch_Coef!$A:$B,2,FALSE),0),0)+IF(ISNUMBER(SEARCH("SL",H241)),IFNA(VLOOKUP("SL",Pitch_Coef!$A:$B,2,FALSE),0),0),0)</f>
        <v/>
      </c>
      <c r="AA241">
        <f>IF(Q241="P",16.5944849573+0.2529999141*N241+0.2665900378*O241+0.2632687105*P241+0.0427586837*I241+0.0534777057*J241+0.009015832*K241+0.0204898106*(O241*P241/100)+1.0091022427*U241+1.0968542297*IF(D241="L",1,0)+0.3771555045*IF(D241="S",1,0)-0.2226159177*IF(E241="L",1,0)+1.21385024*R241-1.1652812274*S241+W241+X241+Z241,10.5965166711+0.2825983581*I241+0.2806503532*J241+0.2027213083*K241+0.1147824982*L241+0.0915305332*M241-0.0088454122*(I241*J241/100)-0.0336045706*(K241*L241/100)+2.8497389733*IF(D241="L",1,0)+4.5116226727*IF(D241="S",1,0)-0.6571546448*IF(E241="L",1,0)+0.0850728147*T241+0.0129488446*(T241*T241)+0.1909373936*IF(OR(F241="Utility",G241="Utility"),T241,0)+0.9656824071*R241-1.7517683256*S241+W241+X241+Y241)</f>
        <v/>
      </c>
      <c r="AB241">
        <f>LOOKUP(AA241,Grade_Scale!$A$2:$A$18,Grade_Scale!$B$2:$B$18)</f>
        <v/>
      </c>
      <c r="AC241">
        <f>LOOKUP(AA241,Grade_Scale!$A$2:$A$18,Grade_Scale!$C$2:$C$18)</f>
        <v/>
      </c>
      <c r="AE241">
        <f>IF(AD241="","",AB241-VLOOKUP(AD241,Grade_Scale!$C$2:$E$18,3,FALSE))</f>
        <v/>
      </c>
    </row>
    <row r="242">
      <c r="Q242">
        <f>IF(OR(B242="SP",B242="RP",B242="CP",B242="SP/RP"),"P","H")</f>
        <v/>
      </c>
      <c r="R242">
        <f>IF(F242="",0,IFNA(VLOOKUP(F242,Trait_Polarity!$A:$C,2,FALSE),0))+IF(G242="",0,IFNA(VLOOKUP(G242,Trait_Polarity!$A:$C,2,FALSE),0))</f>
        <v/>
      </c>
      <c r="S242">
        <f>IF(F242="",0,IFNA(VLOOKUP(F242,Trait_Polarity!$A:$C,3,FALSE),0))+IF(G242="",0,IFNA(VLOOKUP(G242,Trait_Polarity!$A:$C,3,FALSE),0))</f>
        <v/>
      </c>
      <c r="T242">
        <f>IF(Q242="P",0,IFNA(VLOOKUP(IF(C242="","(none)",C242),Secondary_Versatility!$A:$B,2,FALSE),0))</f>
        <v/>
      </c>
      <c r="U242">
        <f>IF(H242="",0,LEN(H242)-LEN(SUBSTITUTE(H242,"|",""))+1)</f>
        <v/>
      </c>
      <c r="V242">
        <f>IF(Q242="P",(N242+O242+P242)/3,0.3*I242+0.3*J242+0.2*K242+0.1*L242+0.1*M242)</f>
        <v/>
      </c>
      <c r="W242">
        <f>IF(Q242="P",IF(F242="",0,IFNA(VLOOKUP(F242,Pitcher_Trait_Coef!$A:$B,2,FALSE),0))+IF(G242="",0,IFNA(VLOOKUP(G242,Pitcher_Trait_Coef!$A:$B,2,FALSE),0)),IF(F242="",0,IFNA(VLOOKUP(F242,Hitter_Trait_Coef!$A:$B,2,FALSE),0))+IF(G242="",0,IFNA(VLOOKUP(G242,Hitter_Trait_Coef!$A:$B,2,FALSE),0)))</f>
        <v/>
      </c>
      <c r="X242">
        <f>IF(Q242="P",IFNA(VLOOKUP(B242,Pitcher_Primary_Coef!$A:$B,2,FALSE),0),IFNA(VLOOKUP(B242,Hitter_Primary_Coef!$A:$B,2,FALSE),0))</f>
        <v/>
      </c>
      <c r="Y242">
        <f>IF(Q242="P",0,IFNA(VLOOKUP(IF(C242="","(none)",C242),Hitter_Secondary_Coef!$A:$B,2,FALSE),0))</f>
        <v/>
      </c>
      <c r="Z242">
        <f>IF(Q242="P",IF(ISNUMBER(SEARCH("2F",H242)),IFNA(VLOOKUP("2F",Pitch_Coef!$A:$B,2,FALSE),0),0)+IF(ISNUMBER(SEARCH("4F",H242)),IFNA(VLOOKUP("4F",Pitch_Coef!$A:$B,2,FALSE),0),0)+IF(ISNUMBER(SEARCH("CB",H242)),IFNA(VLOOKUP("CB",Pitch_Coef!$A:$B,2,FALSE),0),0)+IF(ISNUMBER(SEARCH("CF",H242)),IFNA(VLOOKUP("CF",Pitch_Coef!$A:$B,2,FALSE),0),0)+IF(ISNUMBER(SEARCH("CH",H242)),IFNA(VLOOKUP("CH",Pitch_Coef!$A:$B,2,FALSE),0),0)+IF(ISNUMBER(SEARCH("FK",H242)),IFNA(VLOOKUP("FK",Pitch_Coef!$A:$B,2,FALSE),0),0)+IF(ISNUMBER(SEARCH("SB",H242)),IFNA(VLOOKUP("SB",Pitch_Coef!$A:$B,2,FALSE),0),0)+IF(ISNUMBER(SEARCH("SL",H242)),IFNA(VLOOKUP("SL",Pitch_Coef!$A:$B,2,FALSE),0),0),0)</f>
        <v/>
      </c>
      <c r="AA242">
        <f>IF(Q242="P",16.5944849573+0.2529999141*N242+0.2665900378*O242+0.2632687105*P242+0.0427586837*I242+0.0534777057*J242+0.009015832*K242+0.0204898106*(O242*P242/100)+1.0091022427*U242+1.0968542297*IF(D242="L",1,0)+0.3771555045*IF(D242="S",1,0)-0.2226159177*IF(E242="L",1,0)+1.21385024*R242-1.1652812274*S242+W242+X242+Z242,10.5965166711+0.2825983581*I242+0.2806503532*J242+0.2027213083*K242+0.1147824982*L242+0.0915305332*M242-0.0088454122*(I242*J242/100)-0.0336045706*(K242*L242/100)+2.8497389733*IF(D242="L",1,0)+4.5116226727*IF(D242="S",1,0)-0.6571546448*IF(E242="L",1,0)+0.0850728147*T242+0.0129488446*(T242*T242)+0.1909373936*IF(OR(F242="Utility",G242="Utility"),T242,0)+0.9656824071*R242-1.7517683256*S242+W242+X242+Y242)</f>
        <v/>
      </c>
      <c r="AB242">
        <f>LOOKUP(AA242,Grade_Scale!$A$2:$A$18,Grade_Scale!$B$2:$B$18)</f>
        <v/>
      </c>
      <c r="AC242">
        <f>LOOKUP(AA242,Grade_Scale!$A$2:$A$18,Grade_Scale!$C$2:$C$18)</f>
        <v/>
      </c>
      <c r="AE242">
        <f>IF(AD242="","",AB242-VLOOKUP(AD242,Grade_Scale!$C$2:$E$18,3,FALSE))</f>
        <v/>
      </c>
    </row>
    <row r="243">
      <c r="Q243">
        <f>IF(OR(B243="SP",B243="RP",B243="CP",B243="SP/RP"),"P","H")</f>
        <v/>
      </c>
      <c r="R243">
        <f>IF(F243="",0,IFNA(VLOOKUP(F243,Trait_Polarity!$A:$C,2,FALSE),0))+IF(G243="",0,IFNA(VLOOKUP(G243,Trait_Polarity!$A:$C,2,FALSE),0))</f>
        <v/>
      </c>
      <c r="S243">
        <f>IF(F243="",0,IFNA(VLOOKUP(F243,Trait_Polarity!$A:$C,3,FALSE),0))+IF(G243="",0,IFNA(VLOOKUP(G243,Trait_Polarity!$A:$C,3,FALSE),0))</f>
        <v/>
      </c>
      <c r="T243">
        <f>IF(Q243="P",0,IFNA(VLOOKUP(IF(C243="","(none)",C243),Secondary_Versatility!$A:$B,2,FALSE),0))</f>
        <v/>
      </c>
      <c r="U243">
        <f>IF(H243="",0,LEN(H243)-LEN(SUBSTITUTE(H243,"|",""))+1)</f>
        <v/>
      </c>
      <c r="V243">
        <f>IF(Q243="P",(N243+O243+P243)/3,0.3*I243+0.3*J243+0.2*K243+0.1*L243+0.1*M243)</f>
        <v/>
      </c>
      <c r="W243">
        <f>IF(Q243="P",IF(F243="",0,IFNA(VLOOKUP(F243,Pitcher_Trait_Coef!$A:$B,2,FALSE),0))+IF(G243="",0,IFNA(VLOOKUP(G243,Pitcher_Trait_Coef!$A:$B,2,FALSE),0)),IF(F243="",0,IFNA(VLOOKUP(F243,Hitter_Trait_Coef!$A:$B,2,FALSE),0))+IF(G243="",0,IFNA(VLOOKUP(G243,Hitter_Trait_Coef!$A:$B,2,FALSE),0)))</f>
        <v/>
      </c>
      <c r="X243">
        <f>IF(Q243="P",IFNA(VLOOKUP(B243,Pitcher_Primary_Coef!$A:$B,2,FALSE),0),IFNA(VLOOKUP(B243,Hitter_Primary_Coef!$A:$B,2,FALSE),0))</f>
        <v/>
      </c>
      <c r="Y243">
        <f>IF(Q243="P",0,IFNA(VLOOKUP(IF(C243="","(none)",C243),Hitter_Secondary_Coef!$A:$B,2,FALSE),0))</f>
        <v/>
      </c>
      <c r="Z243">
        <f>IF(Q243="P",IF(ISNUMBER(SEARCH("2F",H243)),IFNA(VLOOKUP("2F",Pitch_Coef!$A:$B,2,FALSE),0),0)+IF(ISNUMBER(SEARCH("4F",H243)),IFNA(VLOOKUP("4F",Pitch_Coef!$A:$B,2,FALSE),0),0)+IF(ISNUMBER(SEARCH("CB",H243)),IFNA(VLOOKUP("CB",Pitch_Coef!$A:$B,2,FALSE),0),0)+IF(ISNUMBER(SEARCH("CF",H243)),IFNA(VLOOKUP("CF",Pitch_Coef!$A:$B,2,FALSE),0),0)+IF(ISNUMBER(SEARCH("CH",H243)),IFNA(VLOOKUP("CH",Pitch_Coef!$A:$B,2,FALSE),0),0)+IF(ISNUMBER(SEARCH("FK",H243)),IFNA(VLOOKUP("FK",Pitch_Coef!$A:$B,2,FALSE),0),0)+IF(ISNUMBER(SEARCH("SB",H243)),IFNA(VLOOKUP("SB",Pitch_Coef!$A:$B,2,FALSE),0),0)+IF(ISNUMBER(SEARCH("SL",H243)),IFNA(VLOOKUP("SL",Pitch_Coef!$A:$B,2,FALSE),0),0),0)</f>
        <v/>
      </c>
      <c r="AA243">
        <f>IF(Q243="P",16.5944849573+0.2529999141*N243+0.2665900378*O243+0.2632687105*P243+0.0427586837*I243+0.0534777057*J243+0.009015832*K243+0.0204898106*(O243*P243/100)+1.0091022427*U243+1.0968542297*IF(D243="L",1,0)+0.3771555045*IF(D243="S",1,0)-0.2226159177*IF(E243="L",1,0)+1.21385024*R243-1.1652812274*S243+W243+X243+Z243,10.5965166711+0.2825983581*I243+0.2806503532*J243+0.2027213083*K243+0.1147824982*L243+0.0915305332*M243-0.0088454122*(I243*J243/100)-0.0336045706*(K243*L243/100)+2.8497389733*IF(D243="L",1,0)+4.5116226727*IF(D243="S",1,0)-0.6571546448*IF(E243="L",1,0)+0.0850728147*T243+0.0129488446*(T243*T243)+0.1909373936*IF(OR(F243="Utility",G243="Utility"),T243,0)+0.9656824071*R243-1.7517683256*S243+W243+X243+Y243)</f>
        <v/>
      </c>
      <c r="AB243">
        <f>LOOKUP(AA243,Grade_Scale!$A$2:$A$18,Grade_Scale!$B$2:$B$18)</f>
        <v/>
      </c>
      <c r="AC243">
        <f>LOOKUP(AA243,Grade_Scale!$A$2:$A$18,Grade_Scale!$C$2:$C$18)</f>
        <v/>
      </c>
      <c r="AE243">
        <f>IF(AD243="","",AB243-VLOOKUP(AD243,Grade_Scale!$C$2:$E$18,3,FALSE))</f>
        <v/>
      </c>
    </row>
    <row r="244">
      <c r="Q244">
        <f>IF(OR(B244="SP",B244="RP",B244="CP",B244="SP/RP"),"P","H")</f>
        <v/>
      </c>
      <c r="R244">
        <f>IF(F244="",0,IFNA(VLOOKUP(F244,Trait_Polarity!$A:$C,2,FALSE),0))+IF(G244="",0,IFNA(VLOOKUP(G244,Trait_Polarity!$A:$C,2,FALSE),0))</f>
        <v/>
      </c>
      <c r="S244">
        <f>IF(F244="",0,IFNA(VLOOKUP(F244,Trait_Polarity!$A:$C,3,FALSE),0))+IF(G244="",0,IFNA(VLOOKUP(G244,Trait_Polarity!$A:$C,3,FALSE),0))</f>
        <v/>
      </c>
      <c r="T244">
        <f>IF(Q244="P",0,IFNA(VLOOKUP(IF(C244="","(none)",C244),Secondary_Versatility!$A:$B,2,FALSE),0))</f>
        <v/>
      </c>
      <c r="U244">
        <f>IF(H244="",0,LEN(H244)-LEN(SUBSTITUTE(H244,"|",""))+1)</f>
        <v/>
      </c>
      <c r="V244">
        <f>IF(Q244="P",(N244+O244+P244)/3,0.3*I244+0.3*J244+0.2*K244+0.1*L244+0.1*M244)</f>
        <v/>
      </c>
      <c r="W244">
        <f>IF(Q244="P",IF(F244="",0,IFNA(VLOOKUP(F244,Pitcher_Trait_Coef!$A:$B,2,FALSE),0))+IF(G244="",0,IFNA(VLOOKUP(G244,Pitcher_Trait_Coef!$A:$B,2,FALSE),0)),IF(F244="",0,IFNA(VLOOKUP(F244,Hitter_Trait_Coef!$A:$B,2,FALSE),0))+IF(G244="",0,IFNA(VLOOKUP(G244,Hitter_Trait_Coef!$A:$B,2,FALSE),0)))</f>
        <v/>
      </c>
      <c r="X244">
        <f>IF(Q244="P",IFNA(VLOOKUP(B244,Pitcher_Primary_Coef!$A:$B,2,FALSE),0),IFNA(VLOOKUP(B244,Hitter_Primary_Coef!$A:$B,2,FALSE),0))</f>
        <v/>
      </c>
      <c r="Y244">
        <f>IF(Q244="P",0,IFNA(VLOOKUP(IF(C244="","(none)",C244),Hitter_Secondary_Coef!$A:$B,2,FALSE),0))</f>
        <v/>
      </c>
      <c r="Z244">
        <f>IF(Q244="P",IF(ISNUMBER(SEARCH("2F",H244)),IFNA(VLOOKUP("2F",Pitch_Coef!$A:$B,2,FALSE),0),0)+IF(ISNUMBER(SEARCH("4F",H244)),IFNA(VLOOKUP("4F",Pitch_Coef!$A:$B,2,FALSE),0),0)+IF(ISNUMBER(SEARCH("CB",H244)),IFNA(VLOOKUP("CB",Pitch_Coef!$A:$B,2,FALSE),0),0)+IF(ISNUMBER(SEARCH("CF",H244)),IFNA(VLOOKUP("CF",Pitch_Coef!$A:$B,2,FALSE),0),0)+IF(ISNUMBER(SEARCH("CH",H244)),IFNA(VLOOKUP("CH",Pitch_Coef!$A:$B,2,FALSE),0),0)+IF(ISNUMBER(SEARCH("FK",H244)),IFNA(VLOOKUP("FK",Pitch_Coef!$A:$B,2,FALSE),0),0)+IF(ISNUMBER(SEARCH("SB",H244)),IFNA(VLOOKUP("SB",Pitch_Coef!$A:$B,2,FALSE),0),0)+IF(ISNUMBER(SEARCH("SL",H244)),IFNA(VLOOKUP("SL",Pitch_Coef!$A:$B,2,FALSE),0),0),0)</f>
        <v/>
      </c>
      <c r="AA244">
        <f>IF(Q244="P",16.5944849573+0.2529999141*N244+0.2665900378*O244+0.2632687105*P244+0.0427586837*I244+0.0534777057*J244+0.009015832*K244+0.0204898106*(O244*P244/100)+1.0091022427*U244+1.0968542297*IF(D244="L",1,0)+0.3771555045*IF(D244="S",1,0)-0.2226159177*IF(E244="L",1,0)+1.21385024*R244-1.1652812274*S244+W244+X244+Z244,10.5965166711+0.2825983581*I244+0.2806503532*J244+0.2027213083*K244+0.1147824982*L244+0.0915305332*M244-0.0088454122*(I244*J244/100)-0.0336045706*(K244*L244/100)+2.8497389733*IF(D244="L",1,0)+4.5116226727*IF(D244="S",1,0)-0.6571546448*IF(E244="L",1,0)+0.0850728147*T244+0.0129488446*(T244*T244)+0.1909373936*IF(OR(F244="Utility",G244="Utility"),T244,0)+0.9656824071*R244-1.7517683256*S244+W244+X244+Y244)</f>
        <v/>
      </c>
      <c r="AB244">
        <f>LOOKUP(AA244,Grade_Scale!$A$2:$A$18,Grade_Scale!$B$2:$B$18)</f>
        <v/>
      </c>
      <c r="AC244">
        <f>LOOKUP(AA244,Grade_Scale!$A$2:$A$18,Grade_Scale!$C$2:$C$18)</f>
        <v/>
      </c>
      <c r="AE244">
        <f>IF(AD244="","",AB244-VLOOKUP(AD244,Grade_Scale!$C$2:$E$18,3,FALSE))</f>
        <v/>
      </c>
    </row>
    <row r="245">
      <c r="Q245">
        <f>IF(OR(B245="SP",B245="RP",B245="CP",B245="SP/RP"),"P","H")</f>
        <v/>
      </c>
      <c r="R245">
        <f>IF(F245="",0,IFNA(VLOOKUP(F245,Trait_Polarity!$A:$C,2,FALSE),0))+IF(G245="",0,IFNA(VLOOKUP(G245,Trait_Polarity!$A:$C,2,FALSE),0))</f>
        <v/>
      </c>
      <c r="S245">
        <f>IF(F245="",0,IFNA(VLOOKUP(F245,Trait_Polarity!$A:$C,3,FALSE),0))+IF(G245="",0,IFNA(VLOOKUP(G245,Trait_Polarity!$A:$C,3,FALSE),0))</f>
        <v/>
      </c>
      <c r="T245">
        <f>IF(Q245="P",0,IFNA(VLOOKUP(IF(C245="","(none)",C245),Secondary_Versatility!$A:$B,2,FALSE),0))</f>
        <v/>
      </c>
      <c r="U245">
        <f>IF(H245="",0,LEN(H245)-LEN(SUBSTITUTE(H245,"|",""))+1)</f>
        <v/>
      </c>
      <c r="V245">
        <f>IF(Q245="P",(N245+O245+P245)/3,0.3*I245+0.3*J245+0.2*K245+0.1*L245+0.1*M245)</f>
        <v/>
      </c>
      <c r="W245">
        <f>IF(Q245="P",IF(F245="",0,IFNA(VLOOKUP(F245,Pitcher_Trait_Coef!$A:$B,2,FALSE),0))+IF(G245="",0,IFNA(VLOOKUP(G245,Pitcher_Trait_Coef!$A:$B,2,FALSE),0)),IF(F245="",0,IFNA(VLOOKUP(F245,Hitter_Trait_Coef!$A:$B,2,FALSE),0))+IF(G245="",0,IFNA(VLOOKUP(G245,Hitter_Trait_Coef!$A:$B,2,FALSE),0)))</f>
        <v/>
      </c>
      <c r="X245">
        <f>IF(Q245="P",IFNA(VLOOKUP(B245,Pitcher_Primary_Coef!$A:$B,2,FALSE),0),IFNA(VLOOKUP(B245,Hitter_Primary_Coef!$A:$B,2,FALSE),0))</f>
        <v/>
      </c>
      <c r="Y245">
        <f>IF(Q245="P",0,IFNA(VLOOKUP(IF(C245="","(none)",C245),Hitter_Secondary_Coef!$A:$B,2,FALSE),0))</f>
        <v/>
      </c>
      <c r="Z245">
        <f>IF(Q245="P",IF(ISNUMBER(SEARCH("2F",H245)),IFNA(VLOOKUP("2F",Pitch_Coef!$A:$B,2,FALSE),0),0)+IF(ISNUMBER(SEARCH("4F",H245)),IFNA(VLOOKUP("4F",Pitch_Coef!$A:$B,2,FALSE),0),0)+IF(ISNUMBER(SEARCH("CB",H245)),IFNA(VLOOKUP("CB",Pitch_Coef!$A:$B,2,FALSE),0),0)+IF(ISNUMBER(SEARCH("CF",H245)),IFNA(VLOOKUP("CF",Pitch_Coef!$A:$B,2,FALSE),0),0)+IF(ISNUMBER(SEARCH("CH",H245)),IFNA(VLOOKUP("CH",Pitch_Coef!$A:$B,2,FALSE),0),0)+IF(ISNUMBER(SEARCH("FK",H245)),IFNA(VLOOKUP("FK",Pitch_Coef!$A:$B,2,FALSE),0),0)+IF(ISNUMBER(SEARCH("SB",H245)),IFNA(VLOOKUP("SB",Pitch_Coef!$A:$B,2,FALSE),0),0)+IF(ISNUMBER(SEARCH("SL",H245)),IFNA(VLOOKUP("SL",Pitch_Coef!$A:$B,2,FALSE),0),0),0)</f>
        <v/>
      </c>
      <c r="AA245">
        <f>IF(Q245="P",16.5944849573+0.2529999141*N245+0.2665900378*O245+0.2632687105*P245+0.0427586837*I245+0.0534777057*J245+0.009015832*K245+0.0204898106*(O245*P245/100)+1.0091022427*U245+1.0968542297*IF(D245="L",1,0)+0.3771555045*IF(D245="S",1,0)-0.2226159177*IF(E245="L",1,0)+1.21385024*R245-1.1652812274*S245+W245+X245+Z245,10.5965166711+0.2825983581*I245+0.2806503532*J245+0.2027213083*K245+0.1147824982*L245+0.0915305332*M245-0.0088454122*(I245*J245/100)-0.0336045706*(K245*L245/100)+2.8497389733*IF(D245="L",1,0)+4.5116226727*IF(D245="S",1,0)-0.6571546448*IF(E245="L",1,0)+0.0850728147*T245+0.0129488446*(T245*T245)+0.1909373936*IF(OR(F245="Utility",G245="Utility"),T245,0)+0.9656824071*R245-1.7517683256*S245+W245+X245+Y245)</f>
        <v/>
      </c>
      <c r="AB245">
        <f>LOOKUP(AA245,Grade_Scale!$A$2:$A$18,Grade_Scale!$B$2:$B$18)</f>
        <v/>
      </c>
      <c r="AC245">
        <f>LOOKUP(AA245,Grade_Scale!$A$2:$A$18,Grade_Scale!$C$2:$C$18)</f>
        <v/>
      </c>
      <c r="AE245">
        <f>IF(AD245="","",AB245-VLOOKUP(AD245,Grade_Scale!$C$2:$E$18,3,FALSE))</f>
        <v/>
      </c>
    </row>
    <row r="246">
      <c r="Q246">
        <f>IF(OR(B246="SP",B246="RP",B246="CP",B246="SP/RP"),"P","H")</f>
        <v/>
      </c>
      <c r="R246">
        <f>IF(F246="",0,IFNA(VLOOKUP(F246,Trait_Polarity!$A:$C,2,FALSE),0))+IF(G246="",0,IFNA(VLOOKUP(G246,Trait_Polarity!$A:$C,2,FALSE),0))</f>
        <v/>
      </c>
      <c r="S246">
        <f>IF(F246="",0,IFNA(VLOOKUP(F246,Trait_Polarity!$A:$C,3,FALSE),0))+IF(G246="",0,IFNA(VLOOKUP(G246,Trait_Polarity!$A:$C,3,FALSE),0))</f>
        <v/>
      </c>
      <c r="T246">
        <f>IF(Q246="P",0,IFNA(VLOOKUP(IF(C246="","(none)",C246),Secondary_Versatility!$A:$B,2,FALSE),0))</f>
        <v/>
      </c>
      <c r="U246">
        <f>IF(H246="",0,LEN(H246)-LEN(SUBSTITUTE(H246,"|",""))+1)</f>
        <v/>
      </c>
      <c r="V246">
        <f>IF(Q246="P",(N246+O246+P246)/3,0.3*I246+0.3*J246+0.2*K246+0.1*L246+0.1*M246)</f>
        <v/>
      </c>
      <c r="W246">
        <f>IF(Q246="P",IF(F246="",0,IFNA(VLOOKUP(F246,Pitcher_Trait_Coef!$A:$B,2,FALSE),0))+IF(G246="",0,IFNA(VLOOKUP(G246,Pitcher_Trait_Coef!$A:$B,2,FALSE),0)),IF(F246="",0,IFNA(VLOOKUP(F246,Hitter_Trait_Coef!$A:$B,2,FALSE),0))+IF(G246="",0,IFNA(VLOOKUP(G246,Hitter_Trait_Coef!$A:$B,2,FALSE),0)))</f>
        <v/>
      </c>
      <c r="X246">
        <f>IF(Q246="P",IFNA(VLOOKUP(B246,Pitcher_Primary_Coef!$A:$B,2,FALSE),0),IFNA(VLOOKUP(B246,Hitter_Primary_Coef!$A:$B,2,FALSE),0))</f>
        <v/>
      </c>
      <c r="Y246">
        <f>IF(Q246="P",0,IFNA(VLOOKUP(IF(C246="","(none)",C246),Hitter_Secondary_Coef!$A:$B,2,FALSE),0))</f>
        <v/>
      </c>
      <c r="Z246">
        <f>IF(Q246="P",IF(ISNUMBER(SEARCH("2F",H246)),IFNA(VLOOKUP("2F",Pitch_Coef!$A:$B,2,FALSE),0),0)+IF(ISNUMBER(SEARCH("4F",H246)),IFNA(VLOOKUP("4F",Pitch_Coef!$A:$B,2,FALSE),0),0)+IF(ISNUMBER(SEARCH("CB",H246)),IFNA(VLOOKUP("CB",Pitch_Coef!$A:$B,2,FALSE),0),0)+IF(ISNUMBER(SEARCH("CF",H246)),IFNA(VLOOKUP("CF",Pitch_Coef!$A:$B,2,FALSE),0),0)+IF(ISNUMBER(SEARCH("CH",H246)),IFNA(VLOOKUP("CH",Pitch_Coef!$A:$B,2,FALSE),0),0)+IF(ISNUMBER(SEARCH("FK",H246)),IFNA(VLOOKUP("FK",Pitch_Coef!$A:$B,2,FALSE),0),0)+IF(ISNUMBER(SEARCH("SB",H246)),IFNA(VLOOKUP("SB",Pitch_Coef!$A:$B,2,FALSE),0),0)+IF(ISNUMBER(SEARCH("SL",H246)),IFNA(VLOOKUP("SL",Pitch_Coef!$A:$B,2,FALSE),0),0),0)</f>
        <v/>
      </c>
      <c r="AA246">
        <f>IF(Q246="P",16.5944849573+0.2529999141*N246+0.2665900378*O246+0.2632687105*P246+0.0427586837*I246+0.0534777057*J246+0.009015832*K246+0.0204898106*(O246*P246/100)+1.0091022427*U246+1.0968542297*IF(D246="L",1,0)+0.3771555045*IF(D246="S",1,0)-0.2226159177*IF(E246="L",1,0)+1.21385024*R246-1.1652812274*S246+W246+X246+Z246,10.5965166711+0.2825983581*I246+0.2806503532*J246+0.2027213083*K246+0.1147824982*L246+0.0915305332*M246-0.0088454122*(I246*J246/100)-0.0336045706*(K246*L246/100)+2.8497389733*IF(D246="L",1,0)+4.5116226727*IF(D246="S",1,0)-0.6571546448*IF(E246="L",1,0)+0.0850728147*T246+0.0129488446*(T246*T246)+0.1909373936*IF(OR(F246="Utility",G246="Utility"),T246,0)+0.9656824071*R246-1.7517683256*S246+W246+X246+Y246)</f>
        <v/>
      </c>
      <c r="AB246">
        <f>LOOKUP(AA246,Grade_Scale!$A$2:$A$18,Grade_Scale!$B$2:$B$18)</f>
        <v/>
      </c>
      <c r="AC246">
        <f>LOOKUP(AA246,Grade_Scale!$A$2:$A$18,Grade_Scale!$C$2:$C$18)</f>
        <v/>
      </c>
      <c r="AE246">
        <f>IF(AD246="","",AB246-VLOOKUP(AD246,Grade_Scale!$C$2:$E$18,3,FALSE))</f>
        <v/>
      </c>
    </row>
    <row r="247">
      <c r="Q247">
        <f>IF(OR(B247="SP",B247="RP",B247="CP",B247="SP/RP"),"P","H")</f>
        <v/>
      </c>
      <c r="R247">
        <f>IF(F247="",0,IFNA(VLOOKUP(F247,Trait_Polarity!$A:$C,2,FALSE),0))+IF(G247="",0,IFNA(VLOOKUP(G247,Trait_Polarity!$A:$C,2,FALSE),0))</f>
        <v/>
      </c>
      <c r="S247">
        <f>IF(F247="",0,IFNA(VLOOKUP(F247,Trait_Polarity!$A:$C,3,FALSE),0))+IF(G247="",0,IFNA(VLOOKUP(G247,Trait_Polarity!$A:$C,3,FALSE),0))</f>
        <v/>
      </c>
      <c r="T247">
        <f>IF(Q247="P",0,IFNA(VLOOKUP(IF(C247="","(none)",C247),Secondary_Versatility!$A:$B,2,FALSE),0))</f>
        <v/>
      </c>
      <c r="U247">
        <f>IF(H247="",0,LEN(H247)-LEN(SUBSTITUTE(H247,"|",""))+1)</f>
        <v/>
      </c>
      <c r="V247">
        <f>IF(Q247="P",(N247+O247+P247)/3,0.3*I247+0.3*J247+0.2*K247+0.1*L247+0.1*M247)</f>
        <v/>
      </c>
      <c r="W247">
        <f>IF(Q247="P",IF(F247="",0,IFNA(VLOOKUP(F247,Pitcher_Trait_Coef!$A:$B,2,FALSE),0))+IF(G247="",0,IFNA(VLOOKUP(G247,Pitcher_Trait_Coef!$A:$B,2,FALSE),0)),IF(F247="",0,IFNA(VLOOKUP(F247,Hitter_Trait_Coef!$A:$B,2,FALSE),0))+IF(G247="",0,IFNA(VLOOKUP(G247,Hitter_Trait_Coef!$A:$B,2,FALSE),0)))</f>
        <v/>
      </c>
      <c r="X247">
        <f>IF(Q247="P",IFNA(VLOOKUP(B247,Pitcher_Primary_Coef!$A:$B,2,FALSE),0),IFNA(VLOOKUP(B247,Hitter_Primary_Coef!$A:$B,2,FALSE),0))</f>
        <v/>
      </c>
      <c r="Y247">
        <f>IF(Q247="P",0,IFNA(VLOOKUP(IF(C247="","(none)",C247),Hitter_Secondary_Coef!$A:$B,2,FALSE),0))</f>
        <v/>
      </c>
      <c r="Z247">
        <f>IF(Q247="P",IF(ISNUMBER(SEARCH("2F",H247)),IFNA(VLOOKUP("2F",Pitch_Coef!$A:$B,2,FALSE),0),0)+IF(ISNUMBER(SEARCH("4F",H247)),IFNA(VLOOKUP("4F",Pitch_Coef!$A:$B,2,FALSE),0),0)+IF(ISNUMBER(SEARCH("CB",H247)),IFNA(VLOOKUP("CB",Pitch_Coef!$A:$B,2,FALSE),0),0)+IF(ISNUMBER(SEARCH("CF",H247)),IFNA(VLOOKUP("CF",Pitch_Coef!$A:$B,2,FALSE),0),0)+IF(ISNUMBER(SEARCH("CH",H247)),IFNA(VLOOKUP("CH",Pitch_Coef!$A:$B,2,FALSE),0),0)+IF(ISNUMBER(SEARCH("FK",H247)),IFNA(VLOOKUP("FK",Pitch_Coef!$A:$B,2,FALSE),0),0)+IF(ISNUMBER(SEARCH("SB",H247)),IFNA(VLOOKUP("SB",Pitch_Coef!$A:$B,2,FALSE),0),0)+IF(ISNUMBER(SEARCH("SL",H247)),IFNA(VLOOKUP("SL",Pitch_Coef!$A:$B,2,FALSE),0),0),0)</f>
        <v/>
      </c>
      <c r="AA247">
        <f>IF(Q247="P",16.5944849573+0.2529999141*N247+0.2665900378*O247+0.2632687105*P247+0.0427586837*I247+0.0534777057*J247+0.009015832*K247+0.0204898106*(O247*P247/100)+1.0091022427*U247+1.0968542297*IF(D247="L",1,0)+0.3771555045*IF(D247="S",1,0)-0.2226159177*IF(E247="L",1,0)+1.21385024*R247-1.1652812274*S247+W247+X247+Z247,10.5965166711+0.2825983581*I247+0.2806503532*J247+0.2027213083*K247+0.1147824982*L247+0.0915305332*M247-0.0088454122*(I247*J247/100)-0.0336045706*(K247*L247/100)+2.8497389733*IF(D247="L",1,0)+4.5116226727*IF(D247="S",1,0)-0.6571546448*IF(E247="L",1,0)+0.0850728147*T247+0.0129488446*(T247*T247)+0.1909373936*IF(OR(F247="Utility",G247="Utility"),T247,0)+0.9656824071*R247-1.7517683256*S247+W247+X247+Y247)</f>
        <v/>
      </c>
      <c r="AB247">
        <f>LOOKUP(AA247,Grade_Scale!$A$2:$A$18,Grade_Scale!$B$2:$B$18)</f>
        <v/>
      </c>
      <c r="AC247">
        <f>LOOKUP(AA247,Grade_Scale!$A$2:$A$18,Grade_Scale!$C$2:$C$18)</f>
        <v/>
      </c>
      <c r="AE247">
        <f>IF(AD247="","",AB247-VLOOKUP(AD247,Grade_Scale!$C$2:$E$18,3,FALSE))</f>
        <v/>
      </c>
    </row>
    <row r="248">
      <c r="Q248">
        <f>IF(OR(B248="SP",B248="RP",B248="CP",B248="SP/RP"),"P","H")</f>
        <v/>
      </c>
      <c r="R248">
        <f>IF(F248="",0,IFNA(VLOOKUP(F248,Trait_Polarity!$A:$C,2,FALSE),0))+IF(G248="",0,IFNA(VLOOKUP(G248,Trait_Polarity!$A:$C,2,FALSE),0))</f>
        <v/>
      </c>
      <c r="S248">
        <f>IF(F248="",0,IFNA(VLOOKUP(F248,Trait_Polarity!$A:$C,3,FALSE),0))+IF(G248="",0,IFNA(VLOOKUP(G248,Trait_Polarity!$A:$C,3,FALSE),0))</f>
        <v/>
      </c>
      <c r="T248">
        <f>IF(Q248="P",0,IFNA(VLOOKUP(IF(C248="","(none)",C248),Secondary_Versatility!$A:$B,2,FALSE),0))</f>
        <v/>
      </c>
      <c r="U248">
        <f>IF(H248="",0,LEN(H248)-LEN(SUBSTITUTE(H248,"|",""))+1)</f>
        <v/>
      </c>
      <c r="V248">
        <f>IF(Q248="P",(N248+O248+P248)/3,0.3*I248+0.3*J248+0.2*K248+0.1*L248+0.1*M248)</f>
        <v/>
      </c>
      <c r="W248">
        <f>IF(Q248="P",IF(F248="",0,IFNA(VLOOKUP(F248,Pitcher_Trait_Coef!$A:$B,2,FALSE),0))+IF(G248="",0,IFNA(VLOOKUP(G248,Pitcher_Trait_Coef!$A:$B,2,FALSE),0)),IF(F248="",0,IFNA(VLOOKUP(F248,Hitter_Trait_Coef!$A:$B,2,FALSE),0))+IF(G248="",0,IFNA(VLOOKUP(G248,Hitter_Trait_Coef!$A:$B,2,FALSE),0)))</f>
        <v/>
      </c>
      <c r="X248">
        <f>IF(Q248="P",IFNA(VLOOKUP(B248,Pitcher_Primary_Coef!$A:$B,2,FALSE),0),IFNA(VLOOKUP(B248,Hitter_Primary_Coef!$A:$B,2,FALSE),0))</f>
        <v/>
      </c>
      <c r="Y248">
        <f>IF(Q248="P",0,IFNA(VLOOKUP(IF(C248="","(none)",C248),Hitter_Secondary_Coef!$A:$B,2,FALSE),0))</f>
        <v/>
      </c>
      <c r="Z248">
        <f>IF(Q248="P",IF(ISNUMBER(SEARCH("2F",H248)),IFNA(VLOOKUP("2F",Pitch_Coef!$A:$B,2,FALSE),0),0)+IF(ISNUMBER(SEARCH("4F",H248)),IFNA(VLOOKUP("4F",Pitch_Coef!$A:$B,2,FALSE),0),0)+IF(ISNUMBER(SEARCH("CB",H248)),IFNA(VLOOKUP("CB",Pitch_Coef!$A:$B,2,FALSE),0),0)+IF(ISNUMBER(SEARCH("CF",H248)),IFNA(VLOOKUP("CF",Pitch_Coef!$A:$B,2,FALSE),0),0)+IF(ISNUMBER(SEARCH("CH",H248)),IFNA(VLOOKUP("CH",Pitch_Coef!$A:$B,2,FALSE),0),0)+IF(ISNUMBER(SEARCH("FK",H248)),IFNA(VLOOKUP("FK",Pitch_Coef!$A:$B,2,FALSE),0),0)+IF(ISNUMBER(SEARCH("SB",H248)),IFNA(VLOOKUP("SB",Pitch_Coef!$A:$B,2,FALSE),0),0)+IF(ISNUMBER(SEARCH("SL",H248)),IFNA(VLOOKUP("SL",Pitch_Coef!$A:$B,2,FALSE),0),0),0)</f>
        <v/>
      </c>
      <c r="AA248">
        <f>IF(Q248="P",16.5944849573+0.2529999141*N248+0.2665900378*O248+0.2632687105*P248+0.0427586837*I248+0.0534777057*J248+0.009015832*K248+0.0204898106*(O248*P248/100)+1.0091022427*U248+1.0968542297*IF(D248="L",1,0)+0.3771555045*IF(D248="S",1,0)-0.2226159177*IF(E248="L",1,0)+1.21385024*R248-1.1652812274*S248+W248+X248+Z248,10.5965166711+0.2825983581*I248+0.2806503532*J248+0.2027213083*K248+0.1147824982*L248+0.0915305332*M248-0.0088454122*(I248*J248/100)-0.0336045706*(K248*L248/100)+2.8497389733*IF(D248="L",1,0)+4.5116226727*IF(D248="S",1,0)-0.6571546448*IF(E248="L",1,0)+0.0850728147*T248+0.0129488446*(T248*T248)+0.1909373936*IF(OR(F248="Utility",G248="Utility"),T248,0)+0.9656824071*R248-1.7517683256*S248+W248+X248+Y248)</f>
        <v/>
      </c>
      <c r="AB248">
        <f>LOOKUP(AA248,Grade_Scale!$A$2:$A$18,Grade_Scale!$B$2:$B$18)</f>
        <v/>
      </c>
      <c r="AC248">
        <f>LOOKUP(AA248,Grade_Scale!$A$2:$A$18,Grade_Scale!$C$2:$C$18)</f>
        <v/>
      </c>
      <c r="AE248">
        <f>IF(AD248="","",AB248-VLOOKUP(AD248,Grade_Scale!$C$2:$E$18,3,FALSE))</f>
        <v/>
      </c>
    </row>
    <row r="249">
      <c r="Q249">
        <f>IF(OR(B249="SP",B249="RP",B249="CP",B249="SP/RP"),"P","H")</f>
        <v/>
      </c>
      <c r="R249">
        <f>IF(F249="",0,IFNA(VLOOKUP(F249,Trait_Polarity!$A:$C,2,FALSE),0))+IF(G249="",0,IFNA(VLOOKUP(G249,Trait_Polarity!$A:$C,2,FALSE),0))</f>
        <v/>
      </c>
      <c r="S249">
        <f>IF(F249="",0,IFNA(VLOOKUP(F249,Trait_Polarity!$A:$C,3,FALSE),0))+IF(G249="",0,IFNA(VLOOKUP(G249,Trait_Polarity!$A:$C,3,FALSE),0))</f>
        <v/>
      </c>
      <c r="T249">
        <f>IF(Q249="P",0,IFNA(VLOOKUP(IF(C249="","(none)",C249),Secondary_Versatility!$A:$B,2,FALSE),0))</f>
        <v/>
      </c>
      <c r="U249">
        <f>IF(H249="",0,LEN(H249)-LEN(SUBSTITUTE(H249,"|",""))+1)</f>
        <v/>
      </c>
      <c r="V249">
        <f>IF(Q249="P",(N249+O249+P249)/3,0.3*I249+0.3*J249+0.2*K249+0.1*L249+0.1*M249)</f>
        <v/>
      </c>
      <c r="W249">
        <f>IF(Q249="P",IF(F249="",0,IFNA(VLOOKUP(F249,Pitcher_Trait_Coef!$A:$B,2,FALSE),0))+IF(G249="",0,IFNA(VLOOKUP(G249,Pitcher_Trait_Coef!$A:$B,2,FALSE),0)),IF(F249="",0,IFNA(VLOOKUP(F249,Hitter_Trait_Coef!$A:$B,2,FALSE),0))+IF(G249="",0,IFNA(VLOOKUP(G249,Hitter_Trait_Coef!$A:$B,2,FALSE),0)))</f>
        <v/>
      </c>
      <c r="X249">
        <f>IF(Q249="P",IFNA(VLOOKUP(B249,Pitcher_Primary_Coef!$A:$B,2,FALSE),0),IFNA(VLOOKUP(B249,Hitter_Primary_Coef!$A:$B,2,FALSE),0))</f>
        <v/>
      </c>
      <c r="Y249">
        <f>IF(Q249="P",0,IFNA(VLOOKUP(IF(C249="","(none)",C249),Hitter_Secondary_Coef!$A:$B,2,FALSE),0))</f>
        <v/>
      </c>
      <c r="Z249">
        <f>IF(Q249="P",IF(ISNUMBER(SEARCH("2F",H249)),IFNA(VLOOKUP("2F",Pitch_Coef!$A:$B,2,FALSE),0),0)+IF(ISNUMBER(SEARCH("4F",H249)),IFNA(VLOOKUP("4F",Pitch_Coef!$A:$B,2,FALSE),0),0)+IF(ISNUMBER(SEARCH("CB",H249)),IFNA(VLOOKUP("CB",Pitch_Coef!$A:$B,2,FALSE),0),0)+IF(ISNUMBER(SEARCH("CF",H249)),IFNA(VLOOKUP("CF",Pitch_Coef!$A:$B,2,FALSE),0),0)+IF(ISNUMBER(SEARCH("CH",H249)),IFNA(VLOOKUP("CH",Pitch_Coef!$A:$B,2,FALSE),0),0)+IF(ISNUMBER(SEARCH("FK",H249)),IFNA(VLOOKUP("FK",Pitch_Coef!$A:$B,2,FALSE),0),0)+IF(ISNUMBER(SEARCH("SB",H249)),IFNA(VLOOKUP("SB",Pitch_Coef!$A:$B,2,FALSE),0),0)+IF(ISNUMBER(SEARCH("SL",H249)),IFNA(VLOOKUP("SL",Pitch_Coef!$A:$B,2,FALSE),0),0),0)</f>
        <v/>
      </c>
      <c r="AA249">
        <f>IF(Q249="P",16.5944849573+0.2529999141*N249+0.2665900378*O249+0.2632687105*P249+0.0427586837*I249+0.0534777057*J249+0.009015832*K249+0.0204898106*(O249*P249/100)+1.0091022427*U249+1.0968542297*IF(D249="L",1,0)+0.3771555045*IF(D249="S",1,0)-0.2226159177*IF(E249="L",1,0)+1.21385024*R249-1.1652812274*S249+W249+X249+Z249,10.5965166711+0.2825983581*I249+0.2806503532*J249+0.2027213083*K249+0.1147824982*L249+0.0915305332*M249-0.0088454122*(I249*J249/100)-0.0336045706*(K249*L249/100)+2.8497389733*IF(D249="L",1,0)+4.5116226727*IF(D249="S",1,0)-0.6571546448*IF(E249="L",1,0)+0.0850728147*T249+0.0129488446*(T249*T249)+0.1909373936*IF(OR(F249="Utility",G249="Utility"),T249,0)+0.9656824071*R249-1.7517683256*S249+W249+X249+Y249)</f>
        <v/>
      </c>
      <c r="AB249">
        <f>LOOKUP(AA249,Grade_Scale!$A$2:$A$18,Grade_Scale!$B$2:$B$18)</f>
        <v/>
      </c>
      <c r="AC249">
        <f>LOOKUP(AA249,Grade_Scale!$A$2:$A$18,Grade_Scale!$C$2:$C$18)</f>
        <v/>
      </c>
      <c r="AE249">
        <f>IF(AD249="","",AB249-VLOOKUP(AD249,Grade_Scale!$C$2:$E$18,3,FALSE))</f>
        <v/>
      </c>
    </row>
    <row r="250">
      <c r="Q250">
        <f>IF(OR(B250="SP",B250="RP",B250="CP",B250="SP/RP"),"P","H")</f>
        <v/>
      </c>
      <c r="R250">
        <f>IF(F250="",0,IFNA(VLOOKUP(F250,Trait_Polarity!$A:$C,2,FALSE),0))+IF(G250="",0,IFNA(VLOOKUP(G250,Trait_Polarity!$A:$C,2,FALSE),0))</f>
        <v/>
      </c>
      <c r="S250">
        <f>IF(F250="",0,IFNA(VLOOKUP(F250,Trait_Polarity!$A:$C,3,FALSE),0))+IF(G250="",0,IFNA(VLOOKUP(G250,Trait_Polarity!$A:$C,3,FALSE),0))</f>
        <v/>
      </c>
      <c r="T250">
        <f>IF(Q250="P",0,IFNA(VLOOKUP(IF(C250="","(none)",C250),Secondary_Versatility!$A:$B,2,FALSE),0))</f>
        <v/>
      </c>
      <c r="U250">
        <f>IF(H250="",0,LEN(H250)-LEN(SUBSTITUTE(H250,"|",""))+1)</f>
        <v/>
      </c>
      <c r="V250">
        <f>IF(Q250="P",(N250+O250+P250)/3,0.3*I250+0.3*J250+0.2*K250+0.1*L250+0.1*M250)</f>
        <v/>
      </c>
      <c r="W250">
        <f>IF(Q250="P",IF(F250="",0,IFNA(VLOOKUP(F250,Pitcher_Trait_Coef!$A:$B,2,FALSE),0))+IF(G250="",0,IFNA(VLOOKUP(G250,Pitcher_Trait_Coef!$A:$B,2,FALSE),0)),IF(F250="",0,IFNA(VLOOKUP(F250,Hitter_Trait_Coef!$A:$B,2,FALSE),0))+IF(G250="",0,IFNA(VLOOKUP(G250,Hitter_Trait_Coef!$A:$B,2,FALSE),0)))</f>
        <v/>
      </c>
      <c r="X250">
        <f>IF(Q250="P",IFNA(VLOOKUP(B250,Pitcher_Primary_Coef!$A:$B,2,FALSE),0),IFNA(VLOOKUP(B250,Hitter_Primary_Coef!$A:$B,2,FALSE),0))</f>
        <v/>
      </c>
      <c r="Y250">
        <f>IF(Q250="P",0,IFNA(VLOOKUP(IF(C250="","(none)",C250),Hitter_Secondary_Coef!$A:$B,2,FALSE),0))</f>
        <v/>
      </c>
      <c r="Z250">
        <f>IF(Q250="P",IF(ISNUMBER(SEARCH("2F",H250)),IFNA(VLOOKUP("2F",Pitch_Coef!$A:$B,2,FALSE),0),0)+IF(ISNUMBER(SEARCH("4F",H250)),IFNA(VLOOKUP("4F",Pitch_Coef!$A:$B,2,FALSE),0),0)+IF(ISNUMBER(SEARCH("CB",H250)),IFNA(VLOOKUP("CB",Pitch_Coef!$A:$B,2,FALSE),0),0)+IF(ISNUMBER(SEARCH("CF",H250)),IFNA(VLOOKUP("CF",Pitch_Coef!$A:$B,2,FALSE),0),0)+IF(ISNUMBER(SEARCH("CH",H250)),IFNA(VLOOKUP("CH",Pitch_Coef!$A:$B,2,FALSE),0),0)+IF(ISNUMBER(SEARCH("FK",H250)),IFNA(VLOOKUP("FK",Pitch_Coef!$A:$B,2,FALSE),0),0)+IF(ISNUMBER(SEARCH("SB",H250)),IFNA(VLOOKUP("SB",Pitch_Coef!$A:$B,2,FALSE),0),0)+IF(ISNUMBER(SEARCH("SL",H250)),IFNA(VLOOKUP("SL",Pitch_Coef!$A:$B,2,FALSE),0),0),0)</f>
        <v/>
      </c>
      <c r="AA250">
        <f>IF(Q250="P",16.5944849573+0.2529999141*N250+0.2665900378*O250+0.2632687105*P250+0.0427586837*I250+0.0534777057*J250+0.009015832*K250+0.0204898106*(O250*P250/100)+1.0091022427*U250+1.0968542297*IF(D250="L",1,0)+0.3771555045*IF(D250="S",1,0)-0.2226159177*IF(E250="L",1,0)+1.21385024*R250-1.1652812274*S250+W250+X250+Z250,10.5965166711+0.2825983581*I250+0.2806503532*J250+0.2027213083*K250+0.1147824982*L250+0.0915305332*M250-0.0088454122*(I250*J250/100)-0.0336045706*(K250*L250/100)+2.8497389733*IF(D250="L",1,0)+4.5116226727*IF(D250="S",1,0)-0.6571546448*IF(E250="L",1,0)+0.0850728147*T250+0.0129488446*(T250*T250)+0.1909373936*IF(OR(F250="Utility",G250="Utility"),T250,0)+0.9656824071*R250-1.7517683256*S250+W250+X250+Y250)</f>
        <v/>
      </c>
      <c r="AB250">
        <f>LOOKUP(AA250,Grade_Scale!$A$2:$A$18,Grade_Scale!$B$2:$B$18)</f>
        <v/>
      </c>
      <c r="AC250">
        <f>LOOKUP(AA250,Grade_Scale!$A$2:$A$18,Grade_Scale!$C$2:$C$18)</f>
        <v/>
      </c>
      <c r="AE250">
        <f>IF(AD250="","",AB250-VLOOKUP(AD250,Grade_Scale!$C$2:$E$18,3,FALSE))</f>
        <v/>
      </c>
    </row>
    <row r="251">
      <c r="Q251">
        <f>IF(OR(B251="SP",B251="RP",B251="CP",B251="SP/RP"),"P","H")</f>
        <v/>
      </c>
      <c r="R251">
        <f>IF(F251="",0,IFNA(VLOOKUP(F251,Trait_Polarity!$A:$C,2,FALSE),0))+IF(G251="",0,IFNA(VLOOKUP(G251,Trait_Polarity!$A:$C,2,FALSE),0))</f>
        <v/>
      </c>
      <c r="S251">
        <f>IF(F251="",0,IFNA(VLOOKUP(F251,Trait_Polarity!$A:$C,3,FALSE),0))+IF(G251="",0,IFNA(VLOOKUP(G251,Trait_Polarity!$A:$C,3,FALSE),0))</f>
        <v/>
      </c>
      <c r="T251">
        <f>IF(Q251="P",0,IFNA(VLOOKUP(IF(C251="","(none)",C251),Secondary_Versatility!$A:$B,2,FALSE),0))</f>
        <v/>
      </c>
      <c r="U251">
        <f>IF(H251="",0,LEN(H251)-LEN(SUBSTITUTE(H251,"|",""))+1)</f>
        <v/>
      </c>
      <c r="V251">
        <f>IF(Q251="P",(N251+O251+P251)/3,0.3*I251+0.3*J251+0.2*K251+0.1*L251+0.1*M251)</f>
        <v/>
      </c>
      <c r="W251">
        <f>IF(Q251="P",IF(F251="",0,IFNA(VLOOKUP(F251,Pitcher_Trait_Coef!$A:$B,2,FALSE),0))+IF(G251="",0,IFNA(VLOOKUP(G251,Pitcher_Trait_Coef!$A:$B,2,FALSE),0)),IF(F251="",0,IFNA(VLOOKUP(F251,Hitter_Trait_Coef!$A:$B,2,FALSE),0))+IF(G251="",0,IFNA(VLOOKUP(G251,Hitter_Trait_Coef!$A:$B,2,FALSE),0)))</f>
        <v/>
      </c>
      <c r="X251">
        <f>IF(Q251="P",IFNA(VLOOKUP(B251,Pitcher_Primary_Coef!$A:$B,2,FALSE),0),IFNA(VLOOKUP(B251,Hitter_Primary_Coef!$A:$B,2,FALSE),0))</f>
        <v/>
      </c>
      <c r="Y251">
        <f>IF(Q251="P",0,IFNA(VLOOKUP(IF(C251="","(none)",C251),Hitter_Secondary_Coef!$A:$B,2,FALSE),0))</f>
        <v/>
      </c>
      <c r="Z251">
        <f>IF(Q251="P",IF(ISNUMBER(SEARCH("2F",H251)),IFNA(VLOOKUP("2F",Pitch_Coef!$A:$B,2,FALSE),0),0)+IF(ISNUMBER(SEARCH("4F",H251)),IFNA(VLOOKUP("4F",Pitch_Coef!$A:$B,2,FALSE),0),0)+IF(ISNUMBER(SEARCH("CB",H251)),IFNA(VLOOKUP("CB",Pitch_Coef!$A:$B,2,FALSE),0),0)+IF(ISNUMBER(SEARCH("CF",H251)),IFNA(VLOOKUP("CF",Pitch_Coef!$A:$B,2,FALSE),0),0)+IF(ISNUMBER(SEARCH("CH",H251)),IFNA(VLOOKUP("CH",Pitch_Coef!$A:$B,2,FALSE),0),0)+IF(ISNUMBER(SEARCH("FK",H251)),IFNA(VLOOKUP("FK",Pitch_Coef!$A:$B,2,FALSE),0),0)+IF(ISNUMBER(SEARCH("SB",H251)),IFNA(VLOOKUP("SB",Pitch_Coef!$A:$B,2,FALSE),0),0)+IF(ISNUMBER(SEARCH("SL",H251)),IFNA(VLOOKUP("SL",Pitch_Coef!$A:$B,2,FALSE),0),0),0)</f>
        <v/>
      </c>
      <c r="AA251">
        <f>IF(Q251="P",16.5944849573+0.2529999141*N251+0.2665900378*O251+0.2632687105*P251+0.0427586837*I251+0.0534777057*J251+0.009015832*K251+0.0204898106*(O251*P251/100)+1.0091022427*U251+1.0968542297*IF(D251="L",1,0)+0.3771555045*IF(D251="S",1,0)-0.2226159177*IF(E251="L",1,0)+1.21385024*R251-1.1652812274*S251+W251+X251+Z251,10.5965166711+0.2825983581*I251+0.2806503532*J251+0.2027213083*K251+0.1147824982*L251+0.0915305332*M251-0.0088454122*(I251*J251/100)-0.0336045706*(K251*L251/100)+2.8497389733*IF(D251="L",1,0)+4.5116226727*IF(D251="S",1,0)-0.6571546448*IF(E251="L",1,0)+0.0850728147*T251+0.0129488446*(T251*T251)+0.1909373936*IF(OR(F251="Utility",G251="Utility"),T251,0)+0.9656824071*R251-1.7517683256*S251+W251+X251+Y251)</f>
        <v/>
      </c>
      <c r="AB251">
        <f>LOOKUP(AA251,Grade_Scale!$A$2:$A$18,Grade_Scale!$B$2:$B$18)</f>
        <v/>
      </c>
      <c r="AC251">
        <f>LOOKUP(AA251,Grade_Scale!$A$2:$A$18,Grade_Scale!$C$2:$C$18)</f>
        <v/>
      </c>
      <c r="AE251">
        <f>IF(AD251="","",AB251-VLOOKUP(AD251,Grade_Scale!$C$2:$E$18,3,FALSE))</f>
        <v/>
      </c>
    </row>
    <row r="252">
      <c r="Q252">
        <f>IF(OR(B252="SP",B252="RP",B252="CP",B252="SP/RP"),"P","H")</f>
        <v/>
      </c>
      <c r="R252">
        <f>IF(F252="",0,IFNA(VLOOKUP(F252,Trait_Polarity!$A:$C,2,FALSE),0))+IF(G252="",0,IFNA(VLOOKUP(G252,Trait_Polarity!$A:$C,2,FALSE),0))</f>
        <v/>
      </c>
      <c r="S252">
        <f>IF(F252="",0,IFNA(VLOOKUP(F252,Trait_Polarity!$A:$C,3,FALSE),0))+IF(G252="",0,IFNA(VLOOKUP(G252,Trait_Polarity!$A:$C,3,FALSE),0))</f>
        <v/>
      </c>
      <c r="T252">
        <f>IF(Q252="P",0,IFNA(VLOOKUP(IF(C252="","(none)",C252),Secondary_Versatility!$A:$B,2,FALSE),0))</f>
        <v/>
      </c>
      <c r="U252">
        <f>IF(H252="",0,LEN(H252)-LEN(SUBSTITUTE(H252,"|",""))+1)</f>
        <v/>
      </c>
      <c r="V252">
        <f>IF(Q252="P",(N252+O252+P252)/3,0.3*I252+0.3*J252+0.2*K252+0.1*L252+0.1*M252)</f>
        <v/>
      </c>
      <c r="W252">
        <f>IF(Q252="P",IF(F252="",0,IFNA(VLOOKUP(F252,Pitcher_Trait_Coef!$A:$B,2,FALSE),0))+IF(G252="",0,IFNA(VLOOKUP(G252,Pitcher_Trait_Coef!$A:$B,2,FALSE),0)),IF(F252="",0,IFNA(VLOOKUP(F252,Hitter_Trait_Coef!$A:$B,2,FALSE),0))+IF(G252="",0,IFNA(VLOOKUP(G252,Hitter_Trait_Coef!$A:$B,2,FALSE),0)))</f>
        <v/>
      </c>
      <c r="X252">
        <f>IF(Q252="P",IFNA(VLOOKUP(B252,Pitcher_Primary_Coef!$A:$B,2,FALSE),0),IFNA(VLOOKUP(B252,Hitter_Primary_Coef!$A:$B,2,FALSE),0))</f>
        <v/>
      </c>
      <c r="Y252">
        <f>IF(Q252="P",0,IFNA(VLOOKUP(IF(C252="","(none)",C252),Hitter_Secondary_Coef!$A:$B,2,FALSE),0))</f>
        <v/>
      </c>
      <c r="Z252">
        <f>IF(Q252="P",IF(ISNUMBER(SEARCH("2F",H252)),IFNA(VLOOKUP("2F",Pitch_Coef!$A:$B,2,FALSE),0),0)+IF(ISNUMBER(SEARCH("4F",H252)),IFNA(VLOOKUP("4F",Pitch_Coef!$A:$B,2,FALSE),0),0)+IF(ISNUMBER(SEARCH("CB",H252)),IFNA(VLOOKUP("CB",Pitch_Coef!$A:$B,2,FALSE),0),0)+IF(ISNUMBER(SEARCH("CF",H252)),IFNA(VLOOKUP("CF",Pitch_Coef!$A:$B,2,FALSE),0),0)+IF(ISNUMBER(SEARCH("CH",H252)),IFNA(VLOOKUP("CH",Pitch_Coef!$A:$B,2,FALSE),0),0)+IF(ISNUMBER(SEARCH("FK",H252)),IFNA(VLOOKUP("FK",Pitch_Coef!$A:$B,2,FALSE),0),0)+IF(ISNUMBER(SEARCH("SB",H252)),IFNA(VLOOKUP("SB",Pitch_Coef!$A:$B,2,FALSE),0),0)+IF(ISNUMBER(SEARCH("SL",H252)),IFNA(VLOOKUP("SL",Pitch_Coef!$A:$B,2,FALSE),0),0),0)</f>
        <v/>
      </c>
      <c r="AA252">
        <f>IF(Q252="P",16.5944849573+0.2529999141*N252+0.2665900378*O252+0.2632687105*P252+0.0427586837*I252+0.0534777057*J252+0.009015832*K252+0.0204898106*(O252*P252/100)+1.0091022427*U252+1.0968542297*IF(D252="L",1,0)+0.3771555045*IF(D252="S",1,0)-0.2226159177*IF(E252="L",1,0)+1.21385024*R252-1.1652812274*S252+W252+X252+Z252,10.5965166711+0.2825983581*I252+0.2806503532*J252+0.2027213083*K252+0.1147824982*L252+0.0915305332*M252-0.0088454122*(I252*J252/100)-0.0336045706*(K252*L252/100)+2.8497389733*IF(D252="L",1,0)+4.5116226727*IF(D252="S",1,0)-0.6571546448*IF(E252="L",1,0)+0.0850728147*T252+0.0129488446*(T252*T252)+0.1909373936*IF(OR(F252="Utility",G252="Utility"),T252,0)+0.9656824071*R252-1.7517683256*S252+W252+X252+Y252)</f>
        <v/>
      </c>
      <c r="AB252">
        <f>LOOKUP(AA252,Grade_Scale!$A$2:$A$18,Grade_Scale!$B$2:$B$18)</f>
        <v/>
      </c>
      <c r="AC252">
        <f>LOOKUP(AA252,Grade_Scale!$A$2:$A$18,Grade_Scale!$C$2:$C$18)</f>
        <v/>
      </c>
      <c r="AE252">
        <f>IF(AD252="","",AB252-VLOOKUP(AD252,Grade_Scale!$C$2:$E$18,3,FALSE))</f>
        <v/>
      </c>
    </row>
    <row r="253">
      <c r="Q253">
        <f>IF(OR(B253="SP",B253="RP",B253="CP",B253="SP/RP"),"P","H")</f>
        <v/>
      </c>
      <c r="R253">
        <f>IF(F253="",0,IFNA(VLOOKUP(F253,Trait_Polarity!$A:$C,2,FALSE),0))+IF(G253="",0,IFNA(VLOOKUP(G253,Trait_Polarity!$A:$C,2,FALSE),0))</f>
        <v/>
      </c>
      <c r="S253">
        <f>IF(F253="",0,IFNA(VLOOKUP(F253,Trait_Polarity!$A:$C,3,FALSE),0))+IF(G253="",0,IFNA(VLOOKUP(G253,Trait_Polarity!$A:$C,3,FALSE),0))</f>
        <v/>
      </c>
      <c r="T253">
        <f>IF(Q253="P",0,IFNA(VLOOKUP(IF(C253="","(none)",C253),Secondary_Versatility!$A:$B,2,FALSE),0))</f>
        <v/>
      </c>
      <c r="U253">
        <f>IF(H253="",0,LEN(H253)-LEN(SUBSTITUTE(H253,"|",""))+1)</f>
        <v/>
      </c>
      <c r="V253">
        <f>IF(Q253="P",(N253+O253+P253)/3,0.3*I253+0.3*J253+0.2*K253+0.1*L253+0.1*M253)</f>
        <v/>
      </c>
      <c r="W253">
        <f>IF(Q253="P",IF(F253="",0,IFNA(VLOOKUP(F253,Pitcher_Trait_Coef!$A:$B,2,FALSE),0))+IF(G253="",0,IFNA(VLOOKUP(G253,Pitcher_Trait_Coef!$A:$B,2,FALSE),0)),IF(F253="",0,IFNA(VLOOKUP(F253,Hitter_Trait_Coef!$A:$B,2,FALSE),0))+IF(G253="",0,IFNA(VLOOKUP(G253,Hitter_Trait_Coef!$A:$B,2,FALSE),0)))</f>
        <v/>
      </c>
      <c r="X253">
        <f>IF(Q253="P",IFNA(VLOOKUP(B253,Pitcher_Primary_Coef!$A:$B,2,FALSE),0),IFNA(VLOOKUP(B253,Hitter_Primary_Coef!$A:$B,2,FALSE),0))</f>
        <v/>
      </c>
      <c r="Y253">
        <f>IF(Q253="P",0,IFNA(VLOOKUP(IF(C253="","(none)",C253),Hitter_Secondary_Coef!$A:$B,2,FALSE),0))</f>
        <v/>
      </c>
      <c r="Z253">
        <f>IF(Q253="P",IF(ISNUMBER(SEARCH("2F",H253)),IFNA(VLOOKUP("2F",Pitch_Coef!$A:$B,2,FALSE),0),0)+IF(ISNUMBER(SEARCH("4F",H253)),IFNA(VLOOKUP("4F",Pitch_Coef!$A:$B,2,FALSE),0),0)+IF(ISNUMBER(SEARCH("CB",H253)),IFNA(VLOOKUP("CB",Pitch_Coef!$A:$B,2,FALSE),0),0)+IF(ISNUMBER(SEARCH("CF",H253)),IFNA(VLOOKUP("CF",Pitch_Coef!$A:$B,2,FALSE),0),0)+IF(ISNUMBER(SEARCH("CH",H253)),IFNA(VLOOKUP("CH",Pitch_Coef!$A:$B,2,FALSE),0),0)+IF(ISNUMBER(SEARCH("FK",H253)),IFNA(VLOOKUP("FK",Pitch_Coef!$A:$B,2,FALSE),0),0)+IF(ISNUMBER(SEARCH("SB",H253)),IFNA(VLOOKUP("SB",Pitch_Coef!$A:$B,2,FALSE),0),0)+IF(ISNUMBER(SEARCH("SL",H253)),IFNA(VLOOKUP("SL",Pitch_Coef!$A:$B,2,FALSE),0),0),0)</f>
        <v/>
      </c>
      <c r="AA253">
        <f>IF(Q253="P",16.5944849573+0.2529999141*N253+0.2665900378*O253+0.2632687105*P253+0.0427586837*I253+0.0534777057*J253+0.009015832*K253+0.0204898106*(O253*P253/100)+1.0091022427*U253+1.0968542297*IF(D253="L",1,0)+0.3771555045*IF(D253="S",1,0)-0.2226159177*IF(E253="L",1,0)+1.21385024*R253-1.1652812274*S253+W253+X253+Z253,10.5965166711+0.2825983581*I253+0.2806503532*J253+0.2027213083*K253+0.1147824982*L253+0.0915305332*M253-0.0088454122*(I253*J253/100)-0.0336045706*(K253*L253/100)+2.8497389733*IF(D253="L",1,0)+4.5116226727*IF(D253="S",1,0)-0.6571546448*IF(E253="L",1,0)+0.0850728147*T253+0.0129488446*(T253*T253)+0.1909373936*IF(OR(F253="Utility",G253="Utility"),T253,0)+0.9656824071*R253-1.7517683256*S253+W253+X253+Y253)</f>
        <v/>
      </c>
      <c r="AB253">
        <f>LOOKUP(AA253,Grade_Scale!$A$2:$A$18,Grade_Scale!$B$2:$B$18)</f>
        <v/>
      </c>
      <c r="AC253">
        <f>LOOKUP(AA253,Grade_Scale!$A$2:$A$18,Grade_Scale!$C$2:$C$18)</f>
        <v/>
      </c>
      <c r="AE253">
        <f>IF(AD253="","",AB253-VLOOKUP(AD253,Grade_Scale!$C$2:$E$18,3,FALSE))</f>
        <v/>
      </c>
    </row>
    <row r="254">
      <c r="Q254">
        <f>IF(OR(B254="SP",B254="RP",B254="CP",B254="SP/RP"),"P","H")</f>
        <v/>
      </c>
      <c r="R254">
        <f>IF(F254="",0,IFNA(VLOOKUP(F254,Trait_Polarity!$A:$C,2,FALSE),0))+IF(G254="",0,IFNA(VLOOKUP(G254,Trait_Polarity!$A:$C,2,FALSE),0))</f>
        <v/>
      </c>
      <c r="S254">
        <f>IF(F254="",0,IFNA(VLOOKUP(F254,Trait_Polarity!$A:$C,3,FALSE),0))+IF(G254="",0,IFNA(VLOOKUP(G254,Trait_Polarity!$A:$C,3,FALSE),0))</f>
        <v/>
      </c>
      <c r="T254">
        <f>IF(Q254="P",0,IFNA(VLOOKUP(IF(C254="","(none)",C254),Secondary_Versatility!$A:$B,2,FALSE),0))</f>
        <v/>
      </c>
      <c r="U254">
        <f>IF(H254="",0,LEN(H254)-LEN(SUBSTITUTE(H254,"|",""))+1)</f>
        <v/>
      </c>
      <c r="V254">
        <f>IF(Q254="P",(N254+O254+P254)/3,0.3*I254+0.3*J254+0.2*K254+0.1*L254+0.1*M254)</f>
        <v/>
      </c>
      <c r="W254">
        <f>IF(Q254="P",IF(F254="",0,IFNA(VLOOKUP(F254,Pitcher_Trait_Coef!$A:$B,2,FALSE),0))+IF(G254="",0,IFNA(VLOOKUP(G254,Pitcher_Trait_Coef!$A:$B,2,FALSE),0)),IF(F254="",0,IFNA(VLOOKUP(F254,Hitter_Trait_Coef!$A:$B,2,FALSE),0))+IF(G254="",0,IFNA(VLOOKUP(G254,Hitter_Trait_Coef!$A:$B,2,FALSE),0)))</f>
        <v/>
      </c>
      <c r="X254">
        <f>IF(Q254="P",IFNA(VLOOKUP(B254,Pitcher_Primary_Coef!$A:$B,2,FALSE),0),IFNA(VLOOKUP(B254,Hitter_Primary_Coef!$A:$B,2,FALSE),0))</f>
        <v/>
      </c>
      <c r="Y254">
        <f>IF(Q254="P",0,IFNA(VLOOKUP(IF(C254="","(none)",C254),Hitter_Secondary_Coef!$A:$B,2,FALSE),0))</f>
        <v/>
      </c>
      <c r="Z254">
        <f>IF(Q254="P",IF(ISNUMBER(SEARCH("2F",H254)),IFNA(VLOOKUP("2F",Pitch_Coef!$A:$B,2,FALSE),0),0)+IF(ISNUMBER(SEARCH("4F",H254)),IFNA(VLOOKUP("4F",Pitch_Coef!$A:$B,2,FALSE),0),0)+IF(ISNUMBER(SEARCH("CB",H254)),IFNA(VLOOKUP("CB",Pitch_Coef!$A:$B,2,FALSE),0),0)+IF(ISNUMBER(SEARCH("CF",H254)),IFNA(VLOOKUP("CF",Pitch_Coef!$A:$B,2,FALSE),0),0)+IF(ISNUMBER(SEARCH("CH",H254)),IFNA(VLOOKUP("CH",Pitch_Coef!$A:$B,2,FALSE),0),0)+IF(ISNUMBER(SEARCH("FK",H254)),IFNA(VLOOKUP("FK",Pitch_Coef!$A:$B,2,FALSE),0),0)+IF(ISNUMBER(SEARCH("SB",H254)),IFNA(VLOOKUP("SB",Pitch_Coef!$A:$B,2,FALSE),0),0)+IF(ISNUMBER(SEARCH("SL",H254)),IFNA(VLOOKUP("SL",Pitch_Coef!$A:$B,2,FALSE),0),0),0)</f>
        <v/>
      </c>
      <c r="AA254">
        <f>IF(Q254="P",16.5944849573+0.2529999141*N254+0.2665900378*O254+0.2632687105*P254+0.0427586837*I254+0.0534777057*J254+0.009015832*K254+0.0204898106*(O254*P254/100)+1.0091022427*U254+1.0968542297*IF(D254="L",1,0)+0.3771555045*IF(D254="S",1,0)-0.2226159177*IF(E254="L",1,0)+1.21385024*R254-1.1652812274*S254+W254+X254+Z254,10.5965166711+0.2825983581*I254+0.2806503532*J254+0.2027213083*K254+0.1147824982*L254+0.0915305332*M254-0.0088454122*(I254*J254/100)-0.0336045706*(K254*L254/100)+2.8497389733*IF(D254="L",1,0)+4.5116226727*IF(D254="S",1,0)-0.6571546448*IF(E254="L",1,0)+0.0850728147*T254+0.0129488446*(T254*T254)+0.1909373936*IF(OR(F254="Utility",G254="Utility"),T254,0)+0.9656824071*R254-1.7517683256*S254+W254+X254+Y254)</f>
        <v/>
      </c>
      <c r="AB254">
        <f>LOOKUP(AA254,Grade_Scale!$A$2:$A$18,Grade_Scale!$B$2:$B$18)</f>
        <v/>
      </c>
      <c r="AC254">
        <f>LOOKUP(AA254,Grade_Scale!$A$2:$A$18,Grade_Scale!$C$2:$C$18)</f>
        <v/>
      </c>
      <c r="AE254">
        <f>IF(AD254="","",AB254-VLOOKUP(AD254,Grade_Scale!$C$2:$E$18,3,FALSE))</f>
        <v/>
      </c>
    </row>
    <row r="255">
      <c r="Q255">
        <f>IF(OR(B255="SP",B255="RP",B255="CP",B255="SP/RP"),"P","H")</f>
        <v/>
      </c>
      <c r="R255">
        <f>IF(F255="",0,IFNA(VLOOKUP(F255,Trait_Polarity!$A:$C,2,FALSE),0))+IF(G255="",0,IFNA(VLOOKUP(G255,Trait_Polarity!$A:$C,2,FALSE),0))</f>
        <v/>
      </c>
      <c r="S255">
        <f>IF(F255="",0,IFNA(VLOOKUP(F255,Trait_Polarity!$A:$C,3,FALSE),0))+IF(G255="",0,IFNA(VLOOKUP(G255,Trait_Polarity!$A:$C,3,FALSE),0))</f>
        <v/>
      </c>
      <c r="T255">
        <f>IF(Q255="P",0,IFNA(VLOOKUP(IF(C255="","(none)",C255),Secondary_Versatility!$A:$B,2,FALSE),0))</f>
        <v/>
      </c>
      <c r="U255">
        <f>IF(H255="",0,LEN(H255)-LEN(SUBSTITUTE(H255,"|",""))+1)</f>
        <v/>
      </c>
      <c r="V255">
        <f>IF(Q255="P",(N255+O255+P255)/3,0.3*I255+0.3*J255+0.2*K255+0.1*L255+0.1*M255)</f>
        <v/>
      </c>
      <c r="W255">
        <f>IF(Q255="P",IF(F255="",0,IFNA(VLOOKUP(F255,Pitcher_Trait_Coef!$A:$B,2,FALSE),0))+IF(G255="",0,IFNA(VLOOKUP(G255,Pitcher_Trait_Coef!$A:$B,2,FALSE),0)),IF(F255="",0,IFNA(VLOOKUP(F255,Hitter_Trait_Coef!$A:$B,2,FALSE),0))+IF(G255="",0,IFNA(VLOOKUP(G255,Hitter_Trait_Coef!$A:$B,2,FALSE),0)))</f>
        <v/>
      </c>
      <c r="X255">
        <f>IF(Q255="P",IFNA(VLOOKUP(B255,Pitcher_Primary_Coef!$A:$B,2,FALSE),0),IFNA(VLOOKUP(B255,Hitter_Primary_Coef!$A:$B,2,FALSE),0))</f>
        <v/>
      </c>
      <c r="Y255">
        <f>IF(Q255="P",0,IFNA(VLOOKUP(IF(C255="","(none)",C255),Hitter_Secondary_Coef!$A:$B,2,FALSE),0))</f>
        <v/>
      </c>
      <c r="Z255">
        <f>IF(Q255="P",IF(ISNUMBER(SEARCH("2F",H255)),IFNA(VLOOKUP("2F",Pitch_Coef!$A:$B,2,FALSE),0),0)+IF(ISNUMBER(SEARCH("4F",H255)),IFNA(VLOOKUP("4F",Pitch_Coef!$A:$B,2,FALSE),0),0)+IF(ISNUMBER(SEARCH("CB",H255)),IFNA(VLOOKUP("CB",Pitch_Coef!$A:$B,2,FALSE),0),0)+IF(ISNUMBER(SEARCH("CF",H255)),IFNA(VLOOKUP("CF",Pitch_Coef!$A:$B,2,FALSE),0),0)+IF(ISNUMBER(SEARCH("CH",H255)),IFNA(VLOOKUP("CH",Pitch_Coef!$A:$B,2,FALSE),0),0)+IF(ISNUMBER(SEARCH("FK",H255)),IFNA(VLOOKUP("FK",Pitch_Coef!$A:$B,2,FALSE),0),0)+IF(ISNUMBER(SEARCH("SB",H255)),IFNA(VLOOKUP("SB",Pitch_Coef!$A:$B,2,FALSE),0),0)+IF(ISNUMBER(SEARCH("SL",H255)),IFNA(VLOOKUP("SL",Pitch_Coef!$A:$B,2,FALSE),0),0),0)</f>
        <v/>
      </c>
      <c r="AA255">
        <f>IF(Q255="P",16.5944849573+0.2529999141*N255+0.2665900378*O255+0.2632687105*P255+0.0427586837*I255+0.0534777057*J255+0.009015832*K255+0.0204898106*(O255*P255/100)+1.0091022427*U255+1.0968542297*IF(D255="L",1,0)+0.3771555045*IF(D255="S",1,0)-0.2226159177*IF(E255="L",1,0)+1.21385024*R255-1.1652812274*S255+W255+X255+Z255,10.5965166711+0.2825983581*I255+0.2806503532*J255+0.2027213083*K255+0.1147824982*L255+0.0915305332*M255-0.0088454122*(I255*J255/100)-0.0336045706*(K255*L255/100)+2.8497389733*IF(D255="L",1,0)+4.5116226727*IF(D255="S",1,0)-0.6571546448*IF(E255="L",1,0)+0.0850728147*T255+0.0129488446*(T255*T255)+0.1909373936*IF(OR(F255="Utility",G255="Utility"),T255,0)+0.9656824071*R255-1.7517683256*S255+W255+X255+Y255)</f>
        <v/>
      </c>
      <c r="AB255">
        <f>LOOKUP(AA255,Grade_Scale!$A$2:$A$18,Grade_Scale!$B$2:$B$18)</f>
        <v/>
      </c>
      <c r="AC255">
        <f>LOOKUP(AA255,Grade_Scale!$A$2:$A$18,Grade_Scale!$C$2:$C$18)</f>
        <v/>
      </c>
      <c r="AE255">
        <f>IF(AD255="","",AB255-VLOOKUP(AD255,Grade_Scale!$C$2:$E$18,3,FALSE))</f>
        <v/>
      </c>
    </row>
    <row r="256">
      <c r="Q256">
        <f>IF(OR(B256="SP",B256="RP",B256="CP",B256="SP/RP"),"P","H")</f>
        <v/>
      </c>
      <c r="R256">
        <f>IF(F256="",0,IFNA(VLOOKUP(F256,Trait_Polarity!$A:$C,2,FALSE),0))+IF(G256="",0,IFNA(VLOOKUP(G256,Trait_Polarity!$A:$C,2,FALSE),0))</f>
        <v/>
      </c>
      <c r="S256">
        <f>IF(F256="",0,IFNA(VLOOKUP(F256,Trait_Polarity!$A:$C,3,FALSE),0))+IF(G256="",0,IFNA(VLOOKUP(G256,Trait_Polarity!$A:$C,3,FALSE),0))</f>
        <v/>
      </c>
      <c r="T256">
        <f>IF(Q256="P",0,IFNA(VLOOKUP(IF(C256="","(none)",C256),Secondary_Versatility!$A:$B,2,FALSE),0))</f>
        <v/>
      </c>
      <c r="U256">
        <f>IF(H256="",0,LEN(H256)-LEN(SUBSTITUTE(H256,"|",""))+1)</f>
        <v/>
      </c>
      <c r="V256">
        <f>IF(Q256="P",(N256+O256+P256)/3,0.3*I256+0.3*J256+0.2*K256+0.1*L256+0.1*M256)</f>
        <v/>
      </c>
      <c r="W256">
        <f>IF(Q256="P",IF(F256="",0,IFNA(VLOOKUP(F256,Pitcher_Trait_Coef!$A:$B,2,FALSE),0))+IF(G256="",0,IFNA(VLOOKUP(G256,Pitcher_Trait_Coef!$A:$B,2,FALSE),0)),IF(F256="",0,IFNA(VLOOKUP(F256,Hitter_Trait_Coef!$A:$B,2,FALSE),0))+IF(G256="",0,IFNA(VLOOKUP(G256,Hitter_Trait_Coef!$A:$B,2,FALSE),0)))</f>
        <v/>
      </c>
      <c r="X256">
        <f>IF(Q256="P",IFNA(VLOOKUP(B256,Pitcher_Primary_Coef!$A:$B,2,FALSE),0),IFNA(VLOOKUP(B256,Hitter_Primary_Coef!$A:$B,2,FALSE),0))</f>
        <v/>
      </c>
      <c r="Y256">
        <f>IF(Q256="P",0,IFNA(VLOOKUP(IF(C256="","(none)",C256),Hitter_Secondary_Coef!$A:$B,2,FALSE),0))</f>
        <v/>
      </c>
      <c r="Z256">
        <f>IF(Q256="P",IF(ISNUMBER(SEARCH("2F",H256)),IFNA(VLOOKUP("2F",Pitch_Coef!$A:$B,2,FALSE),0),0)+IF(ISNUMBER(SEARCH("4F",H256)),IFNA(VLOOKUP("4F",Pitch_Coef!$A:$B,2,FALSE),0),0)+IF(ISNUMBER(SEARCH("CB",H256)),IFNA(VLOOKUP("CB",Pitch_Coef!$A:$B,2,FALSE),0),0)+IF(ISNUMBER(SEARCH("CF",H256)),IFNA(VLOOKUP("CF",Pitch_Coef!$A:$B,2,FALSE),0),0)+IF(ISNUMBER(SEARCH("CH",H256)),IFNA(VLOOKUP("CH",Pitch_Coef!$A:$B,2,FALSE),0),0)+IF(ISNUMBER(SEARCH("FK",H256)),IFNA(VLOOKUP("FK",Pitch_Coef!$A:$B,2,FALSE),0),0)+IF(ISNUMBER(SEARCH("SB",H256)),IFNA(VLOOKUP("SB",Pitch_Coef!$A:$B,2,FALSE),0),0)+IF(ISNUMBER(SEARCH("SL",H256)),IFNA(VLOOKUP("SL",Pitch_Coef!$A:$B,2,FALSE),0),0),0)</f>
        <v/>
      </c>
      <c r="AA256">
        <f>IF(Q256="P",16.5944849573+0.2529999141*N256+0.2665900378*O256+0.2632687105*P256+0.0427586837*I256+0.0534777057*J256+0.009015832*K256+0.0204898106*(O256*P256/100)+1.0091022427*U256+1.0968542297*IF(D256="L",1,0)+0.3771555045*IF(D256="S",1,0)-0.2226159177*IF(E256="L",1,0)+1.21385024*R256-1.1652812274*S256+W256+X256+Z256,10.5965166711+0.2825983581*I256+0.2806503532*J256+0.2027213083*K256+0.1147824982*L256+0.0915305332*M256-0.0088454122*(I256*J256/100)-0.0336045706*(K256*L256/100)+2.8497389733*IF(D256="L",1,0)+4.5116226727*IF(D256="S",1,0)-0.6571546448*IF(E256="L",1,0)+0.0850728147*T256+0.0129488446*(T256*T256)+0.1909373936*IF(OR(F256="Utility",G256="Utility"),T256,0)+0.9656824071*R256-1.7517683256*S256+W256+X256+Y256)</f>
        <v/>
      </c>
      <c r="AB256">
        <f>LOOKUP(AA256,Grade_Scale!$A$2:$A$18,Grade_Scale!$B$2:$B$18)</f>
        <v/>
      </c>
      <c r="AC256">
        <f>LOOKUP(AA256,Grade_Scale!$A$2:$A$18,Grade_Scale!$C$2:$C$18)</f>
        <v/>
      </c>
      <c r="AE256">
        <f>IF(AD256="","",AB256-VLOOKUP(AD256,Grade_Scale!$C$2:$E$18,3,FALSE))</f>
        <v/>
      </c>
    </row>
    <row r="257">
      <c r="Q257">
        <f>IF(OR(B257="SP",B257="RP",B257="CP",B257="SP/RP"),"P","H")</f>
        <v/>
      </c>
      <c r="R257">
        <f>IF(F257="",0,IFNA(VLOOKUP(F257,Trait_Polarity!$A:$C,2,FALSE),0))+IF(G257="",0,IFNA(VLOOKUP(G257,Trait_Polarity!$A:$C,2,FALSE),0))</f>
        <v/>
      </c>
      <c r="S257">
        <f>IF(F257="",0,IFNA(VLOOKUP(F257,Trait_Polarity!$A:$C,3,FALSE),0))+IF(G257="",0,IFNA(VLOOKUP(G257,Trait_Polarity!$A:$C,3,FALSE),0))</f>
        <v/>
      </c>
      <c r="T257">
        <f>IF(Q257="P",0,IFNA(VLOOKUP(IF(C257="","(none)",C257),Secondary_Versatility!$A:$B,2,FALSE),0))</f>
        <v/>
      </c>
      <c r="U257">
        <f>IF(H257="",0,LEN(H257)-LEN(SUBSTITUTE(H257,"|",""))+1)</f>
        <v/>
      </c>
      <c r="V257">
        <f>IF(Q257="P",(N257+O257+P257)/3,0.3*I257+0.3*J257+0.2*K257+0.1*L257+0.1*M257)</f>
        <v/>
      </c>
      <c r="W257">
        <f>IF(Q257="P",IF(F257="",0,IFNA(VLOOKUP(F257,Pitcher_Trait_Coef!$A:$B,2,FALSE),0))+IF(G257="",0,IFNA(VLOOKUP(G257,Pitcher_Trait_Coef!$A:$B,2,FALSE),0)),IF(F257="",0,IFNA(VLOOKUP(F257,Hitter_Trait_Coef!$A:$B,2,FALSE),0))+IF(G257="",0,IFNA(VLOOKUP(G257,Hitter_Trait_Coef!$A:$B,2,FALSE),0)))</f>
        <v/>
      </c>
      <c r="X257">
        <f>IF(Q257="P",IFNA(VLOOKUP(B257,Pitcher_Primary_Coef!$A:$B,2,FALSE),0),IFNA(VLOOKUP(B257,Hitter_Primary_Coef!$A:$B,2,FALSE),0))</f>
        <v/>
      </c>
      <c r="Y257">
        <f>IF(Q257="P",0,IFNA(VLOOKUP(IF(C257="","(none)",C257),Hitter_Secondary_Coef!$A:$B,2,FALSE),0))</f>
        <v/>
      </c>
      <c r="Z257">
        <f>IF(Q257="P",IF(ISNUMBER(SEARCH("2F",H257)),IFNA(VLOOKUP("2F",Pitch_Coef!$A:$B,2,FALSE),0),0)+IF(ISNUMBER(SEARCH("4F",H257)),IFNA(VLOOKUP("4F",Pitch_Coef!$A:$B,2,FALSE),0),0)+IF(ISNUMBER(SEARCH("CB",H257)),IFNA(VLOOKUP("CB",Pitch_Coef!$A:$B,2,FALSE),0),0)+IF(ISNUMBER(SEARCH("CF",H257)),IFNA(VLOOKUP("CF",Pitch_Coef!$A:$B,2,FALSE),0),0)+IF(ISNUMBER(SEARCH("CH",H257)),IFNA(VLOOKUP("CH",Pitch_Coef!$A:$B,2,FALSE),0),0)+IF(ISNUMBER(SEARCH("FK",H257)),IFNA(VLOOKUP("FK",Pitch_Coef!$A:$B,2,FALSE),0),0)+IF(ISNUMBER(SEARCH("SB",H257)),IFNA(VLOOKUP("SB",Pitch_Coef!$A:$B,2,FALSE),0),0)+IF(ISNUMBER(SEARCH("SL",H257)),IFNA(VLOOKUP("SL",Pitch_Coef!$A:$B,2,FALSE),0),0),0)</f>
        <v/>
      </c>
      <c r="AA257">
        <f>IF(Q257="P",16.5944849573+0.2529999141*N257+0.2665900378*O257+0.2632687105*P257+0.0427586837*I257+0.0534777057*J257+0.009015832*K257+0.0204898106*(O257*P257/100)+1.0091022427*U257+1.0968542297*IF(D257="L",1,0)+0.3771555045*IF(D257="S",1,0)-0.2226159177*IF(E257="L",1,0)+1.21385024*R257-1.1652812274*S257+W257+X257+Z257,10.5965166711+0.2825983581*I257+0.2806503532*J257+0.2027213083*K257+0.1147824982*L257+0.0915305332*M257-0.0088454122*(I257*J257/100)-0.0336045706*(K257*L257/100)+2.8497389733*IF(D257="L",1,0)+4.5116226727*IF(D257="S",1,0)-0.6571546448*IF(E257="L",1,0)+0.0850728147*T257+0.0129488446*(T257*T257)+0.1909373936*IF(OR(F257="Utility",G257="Utility"),T257,0)+0.9656824071*R257-1.7517683256*S257+W257+X257+Y257)</f>
        <v/>
      </c>
      <c r="AB257">
        <f>LOOKUP(AA257,Grade_Scale!$A$2:$A$18,Grade_Scale!$B$2:$B$18)</f>
        <v/>
      </c>
      <c r="AC257">
        <f>LOOKUP(AA257,Grade_Scale!$A$2:$A$18,Grade_Scale!$C$2:$C$18)</f>
        <v/>
      </c>
      <c r="AE257">
        <f>IF(AD257="","",AB257-VLOOKUP(AD257,Grade_Scale!$C$2:$E$18,3,FALSE))</f>
        <v/>
      </c>
    </row>
    <row r="258">
      <c r="Q258">
        <f>IF(OR(B258="SP",B258="RP",B258="CP",B258="SP/RP"),"P","H")</f>
        <v/>
      </c>
      <c r="R258">
        <f>IF(F258="",0,IFNA(VLOOKUP(F258,Trait_Polarity!$A:$C,2,FALSE),0))+IF(G258="",0,IFNA(VLOOKUP(G258,Trait_Polarity!$A:$C,2,FALSE),0))</f>
        <v/>
      </c>
      <c r="S258">
        <f>IF(F258="",0,IFNA(VLOOKUP(F258,Trait_Polarity!$A:$C,3,FALSE),0))+IF(G258="",0,IFNA(VLOOKUP(G258,Trait_Polarity!$A:$C,3,FALSE),0))</f>
        <v/>
      </c>
      <c r="T258">
        <f>IF(Q258="P",0,IFNA(VLOOKUP(IF(C258="","(none)",C258),Secondary_Versatility!$A:$B,2,FALSE),0))</f>
        <v/>
      </c>
      <c r="U258">
        <f>IF(H258="",0,LEN(H258)-LEN(SUBSTITUTE(H258,"|",""))+1)</f>
        <v/>
      </c>
      <c r="V258">
        <f>IF(Q258="P",(N258+O258+P258)/3,0.3*I258+0.3*J258+0.2*K258+0.1*L258+0.1*M258)</f>
        <v/>
      </c>
      <c r="W258">
        <f>IF(Q258="P",IF(F258="",0,IFNA(VLOOKUP(F258,Pitcher_Trait_Coef!$A:$B,2,FALSE),0))+IF(G258="",0,IFNA(VLOOKUP(G258,Pitcher_Trait_Coef!$A:$B,2,FALSE),0)),IF(F258="",0,IFNA(VLOOKUP(F258,Hitter_Trait_Coef!$A:$B,2,FALSE),0))+IF(G258="",0,IFNA(VLOOKUP(G258,Hitter_Trait_Coef!$A:$B,2,FALSE),0)))</f>
        <v/>
      </c>
      <c r="X258">
        <f>IF(Q258="P",IFNA(VLOOKUP(B258,Pitcher_Primary_Coef!$A:$B,2,FALSE),0),IFNA(VLOOKUP(B258,Hitter_Primary_Coef!$A:$B,2,FALSE),0))</f>
        <v/>
      </c>
      <c r="Y258">
        <f>IF(Q258="P",0,IFNA(VLOOKUP(IF(C258="","(none)",C258),Hitter_Secondary_Coef!$A:$B,2,FALSE),0))</f>
        <v/>
      </c>
      <c r="Z258">
        <f>IF(Q258="P",IF(ISNUMBER(SEARCH("2F",H258)),IFNA(VLOOKUP("2F",Pitch_Coef!$A:$B,2,FALSE),0),0)+IF(ISNUMBER(SEARCH("4F",H258)),IFNA(VLOOKUP("4F",Pitch_Coef!$A:$B,2,FALSE),0),0)+IF(ISNUMBER(SEARCH("CB",H258)),IFNA(VLOOKUP("CB",Pitch_Coef!$A:$B,2,FALSE),0),0)+IF(ISNUMBER(SEARCH("CF",H258)),IFNA(VLOOKUP("CF",Pitch_Coef!$A:$B,2,FALSE),0),0)+IF(ISNUMBER(SEARCH("CH",H258)),IFNA(VLOOKUP("CH",Pitch_Coef!$A:$B,2,FALSE),0),0)+IF(ISNUMBER(SEARCH("FK",H258)),IFNA(VLOOKUP("FK",Pitch_Coef!$A:$B,2,FALSE),0),0)+IF(ISNUMBER(SEARCH("SB",H258)),IFNA(VLOOKUP("SB",Pitch_Coef!$A:$B,2,FALSE),0),0)+IF(ISNUMBER(SEARCH("SL",H258)),IFNA(VLOOKUP("SL",Pitch_Coef!$A:$B,2,FALSE),0),0),0)</f>
        <v/>
      </c>
      <c r="AA258">
        <f>IF(Q258="P",16.5944849573+0.2529999141*N258+0.2665900378*O258+0.2632687105*P258+0.0427586837*I258+0.0534777057*J258+0.009015832*K258+0.0204898106*(O258*P258/100)+1.0091022427*U258+1.0968542297*IF(D258="L",1,0)+0.3771555045*IF(D258="S",1,0)-0.2226159177*IF(E258="L",1,0)+1.21385024*R258-1.1652812274*S258+W258+X258+Z258,10.5965166711+0.2825983581*I258+0.2806503532*J258+0.2027213083*K258+0.1147824982*L258+0.0915305332*M258-0.0088454122*(I258*J258/100)-0.0336045706*(K258*L258/100)+2.8497389733*IF(D258="L",1,0)+4.5116226727*IF(D258="S",1,0)-0.6571546448*IF(E258="L",1,0)+0.0850728147*T258+0.0129488446*(T258*T258)+0.1909373936*IF(OR(F258="Utility",G258="Utility"),T258,0)+0.9656824071*R258-1.7517683256*S258+W258+X258+Y258)</f>
        <v/>
      </c>
      <c r="AB258">
        <f>LOOKUP(AA258,Grade_Scale!$A$2:$A$18,Grade_Scale!$B$2:$B$18)</f>
        <v/>
      </c>
      <c r="AC258">
        <f>LOOKUP(AA258,Grade_Scale!$A$2:$A$18,Grade_Scale!$C$2:$C$18)</f>
        <v/>
      </c>
      <c r="AE258">
        <f>IF(AD258="","",AB258-VLOOKUP(AD258,Grade_Scale!$C$2:$E$18,3,FALSE))</f>
        <v/>
      </c>
    </row>
    <row r="259">
      <c r="Q259">
        <f>IF(OR(B259="SP",B259="RP",B259="CP",B259="SP/RP"),"P","H")</f>
        <v/>
      </c>
      <c r="R259">
        <f>IF(F259="",0,IFNA(VLOOKUP(F259,Trait_Polarity!$A:$C,2,FALSE),0))+IF(G259="",0,IFNA(VLOOKUP(G259,Trait_Polarity!$A:$C,2,FALSE),0))</f>
        <v/>
      </c>
      <c r="S259">
        <f>IF(F259="",0,IFNA(VLOOKUP(F259,Trait_Polarity!$A:$C,3,FALSE),0))+IF(G259="",0,IFNA(VLOOKUP(G259,Trait_Polarity!$A:$C,3,FALSE),0))</f>
        <v/>
      </c>
      <c r="T259">
        <f>IF(Q259="P",0,IFNA(VLOOKUP(IF(C259="","(none)",C259),Secondary_Versatility!$A:$B,2,FALSE),0))</f>
        <v/>
      </c>
      <c r="U259">
        <f>IF(H259="",0,LEN(H259)-LEN(SUBSTITUTE(H259,"|",""))+1)</f>
        <v/>
      </c>
      <c r="V259">
        <f>IF(Q259="P",(N259+O259+P259)/3,0.3*I259+0.3*J259+0.2*K259+0.1*L259+0.1*M259)</f>
        <v/>
      </c>
      <c r="W259">
        <f>IF(Q259="P",IF(F259="",0,IFNA(VLOOKUP(F259,Pitcher_Trait_Coef!$A:$B,2,FALSE),0))+IF(G259="",0,IFNA(VLOOKUP(G259,Pitcher_Trait_Coef!$A:$B,2,FALSE),0)),IF(F259="",0,IFNA(VLOOKUP(F259,Hitter_Trait_Coef!$A:$B,2,FALSE),0))+IF(G259="",0,IFNA(VLOOKUP(G259,Hitter_Trait_Coef!$A:$B,2,FALSE),0)))</f>
        <v/>
      </c>
      <c r="X259">
        <f>IF(Q259="P",IFNA(VLOOKUP(B259,Pitcher_Primary_Coef!$A:$B,2,FALSE),0),IFNA(VLOOKUP(B259,Hitter_Primary_Coef!$A:$B,2,FALSE),0))</f>
        <v/>
      </c>
      <c r="Y259">
        <f>IF(Q259="P",0,IFNA(VLOOKUP(IF(C259="","(none)",C259),Hitter_Secondary_Coef!$A:$B,2,FALSE),0))</f>
        <v/>
      </c>
      <c r="Z259">
        <f>IF(Q259="P",IF(ISNUMBER(SEARCH("2F",H259)),IFNA(VLOOKUP("2F",Pitch_Coef!$A:$B,2,FALSE),0),0)+IF(ISNUMBER(SEARCH("4F",H259)),IFNA(VLOOKUP("4F",Pitch_Coef!$A:$B,2,FALSE),0),0)+IF(ISNUMBER(SEARCH("CB",H259)),IFNA(VLOOKUP("CB",Pitch_Coef!$A:$B,2,FALSE),0),0)+IF(ISNUMBER(SEARCH("CF",H259)),IFNA(VLOOKUP("CF",Pitch_Coef!$A:$B,2,FALSE),0),0)+IF(ISNUMBER(SEARCH("CH",H259)),IFNA(VLOOKUP("CH",Pitch_Coef!$A:$B,2,FALSE),0),0)+IF(ISNUMBER(SEARCH("FK",H259)),IFNA(VLOOKUP("FK",Pitch_Coef!$A:$B,2,FALSE),0),0)+IF(ISNUMBER(SEARCH("SB",H259)),IFNA(VLOOKUP("SB",Pitch_Coef!$A:$B,2,FALSE),0),0)+IF(ISNUMBER(SEARCH("SL",H259)),IFNA(VLOOKUP("SL",Pitch_Coef!$A:$B,2,FALSE),0),0),0)</f>
        <v/>
      </c>
      <c r="AA259">
        <f>IF(Q259="P",16.5944849573+0.2529999141*N259+0.2665900378*O259+0.2632687105*P259+0.0427586837*I259+0.0534777057*J259+0.009015832*K259+0.0204898106*(O259*P259/100)+1.0091022427*U259+1.0968542297*IF(D259="L",1,0)+0.3771555045*IF(D259="S",1,0)-0.2226159177*IF(E259="L",1,0)+1.21385024*R259-1.1652812274*S259+W259+X259+Z259,10.5965166711+0.2825983581*I259+0.2806503532*J259+0.2027213083*K259+0.1147824982*L259+0.0915305332*M259-0.0088454122*(I259*J259/100)-0.0336045706*(K259*L259/100)+2.8497389733*IF(D259="L",1,0)+4.5116226727*IF(D259="S",1,0)-0.6571546448*IF(E259="L",1,0)+0.0850728147*T259+0.0129488446*(T259*T259)+0.1909373936*IF(OR(F259="Utility",G259="Utility"),T259,0)+0.9656824071*R259-1.7517683256*S259+W259+X259+Y259)</f>
        <v/>
      </c>
      <c r="AB259">
        <f>LOOKUP(AA259,Grade_Scale!$A$2:$A$18,Grade_Scale!$B$2:$B$18)</f>
        <v/>
      </c>
      <c r="AC259">
        <f>LOOKUP(AA259,Grade_Scale!$A$2:$A$18,Grade_Scale!$C$2:$C$18)</f>
        <v/>
      </c>
      <c r="AE259">
        <f>IF(AD259="","",AB259-VLOOKUP(AD259,Grade_Scale!$C$2:$E$18,3,FALSE))</f>
        <v/>
      </c>
    </row>
    <row r="260">
      <c r="Q260">
        <f>IF(OR(B260="SP",B260="RP",B260="CP",B260="SP/RP"),"P","H")</f>
        <v/>
      </c>
      <c r="R260">
        <f>IF(F260="",0,IFNA(VLOOKUP(F260,Trait_Polarity!$A:$C,2,FALSE),0))+IF(G260="",0,IFNA(VLOOKUP(G260,Trait_Polarity!$A:$C,2,FALSE),0))</f>
        <v/>
      </c>
      <c r="S260">
        <f>IF(F260="",0,IFNA(VLOOKUP(F260,Trait_Polarity!$A:$C,3,FALSE),0))+IF(G260="",0,IFNA(VLOOKUP(G260,Trait_Polarity!$A:$C,3,FALSE),0))</f>
        <v/>
      </c>
      <c r="T260">
        <f>IF(Q260="P",0,IFNA(VLOOKUP(IF(C260="","(none)",C260),Secondary_Versatility!$A:$B,2,FALSE),0))</f>
        <v/>
      </c>
      <c r="U260">
        <f>IF(H260="",0,LEN(H260)-LEN(SUBSTITUTE(H260,"|",""))+1)</f>
        <v/>
      </c>
      <c r="V260">
        <f>IF(Q260="P",(N260+O260+P260)/3,0.3*I260+0.3*J260+0.2*K260+0.1*L260+0.1*M260)</f>
        <v/>
      </c>
      <c r="W260">
        <f>IF(Q260="P",IF(F260="",0,IFNA(VLOOKUP(F260,Pitcher_Trait_Coef!$A:$B,2,FALSE),0))+IF(G260="",0,IFNA(VLOOKUP(G260,Pitcher_Trait_Coef!$A:$B,2,FALSE),0)),IF(F260="",0,IFNA(VLOOKUP(F260,Hitter_Trait_Coef!$A:$B,2,FALSE),0))+IF(G260="",0,IFNA(VLOOKUP(G260,Hitter_Trait_Coef!$A:$B,2,FALSE),0)))</f>
        <v/>
      </c>
      <c r="X260">
        <f>IF(Q260="P",IFNA(VLOOKUP(B260,Pitcher_Primary_Coef!$A:$B,2,FALSE),0),IFNA(VLOOKUP(B260,Hitter_Primary_Coef!$A:$B,2,FALSE),0))</f>
        <v/>
      </c>
      <c r="Y260">
        <f>IF(Q260="P",0,IFNA(VLOOKUP(IF(C260="","(none)",C260),Hitter_Secondary_Coef!$A:$B,2,FALSE),0))</f>
        <v/>
      </c>
      <c r="Z260">
        <f>IF(Q260="P",IF(ISNUMBER(SEARCH("2F",H260)),IFNA(VLOOKUP("2F",Pitch_Coef!$A:$B,2,FALSE),0),0)+IF(ISNUMBER(SEARCH("4F",H260)),IFNA(VLOOKUP("4F",Pitch_Coef!$A:$B,2,FALSE),0),0)+IF(ISNUMBER(SEARCH("CB",H260)),IFNA(VLOOKUP("CB",Pitch_Coef!$A:$B,2,FALSE),0),0)+IF(ISNUMBER(SEARCH("CF",H260)),IFNA(VLOOKUP("CF",Pitch_Coef!$A:$B,2,FALSE),0),0)+IF(ISNUMBER(SEARCH("CH",H260)),IFNA(VLOOKUP("CH",Pitch_Coef!$A:$B,2,FALSE),0),0)+IF(ISNUMBER(SEARCH("FK",H260)),IFNA(VLOOKUP("FK",Pitch_Coef!$A:$B,2,FALSE),0),0)+IF(ISNUMBER(SEARCH("SB",H260)),IFNA(VLOOKUP("SB",Pitch_Coef!$A:$B,2,FALSE),0),0)+IF(ISNUMBER(SEARCH("SL",H260)),IFNA(VLOOKUP("SL",Pitch_Coef!$A:$B,2,FALSE),0),0),0)</f>
        <v/>
      </c>
      <c r="AA260">
        <f>IF(Q260="P",16.5944849573+0.2529999141*N260+0.2665900378*O260+0.2632687105*P260+0.0427586837*I260+0.0534777057*J260+0.009015832*K260+0.0204898106*(O260*P260/100)+1.0091022427*U260+1.0968542297*IF(D260="L",1,0)+0.3771555045*IF(D260="S",1,0)-0.2226159177*IF(E260="L",1,0)+1.21385024*R260-1.1652812274*S260+W260+X260+Z260,10.5965166711+0.2825983581*I260+0.2806503532*J260+0.2027213083*K260+0.1147824982*L260+0.0915305332*M260-0.0088454122*(I260*J260/100)-0.0336045706*(K260*L260/100)+2.8497389733*IF(D260="L",1,0)+4.5116226727*IF(D260="S",1,0)-0.6571546448*IF(E260="L",1,0)+0.0850728147*T260+0.0129488446*(T260*T260)+0.1909373936*IF(OR(F260="Utility",G260="Utility"),T260,0)+0.9656824071*R260-1.7517683256*S260+W260+X260+Y260)</f>
        <v/>
      </c>
      <c r="AB260">
        <f>LOOKUP(AA260,Grade_Scale!$A$2:$A$18,Grade_Scale!$B$2:$B$18)</f>
        <v/>
      </c>
      <c r="AC260">
        <f>LOOKUP(AA260,Grade_Scale!$A$2:$A$18,Grade_Scale!$C$2:$C$18)</f>
        <v/>
      </c>
      <c r="AE260">
        <f>IF(AD260="","",AB260-VLOOKUP(AD260,Grade_Scale!$C$2:$E$18,3,FALSE))</f>
        <v/>
      </c>
    </row>
    <row r="261">
      <c r="Q261">
        <f>IF(OR(B261="SP",B261="RP",B261="CP",B261="SP/RP"),"P","H")</f>
        <v/>
      </c>
      <c r="R261">
        <f>IF(F261="",0,IFNA(VLOOKUP(F261,Trait_Polarity!$A:$C,2,FALSE),0))+IF(G261="",0,IFNA(VLOOKUP(G261,Trait_Polarity!$A:$C,2,FALSE),0))</f>
        <v/>
      </c>
      <c r="S261">
        <f>IF(F261="",0,IFNA(VLOOKUP(F261,Trait_Polarity!$A:$C,3,FALSE),0))+IF(G261="",0,IFNA(VLOOKUP(G261,Trait_Polarity!$A:$C,3,FALSE),0))</f>
        <v/>
      </c>
      <c r="T261">
        <f>IF(Q261="P",0,IFNA(VLOOKUP(IF(C261="","(none)",C261),Secondary_Versatility!$A:$B,2,FALSE),0))</f>
        <v/>
      </c>
      <c r="U261">
        <f>IF(H261="",0,LEN(H261)-LEN(SUBSTITUTE(H261,"|",""))+1)</f>
        <v/>
      </c>
      <c r="V261">
        <f>IF(Q261="P",(N261+O261+P261)/3,0.3*I261+0.3*J261+0.2*K261+0.1*L261+0.1*M261)</f>
        <v/>
      </c>
      <c r="W261">
        <f>IF(Q261="P",IF(F261="",0,IFNA(VLOOKUP(F261,Pitcher_Trait_Coef!$A:$B,2,FALSE),0))+IF(G261="",0,IFNA(VLOOKUP(G261,Pitcher_Trait_Coef!$A:$B,2,FALSE),0)),IF(F261="",0,IFNA(VLOOKUP(F261,Hitter_Trait_Coef!$A:$B,2,FALSE),0))+IF(G261="",0,IFNA(VLOOKUP(G261,Hitter_Trait_Coef!$A:$B,2,FALSE),0)))</f>
        <v/>
      </c>
      <c r="X261">
        <f>IF(Q261="P",IFNA(VLOOKUP(B261,Pitcher_Primary_Coef!$A:$B,2,FALSE),0),IFNA(VLOOKUP(B261,Hitter_Primary_Coef!$A:$B,2,FALSE),0))</f>
        <v/>
      </c>
      <c r="Y261">
        <f>IF(Q261="P",0,IFNA(VLOOKUP(IF(C261="","(none)",C261),Hitter_Secondary_Coef!$A:$B,2,FALSE),0))</f>
        <v/>
      </c>
      <c r="Z261">
        <f>IF(Q261="P",IF(ISNUMBER(SEARCH("2F",H261)),IFNA(VLOOKUP("2F",Pitch_Coef!$A:$B,2,FALSE),0),0)+IF(ISNUMBER(SEARCH("4F",H261)),IFNA(VLOOKUP("4F",Pitch_Coef!$A:$B,2,FALSE),0),0)+IF(ISNUMBER(SEARCH("CB",H261)),IFNA(VLOOKUP("CB",Pitch_Coef!$A:$B,2,FALSE),0),0)+IF(ISNUMBER(SEARCH("CF",H261)),IFNA(VLOOKUP("CF",Pitch_Coef!$A:$B,2,FALSE),0),0)+IF(ISNUMBER(SEARCH("CH",H261)),IFNA(VLOOKUP("CH",Pitch_Coef!$A:$B,2,FALSE),0),0)+IF(ISNUMBER(SEARCH("FK",H261)),IFNA(VLOOKUP("FK",Pitch_Coef!$A:$B,2,FALSE),0),0)+IF(ISNUMBER(SEARCH("SB",H261)),IFNA(VLOOKUP("SB",Pitch_Coef!$A:$B,2,FALSE),0),0)+IF(ISNUMBER(SEARCH("SL",H261)),IFNA(VLOOKUP("SL",Pitch_Coef!$A:$B,2,FALSE),0),0),0)</f>
        <v/>
      </c>
      <c r="AA261">
        <f>IF(Q261="P",16.5944849573+0.2529999141*N261+0.2665900378*O261+0.2632687105*P261+0.0427586837*I261+0.0534777057*J261+0.009015832*K261+0.0204898106*(O261*P261/100)+1.0091022427*U261+1.0968542297*IF(D261="L",1,0)+0.3771555045*IF(D261="S",1,0)-0.2226159177*IF(E261="L",1,0)+1.21385024*R261-1.1652812274*S261+W261+X261+Z261,10.5965166711+0.2825983581*I261+0.2806503532*J261+0.2027213083*K261+0.1147824982*L261+0.0915305332*M261-0.0088454122*(I261*J261/100)-0.0336045706*(K261*L261/100)+2.8497389733*IF(D261="L",1,0)+4.5116226727*IF(D261="S",1,0)-0.6571546448*IF(E261="L",1,0)+0.0850728147*T261+0.0129488446*(T261*T261)+0.1909373936*IF(OR(F261="Utility",G261="Utility"),T261,0)+0.9656824071*R261-1.7517683256*S261+W261+X261+Y261)</f>
        <v/>
      </c>
      <c r="AB261">
        <f>LOOKUP(AA261,Grade_Scale!$A$2:$A$18,Grade_Scale!$B$2:$B$18)</f>
        <v/>
      </c>
      <c r="AC261">
        <f>LOOKUP(AA261,Grade_Scale!$A$2:$A$18,Grade_Scale!$C$2:$C$18)</f>
        <v/>
      </c>
      <c r="AE261">
        <f>IF(AD261="","",AB261-VLOOKUP(AD261,Grade_Scale!$C$2:$E$18,3,FALSE))</f>
        <v/>
      </c>
    </row>
    <row r="262">
      <c r="Q262">
        <f>IF(OR(B262="SP",B262="RP",B262="CP",B262="SP/RP"),"P","H")</f>
        <v/>
      </c>
      <c r="R262">
        <f>IF(F262="",0,IFNA(VLOOKUP(F262,Trait_Polarity!$A:$C,2,FALSE),0))+IF(G262="",0,IFNA(VLOOKUP(G262,Trait_Polarity!$A:$C,2,FALSE),0))</f>
        <v/>
      </c>
      <c r="S262">
        <f>IF(F262="",0,IFNA(VLOOKUP(F262,Trait_Polarity!$A:$C,3,FALSE),0))+IF(G262="",0,IFNA(VLOOKUP(G262,Trait_Polarity!$A:$C,3,FALSE),0))</f>
        <v/>
      </c>
      <c r="T262">
        <f>IF(Q262="P",0,IFNA(VLOOKUP(IF(C262="","(none)",C262),Secondary_Versatility!$A:$B,2,FALSE),0))</f>
        <v/>
      </c>
      <c r="U262">
        <f>IF(H262="",0,LEN(H262)-LEN(SUBSTITUTE(H262,"|",""))+1)</f>
        <v/>
      </c>
      <c r="V262">
        <f>IF(Q262="P",(N262+O262+P262)/3,0.3*I262+0.3*J262+0.2*K262+0.1*L262+0.1*M262)</f>
        <v/>
      </c>
      <c r="W262">
        <f>IF(Q262="P",IF(F262="",0,IFNA(VLOOKUP(F262,Pitcher_Trait_Coef!$A:$B,2,FALSE),0))+IF(G262="",0,IFNA(VLOOKUP(G262,Pitcher_Trait_Coef!$A:$B,2,FALSE),0)),IF(F262="",0,IFNA(VLOOKUP(F262,Hitter_Trait_Coef!$A:$B,2,FALSE),0))+IF(G262="",0,IFNA(VLOOKUP(G262,Hitter_Trait_Coef!$A:$B,2,FALSE),0)))</f>
        <v/>
      </c>
      <c r="X262">
        <f>IF(Q262="P",IFNA(VLOOKUP(B262,Pitcher_Primary_Coef!$A:$B,2,FALSE),0),IFNA(VLOOKUP(B262,Hitter_Primary_Coef!$A:$B,2,FALSE),0))</f>
        <v/>
      </c>
      <c r="Y262">
        <f>IF(Q262="P",0,IFNA(VLOOKUP(IF(C262="","(none)",C262),Hitter_Secondary_Coef!$A:$B,2,FALSE),0))</f>
        <v/>
      </c>
      <c r="Z262">
        <f>IF(Q262="P",IF(ISNUMBER(SEARCH("2F",H262)),IFNA(VLOOKUP("2F",Pitch_Coef!$A:$B,2,FALSE),0),0)+IF(ISNUMBER(SEARCH("4F",H262)),IFNA(VLOOKUP("4F",Pitch_Coef!$A:$B,2,FALSE),0),0)+IF(ISNUMBER(SEARCH("CB",H262)),IFNA(VLOOKUP("CB",Pitch_Coef!$A:$B,2,FALSE),0),0)+IF(ISNUMBER(SEARCH("CF",H262)),IFNA(VLOOKUP("CF",Pitch_Coef!$A:$B,2,FALSE),0),0)+IF(ISNUMBER(SEARCH("CH",H262)),IFNA(VLOOKUP("CH",Pitch_Coef!$A:$B,2,FALSE),0),0)+IF(ISNUMBER(SEARCH("FK",H262)),IFNA(VLOOKUP("FK",Pitch_Coef!$A:$B,2,FALSE),0),0)+IF(ISNUMBER(SEARCH("SB",H262)),IFNA(VLOOKUP("SB",Pitch_Coef!$A:$B,2,FALSE),0),0)+IF(ISNUMBER(SEARCH("SL",H262)),IFNA(VLOOKUP("SL",Pitch_Coef!$A:$B,2,FALSE),0),0),0)</f>
        <v/>
      </c>
      <c r="AA262">
        <f>IF(Q262="P",16.5944849573+0.2529999141*N262+0.2665900378*O262+0.2632687105*P262+0.0427586837*I262+0.0534777057*J262+0.009015832*K262+0.0204898106*(O262*P262/100)+1.0091022427*U262+1.0968542297*IF(D262="L",1,0)+0.3771555045*IF(D262="S",1,0)-0.2226159177*IF(E262="L",1,0)+1.21385024*R262-1.1652812274*S262+W262+X262+Z262,10.5965166711+0.2825983581*I262+0.2806503532*J262+0.2027213083*K262+0.1147824982*L262+0.0915305332*M262-0.0088454122*(I262*J262/100)-0.0336045706*(K262*L262/100)+2.8497389733*IF(D262="L",1,0)+4.5116226727*IF(D262="S",1,0)-0.6571546448*IF(E262="L",1,0)+0.0850728147*T262+0.0129488446*(T262*T262)+0.1909373936*IF(OR(F262="Utility",G262="Utility"),T262,0)+0.9656824071*R262-1.7517683256*S262+W262+X262+Y262)</f>
        <v/>
      </c>
      <c r="AB262">
        <f>LOOKUP(AA262,Grade_Scale!$A$2:$A$18,Grade_Scale!$B$2:$B$18)</f>
        <v/>
      </c>
      <c r="AC262">
        <f>LOOKUP(AA262,Grade_Scale!$A$2:$A$18,Grade_Scale!$C$2:$C$18)</f>
        <v/>
      </c>
      <c r="AE262">
        <f>IF(AD262="","",AB262-VLOOKUP(AD262,Grade_Scale!$C$2:$E$18,3,FALSE))</f>
        <v/>
      </c>
    </row>
    <row r="263">
      <c r="Q263">
        <f>IF(OR(B263="SP",B263="RP",B263="CP",B263="SP/RP"),"P","H")</f>
        <v/>
      </c>
      <c r="R263">
        <f>IF(F263="",0,IFNA(VLOOKUP(F263,Trait_Polarity!$A:$C,2,FALSE),0))+IF(G263="",0,IFNA(VLOOKUP(G263,Trait_Polarity!$A:$C,2,FALSE),0))</f>
        <v/>
      </c>
      <c r="S263">
        <f>IF(F263="",0,IFNA(VLOOKUP(F263,Trait_Polarity!$A:$C,3,FALSE),0))+IF(G263="",0,IFNA(VLOOKUP(G263,Trait_Polarity!$A:$C,3,FALSE),0))</f>
        <v/>
      </c>
      <c r="T263">
        <f>IF(Q263="P",0,IFNA(VLOOKUP(IF(C263="","(none)",C263),Secondary_Versatility!$A:$B,2,FALSE),0))</f>
        <v/>
      </c>
      <c r="U263">
        <f>IF(H263="",0,LEN(H263)-LEN(SUBSTITUTE(H263,"|",""))+1)</f>
        <v/>
      </c>
      <c r="V263">
        <f>IF(Q263="P",(N263+O263+P263)/3,0.3*I263+0.3*J263+0.2*K263+0.1*L263+0.1*M263)</f>
        <v/>
      </c>
      <c r="W263">
        <f>IF(Q263="P",IF(F263="",0,IFNA(VLOOKUP(F263,Pitcher_Trait_Coef!$A:$B,2,FALSE),0))+IF(G263="",0,IFNA(VLOOKUP(G263,Pitcher_Trait_Coef!$A:$B,2,FALSE),0)),IF(F263="",0,IFNA(VLOOKUP(F263,Hitter_Trait_Coef!$A:$B,2,FALSE),0))+IF(G263="",0,IFNA(VLOOKUP(G263,Hitter_Trait_Coef!$A:$B,2,FALSE),0)))</f>
        <v/>
      </c>
      <c r="X263">
        <f>IF(Q263="P",IFNA(VLOOKUP(B263,Pitcher_Primary_Coef!$A:$B,2,FALSE),0),IFNA(VLOOKUP(B263,Hitter_Primary_Coef!$A:$B,2,FALSE),0))</f>
        <v/>
      </c>
      <c r="Y263">
        <f>IF(Q263="P",0,IFNA(VLOOKUP(IF(C263="","(none)",C263),Hitter_Secondary_Coef!$A:$B,2,FALSE),0))</f>
        <v/>
      </c>
      <c r="Z263">
        <f>IF(Q263="P",IF(ISNUMBER(SEARCH("2F",H263)),IFNA(VLOOKUP("2F",Pitch_Coef!$A:$B,2,FALSE),0),0)+IF(ISNUMBER(SEARCH("4F",H263)),IFNA(VLOOKUP("4F",Pitch_Coef!$A:$B,2,FALSE),0),0)+IF(ISNUMBER(SEARCH("CB",H263)),IFNA(VLOOKUP("CB",Pitch_Coef!$A:$B,2,FALSE),0),0)+IF(ISNUMBER(SEARCH("CF",H263)),IFNA(VLOOKUP("CF",Pitch_Coef!$A:$B,2,FALSE),0),0)+IF(ISNUMBER(SEARCH("CH",H263)),IFNA(VLOOKUP("CH",Pitch_Coef!$A:$B,2,FALSE),0),0)+IF(ISNUMBER(SEARCH("FK",H263)),IFNA(VLOOKUP("FK",Pitch_Coef!$A:$B,2,FALSE),0),0)+IF(ISNUMBER(SEARCH("SB",H263)),IFNA(VLOOKUP("SB",Pitch_Coef!$A:$B,2,FALSE),0),0)+IF(ISNUMBER(SEARCH("SL",H263)),IFNA(VLOOKUP("SL",Pitch_Coef!$A:$B,2,FALSE),0),0),0)</f>
        <v/>
      </c>
      <c r="AA263">
        <f>IF(Q263="P",16.5944849573+0.2529999141*N263+0.2665900378*O263+0.2632687105*P263+0.0427586837*I263+0.0534777057*J263+0.009015832*K263+0.0204898106*(O263*P263/100)+1.0091022427*U263+1.0968542297*IF(D263="L",1,0)+0.3771555045*IF(D263="S",1,0)-0.2226159177*IF(E263="L",1,0)+1.21385024*R263-1.1652812274*S263+W263+X263+Z263,10.5965166711+0.2825983581*I263+0.2806503532*J263+0.2027213083*K263+0.1147824982*L263+0.0915305332*M263-0.0088454122*(I263*J263/100)-0.0336045706*(K263*L263/100)+2.8497389733*IF(D263="L",1,0)+4.5116226727*IF(D263="S",1,0)-0.6571546448*IF(E263="L",1,0)+0.0850728147*T263+0.0129488446*(T263*T263)+0.1909373936*IF(OR(F263="Utility",G263="Utility"),T263,0)+0.9656824071*R263-1.7517683256*S263+W263+X263+Y263)</f>
        <v/>
      </c>
      <c r="AB263">
        <f>LOOKUP(AA263,Grade_Scale!$A$2:$A$18,Grade_Scale!$B$2:$B$18)</f>
        <v/>
      </c>
      <c r="AC263">
        <f>LOOKUP(AA263,Grade_Scale!$A$2:$A$18,Grade_Scale!$C$2:$C$18)</f>
        <v/>
      </c>
      <c r="AE263">
        <f>IF(AD263="","",AB263-VLOOKUP(AD263,Grade_Scale!$C$2:$E$18,3,FALSE))</f>
        <v/>
      </c>
    </row>
    <row r="264">
      <c r="Q264">
        <f>IF(OR(B264="SP",B264="RP",B264="CP",B264="SP/RP"),"P","H")</f>
        <v/>
      </c>
      <c r="R264">
        <f>IF(F264="",0,IFNA(VLOOKUP(F264,Trait_Polarity!$A:$C,2,FALSE),0))+IF(G264="",0,IFNA(VLOOKUP(G264,Trait_Polarity!$A:$C,2,FALSE),0))</f>
        <v/>
      </c>
      <c r="S264">
        <f>IF(F264="",0,IFNA(VLOOKUP(F264,Trait_Polarity!$A:$C,3,FALSE),0))+IF(G264="",0,IFNA(VLOOKUP(G264,Trait_Polarity!$A:$C,3,FALSE),0))</f>
        <v/>
      </c>
      <c r="T264">
        <f>IF(Q264="P",0,IFNA(VLOOKUP(IF(C264="","(none)",C264),Secondary_Versatility!$A:$B,2,FALSE),0))</f>
        <v/>
      </c>
      <c r="U264">
        <f>IF(H264="",0,LEN(H264)-LEN(SUBSTITUTE(H264,"|",""))+1)</f>
        <v/>
      </c>
      <c r="V264">
        <f>IF(Q264="P",(N264+O264+P264)/3,0.3*I264+0.3*J264+0.2*K264+0.1*L264+0.1*M264)</f>
        <v/>
      </c>
      <c r="W264">
        <f>IF(Q264="P",IF(F264="",0,IFNA(VLOOKUP(F264,Pitcher_Trait_Coef!$A:$B,2,FALSE),0))+IF(G264="",0,IFNA(VLOOKUP(G264,Pitcher_Trait_Coef!$A:$B,2,FALSE),0)),IF(F264="",0,IFNA(VLOOKUP(F264,Hitter_Trait_Coef!$A:$B,2,FALSE),0))+IF(G264="",0,IFNA(VLOOKUP(G264,Hitter_Trait_Coef!$A:$B,2,FALSE),0)))</f>
        <v/>
      </c>
      <c r="X264">
        <f>IF(Q264="P",IFNA(VLOOKUP(B264,Pitcher_Primary_Coef!$A:$B,2,FALSE),0),IFNA(VLOOKUP(B264,Hitter_Primary_Coef!$A:$B,2,FALSE),0))</f>
        <v/>
      </c>
      <c r="Y264">
        <f>IF(Q264="P",0,IFNA(VLOOKUP(IF(C264="","(none)",C264),Hitter_Secondary_Coef!$A:$B,2,FALSE),0))</f>
        <v/>
      </c>
      <c r="Z264">
        <f>IF(Q264="P",IF(ISNUMBER(SEARCH("2F",H264)),IFNA(VLOOKUP("2F",Pitch_Coef!$A:$B,2,FALSE),0),0)+IF(ISNUMBER(SEARCH("4F",H264)),IFNA(VLOOKUP("4F",Pitch_Coef!$A:$B,2,FALSE),0),0)+IF(ISNUMBER(SEARCH("CB",H264)),IFNA(VLOOKUP("CB",Pitch_Coef!$A:$B,2,FALSE),0),0)+IF(ISNUMBER(SEARCH("CF",H264)),IFNA(VLOOKUP("CF",Pitch_Coef!$A:$B,2,FALSE),0),0)+IF(ISNUMBER(SEARCH("CH",H264)),IFNA(VLOOKUP("CH",Pitch_Coef!$A:$B,2,FALSE),0),0)+IF(ISNUMBER(SEARCH("FK",H264)),IFNA(VLOOKUP("FK",Pitch_Coef!$A:$B,2,FALSE),0),0)+IF(ISNUMBER(SEARCH("SB",H264)),IFNA(VLOOKUP("SB",Pitch_Coef!$A:$B,2,FALSE),0),0)+IF(ISNUMBER(SEARCH("SL",H264)),IFNA(VLOOKUP("SL",Pitch_Coef!$A:$B,2,FALSE),0),0),0)</f>
        <v/>
      </c>
      <c r="AA264">
        <f>IF(Q264="P",16.5944849573+0.2529999141*N264+0.2665900378*O264+0.2632687105*P264+0.0427586837*I264+0.0534777057*J264+0.009015832*K264+0.0204898106*(O264*P264/100)+1.0091022427*U264+1.0968542297*IF(D264="L",1,0)+0.3771555045*IF(D264="S",1,0)-0.2226159177*IF(E264="L",1,0)+1.21385024*R264-1.1652812274*S264+W264+X264+Z264,10.5965166711+0.2825983581*I264+0.2806503532*J264+0.2027213083*K264+0.1147824982*L264+0.0915305332*M264-0.0088454122*(I264*J264/100)-0.0336045706*(K264*L264/100)+2.8497389733*IF(D264="L",1,0)+4.5116226727*IF(D264="S",1,0)-0.6571546448*IF(E264="L",1,0)+0.0850728147*T264+0.0129488446*(T264*T264)+0.1909373936*IF(OR(F264="Utility",G264="Utility"),T264,0)+0.9656824071*R264-1.7517683256*S264+W264+X264+Y264)</f>
        <v/>
      </c>
      <c r="AB264">
        <f>LOOKUP(AA264,Grade_Scale!$A$2:$A$18,Grade_Scale!$B$2:$B$18)</f>
        <v/>
      </c>
      <c r="AC264">
        <f>LOOKUP(AA264,Grade_Scale!$A$2:$A$18,Grade_Scale!$C$2:$C$18)</f>
        <v/>
      </c>
      <c r="AE264">
        <f>IF(AD264="","",AB264-VLOOKUP(AD264,Grade_Scale!$C$2:$E$18,3,FALSE))</f>
        <v/>
      </c>
    </row>
    <row r="265">
      <c r="Q265">
        <f>IF(OR(B265="SP",B265="RP",B265="CP",B265="SP/RP"),"P","H")</f>
        <v/>
      </c>
      <c r="R265">
        <f>IF(F265="",0,IFNA(VLOOKUP(F265,Trait_Polarity!$A:$C,2,FALSE),0))+IF(G265="",0,IFNA(VLOOKUP(G265,Trait_Polarity!$A:$C,2,FALSE),0))</f>
        <v/>
      </c>
      <c r="S265">
        <f>IF(F265="",0,IFNA(VLOOKUP(F265,Trait_Polarity!$A:$C,3,FALSE),0))+IF(G265="",0,IFNA(VLOOKUP(G265,Trait_Polarity!$A:$C,3,FALSE),0))</f>
        <v/>
      </c>
      <c r="T265">
        <f>IF(Q265="P",0,IFNA(VLOOKUP(IF(C265="","(none)",C265),Secondary_Versatility!$A:$B,2,FALSE),0))</f>
        <v/>
      </c>
      <c r="U265">
        <f>IF(H265="",0,LEN(H265)-LEN(SUBSTITUTE(H265,"|",""))+1)</f>
        <v/>
      </c>
      <c r="V265">
        <f>IF(Q265="P",(N265+O265+P265)/3,0.3*I265+0.3*J265+0.2*K265+0.1*L265+0.1*M265)</f>
        <v/>
      </c>
      <c r="W265">
        <f>IF(Q265="P",IF(F265="",0,IFNA(VLOOKUP(F265,Pitcher_Trait_Coef!$A:$B,2,FALSE),0))+IF(G265="",0,IFNA(VLOOKUP(G265,Pitcher_Trait_Coef!$A:$B,2,FALSE),0)),IF(F265="",0,IFNA(VLOOKUP(F265,Hitter_Trait_Coef!$A:$B,2,FALSE),0))+IF(G265="",0,IFNA(VLOOKUP(G265,Hitter_Trait_Coef!$A:$B,2,FALSE),0)))</f>
        <v/>
      </c>
      <c r="X265">
        <f>IF(Q265="P",IFNA(VLOOKUP(B265,Pitcher_Primary_Coef!$A:$B,2,FALSE),0),IFNA(VLOOKUP(B265,Hitter_Primary_Coef!$A:$B,2,FALSE),0))</f>
        <v/>
      </c>
      <c r="Y265">
        <f>IF(Q265="P",0,IFNA(VLOOKUP(IF(C265="","(none)",C265),Hitter_Secondary_Coef!$A:$B,2,FALSE),0))</f>
        <v/>
      </c>
      <c r="Z265">
        <f>IF(Q265="P",IF(ISNUMBER(SEARCH("2F",H265)),IFNA(VLOOKUP("2F",Pitch_Coef!$A:$B,2,FALSE),0),0)+IF(ISNUMBER(SEARCH("4F",H265)),IFNA(VLOOKUP("4F",Pitch_Coef!$A:$B,2,FALSE),0),0)+IF(ISNUMBER(SEARCH("CB",H265)),IFNA(VLOOKUP("CB",Pitch_Coef!$A:$B,2,FALSE),0),0)+IF(ISNUMBER(SEARCH("CF",H265)),IFNA(VLOOKUP("CF",Pitch_Coef!$A:$B,2,FALSE),0),0)+IF(ISNUMBER(SEARCH("CH",H265)),IFNA(VLOOKUP("CH",Pitch_Coef!$A:$B,2,FALSE),0),0)+IF(ISNUMBER(SEARCH("FK",H265)),IFNA(VLOOKUP("FK",Pitch_Coef!$A:$B,2,FALSE),0),0)+IF(ISNUMBER(SEARCH("SB",H265)),IFNA(VLOOKUP("SB",Pitch_Coef!$A:$B,2,FALSE),0),0)+IF(ISNUMBER(SEARCH("SL",H265)),IFNA(VLOOKUP("SL",Pitch_Coef!$A:$B,2,FALSE),0),0),0)</f>
        <v/>
      </c>
      <c r="AA265">
        <f>IF(Q265="P",16.5944849573+0.2529999141*N265+0.2665900378*O265+0.2632687105*P265+0.0427586837*I265+0.0534777057*J265+0.009015832*K265+0.0204898106*(O265*P265/100)+1.0091022427*U265+1.0968542297*IF(D265="L",1,0)+0.3771555045*IF(D265="S",1,0)-0.2226159177*IF(E265="L",1,0)+1.21385024*R265-1.1652812274*S265+W265+X265+Z265,10.5965166711+0.2825983581*I265+0.2806503532*J265+0.2027213083*K265+0.1147824982*L265+0.0915305332*M265-0.0088454122*(I265*J265/100)-0.0336045706*(K265*L265/100)+2.8497389733*IF(D265="L",1,0)+4.5116226727*IF(D265="S",1,0)-0.6571546448*IF(E265="L",1,0)+0.0850728147*T265+0.0129488446*(T265*T265)+0.1909373936*IF(OR(F265="Utility",G265="Utility"),T265,0)+0.9656824071*R265-1.7517683256*S265+W265+X265+Y265)</f>
        <v/>
      </c>
      <c r="AB265">
        <f>LOOKUP(AA265,Grade_Scale!$A$2:$A$18,Grade_Scale!$B$2:$B$18)</f>
        <v/>
      </c>
      <c r="AC265">
        <f>LOOKUP(AA265,Grade_Scale!$A$2:$A$18,Grade_Scale!$C$2:$C$18)</f>
        <v/>
      </c>
      <c r="AE265">
        <f>IF(AD265="","",AB265-VLOOKUP(AD265,Grade_Scale!$C$2:$E$18,3,FALSE))</f>
        <v/>
      </c>
    </row>
    <row r="266">
      <c r="Q266">
        <f>IF(OR(B266="SP",B266="RP",B266="CP",B266="SP/RP"),"P","H")</f>
        <v/>
      </c>
      <c r="R266">
        <f>IF(F266="",0,IFNA(VLOOKUP(F266,Trait_Polarity!$A:$C,2,FALSE),0))+IF(G266="",0,IFNA(VLOOKUP(G266,Trait_Polarity!$A:$C,2,FALSE),0))</f>
        <v/>
      </c>
      <c r="S266">
        <f>IF(F266="",0,IFNA(VLOOKUP(F266,Trait_Polarity!$A:$C,3,FALSE),0))+IF(G266="",0,IFNA(VLOOKUP(G266,Trait_Polarity!$A:$C,3,FALSE),0))</f>
        <v/>
      </c>
      <c r="T266">
        <f>IF(Q266="P",0,IFNA(VLOOKUP(IF(C266="","(none)",C266),Secondary_Versatility!$A:$B,2,FALSE),0))</f>
        <v/>
      </c>
      <c r="U266">
        <f>IF(H266="",0,LEN(H266)-LEN(SUBSTITUTE(H266,"|",""))+1)</f>
        <v/>
      </c>
      <c r="V266">
        <f>IF(Q266="P",(N266+O266+P266)/3,0.3*I266+0.3*J266+0.2*K266+0.1*L266+0.1*M266)</f>
        <v/>
      </c>
      <c r="W266">
        <f>IF(Q266="P",IF(F266="",0,IFNA(VLOOKUP(F266,Pitcher_Trait_Coef!$A:$B,2,FALSE),0))+IF(G266="",0,IFNA(VLOOKUP(G266,Pitcher_Trait_Coef!$A:$B,2,FALSE),0)),IF(F266="",0,IFNA(VLOOKUP(F266,Hitter_Trait_Coef!$A:$B,2,FALSE),0))+IF(G266="",0,IFNA(VLOOKUP(G266,Hitter_Trait_Coef!$A:$B,2,FALSE),0)))</f>
        <v/>
      </c>
      <c r="X266">
        <f>IF(Q266="P",IFNA(VLOOKUP(B266,Pitcher_Primary_Coef!$A:$B,2,FALSE),0),IFNA(VLOOKUP(B266,Hitter_Primary_Coef!$A:$B,2,FALSE),0))</f>
        <v/>
      </c>
      <c r="Y266">
        <f>IF(Q266="P",0,IFNA(VLOOKUP(IF(C266="","(none)",C266),Hitter_Secondary_Coef!$A:$B,2,FALSE),0))</f>
        <v/>
      </c>
      <c r="Z266">
        <f>IF(Q266="P",IF(ISNUMBER(SEARCH("2F",H266)),IFNA(VLOOKUP("2F",Pitch_Coef!$A:$B,2,FALSE),0),0)+IF(ISNUMBER(SEARCH("4F",H266)),IFNA(VLOOKUP("4F",Pitch_Coef!$A:$B,2,FALSE),0),0)+IF(ISNUMBER(SEARCH("CB",H266)),IFNA(VLOOKUP("CB",Pitch_Coef!$A:$B,2,FALSE),0),0)+IF(ISNUMBER(SEARCH("CF",H266)),IFNA(VLOOKUP("CF",Pitch_Coef!$A:$B,2,FALSE),0),0)+IF(ISNUMBER(SEARCH("CH",H266)),IFNA(VLOOKUP("CH",Pitch_Coef!$A:$B,2,FALSE),0),0)+IF(ISNUMBER(SEARCH("FK",H266)),IFNA(VLOOKUP("FK",Pitch_Coef!$A:$B,2,FALSE),0),0)+IF(ISNUMBER(SEARCH("SB",H266)),IFNA(VLOOKUP("SB",Pitch_Coef!$A:$B,2,FALSE),0),0)+IF(ISNUMBER(SEARCH("SL",H266)),IFNA(VLOOKUP("SL",Pitch_Coef!$A:$B,2,FALSE),0),0),0)</f>
        <v/>
      </c>
      <c r="AA266">
        <f>IF(Q266="P",16.5944849573+0.2529999141*N266+0.2665900378*O266+0.2632687105*P266+0.0427586837*I266+0.0534777057*J266+0.009015832*K266+0.0204898106*(O266*P266/100)+1.0091022427*U266+1.0968542297*IF(D266="L",1,0)+0.3771555045*IF(D266="S",1,0)-0.2226159177*IF(E266="L",1,0)+1.21385024*R266-1.1652812274*S266+W266+X266+Z266,10.5965166711+0.2825983581*I266+0.2806503532*J266+0.2027213083*K266+0.1147824982*L266+0.0915305332*M266-0.0088454122*(I266*J266/100)-0.0336045706*(K266*L266/100)+2.8497389733*IF(D266="L",1,0)+4.5116226727*IF(D266="S",1,0)-0.6571546448*IF(E266="L",1,0)+0.0850728147*T266+0.0129488446*(T266*T266)+0.1909373936*IF(OR(F266="Utility",G266="Utility"),T266,0)+0.9656824071*R266-1.7517683256*S266+W266+X266+Y266)</f>
        <v/>
      </c>
      <c r="AB266">
        <f>LOOKUP(AA266,Grade_Scale!$A$2:$A$18,Grade_Scale!$B$2:$B$18)</f>
        <v/>
      </c>
      <c r="AC266">
        <f>LOOKUP(AA266,Grade_Scale!$A$2:$A$18,Grade_Scale!$C$2:$C$18)</f>
        <v/>
      </c>
      <c r="AE266">
        <f>IF(AD266="","",AB266-VLOOKUP(AD266,Grade_Scale!$C$2:$E$18,3,FALSE))</f>
        <v/>
      </c>
    </row>
    <row r="267">
      <c r="Q267">
        <f>IF(OR(B267="SP",B267="RP",B267="CP",B267="SP/RP"),"P","H")</f>
        <v/>
      </c>
      <c r="R267">
        <f>IF(F267="",0,IFNA(VLOOKUP(F267,Trait_Polarity!$A:$C,2,FALSE),0))+IF(G267="",0,IFNA(VLOOKUP(G267,Trait_Polarity!$A:$C,2,FALSE),0))</f>
        <v/>
      </c>
      <c r="S267">
        <f>IF(F267="",0,IFNA(VLOOKUP(F267,Trait_Polarity!$A:$C,3,FALSE),0))+IF(G267="",0,IFNA(VLOOKUP(G267,Trait_Polarity!$A:$C,3,FALSE),0))</f>
        <v/>
      </c>
      <c r="T267">
        <f>IF(Q267="P",0,IFNA(VLOOKUP(IF(C267="","(none)",C267),Secondary_Versatility!$A:$B,2,FALSE),0))</f>
        <v/>
      </c>
      <c r="U267">
        <f>IF(H267="",0,LEN(H267)-LEN(SUBSTITUTE(H267,"|",""))+1)</f>
        <v/>
      </c>
      <c r="V267">
        <f>IF(Q267="P",(N267+O267+P267)/3,0.3*I267+0.3*J267+0.2*K267+0.1*L267+0.1*M267)</f>
        <v/>
      </c>
      <c r="W267">
        <f>IF(Q267="P",IF(F267="",0,IFNA(VLOOKUP(F267,Pitcher_Trait_Coef!$A:$B,2,FALSE),0))+IF(G267="",0,IFNA(VLOOKUP(G267,Pitcher_Trait_Coef!$A:$B,2,FALSE),0)),IF(F267="",0,IFNA(VLOOKUP(F267,Hitter_Trait_Coef!$A:$B,2,FALSE),0))+IF(G267="",0,IFNA(VLOOKUP(G267,Hitter_Trait_Coef!$A:$B,2,FALSE),0)))</f>
        <v/>
      </c>
      <c r="X267">
        <f>IF(Q267="P",IFNA(VLOOKUP(B267,Pitcher_Primary_Coef!$A:$B,2,FALSE),0),IFNA(VLOOKUP(B267,Hitter_Primary_Coef!$A:$B,2,FALSE),0))</f>
        <v/>
      </c>
      <c r="Y267">
        <f>IF(Q267="P",0,IFNA(VLOOKUP(IF(C267="","(none)",C267),Hitter_Secondary_Coef!$A:$B,2,FALSE),0))</f>
        <v/>
      </c>
      <c r="Z267">
        <f>IF(Q267="P",IF(ISNUMBER(SEARCH("2F",H267)),IFNA(VLOOKUP("2F",Pitch_Coef!$A:$B,2,FALSE),0),0)+IF(ISNUMBER(SEARCH("4F",H267)),IFNA(VLOOKUP("4F",Pitch_Coef!$A:$B,2,FALSE),0),0)+IF(ISNUMBER(SEARCH("CB",H267)),IFNA(VLOOKUP("CB",Pitch_Coef!$A:$B,2,FALSE),0),0)+IF(ISNUMBER(SEARCH("CF",H267)),IFNA(VLOOKUP("CF",Pitch_Coef!$A:$B,2,FALSE),0),0)+IF(ISNUMBER(SEARCH("CH",H267)),IFNA(VLOOKUP("CH",Pitch_Coef!$A:$B,2,FALSE),0),0)+IF(ISNUMBER(SEARCH("FK",H267)),IFNA(VLOOKUP("FK",Pitch_Coef!$A:$B,2,FALSE),0),0)+IF(ISNUMBER(SEARCH("SB",H267)),IFNA(VLOOKUP("SB",Pitch_Coef!$A:$B,2,FALSE),0),0)+IF(ISNUMBER(SEARCH("SL",H267)),IFNA(VLOOKUP("SL",Pitch_Coef!$A:$B,2,FALSE),0),0),0)</f>
        <v/>
      </c>
      <c r="AA267">
        <f>IF(Q267="P",16.5944849573+0.2529999141*N267+0.2665900378*O267+0.2632687105*P267+0.0427586837*I267+0.0534777057*J267+0.009015832*K267+0.0204898106*(O267*P267/100)+1.0091022427*U267+1.0968542297*IF(D267="L",1,0)+0.3771555045*IF(D267="S",1,0)-0.2226159177*IF(E267="L",1,0)+1.21385024*R267-1.1652812274*S267+W267+X267+Z267,10.5965166711+0.2825983581*I267+0.2806503532*J267+0.2027213083*K267+0.1147824982*L267+0.0915305332*M267-0.0088454122*(I267*J267/100)-0.0336045706*(K267*L267/100)+2.8497389733*IF(D267="L",1,0)+4.5116226727*IF(D267="S",1,0)-0.6571546448*IF(E267="L",1,0)+0.0850728147*T267+0.0129488446*(T267*T267)+0.1909373936*IF(OR(F267="Utility",G267="Utility"),T267,0)+0.9656824071*R267-1.7517683256*S267+W267+X267+Y267)</f>
        <v/>
      </c>
      <c r="AB267">
        <f>LOOKUP(AA267,Grade_Scale!$A$2:$A$18,Grade_Scale!$B$2:$B$18)</f>
        <v/>
      </c>
      <c r="AC267">
        <f>LOOKUP(AA267,Grade_Scale!$A$2:$A$18,Grade_Scale!$C$2:$C$18)</f>
        <v/>
      </c>
      <c r="AE267">
        <f>IF(AD267="","",AB267-VLOOKUP(AD267,Grade_Scale!$C$2:$E$18,3,FALSE))</f>
        <v/>
      </c>
    </row>
    <row r="268">
      <c r="Q268">
        <f>IF(OR(B268="SP",B268="RP",B268="CP",B268="SP/RP"),"P","H")</f>
        <v/>
      </c>
      <c r="R268">
        <f>IF(F268="",0,IFNA(VLOOKUP(F268,Trait_Polarity!$A:$C,2,FALSE),0))+IF(G268="",0,IFNA(VLOOKUP(G268,Trait_Polarity!$A:$C,2,FALSE),0))</f>
        <v/>
      </c>
      <c r="S268">
        <f>IF(F268="",0,IFNA(VLOOKUP(F268,Trait_Polarity!$A:$C,3,FALSE),0))+IF(G268="",0,IFNA(VLOOKUP(G268,Trait_Polarity!$A:$C,3,FALSE),0))</f>
        <v/>
      </c>
      <c r="T268">
        <f>IF(Q268="P",0,IFNA(VLOOKUP(IF(C268="","(none)",C268),Secondary_Versatility!$A:$B,2,FALSE),0))</f>
        <v/>
      </c>
      <c r="U268">
        <f>IF(H268="",0,LEN(H268)-LEN(SUBSTITUTE(H268,"|",""))+1)</f>
        <v/>
      </c>
      <c r="V268">
        <f>IF(Q268="P",(N268+O268+P268)/3,0.3*I268+0.3*J268+0.2*K268+0.1*L268+0.1*M268)</f>
        <v/>
      </c>
      <c r="W268">
        <f>IF(Q268="P",IF(F268="",0,IFNA(VLOOKUP(F268,Pitcher_Trait_Coef!$A:$B,2,FALSE),0))+IF(G268="",0,IFNA(VLOOKUP(G268,Pitcher_Trait_Coef!$A:$B,2,FALSE),0)),IF(F268="",0,IFNA(VLOOKUP(F268,Hitter_Trait_Coef!$A:$B,2,FALSE),0))+IF(G268="",0,IFNA(VLOOKUP(G268,Hitter_Trait_Coef!$A:$B,2,FALSE),0)))</f>
        <v/>
      </c>
      <c r="X268">
        <f>IF(Q268="P",IFNA(VLOOKUP(B268,Pitcher_Primary_Coef!$A:$B,2,FALSE),0),IFNA(VLOOKUP(B268,Hitter_Primary_Coef!$A:$B,2,FALSE),0))</f>
        <v/>
      </c>
      <c r="Y268">
        <f>IF(Q268="P",0,IFNA(VLOOKUP(IF(C268="","(none)",C268),Hitter_Secondary_Coef!$A:$B,2,FALSE),0))</f>
        <v/>
      </c>
      <c r="Z268">
        <f>IF(Q268="P",IF(ISNUMBER(SEARCH("2F",H268)),IFNA(VLOOKUP("2F",Pitch_Coef!$A:$B,2,FALSE),0),0)+IF(ISNUMBER(SEARCH("4F",H268)),IFNA(VLOOKUP("4F",Pitch_Coef!$A:$B,2,FALSE),0),0)+IF(ISNUMBER(SEARCH("CB",H268)),IFNA(VLOOKUP("CB",Pitch_Coef!$A:$B,2,FALSE),0),0)+IF(ISNUMBER(SEARCH("CF",H268)),IFNA(VLOOKUP("CF",Pitch_Coef!$A:$B,2,FALSE),0),0)+IF(ISNUMBER(SEARCH("CH",H268)),IFNA(VLOOKUP("CH",Pitch_Coef!$A:$B,2,FALSE),0),0)+IF(ISNUMBER(SEARCH("FK",H268)),IFNA(VLOOKUP("FK",Pitch_Coef!$A:$B,2,FALSE),0),0)+IF(ISNUMBER(SEARCH("SB",H268)),IFNA(VLOOKUP("SB",Pitch_Coef!$A:$B,2,FALSE),0),0)+IF(ISNUMBER(SEARCH("SL",H268)),IFNA(VLOOKUP("SL",Pitch_Coef!$A:$B,2,FALSE),0),0),0)</f>
        <v/>
      </c>
      <c r="AA268">
        <f>IF(Q268="P",16.5944849573+0.2529999141*N268+0.2665900378*O268+0.2632687105*P268+0.0427586837*I268+0.0534777057*J268+0.009015832*K268+0.0204898106*(O268*P268/100)+1.0091022427*U268+1.0968542297*IF(D268="L",1,0)+0.3771555045*IF(D268="S",1,0)-0.2226159177*IF(E268="L",1,0)+1.21385024*R268-1.1652812274*S268+W268+X268+Z268,10.5965166711+0.2825983581*I268+0.2806503532*J268+0.2027213083*K268+0.1147824982*L268+0.0915305332*M268-0.0088454122*(I268*J268/100)-0.0336045706*(K268*L268/100)+2.8497389733*IF(D268="L",1,0)+4.5116226727*IF(D268="S",1,0)-0.6571546448*IF(E268="L",1,0)+0.0850728147*T268+0.0129488446*(T268*T268)+0.1909373936*IF(OR(F268="Utility",G268="Utility"),T268,0)+0.9656824071*R268-1.7517683256*S268+W268+X268+Y268)</f>
        <v/>
      </c>
      <c r="AB268">
        <f>LOOKUP(AA268,Grade_Scale!$A$2:$A$18,Grade_Scale!$B$2:$B$18)</f>
        <v/>
      </c>
      <c r="AC268">
        <f>LOOKUP(AA268,Grade_Scale!$A$2:$A$18,Grade_Scale!$C$2:$C$18)</f>
        <v/>
      </c>
      <c r="AE268">
        <f>IF(AD268="","",AB268-VLOOKUP(AD268,Grade_Scale!$C$2:$E$18,3,FALSE))</f>
        <v/>
      </c>
    </row>
    <row r="269">
      <c r="Q269">
        <f>IF(OR(B269="SP",B269="RP",B269="CP",B269="SP/RP"),"P","H")</f>
        <v/>
      </c>
      <c r="R269">
        <f>IF(F269="",0,IFNA(VLOOKUP(F269,Trait_Polarity!$A:$C,2,FALSE),0))+IF(G269="",0,IFNA(VLOOKUP(G269,Trait_Polarity!$A:$C,2,FALSE),0))</f>
        <v/>
      </c>
      <c r="S269">
        <f>IF(F269="",0,IFNA(VLOOKUP(F269,Trait_Polarity!$A:$C,3,FALSE),0))+IF(G269="",0,IFNA(VLOOKUP(G269,Trait_Polarity!$A:$C,3,FALSE),0))</f>
        <v/>
      </c>
      <c r="T269">
        <f>IF(Q269="P",0,IFNA(VLOOKUP(IF(C269="","(none)",C269),Secondary_Versatility!$A:$B,2,FALSE),0))</f>
        <v/>
      </c>
      <c r="U269">
        <f>IF(H269="",0,LEN(H269)-LEN(SUBSTITUTE(H269,"|",""))+1)</f>
        <v/>
      </c>
      <c r="V269">
        <f>IF(Q269="P",(N269+O269+P269)/3,0.3*I269+0.3*J269+0.2*K269+0.1*L269+0.1*M269)</f>
        <v/>
      </c>
      <c r="W269">
        <f>IF(Q269="P",IF(F269="",0,IFNA(VLOOKUP(F269,Pitcher_Trait_Coef!$A:$B,2,FALSE),0))+IF(G269="",0,IFNA(VLOOKUP(G269,Pitcher_Trait_Coef!$A:$B,2,FALSE),0)),IF(F269="",0,IFNA(VLOOKUP(F269,Hitter_Trait_Coef!$A:$B,2,FALSE),0))+IF(G269="",0,IFNA(VLOOKUP(G269,Hitter_Trait_Coef!$A:$B,2,FALSE),0)))</f>
        <v/>
      </c>
      <c r="X269">
        <f>IF(Q269="P",IFNA(VLOOKUP(B269,Pitcher_Primary_Coef!$A:$B,2,FALSE),0),IFNA(VLOOKUP(B269,Hitter_Primary_Coef!$A:$B,2,FALSE),0))</f>
        <v/>
      </c>
      <c r="Y269">
        <f>IF(Q269="P",0,IFNA(VLOOKUP(IF(C269="","(none)",C269),Hitter_Secondary_Coef!$A:$B,2,FALSE),0))</f>
        <v/>
      </c>
      <c r="Z269">
        <f>IF(Q269="P",IF(ISNUMBER(SEARCH("2F",H269)),IFNA(VLOOKUP("2F",Pitch_Coef!$A:$B,2,FALSE),0),0)+IF(ISNUMBER(SEARCH("4F",H269)),IFNA(VLOOKUP("4F",Pitch_Coef!$A:$B,2,FALSE),0),0)+IF(ISNUMBER(SEARCH("CB",H269)),IFNA(VLOOKUP("CB",Pitch_Coef!$A:$B,2,FALSE),0),0)+IF(ISNUMBER(SEARCH("CF",H269)),IFNA(VLOOKUP("CF",Pitch_Coef!$A:$B,2,FALSE),0),0)+IF(ISNUMBER(SEARCH("CH",H269)),IFNA(VLOOKUP("CH",Pitch_Coef!$A:$B,2,FALSE),0),0)+IF(ISNUMBER(SEARCH("FK",H269)),IFNA(VLOOKUP("FK",Pitch_Coef!$A:$B,2,FALSE),0),0)+IF(ISNUMBER(SEARCH("SB",H269)),IFNA(VLOOKUP("SB",Pitch_Coef!$A:$B,2,FALSE),0),0)+IF(ISNUMBER(SEARCH("SL",H269)),IFNA(VLOOKUP("SL",Pitch_Coef!$A:$B,2,FALSE),0),0),0)</f>
        <v/>
      </c>
      <c r="AA269">
        <f>IF(Q269="P",16.5944849573+0.2529999141*N269+0.2665900378*O269+0.2632687105*P269+0.0427586837*I269+0.0534777057*J269+0.009015832*K269+0.0204898106*(O269*P269/100)+1.0091022427*U269+1.0968542297*IF(D269="L",1,0)+0.3771555045*IF(D269="S",1,0)-0.2226159177*IF(E269="L",1,0)+1.21385024*R269-1.1652812274*S269+W269+X269+Z269,10.5965166711+0.2825983581*I269+0.2806503532*J269+0.2027213083*K269+0.1147824982*L269+0.0915305332*M269-0.0088454122*(I269*J269/100)-0.0336045706*(K269*L269/100)+2.8497389733*IF(D269="L",1,0)+4.5116226727*IF(D269="S",1,0)-0.6571546448*IF(E269="L",1,0)+0.0850728147*T269+0.0129488446*(T269*T269)+0.1909373936*IF(OR(F269="Utility",G269="Utility"),T269,0)+0.9656824071*R269-1.7517683256*S269+W269+X269+Y269)</f>
        <v/>
      </c>
      <c r="AB269">
        <f>LOOKUP(AA269,Grade_Scale!$A$2:$A$18,Grade_Scale!$B$2:$B$18)</f>
        <v/>
      </c>
      <c r="AC269">
        <f>LOOKUP(AA269,Grade_Scale!$A$2:$A$18,Grade_Scale!$C$2:$C$18)</f>
        <v/>
      </c>
      <c r="AE269">
        <f>IF(AD269="","",AB269-VLOOKUP(AD269,Grade_Scale!$C$2:$E$18,3,FALSE))</f>
        <v/>
      </c>
    </row>
    <row r="270">
      <c r="Q270">
        <f>IF(OR(B270="SP",B270="RP",B270="CP",B270="SP/RP"),"P","H")</f>
        <v/>
      </c>
      <c r="R270">
        <f>IF(F270="",0,IFNA(VLOOKUP(F270,Trait_Polarity!$A:$C,2,FALSE),0))+IF(G270="",0,IFNA(VLOOKUP(G270,Trait_Polarity!$A:$C,2,FALSE),0))</f>
        <v/>
      </c>
      <c r="S270">
        <f>IF(F270="",0,IFNA(VLOOKUP(F270,Trait_Polarity!$A:$C,3,FALSE),0))+IF(G270="",0,IFNA(VLOOKUP(G270,Trait_Polarity!$A:$C,3,FALSE),0))</f>
        <v/>
      </c>
      <c r="T270">
        <f>IF(Q270="P",0,IFNA(VLOOKUP(IF(C270="","(none)",C270),Secondary_Versatility!$A:$B,2,FALSE),0))</f>
        <v/>
      </c>
      <c r="U270">
        <f>IF(H270="",0,LEN(H270)-LEN(SUBSTITUTE(H270,"|",""))+1)</f>
        <v/>
      </c>
      <c r="V270">
        <f>IF(Q270="P",(N270+O270+P270)/3,0.3*I270+0.3*J270+0.2*K270+0.1*L270+0.1*M270)</f>
        <v/>
      </c>
      <c r="W270">
        <f>IF(Q270="P",IF(F270="",0,IFNA(VLOOKUP(F270,Pitcher_Trait_Coef!$A:$B,2,FALSE),0))+IF(G270="",0,IFNA(VLOOKUP(G270,Pitcher_Trait_Coef!$A:$B,2,FALSE),0)),IF(F270="",0,IFNA(VLOOKUP(F270,Hitter_Trait_Coef!$A:$B,2,FALSE),0))+IF(G270="",0,IFNA(VLOOKUP(G270,Hitter_Trait_Coef!$A:$B,2,FALSE),0)))</f>
        <v/>
      </c>
      <c r="X270">
        <f>IF(Q270="P",IFNA(VLOOKUP(B270,Pitcher_Primary_Coef!$A:$B,2,FALSE),0),IFNA(VLOOKUP(B270,Hitter_Primary_Coef!$A:$B,2,FALSE),0))</f>
        <v/>
      </c>
      <c r="Y270">
        <f>IF(Q270="P",0,IFNA(VLOOKUP(IF(C270="","(none)",C270),Hitter_Secondary_Coef!$A:$B,2,FALSE),0))</f>
        <v/>
      </c>
      <c r="Z270">
        <f>IF(Q270="P",IF(ISNUMBER(SEARCH("2F",H270)),IFNA(VLOOKUP("2F",Pitch_Coef!$A:$B,2,FALSE),0),0)+IF(ISNUMBER(SEARCH("4F",H270)),IFNA(VLOOKUP("4F",Pitch_Coef!$A:$B,2,FALSE),0),0)+IF(ISNUMBER(SEARCH("CB",H270)),IFNA(VLOOKUP("CB",Pitch_Coef!$A:$B,2,FALSE),0),0)+IF(ISNUMBER(SEARCH("CF",H270)),IFNA(VLOOKUP("CF",Pitch_Coef!$A:$B,2,FALSE),0),0)+IF(ISNUMBER(SEARCH("CH",H270)),IFNA(VLOOKUP("CH",Pitch_Coef!$A:$B,2,FALSE),0),0)+IF(ISNUMBER(SEARCH("FK",H270)),IFNA(VLOOKUP("FK",Pitch_Coef!$A:$B,2,FALSE),0),0)+IF(ISNUMBER(SEARCH("SB",H270)),IFNA(VLOOKUP("SB",Pitch_Coef!$A:$B,2,FALSE),0),0)+IF(ISNUMBER(SEARCH("SL",H270)),IFNA(VLOOKUP("SL",Pitch_Coef!$A:$B,2,FALSE),0),0),0)</f>
        <v/>
      </c>
      <c r="AA270">
        <f>IF(Q270="P",16.5944849573+0.2529999141*N270+0.2665900378*O270+0.2632687105*P270+0.0427586837*I270+0.0534777057*J270+0.009015832*K270+0.0204898106*(O270*P270/100)+1.0091022427*U270+1.0968542297*IF(D270="L",1,0)+0.3771555045*IF(D270="S",1,0)-0.2226159177*IF(E270="L",1,0)+1.21385024*R270-1.1652812274*S270+W270+X270+Z270,10.5965166711+0.2825983581*I270+0.2806503532*J270+0.2027213083*K270+0.1147824982*L270+0.0915305332*M270-0.0088454122*(I270*J270/100)-0.0336045706*(K270*L270/100)+2.8497389733*IF(D270="L",1,0)+4.5116226727*IF(D270="S",1,0)-0.6571546448*IF(E270="L",1,0)+0.0850728147*T270+0.0129488446*(T270*T270)+0.1909373936*IF(OR(F270="Utility",G270="Utility"),T270,0)+0.9656824071*R270-1.7517683256*S270+W270+X270+Y270)</f>
        <v/>
      </c>
      <c r="AB270">
        <f>LOOKUP(AA270,Grade_Scale!$A$2:$A$18,Grade_Scale!$B$2:$B$18)</f>
        <v/>
      </c>
      <c r="AC270">
        <f>LOOKUP(AA270,Grade_Scale!$A$2:$A$18,Grade_Scale!$C$2:$C$18)</f>
        <v/>
      </c>
      <c r="AE270">
        <f>IF(AD270="","",AB270-VLOOKUP(AD270,Grade_Scale!$C$2:$E$18,3,FALSE))</f>
        <v/>
      </c>
    </row>
    <row r="271">
      <c r="Q271">
        <f>IF(OR(B271="SP",B271="RP",B271="CP",B271="SP/RP"),"P","H")</f>
        <v/>
      </c>
      <c r="R271">
        <f>IF(F271="",0,IFNA(VLOOKUP(F271,Trait_Polarity!$A:$C,2,FALSE),0))+IF(G271="",0,IFNA(VLOOKUP(G271,Trait_Polarity!$A:$C,2,FALSE),0))</f>
        <v/>
      </c>
      <c r="S271">
        <f>IF(F271="",0,IFNA(VLOOKUP(F271,Trait_Polarity!$A:$C,3,FALSE),0))+IF(G271="",0,IFNA(VLOOKUP(G271,Trait_Polarity!$A:$C,3,FALSE),0))</f>
        <v/>
      </c>
      <c r="T271">
        <f>IF(Q271="P",0,IFNA(VLOOKUP(IF(C271="","(none)",C271),Secondary_Versatility!$A:$B,2,FALSE),0))</f>
        <v/>
      </c>
      <c r="U271">
        <f>IF(H271="",0,LEN(H271)-LEN(SUBSTITUTE(H271,"|",""))+1)</f>
        <v/>
      </c>
      <c r="V271">
        <f>IF(Q271="P",(N271+O271+P271)/3,0.3*I271+0.3*J271+0.2*K271+0.1*L271+0.1*M271)</f>
        <v/>
      </c>
      <c r="W271">
        <f>IF(Q271="P",IF(F271="",0,IFNA(VLOOKUP(F271,Pitcher_Trait_Coef!$A:$B,2,FALSE),0))+IF(G271="",0,IFNA(VLOOKUP(G271,Pitcher_Trait_Coef!$A:$B,2,FALSE),0)),IF(F271="",0,IFNA(VLOOKUP(F271,Hitter_Trait_Coef!$A:$B,2,FALSE),0))+IF(G271="",0,IFNA(VLOOKUP(G271,Hitter_Trait_Coef!$A:$B,2,FALSE),0)))</f>
        <v/>
      </c>
      <c r="X271">
        <f>IF(Q271="P",IFNA(VLOOKUP(B271,Pitcher_Primary_Coef!$A:$B,2,FALSE),0),IFNA(VLOOKUP(B271,Hitter_Primary_Coef!$A:$B,2,FALSE),0))</f>
        <v/>
      </c>
      <c r="Y271">
        <f>IF(Q271="P",0,IFNA(VLOOKUP(IF(C271="","(none)",C271),Hitter_Secondary_Coef!$A:$B,2,FALSE),0))</f>
        <v/>
      </c>
      <c r="Z271">
        <f>IF(Q271="P",IF(ISNUMBER(SEARCH("2F",H271)),IFNA(VLOOKUP("2F",Pitch_Coef!$A:$B,2,FALSE),0),0)+IF(ISNUMBER(SEARCH("4F",H271)),IFNA(VLOOKUP("4F",Pitch_Coef!$A:$B,2,FALSE),0),0)+IF(ISNUMBER(SEARCH("CB",H271)),IFNA(VLOOKUP("CB",Pitch_Coef!$A:$B,2,FALSE),0),0)+IF(ISNUMBER(SEARCH("CF",H271)),IFNA(VLOOKUP("CF",Pitch_Coef!$A:$B,2,FALSE),0),0)+IF(ISNUMBER(SEARCH("CH",H271)),IFNA(VLOOKUP("CH",Pitch_Coef!$A:$B,2,FALSE),0),0)+IF(ISNUMBER(SEARCH("FK",H271)),IFNA(VLOOKUP("FK",Pitch_Coef!$A:$B,2,FALSE),0),0)+IF(ISNUMBER(SEARCH("SB",H271)),IFNA(VLOOKUP("SB",Pitch_Coef!$A:$B,2,FALSE),0),0)+IF(ISNUMBER(SEARCH("SL",H271)),IFNA(VLOOKUP("SL",Pitch_Coef!$A:$B,2,FALSE),0),0),0)</f>
        <v/>
      </c>
      <c r="AA271">
        <f>IF(Q271="P",16.5944849573+0.2529999141*N271+0.2665900378*O271+0.2632687105*P271+0.0427586837*I271+0.0534777057*J271+0.009015832*K271+0.0204898106*(O271*P271/100)+1.0091022427*U271+1.0968542297*IF(D271="L",1,0)+0.3771555045*IF(D271="S",1,0)-0.2226159177*IF(E271="L",1,0)+1.21385024*R271-1.1652812274*S271+W271+X271+Z271,10.5965166711+0.2825983581*I271+0.2806503532*J271+0.2027213083*K271+0.1147824982*L271+0.0915305332*M271-0.0088454122*(I271*J271/100)-0.0336045706*(K271*L271/100)+2.8497389733*IF(D271="L",1,0)+4.5116226727*IF(D271="S",1,0)-0.6571546448*IF(E271="L",1,0)+0.0850728147*T271+0.0129488446*(T271*T271)+0.1909373936*IF(OR(F271="Utility",G271="Utility"),T271,0)+0.9656824071*R271-1.7517683256*S271+W271+X271+Y271)</f>
        <v/>
      </c>
      <c r="AB271">
        <f>LOOKUP(AA271,Grade_Scale!$A$2:$A$18,Grade_Scale!$B$2:$B$18)</f>
        <v/>
      </c>
      <c r="AC271">
        <f>LOOKUP(AA271,Grade_Scale!$A$2:$A$18,Grade_Scale!$C$2:$C$18)</f>
        <v/>
      </c>
      <c r="AE271">
        <f>IF(AD271="","",AB271-VLOOKUP(AD271,Grade_Scale!$C$2:$E$18,3,FALSE))</f>
        <v/>
      </c>
    </row>
    <row r="272">
      <c r="Q272">
        <f>IF(OR(B272="SP",B272="RP",B272="CP",B272="SP/RP"),"P","H")</f>
        <v/>
      </c>
      <c r="R272">
        <f>IF(F272="",0,IFNA(VLOOKUP(F272,Trait_Polarity!$A:$C,2,FALSE),0))+IF(G272="",0,IFNA(VLOOKUP(G272,Trait_Polarity!$A:$C,2,FALSE),0))</f>
        <v/>
      </c>
      <c r="S272">
        <f>IF(F272="",0,IFNA(VLOOKUP(F272,Trait_Polarity!$A:$C,3,FALSE),0))+IF(G272="",0,IFNA(VLOOKUP(G272,Trait_Polarity!$A:$C,3,FALSE),0))</f>
        <v/>
      </c>
      <c r="T272">
        <f>IF(Q272="P",0,IFNA(VLOOKUP(IF(C272="","(none)",C272),Secondary_Versatility!$A:$B,2,FALSE),0))</f>
        <v/>
      </c>
      <c r="U272">
        <f>IF(H272="",0,LEN(H272)-LEN(SUBSTITUTE(H272,"|",""))+1)</f>
        <v/>
      </c>
      <c r="V272">
        <f>IF(Q272="P",(N272+O272+P272)/3,0.3*I272+0.3*J272+0.2*K272+0.1*L272+0.1*M272)</f>
        <v/>
      </c>
      <c r="W272">
        <f>IF(Q272="P",IF(F272="",0,IFNA(VLOOKUP(F272,Pitcher_Trait_Coef!$A:$B,2,FALSE),0))+IF(G272="",0,IFNA(VLOOKUP(G272,Pitcher_Trait_Coef!$A:$B,2,FALSE),0)),IF(F272="",0,IFNA(VLOOKUP(F272,Hitter_Trait_Coef!$A:$B,2,FALSE),0))+IF(G272="",0,IFNA(VLOOKUP(G272,Hitter_Trait_Coef!$A:$B,2,FALSE),0)))</f>
        <v/>
      </c>
      <c r="X272">
        <f>IF(Q272="P",IFNA(VLOOKUP(B272,Pitcher_Primary_Coef!$A:$B,2,FALSE),0),IFNA(VLOOKUP(B272,Hitter_Primary_Coef!$A:$B,2,FALSE),0))</f>
        <v/>
      </c>
      <c r="Y272">
        <f>IF(Q272="P",0,IFNA(VLOOKUP(IF(C272="","(none)",C272),Hitter_Secondary_Coef!$A:$B,2,FALSE),0))</f>
        <v/>
      </c>
      <c r="Z272">
        <f>IF(Q272="P",IF(ISNUMBER(SEARCH("2F",H272)),IFNA(VLOOKUP("2F",Pitch_Coef!$A:$B,2,FALSE),0),0)+IF(ISNUMBER(SEARCH("4F",H272)),IFNA(VLOOKUP("4F",Pitch_Coef!$A:$B,2,FALSE),0),0)+IF(ISNUMBER(SEARCH("CB",H272)),IFNA(VLOOKUP("CB",Pitch_Coef!$A:$B,2,FALSE),0),0)+IF(ISNUMBER(SEARCH("CF",H272)),IFNA(VLOOKUP("CF",Pitch_Coef!$A:$B,2,FALSE),0),0)+IF(ISNUMBER(SEARCH("CH",H272)),IFNA(VLOOKUP("CH",Pitch_Coef!$A:$B,2,FALSE),0),0)+IF(ISNUMBER(SEARCH("FK",H272)),IFNA(VLOOKUP("FK",Pitch_Coef!$A:$B,2,FALSE),0),0)+IF(ISNUMBER(SEARCH("SB",H272)),IFNA(VLOOKUP("SB",Pitch_Coef!$A:$B,2,FALSE),0),0)+IF(ISNUMBER(SEARCH("SL",H272)),IFNA(VLOOKUP("SL",Pitch_Coef!$A:$B,2,FALSE),0),0),0)</f>
        <v/>
      </c>
      <c r="AA272">
        <f>IF(Q272="P",16.5944849573+0.2529999141*N272+0.2665900378*O272+0.2632687105*P272+0.0427586837*I272+0.0534777057*J272+0.009015832*K272+0.0204898106*(O272*P272/100)+1.0091022427*U272+1.0968542297*IF(D272="L",1,0)+0.3771555045*IF(D272="S",1,0)-0.2226159177*IF(E272="L",1,0)+1.21385024*R272-1.1652812274*S272+W272+X272+Z272,10.5965166711+0.2825983581*I272+0.2806503532*J272+0.2027213083*K272+0.1147824982*L272+0.0915305332*M272-0.0088454122*(I272*J272/100)-0.0336045706*(K272*L272/100)+2.8497389733*IF(D272="L",1,0)+4.5116226727*IF(D272="S",1,0)-0.6571546448*IF(E272="L",1,0)+0.0850728147*T272+0.0129488446*(T272*T272)+0.1909373936*IF(OR(F272="Utility",G272="Utility"),T272,0)+0.9656824071*R272-1.7517683256*S272+W272+X272+Y272)</f>
        <v/>
      </c>
      <c r="AB272">
        <f>LOOKUP(AA272,Grade_Scale!$A$2:$A$18,Grade_Scale!$B$2:$B$18)</f>
        <v/>
      </c>
      <c r="AC272">
        <f>LOOKUP(AA272,Grade_Scale!$A$2:$A$18,Grade_Scale!$C$2:$C$18)</f>
        <v/>
      </c>
      <c r="AE272">
        <f>IF(AD272="","",AB272-VLOOKUP(AD272,Grade_Scale!$C$2:$E$18,3,FALSE))</f>
        <v/>
      </c>
    </row>
    <row r="273">
      <c r="Q273">
        <f>IF(OR(B273="SP",B273="RP",B273="CP",B273="SP/RP"),"P","H")</f>
        <v/>
      </c>
      <c r="R273">
        <f>IF(F273="",0,IFNA(VLOOKUP(F273,Trait_Polarity!$A:$C,2,FALSE),0))+IF(G273="",0,IFNA(VLOOKUP(G273,Trait_Polarity!$A:$C,2,FALSE),0))</f>
        <v/>
      </c>
      <c r="S273">
        <f>IF(F273="",0,IFNA(VLOOKUP(F273,Trait_Polarity!$A:$C,3,FALSE),0))+IF(G273="",0,IFNA(VLOOKUP(G273,Trait_Polarity!$A:$C,3,FALSE),0))</f>
        <v/>
      </c>
      <c r="T273">
        <f>IF(Q273="P",0,IFNA(VLOOKUP(IF(C273="","(none)",C273),Secondary_Versatility!$A:$B,2,FALSE),0))</f>
        <v/>
      </c>
      <c r="U273">
        <f>IF(H273="",0,LEN(H273)-LEN(SUBSTITUTE(H273,"|",""))+1)</f>
        <v/>
      </c>
      <c r="V273">
        <f>IF(Q273="P",(N273+O273+P273)/3,0.3*I273+0.3*J273+0.2*K273+0.1*L273+0.1*M273)</f>
        <v/>
      </c>
      <c r="W273">
        <f>IF(Q273="P",IF(F273="",0,IFNA(VLOOKUP(F273,Pitcher_Trait_Coef!$A:$B,2,FALSE),0))+IF(G273="",0,IFNA(VLOOKUP(G273,Pitcher_Trait_Coef!$A:$B,2,FALSE),0)),IF(F273="",0,IFNA(VLOOKUP(F273,Hitter_Trait_Coef!$A:$B,2,FALSE),0))+IF(G273="",0,IFNA(VLOOKUP(G273,Hitter_Trait_Coef!$A:$B,2,FALSE),0)))</f>
        <v/>
      </c>
      <c r="X273">
        <f>IF(Q273="P",IFNA(VLOOKUP(B273,Pitcher_Primary_Coef!$A:$B,2,FALSE),0),IFNA(VLOOKUP(B273,Hitter_Primary_Coef!$A:$B,2,FALSE),0))</f>
        <v/>
      </c>
      <c r="Y273">
        <f>IF(Q273="P",0,IFNA(VLOOKUP(IF(C273="","(none)",C273),Hitter_Secondary_Coef!$A:$B,2,FALSE),0))</f>
        <v/>
      </c>
      <c r="Z273">
        <f>IF(Q273="P",IF(ISNUMBER(SEARCH("2F",H273)),IFNA(VLOOKUP("2F",Pitch_Coef!$A:$B,2,FALSE),0),0)+IF(ISNUMBER(SEARCH("4F",H273)),IFNA(VLOOKUP("4F",Pitch_Coef!$A:$B,2,FALSE),0),0)+IF(ISNUMBER(SEARCH("CB",H273)),IFNA(VLOOKUP("CB",Pitch_Coef!$A:$B,2,FALSE),0),0)+IF(ISNUMBER(SEARCH("CF",H273)),IFNA(VLOOKUP("CF",Pitch_Coef!$A:$B,2,FALSE),0),0)+IF(ISNUMBER(SEARCH("CH",H273)),IFNA(VLOOKUP("CH",Pitch_Coef!$A:$B,2,FALSE),0),0)+IF(ISNUMBER(SEARCH("FK",H273)),IFNA(VLOOKUP("FK",Pitch_Coef!$A:$B,2,FALSE),0),0)+IF(ISNUMBER(SEARCH("SB",H273)),IFNA(VLOOKUP("SB",Pitch_Coef!$A:$B,2,FALSE),0),0)+IF(ISNUMBER(SEARCH("SL",H273)),IFNA(VLOOKUP("SL",Pitch_Coef!$A:$B,2,FALSE),0),0),0)</f>
        <v/>
      </c>
      <c r="AA273">
        <f>IF(Q273="P",16.5944849573+0.2529999141*N273+0.2665900378*O273+0.2632687105*P273+0.0427586837*I273+0.0534777057*J273+0.009015832*K273+0.0204898106*(O273*P273/100)+1.0091022427*U273+1.0968542297*IF(D273="L",1,0)+0.3771555045*IF(D273="S",1,0)-0.2226159177*IF(E273="L",1,0)+1.21385024*R273-1.1652812274*S273+W273+X273+Z273,10.5965166711+0.2825983581*I273+0.2806503532*J273+0.2027213083*K273+0.1147824982*L273+0.0915305332*M273-0.0088454122*(I273*J273/100)-0.0336045706*(K273*L273/100)+2.8497389733*IF(D273="L",1,0)+4.5116226727*IF(D273="S",1,0)-0.6571546448*IF(E273="L",1,0)+0.0850728147*T273+0.0129488446*(T273*T273)+0.1909373936*IF(OR(F273="Utility",G273="Utility"),T273,0)+0.9656824071*R273-1.7517683256*S273+W273+X273+Y273)</f>
        <v/>
      </c>
      <c r="AB273">
        <f>LOOKUP(AA273,Grade_Scale!$A$2:$A$18,Grade_Scale!$B$2:$B$18)</f>
        <v/>
      </c>
      <c r="AC273">
        <f>LOOKUP(AA273,Grade_Scale!$A$2:$A$18,Grade_Scale!$C$2:$C$18)</f>
        <v/>
      </c>
      <c r="AE273">
        <f>IF(AD273="","",AB273-VLOOKUP(AD273,Grade_Scale!$C$2:$E$18,3,FALSE))</f>
        <v/>
      </c>
    </row>
    <row r="274">
      <c r="Q274">
        <f>IF(OR(B274="SP",B274="RP",B274="CP",B274="SP/RP"),"P","H")</f>
        <v/>
      </c>
      <c r="R274">
        <f>IF(F274="",0,IFNA(VLOOKUP(F274,Trait_Polarity!$A:$C,2,FALSE),0))+IF(G274="",0,IFNA(VLOOKUP(G274,Trait_Polarity!$A:$C,2,FALSE),0))</f>
        <v/>
      </c>
      <c r="S274">
        <f>IF(F274="",0,IFNA(VLOOKUP(F274,Trait_Polarity!$A:$C,3,FALSE),0))+IF(G274="",0,IFNA(VLOOKUP(G274,Trait_Polarity!$A:$C,3,FALSE),0))</f>
        <v/>
      </c>
      <c r="T274">
        <f>IF(Q274="P",0,IFNA(VLOOKUP(IF(C274="","(none)",C274),Secondary_Versatility!$A:$B,2,FALSE),0))</f>
        <v/>
      </c>
      <c r="U274">
        <f>IF(H274="",0,LEN(H274)-LEN(SUBSTITUTE(H274,"|",""))+1)</f>
        <v/>
      </c>
      <c r="V274">
        <f>IF(Q274="P",(N274+O274+P274)/3,0.3*I274+0.3*J274+0.2*K274+0.1*L274+0.1*M274)</f>
        <v/>
      </c>
      <c r="W274">
        <f>IF(Q274="P",IF(F274="",0,IFNA(VLOOKUP(F274,Pitcher_Trait_Coef!$A:$B,2,FALSE),0))+IF(G274="",0,IFNA(VLOOKUP(G274,Pitcher_Trait_Coef!$A:$B,2,FALSE),0)),IF(F274="",0,IFNA(VLOOKUP(F274,Hitter_Trait_Coef!$A:$B,2,FALSE),0))+IF(G274="",0,IFNA(VLOOKUP(G274,Hitter_Trait_Coef!$A:$B,2,FALSE),0)))</f>
        <v/>
      </c>
      <c r="X274">
        <f>IF(Q274="P",IFNA(VLOOKUP(B274,Pitcher_Primary_Coef!$A:$B,2,FALSE),0),IFNA(VLOOKUP(B274,Hitter_Primary_Coef!$A:$B,2,FALSE),0))</f>
        <v/>
      </c>
      <c r="Y274">
        <f>IF(Q274="P",0,IFNA(VLOOKUP(IF(C274="","(none)",C274),Hitter_Secondary_Coef!$A:$B,2,FALSE),0))</f>
        <v/>
      </c>
      <c r="Z274">
        <f>IF(Q274="P",IF(ISNUMBER(SEARCH("2F",H274)),IFNA(VLOOKUP("2F",Pitch_Coef!$A:$B,2,FALSE),0),0)+IF(ISNUMBER(SEARCH("4F",H274)),IFNA(VLOOKUP("4F",Pitch_Coef!$A:$B,2,FALSE),0),0)+IF(ISNUMBER(SEARCH("CB",H274)),IFNA(VLOOKUP("CB",Pitch_Coef!$A:$B,2,FALSE),0),0)+IF(ISNUMBER(SEARCH("CF",H274)),IFNA(VLOOKUP("CF",Pitch_Coef!$A:$B,2,FALSE),0),0)+IF(ISNUMBER(SEARCH("CH",H274)),IFNA(VLOOKUP("CH",Pitch_Coef!$A:$B,2,FALSE),0),0)+IF(ISNUMBER(SEARCH("FK",H274)),IFNA(VLOOKUP("FK",Pitch_Coef!$A:$B,2,FALSE),0),0)+IF(ISNUMBER(SEARCH("SB",H274)),IFNA(VLOOKUP("SB",Pitch_Coef!$A:$B,2,FALSE),0),0)+IF(ISNUMBER(SEARCH("SL",H274)),IFNA(VLOOKUP("SL",Pitch_Coef!$A:$B,2,FALSE),0),0),0)</f>
        <v/>
      </c>
      <c r="AA274">
        <f>IF(Q274="P",16.5944849573+0.2529999141*N274+0.2665900378*O274+0.2632687105*P274+0.0427586837*I274+0.0534777057*J274+0.009015832*K274+0.0204898106*(O274*P274/100)+1.0091022427*U274+1.0968542297*IF(D274="L",1,0)+0.3771555045*IF(D274="S",1,0)-0.2226159177*IF(E274="L",1,0)+1.21385024*R274-1.1652812274*S274+W274+X274+Z274,10.5965166711+0.2825983581*I274+0.2806503532*J274+0.2027213083*K274+0.1147824982*L274+0.0915305332*M274-0.0088454122*(I274*J274/100)-0.0336045706*(K274*L274/100)+2.8497389733*IF(D274="L",1,0)+4.5116226727*IF(D274="S",1,0)-0.6571546448*IF(E274="L",1,0)+0.0850728147*T274+0.0129488446*(T274*T274)+0.1909373936*IF(OR(F274="Utility",G274="Utility"),T274,0)+0.9656824071*R274-1.7517683256*S274+W274+X274+Y274)</f>
        <v/>
      </c>
      <c r="AB274">
        <f>LOOKUP(AA274,Grade_Scale!$A$2:$A$18,Grade_Scale!$B$2:$B$18)</f>
        <v/>
      </c>
      <c r="AC274">
        <f>LOOKUP(AA274,Grade_Scale!$A$2:$A$18,Grade_Scale!$C$2:$C$18)</f>
        <v/>
      </c>
      <c r="AE274">
        <f>IF(AD274="","",AB274-VLOOKUP(AD274,Grade_Scale!$C$2:$E$18,3,FALSE))</f>
        <v/>
      </c>
    </row>
    <row r="275">
      <c r="Q275">
        <f>IF(OR(B275="SP",B275="RP",B275="CP",B275="SP/RP"),"P","H")</f>
        <v/>
      </c>
      <c r="R275">
        <f>IF(F275="",0,IFNA(VLOOKUP(F275,Trait_Polarity!$A:$C,2,FALSE),0))+IF(G275="",0,IFNA(VLOOKUP(G275,Trait_Polarity!$A:$C,2,FALSE),0))</f>
        <v/>
      </c>
      <c r="S275">
        <f>IF(F275="",0,IFNA(VLOOKUP(F275,Trait_Polarity!$A:$C,3,FALSE),0))+IF(G275="",0,IFNA(VLOOKUP(G275,Trait_Polarity!$A:$C,3,FALSE),0))</f>
        <v/>
      </c>
      <c r="T275">
        <f>IF(Q275="P",0,IFNA(VLOOKUP(IF(C275="","(none)",C275),Secondary_Versatility!$A:$B,2,FALSE),0))</f>
        <v/>
      </c>
      <c r="U275">
        <f>IF(H275="",0,LEN(H275)-LEN(SUBSTITUTE(H275,"|",""))+1)</f>
        <v/>
      </c>
      <c r="V275">
        <f>IF(Q275="P",(N275+O275+P275)/3,0.3*I275+0.3*J275+0.2*K275+0.1*L275+0.1*M275)</f>
        <v/>
      </c>
      <c r="W275">
        <f>IF(Q275="P",IF(F275="",0,IFNA(VLOOKUP(F275,Pitcher_Trait_Coef!$A:$B,2,FALSE),0))+IF(G275="",0,IFNA(VLOOKUP(G275,Pitcher_Trait_Coef!$A:$B,2,FALSE),0)),IF(F275="",0,IFNA(VLOOKUP(F275,Hitter_Trait_Coef!$A:$B,2,FALSE),0))+IF(G275="",0,IFNA(VLOOKUP(G275,Hitter_Trait_Coef!$A:$B,2,FALSE),0)))</f>
        <v/>
      </c>
      <c r="X275">
        <f>IF(Q275="P",IFNA(VLOOKUP(B275,Pitcher_Primary_Coef!$A:$B,2,FALSE),0),IFNA(VLOOKUP(B275,Hitter_Primary_Coef!$A:$B,2,FALSE),0))</f>
        <v/>
      </c>
      <c r="Y275">
        <f>IF(Q275="P",0,IFNA(VLOOKUP(IF(C275="","(none)",C275),Hitter_Secondary_Coef!$A:$B,2,FALSE),0))</f>
        <v/>
      </c>
      <c r="Z275">
        <f>IF(Q275="P",IF(ISNUMBER(SEARCH("2F",H275)),IFNA(VLOOKUP("2F",Pitch_Coef!$A:$B,2,FALSE),0),0)+IF(ISNUMBER(SEARCH("4F",H275)),IFNA(VLOOKUP("4F",Pitch_Coef!$A:$B,2,FALSE),0),0)+IF(ISNUMBER(SEARCH("CB",H275)),IFNA(VLOOKUP("CB",Pitch_Coef!$A:$B,2,FALSE),0),0)+IF(ISNUMBER(SEARCH("CF",H275)),IFNA(VLOOKUP("CF",Pitch_Coef!$A:$B,2,FALSE),0),0)+IF(ISNUMBER(SEARCH("CH",H275)),IFNA(VLOOKUP("CH",Pitch_Coef!$A:$B,2,FALSE),0),0)+IF(ISNUMBER(SEARCH("FK",H275)),IFNA(VLOOKUP("FK",Pitch_Coef!$A:$B,2,FALSE),0),0)+IF(ISNUMBER(SEARCH("SB",H275)),IFNA(VLOOKUP("SB",Pitch_Coef!$A:$B,2,FALSE),0),0)+IF(ISNUMBER(SEARCH("SL",H275)),IFNA(VLOOKUP("SL",Pitch_Coef!$A:$B,2,FALSE),0),0),0)</f>
        <v/>
      </c>
      <c r="AA275">
        <f>IF(Q275="P",16.5944849573+0.2529999141*N275+0.2665900378*O275+0.2632687105*P275+0.0427586837*I275+0.0534777057*J275+0.009015832*K275+0.0204898106*(O275*P275/100)+1.0091022427*U275+1.0968542297*IF(D275="L",1,0)+0.3771555045*IF(D275="S",1,0)-0.2226159177*IF(E275="L",1,0)+1.21385024*R275-1.1652812274*S275+W275+X275+Z275,10.5965166711+0.2825983581*I275+0.2806503532*J275+0.2027213083*K275+0.1147824982*L275+0.0915305332*M275-0.0088454122*(I275*J275/100)-0.0336045706*(K275*L275/100)+2.8497389733*IF(D275="L",1,0)+4.5116226727*IF(D275="S",1,0)-0.6571546448*IF(E275="L",1,0)+0.0850728147*T275+0.0129488446*(T275*T275)+0.1909373936*IF(OR(F275="Utility",G275="Utility"),T275,0)+0.9656824071*R275-1.7517683256*S275+W275+X275+Y275)</f>
        <v/>
      </c>
      <c r="AB275">
        <f>LOOKUP(AA275,Grade_Scale!$A$2:$A$18,Grade_Scale!$B$2:$B$18)</f>
        <v/>
      </c>
      <c r="AC275">
        <f>LOOKUP(AA275,Grade_Scale!$A$2:$A$18,Grade_Scale!$C$2:$C$18)</f>
        <v/>
      </c>
      <c r="AE275">
        <f>IF(AD275="","",AB275-VLOOKUP(AD275,Grade_Scale!$C$2:$E$18,3,FALSE))</f>
        <v/>
      </c>
    </row>
    <row r="276">
      <c r="Q276">
        <f>IF(OR(B276="SP",B276="RP",B276="CP",B276="SP/RP"),"P","H")</f>
        <v/>
      </c>
      <c r="R276">
        <f>IF(F276="",0,IFNA(VLOOKUP(F276,Trait_Polarity!$A:$C,2,FALSE),0))+IF(G276="",0,IFNA(VLOOKUP(G276,Trait_Polarity!$A:$C,2,FALSE),0))</f>
        <v/>
      </c>
      <c r="S276">
        <f>IF(F276="",0,IFNA(VLOOKUP(F276,Trait_Polarity!$A:$C,3,FALSE),0))+IF(G276="",0,IFNA(VLOOKUP(G276,Trait_Polarity!$A:$C,3,FALSE),0))</f>
        <v/>
      </c>
      <c r="T276">
        <f>IF(Q276="P",0,IFNA(VLOOKUP(IF(C276="","(none)",C276),Secondary_Versatility!$A:$B,2,FALSE),0))</f>
        <v/>
      </c>
      <c r="U276">
        <f>IF(H276="",0,LEN(H276)-LEN(SUBSTITUTE(H276,"|",""))+1)</f>
        <v/>
      </c>
      <c r="V276">
        <f>IF(Q276="P",(N276+O276+P276)/3,0.3*I276+0.3*J276+0.2*K276+0.1*L276+0.1*M276)</f>
        <v/>
      </c>
      <c r="W276">
        <f>IF(Q276="P",IF(F276="",0,IFNA(VLOOKUP(F276,Pitcher_Trait_Coef!$A:$B,2,FALSE),0))+IF(G276="",0,IFNA(VLOOKUP(G276,Pitcher_Trait_Coef!$A:$B,2,FALSE),0)),IF(F276="",0,IFNA(VLOOKUP(F276,Hitter_Trait_Coef!$A:$B,2,FALSE),0))+IF(G276="",0,IFNA(VLOOKUP(G276,Hitter_Trait_Coef!$A:$B,2,FALSE),0)))</f>
        <v/>
      </c>
      <c r="X276">
        <f>IF(Q276="P",IFNA(VLOOKUP(B276,Pitcher_Primary_Coef!$A:$B,2,FALSE),0),IFNA(VLOOKUP(B276,Hitter_Primary_Coef!$A:$B,2,FALSE),0))</f>
        <v/>
      </c>
      <c r="Y276">
        <f>IF(Q276="P",0,IFNA(VLOOKUP(IF(C276="","(none)",C276),Hitter_Secondary_Coef!$A:$B,2,FALSE),0))</f>
        <v/>
      </c>
      <c r="Z276">
        <f>IF(Q276="P",IF(ISNUMBER(SEARCH("2F",H276)),IFNA(VLOOKUP("2F",Pitch_Coef!$A:$B,2,FALSE),0),0)+IF(ISNUMBER(SEARCH("4F",H276)),IFNA(VLOOKUP("4F",Pitch_Coef!$A:$B,2,FALSE),0),0)+IF(ISNUMBER(SEARCH("CB",H276)),IFNA(VLOOKUP("CB",Pitch_Coef!$A:$B,2,FALSE),0),0)+IF(ISNUMBER(SEARCH("CF",H276)),IFNA(VLOOKUP("CF",Pitch_Coef!$A:$B,2,FALSE),0),0)+IF(ISNUMBER(SEARCH("CH",H276)),IFNA(VLOOKUP("CH",Pitch_Coef!$A:$B,2,FALSE),0),0)+IF(ISNUMBER(SEARCH("FK",H276)),IFNA(VLOOKUP("FK",Pitch_Coef!$A:$B,2,FALSE),0),0)+IF(ISNUMBER(SEARCH("SB",H276)),IFNA(VLOOKUP("SB",Pitch_Coef!$A:$B,2,FALSE),0),0)+IF(ISNUMBER(SEARCH("SL",H276)),IFNA(VLOOKUP("SL",Pitch_Coef!$A:$B,2,FALSE),0),0),0)</f>
        <v/>
      </c>
      <c r="AA276">
        <f>IF(Q276="P",16.5944849573+0.2529999141*N276+0.2665900378*O276+0.2632687105*P276+0.0427586837*I276+0.0534777057*J276+0.009015832*K276+0.0204898106*(O276*P276/100)+1.0091022427*U276+1.0968542297*IF(D276="L",1,0)+0.3771555045*IF(D276="S",1,0)-0.2226159177*IF(E276="L",1,0)+1.21385024*R276-1.1652812274*S276+W276+X276+Z276,10.5965166711+0.2825983581*I276+0.2806503532*J276+0.2027213083*K276+0.1147824982*L276+0.0915305332*M276-0.0088454122*(I276*J276/100)-0.0336045706*(K276*L276/100)+2.8497389733*IF(D276="L",1,0)+4.5116226727*IF(D276="S",1,0)-0.6571546448*IF(E276="L",1,0)+0.0850728147*T276+0.0129488446*(T276*T276)+0.1909373936*IF(OR(F276="Utility",G276="Utility"),T276,0)+0.9656824071*R276-1.7517683256*S276+W276+X276+Y276)</f>
        <v/>
      </c>
      <c r="AB276">
        <f>LOOKUP(AA276,Grade_Scale!$A$2:$A$18,Grade_Scale!$B$2:$B$18)</f>
        <v/>
      </c>
      <c r="AC276">
        <f>LOOKUP(AA276,Grade_Scale!$A$2:$A$18,Grade_Scale!$C$2:$C$18)</f>
        <v/>
      </c>
      <c r="AE276">
        <f>IF(AD276="","",AB276-VLOOKUP(AD276,Grade_Scale!$C$2:$E$18,3,FALSE))</f>
        <v/>
      </c>
    </row>
    <row r="277">
      <c r="Q277">
        <f>IF(OR(B277="SP",B277="RP",B277="CP",B277="SP/RP"),"P","H")</f>
        <v/>
      </c>
      <c r="R277">
        <f>IF(F277="",0,IFNA(VLOOKUP(F277,Trait_Polarity!$A:$C,2,FALSE),0))+IF(G277="",0,IFNA(VLOOKUP(G277,Trait_Polarity!$A:$C,2,FALSE),0))</f>
        <v/>
      </c>
      <c r="S277">
        <f>IF(F277="",0,IFNA(VLOOKUP(F277,Trait_Polarity!$A:$C,3,FALSE),0))+IF(G277="",0,IFNA(VLOOKUP(G277,Trait_Polarity!$A:$C,3,FALSE),0))</f>
        <v/>
      </c>
      <c r="T277">
        <f>IF(Q277="P",0,IFNA(VLOOKUP(IF(C277="","(none)",C277),Secondary_Versatility!$A:$B,2,FALSE),0))</f>
        <v/>
      </c>
      <c r="U277">
        <f>IF(H277="",0,LEN(H277)-LEN(SUBSTITUTE(H277,"|",""))+1)</f>
        <v/>
      </c>
      <c r="V277">
        <f>IF(Q277="P",(N277+O277+P277)/3,0.3*I277+0.3*J277+0.2*K277+0.1*L277+0.1*M277)</f>
        <v/>
      </c>
      <c r="W277">
        <f>IF(Q277="P",IF(F277="",0,IFNA(VLOOKUP(F277,Pitcher_Trait_Coef!$A:$B,2,FALSE),0))+IF(G277="",0,IFNA(VLOOKUP(G277,Pitcher_Trait_Coef!$A:$B,2,FALSE),0)),IF(F277="",0,IFNA(VLOOKUP(F277,Hitter_Trait_Coef!$A:$B,2,FALSE),0))+IF(G277="",0,IFNA(VLOOKUP(G277,Hitter_Trait_Coef!$A:$B,2,FALSE),0)))</f>
        <v/>
      </c>
      <c r="X277">
        <f>IF(Q277="P",IFNA(VLOOKUP(B277,Pitcher_Primary_Coef!$A:$B,2,FALSE),0),IFNA(VLOOKUP(B277,Hitter_Primary_Coef!$A:$B,2,FALSE),0))</f>
        <v/>
      </c>
      <c r="Y277">
        <f>IF(Q277="P",0,IFNA(VLOOKUP(IF(C277="","(none)",C277),Hitter_Secondary_Coef!$A:$B,2,FALSE),0))</f>
        <v/>
      </c>
      <c r="Z277">
        <f>IF(Q277="P",IF(ISNUMBER(SEARCH("2F",H277)),IFNA(VLOOKUP("2F",Pitch_Coef!$A:$B,2,FALSE),0),0)+IF(ISNUMBER(SEARCH("4F",H277)),IFNA(VLOOKUP("4F",Pitch_Coef!$A:$B,2,FALSE),0),0)+IF(ISNUMBER(SEARCH("CB",H277)),IFNA(VLOOKUP("CB",Pitch_Coef!$A:$B,2,FALSE),0),0)+IF(ISNUMBER(SEARCH("CF",H277)),IFNA(VLOOKUP("CF",Pitch_Coef!$A:$B,2,FALSE),0),0)+IF(ISNUMBER(SEARCH("CH",H277)),IFNA(VLOOKUP("CH",Pitch_Coef!$A:$B,2,FALSE),0),0)+IF(ISNUMBER(SEARCH("FK",H277)),IFNA(VLOOKUP("FK",Pitch_Coef!$A:$B,2,FALSE),0),0)+IF(ISNUMBER(SEARCH("SB",H277)),IFNA(VLOOKUP("SB",Pitch_Coef!$A:$B,2,FALSE),0),0)+IF(ISNUMBER(SEARCH("SL",H277)),IFNA(VLOOKUP("SL",Pitch_Coef!$A:$B,2,FALSE),0),0),0)</f>
        <v/>
      </c>
      <c r="AA277">
        <f>IF(Q277="P",16.5944849573+0.2529999141*N277+0.2665900378*O277+0.2632687105*P277+0.0427586837*I277+0.0534777057*J277+0.009015832*K277+0.0204898106*(O277*P277/100)+1.0091022427*U277+1.0968542297*IF(D277="L",1,0)+0.3771555045*IF(D277="S",1,0)-0.2226159177*IF(E277="L",1,0)+1.21385024*R277-1.1652812274*S277+W277+X277+Z277,10.5965166711+0.2825983581*I277+0.2806503532*J277+0.2027213083*K277+0.1147824982*L277+0.0915305332*M277-0.0088454122*(I277*J277/100)-0.0336045706*(K277*L277/100)+2.8497389733*IF(D277="L",1,0)+4.5116226727*IF(D277="S",1,0)-0.6571546448*IF(E277="L",1,0)+0.0850728147*T277+0.0129488446*(T277*T277)+0.1909373936*IF(OR(F277="Utility",G277="Utility"),T277,0)+0.9656824071*R277-1.7517683256*S277+W277+X277+Y277)</f>
        <v/>
      </c>
      <c r="AB277">
        <f>LOOKUP(AA277,Grade_Scale!$A$2:$A$18,Grade_Scale!$B$2:$B$18)</f>
        <v/>
      </c>
      <c r="AC277">
        <f>LOOKUP(AA277,Grade_Scale!$A$2:$A$18,Grade_Scale!$C$2:$C$18)</f>
        <v/>
      </c>
      <c r="AE277">
        <f>IF(AD277="","",AB277-VLOOKUP(AD277,Grade_Scale!$C$2:$E$18,3,FALSE))</f>
        <v/>
      </c>
    </row>
    <row r="278">
      <c r="Q278">
        <f>IF(OR(B278="SP",B278="RP",B278="CP",B278="SP/RP"),"P","H")</f>
        <v/>
      </c>
      <c r="R278">
        <f>IF(F278="",0,IFNA(VLOOKUP(F278,Trait_Polarity!$A:$C,2,FALSE),0))+IF(G278="",0,IFNA(VLOOKUP(G278,Trait_Polarity!$A:$C,2,FALSE),0))</f>
        <v/>
      </c>
      <c r="S278">
        <f>IF(F278="",0,IFNA(VLOOKUP(F278,Trait_Polarity!$A:$C,3,FALSE),0))+IF(G278="",0,IFNA(VLOOKUP(G278,Trait_Polarity!$A:$C,3,FALSE),0))</f>
        <v/>
      </c>
      <c r="T278">
        <f>IF(Q278="P",0,IFNA(VLOOKUP(IF(C278="","(none)",C278),Secondary_Versatility!$A:$B,2,FALSE),0))</f>
        <v/>
      </c>
      <c r="U278">
        <f>IF(H278="",0,LEN(H278)-LEN(SUBSTITUTE(H278,"|",""))+1)</f>
        <v/>
      </c>
      <c r="V278">
        <f>IF(Q278="P",(N278+O278+P278)/3,0.3*I278+0.3*J278+0.2*K278+0.1*L278+0.1*M278)</f>
        <v/>
      </c>
      <c r="W278">
        <f>IF(Q278="P",IF(F278="",0,IFNA(VLOOKUP(F278,Pitcher_Trait_Coef!$A:$B,2,FALSE),0))+IF(G278="",0,IFNA(VLOOKUP(G278,Pitcher_Trait_Coef!$A:$B,2,FALSE),0)),IF(F278="",0,IFNA(VLOOKUP(F278,Hitter_Trait_Coef!$A:$B,2,FALSE),0))+IF(G278="",0,IFNA(VLOOKUP(G278,Hitter_Trait_Coef!$A:$B,2,FALSE),0)))</f>
        <v/>
      </c>
      <c r="X278">
        <f>IF(Q278="P",IFNA(VLOOKUP(B278,Pitcher_Primary_Coef!$A:$B,2,FALSE),0),IFNA(VLOOKUP(B278,Hitter_Primary_Coef!$A:$B,2,FALSE),0))</f>
        <v/>
      </c>
      <c r="Y278">
        <f>IF(Q278="P",0,IFNA(VLOOKUP(IF(C278="","(none)",C278),Hitter_Secondary_Coef!$A:$B,2,FALSE),0))</f>
        <v/>
      </c>
      <c r="Z278">
        <f>IF(Q278="P",IF(ISNUMBER(SEARCH("2F",H278)),IFNA(VLOOKUP("2F",Pitch_Coef!$A:$B,2,FALSE),0),0)+IF(ISNUMBER(SEARCH("4F",H278)),IFNA(VLOOKUP("4F",Pitch_Coef!$A:$B,2,FALSE),0),0)+IF(ISNUMBER(SEARCH("CB",H278)),IFNA(VLOOKUP("CB",Pitch_Coef!$A:$B,2,FALSE),0),0)+IF(ISNUMBER(SEARCH("CF",H278)),IFNA(VLOOKUP("CF",Pitch_Coef!$A:$B,2,FALSE),0),0)+IF(ISNUMBER(SEARCH("CH",H278)),IFNA(VLOOKUP("CH",Pitch_Coef!$A:$B,2,FALSE),0),0)+IF(ISNUMBER(SEARCH("FK",H278)),IFNA(VLOOKUP("FK",Pitch_Coef!$A:$B,2,FALSE),0),0)+IF(ISNUMBER(SEARCH("SB",H278)),IFNA(VLOOKUP("SB",Pitch_Coef!$A:$B,2,FALSE),0),0)+IF(ISNUMBER(SEARCH("SL",H278)),IFNA(VLOOKUP("SL",Pitch_Coef!$A:$B,2,FALSE),0),0),0)</f>
        <v/>
      </c>
      <c r="AA278">
        <f>IF(Q278="P",16.5944849573+0.2529999141*N278+0.2665900378*O278+0.2632687105*P278+0.0427586837*I278+0.0534777057*J278+0.009015832*K278+0.0204898106*(O278*P278/100)+1.0091022427*U278+1.0968542297*IF(D278="L",1,0)+0.3771555045*IF(D278="S",1,0)-0.2226159177*IF(E278="L",1,0)+1.21385024*R278-1.1652812274*S278+W278+X278+Z278,10.5965166711+0.2825983581*I278+0.2806503532*J278+0.2027213083*K278+0.1147824982*L278+0.0915305332*M278-0.0088454122*(I278*J278/100)-0.0336045706*(K278*L278/100)+2.8497389733*IF(D278="L",1,0)+4.5116226727*IF(D278="S",1,0)-0.6571546448*IF(E278="L",1,0)+0.0850728147*T278+0.0129488446*(T278*T278)+0.1909373936*IF(OR(F278="Utility",G278="Utility"),T278,0)+0.9656824071*R278-1.7517683256*S278+W278+X278+Y278)</f>
        <v/>
      </c>
      <c r="AB278">
        <f>LOOKUP(AA278,Grade_Scale!$A$2:$A$18,Grade_Scale!$B$2:$B$18)</f>
        <v/>
      </c>
      <c r="AC278">
        <f>LOOKUP(AA278,Grade_Scale!$A$2:$A$18,Grade_Scale!$C$2:$C$18)</f>
        <v/>
      </c>
      <c r="AE278">
        <f>IF(AD278="","",AB278-VLOOKUP(AD278,Grade_Scale!$C$2:$E$18,3,FALSE))</f>
        <v/>
      </c>
    </row>
    <row r="279">
      <c r="Q279">
        <f>IF(OR(B279="SP",B279="RP",B279="CP",B279="SP/RP"),"P","H")</f>
        <v/>
      </c>
      <c r="R279">
        <f>IF(F279="",0,IFNA(VLOOKUP(F279,Trait_Polarity!$A:$C,2,FALSE),0))+IF(G279="",0,IFNA(VLOOKUP(G279,Trait_Polarity!$A:$C,2,FALSE),0))</f>
        <v/>
      </c>
      <c r="S279">
        <f>IF(F279="",0,IFNA(VLOOKUP(F279,Trait_Polarity!$A:$C,3,FALSE),0))+IF(G279="",0,IFNA(VLOOKUP(G279,Trait_Polarity!$A:$C,3,FALSE),0))</f>
        <v/>
      </c>
      <c r="T279">
        <f>IF(Q279="P",0,IFNA(VLOOKUP(IF(C279="","(none)",C279),Secondary_Versatility!$A:$B,2,FALSE),0))</f>
        <v/>
      </c>
      <c r="U279">
        <f>IF(H279="",0,LEN(H279)-LEN(SUBSTITUTE(H279,"|",""))+1)</f>
        <v/>
      </c>
      <c r="V279">
        <f>IF(Q279="P",(N279+O279+P279)/3,0.3*I279+0.3*J279+0.2*K279+0.1*L279+0.1*M279)</f>
        <v/>
      </c>
      <c r="W279">
        <f>IF(Q279="P",IF(F279="",0,IFNA(VLOOKUP(F279,Pitcher_Trait_Coef!$A:$B,2,FALSE),0))+IF(G279="",0,IFNA(VLOOKUP(G279,Pitcher_Trait_Coef!$A:$B,2,FALSE),0)),IF(F279="",0,IFNA(VLOOKUP(F279,Hitter_Trait_Coef!$A:$B,2,FALSE),0))+IF(G279="",0,IFNA(VLOOKUP(G279,Hitter_Trait_Coef!$A:$B,2,FALSE),0)))</f>
        <v/>
      </c>
      <c r="X279">
        <f>IF(Q279="P",IFNA(VLOOKUP(B279,Pitcher_Primary_Coef!$A:$B,2,FALSE),0),IFNA(VLOOKUP(B279,Hitter_Primary_Coef!$A:$B,2,FALSE),0))</f>
        <v/>
      </c>
      <c r="Y279">
        <f>IF(Q279="P",0,IFNA(VLOOKUP(IF(C279="","(none)",C279),Hitter_Secondary_Coef!$A:$B,2,FALSE),0))</f>
        <v/>
      </c>
      <c r="Z279">
        <f>IF(Q279="P",IF(ISNUMBER(SEARCH("2F",H279)),IFNA(VLOOKUP("2F",Pitch_Coef!$A:$B,2,FALSE),0),0)+IF(ISNUMBER(SEARCH("4F",H279)),IFNA(VLOOKUP("4F",Pitch_Coef!$A:$B,2,FALSE),0),0)+IF(ISNUMBER(SEARCH("CB",H279)),IFNA(VLOOKUP("CB",Pitch_Coef!$A:$B,2,FALSE),0),0)+IF(ISNUMBER(SEARCH("CF",H279)),IFNA(VLOOKUP("CF",Pitch_Coef!$A:$B,2,FALSE),0),0)+IF(ISNUMBER(SEARCH("CH",H279)),IFNA(VLOOKUP("CH",Pitch_Coef!$A:$B,2,FALSE),0),0)+IF(ISNUMBER(SEARCH("FK",H279)),IFNA(VLOOKUP("FK",Pitch_Coef!$A:$B,2,FALSE),0),0)+IF(ISNUMBER(SEARCH("SB",H279)),IFNA(VLOOKUP("SB",Pitch_Coef!$A:$B,2,FALSE),0),0)+IF(ISNUMBER(SEARCH("SL",H279)),IFNA(VLOOKUP("SL",Pitch_Coef!$A:$B,2,FALSE),0),0),0)</f>
        <v/>
      </c>
      <c r="AA279">
        <f>IF(Q279="P",16.5944849573+0.2529999141*N279+0.2665900378*O279+0.2632687105*P279+0.0427586837*I279+0.0534777057*J279+0.009015832*K279+0.0204898106*(O279*P279/100)+1.0091022427*U279+1.0968542297*IF(D279="L",1,0)+0.3771555045*IF(D279="S",1,0)-0.2226159177*IF(E279="L",1,0)+1.21385024*R279-1.1652812274*S279+W279+X279+Z279,10.5965166711+0.2825983581*I279+0.2806503532*J279+0.2027213083*K279+0.1147824982*L279+0.0915305332*M279-0.0088454122*(I279*J279/100)-0.0336045706*(K279*L279/100)+2.8497389733*IF(D279="L",1,0)+4.5116226727*IF(D279="S",1,0)-0.6571546448*IF(E279="L",1,0)+0.0850728147*T279+0.0129488446*(T279*T279)+0.1909373936*IF(OR(F279="Utility",G279="Utility"),T279,0)+0.9656824071*R279-1.7517683256*S279+W279+X279+Y279)</f>
        <v/>
      </c>
      <c r="AB279">
        <f>LOOKUP(AA279,Grade_Scale!$A$2:$A$18,Grade_Scale!$B$2:$B$18)</f>
        <v/>
      </c>
      <c r="AC279">
        <f>LOOKUP(AA279,Grade_Scale!$A$2:$A$18,Grade_Scale!$C$2:$C$18)</f>
        <v/>
      </c>
      <c r="AE279">
        <f>IF(AD279="","",AB279-VLOOKUP(AD279,Grade_Scale!$C$2:$E$18,3,FALSE))</f>
        <v/>
      </c>
    </row>
    <row r="280">
      <c r="Q280">
        <f>IF(OR(B280="SP",B280="RP",B280="CP",B280="SP/RP"),"P","H")</f>
        <v/>
      </c>
      <c r="R280">
        <f>IF(F280="",0,IFNA(VLOOKUP(F280,Trait_Polarity!$A:$C,2,FALSE),0))+IF(G280="",0,IFNA(VLOOKUP(G280,Trait_Polarity!$A:$C,2,FALSE),0))</f>
        <v/>
      </c>
      <c r="S280">
        <f>IF(F280="",0,IFNA(VLOOKUP(F280,Trait_Polarity!$A:$C,3,FALSE),0))+IF(G280="",0,IFNA(VLOOKUP(G280,Trait_Polarity!$A:$C,3,FALSE),0))</f>
        <v/>
      </c>
      <c r="T280">
        <f>IF(Q280="P",0,IFNA(VLOOKUP(IF(C280="","(none)",C280),Secondary_Versatility!$A:$B,2,FALSE),0))</f>
        <v/>
      </c>
      <c r="U280">
        <f>IF(H280="",0,LEN(H280)-LEN(SUBSTITUTE(H280,"|",""))+1)</f>
        <v/>
      </c>
      <c r="V280">
        <f>IF(Q280="P",(N280+O280+P280)/3,0.3*I280+0.3*J280+0.2*K280+0.1*L280+0.1*M280)</f>
        <v/>
      </c>
      <c r="W280">
        <f>IF(Q280="P",IF(F280="",0,IFNA(VLOOKUP(F280,Pitcher_Trait_Coef!$A:$B,2,FALSE),0))+IF(G280="",0,IFNA(VLOOKUP(G280,Pitcher_Trait_Coef!$A:$B,2,FALSE),0)),IF(F280="",0,IFNA(VLOOKUP(F280,Hitter_Trait_Coef!$A:$B,2,FALSE),0))+IF(G280="",0,IFNA(VLOOKUP(G280,Hitter_Trait_Coef!$A:$B,2,FALSE),0)))</f>
        <v/>
      </c>
      <c r="X280">
        <f>IF(Q280="P",IFNA(VLOOKUP(B280,Pitcher_Primary_Coef!$A:$B,2,FALSE),0),IFNA(VLOOKUP(B280,Hitter_Primary_Coef!$A:$B,2,FALSE),0))</f>
        <v/>
      </c>
      <c r="Y280">
        <f>IF(Q280="P",0,IFNA(VLOOKUP(IF(C280="","(none)",C280),Hitter_Secondary_Coef!$A:$B,2,FALSE),0))</f>
        <v/>
      </c>
      <c r="Z280">
        <f>IF(Q280="P",IF(ISNUMBER(SEARCH("2F",H280)),IFNA(VLOOKUP("2F",Pitch_Coef!$A:$B,2,FALSE),0),0)+IF(ISNUMBER(SEARCH("4F",H280)),IFNA(VLOOKUP("4F",Pitch_Coef!$A:$B,2,FALSE),0),0)+IF(ISNUMBER(SEARCH("CB",H280)),IFNA(VLOOKUP("CB",Pitch_Coef!$A:$B,2,FALSE),0),0)+IF(ISNUMBER(SEARCH("CF",H280)),IFNA(VLOOKUP("CF",Pitch_Coef!$A:$B,2,FALSE),0),0)+IF(ISNUMBER(SEARCH("CH",H280)),IFNA(VLOOKUP("CH",Pitch_Coef!$A:$B,2,FALSE),0),0)+IF(ISNUMBER(SEARCH("FK",H280)),IFNA(VLOOKUP("FK",Pitch_Coef!$A:$B,2,FALSE),0),0)+IF(ISNUMBER(SEARCH("SB",H280)),IFNA(VLOOKUP("SB",Pitch_Coef!$A:$B,2,FALSE),0),0)+IF(ISNUMBER(SEARCH("SL",H280)),IFNA(VLOOKUP("SL",Pitch_Coef!$A:$B,2,FALSE),0),0),0)</f>
        <v/>
      </c>
      <c r="AA280">
        <f>IF(Q280="P",16.5944849573+0.2529999141*N280+0.2665900378*O280+0.2632687105*P280+0.0427586837*I280+0.0534777057*J280+0.009015832*K280+0.0204898106*(O280*P280/100)+1.0091022427*U280+1.0968542297*IF(D280="L",1,0)+0.3771555045*IF(D280="S",1,0)-0.2226159177*IF(E280="L",1,0)+1.21385024*R280-1.1652812274*S280+W280+X280+Z280,10.5965166711+0.2825983581*I280+0.2806503532*J280+0.2027213083*K280+0.1147824982*L280+0.0915305332*M280-0.0088454122*(I280*J280/100)-0.0336045706*(K280*L280/100)+2.8497389733*IF(D280="L",1,0)+4.5116226727*IF(D280="S",1,0)-0.6571546448*IF(E280="L",1,0)+0.0850728147*T280+0.0129488446*(T280*T280)+0.1909373936*IF(OR(F280="Utility",G280="Utility"),T280,0)+0.9656824071*R280-1.7517683256*S280+W280+X280+Y280)</f>
        <v/>
      </c>
      <c r="AB280">
        <f>LOOKUP(AA280,Grade_Scale!$A$2:$A$18,Grade_Scale!$B$2:$B$18)</f>
        <v/>
      </c>
      <c r="AC280">
        <f>LOOKUP(AA280,Grade_Scale!$A$2:$A$18,Grade_Scale!$C$2:$C$18)</f>
        <v/>
      </c>
      <c r="AE280">
        <f>IF(AD280="","",AB280-VLOOKUP(AD280,Grade_Scale!$C$2:$E$18,3,FALSE))</f>
        <v/>
      </c>
    </row>
    <row r="281">
      <c r="Q281">
        <f>IF(OR(B281="SP",B281="RP",B281="CP",B281="SP/RP"),"P","H")</f>
        <v/>
      </c>
      <c r="R281">
        <f>IF(F281="",0,IFNA(VLOOKUP(F281,Trait_Polarity!$A:$C,2,FALSE),0))+IF(G281="",0,IFNA(VLOOKUP(G281,Trait_Polarity!$A:$C,2,FALSE),0))</f>
        <v/>
      </c>
      <c r="S281">
        <f>IF(F281="",0,IFNA(VLOOKUP(F281,Trait_Polarity!$A:$C,3,FALSE),0))+IF(G281="",0,IFNA(VLOOKUP(G281,Trait_Polarity!$A:$C,3,FALSE),0))</f>
        <v/>
      </c>
      <c r="T281">
        <f>IF(Q281="P",0,IFNA(VLOOKUP(IF(C281="","(none)",C281),Secondary_Versatility!$A:$B,2,FALSE),0))</f>
        <v/>
      </c>
      <c r="U281">
        <f>IF(H281="",0,LEN(H281)-LEN(SUBSTITUTE(H281,"|",""))+1)</f>
        <v/>
      </c>
      <c r="V281">
        <f>IF(Q281="P",(N281+O281+P281)/3,0.3*I281+0.3*J281+0.2*K281+0.1*L281+0.1*M281)</f>
        <v/>
      </c>
      <c r="W281">
        <f>IF(Q281="P",IF(F281="",0,IFNA(VLOOKUP(F281,Pitcher_Trait_Coef!$A:$B,2,FALSE),0))+IF(G281="",0,IFNA(VLOOKUP(G281,Pitcher_Trait_Coef!$A:$B,2,FALSE),0)),IF(F281="",0,IFNA(VLOOKUP(F281,Hitter_Trait_Coef!$A:$B,2,FALSE),0))+IF(G281="",0,IFNA(VLOOKUP(G281,Hitter_Trait_Coef!$A:$B,2,FALSE),0)))</f>
        <v/>
      </c>
      <c r="X281">
        <f>IF(Q281="P",IFNA(VLOOKUP(B281,Pitcher_Primary_Coef!$A:$B,2,FALSE),0),IFNA(VLOOKUP(B281,Hitter_Primary_Coef!$A:$B,2,FALSE),0))</f>
        <v/>
      </c>
      <c r="Y281">
        <f>IF(Q281="P",0,IFNA(VLOOKUP(IF(C281="","(none)",C281),Hitter_Secondary_Coef!$A:$B,2,FALSE),0))</f>
        <v/>
      </c>
      <c r="Z281">
        <f>IF(Q281="P",IF(ISNUMBER(SEARCH("2F",H281)),IFNA(VLOOKUP("2F",Pitch_Coef!$A:$B,2,FALSE),0),0)+IF(ISNUMBER(SEARCH("4F",H281)),IFNA(VLOOKUP("4F",Pitch_Coef!$A:$B,2,FALSE),0),0)+IF(ISNUMBER(SEARCH("CB",H281)),IFNA(VLOOKUP("CB",Pitch_Coef!$A:$B,2,FALSE),0),0)+IF(ISNUMBER(SEARCH("CF",H281)),IFNA(VLOOKUP("CF",Pitch_Coef!$A:$B,2,FALSE),0),0)+IF(ISNUMBER(SEARCH("CH",H281)),IFNA(VLOOKUP("CH",Pitch_Coef!$A:$B,2,FALSE),0),0)+IF(ISNUMBER(SEARCH("FK",H281)),IFNA(VLOOKUP("FK",Pitch_Coef!$A:$B,2,FALSE),0),0)+IF(ISNUMBER(SEARCH("SB",H281)),IFNA(VLOOKUP("SB",Pitch_Coef!$A:$B,2,FALSE),0),0)+IF(ISNUMBER(SEARCH("SL",H281)),IFNA(VLOOKUP("SL",Pitch_Coef!$A:$B,2,FALSE),0),0),0)</f>
        <v/>
      </c>
      <c r="AA281">
        <f>IF(Q281="P",16.5944849573+0.2529999141*N281+0.2665900378*O281+0.2632687105*P281+0.0427586837*I281+0.0534777057*J281+0.009015832*K281+0.0204898106*(O281*P281/100)+1.0091022427*U281+1.0968542297*IF(D281="L",1,0)+0.3771555045*IF(D281="S",1,0)-0.2226159177*IF(E281="L",1,0)+1.21385024*R281-1.1652812274*S281+W281+X281+Z281,10.5965166711+0.2825983581*I281+0.2806503532*J281+0.2027213083*K281+0.1147824982*L281+0.0915305332*M281-0.0088454122*(I281*J281/100)-0.0336045706*(K281*L281/100)+2.8497389733*IF(D281="L",1,0)+4.5116226727*IF(D281="S",1,0)-0.6571546448*IF(E281="L",1,0)+0.0850728147*T281+0.0129488446*(T281*T281)+0.1909373936*IF(OR(F281="Utility",G281="Utility"),T281,0)+0.9656824071*R281-1.7517683256*S281+W281+X281+Y281)</f>
        <v/>
      </c>
      <c r="AB281">
        <f>LOOKUP(AA281,Grade_Scale!$A$2:$A$18,Grade_Scale!$B$2:$B$18)</f>
        <v/>
      </c>
      <c r="AC281">
        <f>LOOKUP(AA281,Grade_Scale!$A$2:$A$18,Grade_Scale!$C$2:$C$18)</f>
        <v/>
      </c>
      <c r="AE281">
        <f>IF(AD281="","",AB281-VLOOKUP(AD281,Grade_Scale!$C$2:$E$18,3,FALSE))</f>
        <v/>
      </c>
    </row>
    <row r="282">
      <c r="Q282">
        <f>IF(OR(B282="SP",B282="RP",B282="CP",B282="SP/RP"),"P","H")</f>
        <v/>
      </c>
      <c r="R282">
        <f>IF(F282="",0,IFNA(VLOOKUP(F282,Trait_Polarity!$A:$C,2,FALSE),0))+IF(G282="",0,IFNA(VLOOKUP(G282,Trait_Polarity!$A:$C,2,FALSE),0))</f>
        <v/>
      </c>
      <c r="S282">
        <f>IF(F282="",0,IFNA(VLOOKUP(F282,Trait_Polarity!$A:$C,3,FALSE),0))+IF(G282="",0,IFNA(VLOOKUP(G282,Trait_Polarity!$A:$C,3,FALSE),0))</f>
        <v/>
      </c>
      <c r="T282">
        <f>IF(Q282="P",0,IFNA(VLOOKUP(IF(C282="","(none)",C282),Secondary_Versatility!$A:$B,2,FALSE),0))</f>
        <v/>
      </c>
      <c r="U282">
        <f>IF(H282="",0,LEN(H282)-LEN(SUBSTITUTE(H282,"|",""))+1)</f>
        <v/>
      </c>
      <c r="V282">
        <f>IF(Q282="P",(N282+O282+P282)/3,0.3*I282+0.3*J282+0.2*K282+0.1*L282+0.1*M282)</f>
        <v/>
      </c>
      <c r="W282">
        <f>IF(Q282="P",IF(F282="",0,IFNA(VLOOKUP(F282,Pitcher_Trait_Coef!$A:$B,2,FALSE),0))+IF(G282="",0,IFNA(VLOOKUP(G282,Pitcher_Trait_Coef!$A:$B,2,FALSE),0)),IF(F282="",0,IFNA(VLOOKUP(F282,Hitter_Trait_Coef!$A:$B,2,FALSE),0))+IF(G282="",0,IFNA(VLOOKUP(G282,Hitter_Trait_Coef!$A:$B,2,FALSE),0)))</f>
        <v/>
      </c>
      <c r="X282">
        <f>IF(Q282="P",IFNA(VLOOKUP(B282,Pitcher_Primary_Coef!$A:$B,2,FALSE),0),IFNA(VLOOKUP(B282,Hitter_Primary_Coef!$A:$B,2,FALSE),0))</f>
        <v/>
      </c>
      <c r="Y282">
        <f>IF(Q282="P",0,IFNA(VLOOKUP(IF(C282="","(none)",C282),Hitter_Secondary_Coef!$A:$B,2,FALSE),0))</f>
        <v/>
      </c>
      <c r="Z282">
        <f>IF(Q282="P",IF(ISNUMBER(SEARCH("2F",H282)),IFNA(VLOOKUP("2F",Pitch_Coef!$A:$B,2,FALSE),0),0)+IF(ISNUMBER(SEARCH("4F",H282)),IFNA(VLOOKUP("4F",Pitch_Coef!$A:$B,2,FALSE),0),0)+IF(ISNUMBER(SEARCH("CB",H282)),IFNA(VLOOKUP("CB",Pitch_Coef!$A:$B,2,FALSE),0),0)+IF(ISNUMBER(SEARCH("CF",H282)),IFNA(VLOOKUP("CF",Pitch_Coef!$A:$B,2,FALSE),0),0)+IF(ISNUMBER(SEARCH("CH",H282)),IFNA(VLOOKUP("CH",Pitch_Coef!$A:$B,2,FALSE),0),0)+IF(ISNUMBER(SEARCH("FK",H282)),IFNA(VLOOKUP("FK",Pitch_Coef!$A:$B,2,FALSE),0),0)+IF(ISNUMBER(SEARCH("SB",H282)),IFNA(VLOOKUP("SB",Pitch_Coef!$A:$B,2,FALSE),0),0)+IF(ISNUMBER(SEARCH("SL",H282)),IFNA(VLOOKUP("SL",Pitch_Coef!$A:$B,2,FALSE),0),0),0)</f>
        <v/>
      </c>
      <c r="AA282">
        <f>IF(Q282="P",16.5944849573+0.2529999141*N282+0.2665900378*O282+0.2632687105*P282+0.0427586837*I282+0.0534777057*J282+0.009015832*K282+0.0204898106*(O282*P282/100)+1.0091022427*U282+1.0968542297*IF(D282="L",1,0)+0.3771555045*IF(D282="S",1,0)-0.2226159177*IF(E282="L",1,0)+1.21385024*R282-1.1652812274*S282+W282+X282+Z282,10.5965166711+0.2825983581*I282+0.2806503532*J282+0.2027213083*K282+0.1147824982*L282+0.0915305332*M282-0.0088454122*(I282*J282/100)-0.0336045706*(K282*L282/100)+2.8497389733*IF(D282="L",1,0)+4.5116226727*IF(D282="S",1,0)-0.6571546448*IF(E282="L",1,0)+0.0850728147*T282+0.0129488446*(T282*T282)+0.1909373936*IF(OR(F282="Utility",G282="Utility"),T282,0)+0.9656824071*R282-1.7517683256*S282+W282+X282+Y282)</f>
        <v/>
      </c>
      <c r="AB282">
        <f>LOOKUP(AA282,Grade_Scale!$A$2:$A$18,Grade_Scale!$B$2:$B$18)</f>
        <v/>
      </c>
      <c r="AC282">
        <f>LOOKUP(AA282,Grade_Scale!$A$2:$A$18,Grade_Scale!$C$2:$C$18)</f>
        <v/>
      </c>
      <c r="AE282">
        <f>IF(AD282="","",AB282-VLOOKUP(AD282,Grade_Scale!$C$2:$E$18,3,FALSE))</f>
        <v/>
      </c>
    </row>
    <row r="283">
      <c r="Q283">
        <f>IF(OR(B283="SP",B283="RP",B283="CP",B283="SP/RP"),"P","H")</f>
        <v/>
      </c>
      <c r="R283">
        <f>IF(F283="",0,IFNA(VLOOKUP(F283,Trait_Polarity!$A:$C,2,FALSE),0))+IF(G283="",0,IFNA(VLOOKUP(G283,Trait_Polarity!$A:$C,2,FALSE),0))</f>
        <v/>
      </c>
      <c r="S283">
        <f>IF(F283="",0,IFNA(VLOOKUP(F283,Trait_Polarity!$A:$C,3,FALSE),0))+IF(G283="",0,IFNA(VLOOKUP(G283,Trait_Polarity!$A:$C,3,FALSE),0))</f>
        <v/>
      </c>
      <c r="T283">
        <f>IF(Q283="P",0,IFNA(VLOOKUP(IF(C283="","(none)",C283),Secondary_Versatility!$A:$B,2,FALSE),0))</f>
        <v/>
      </c>
      <c r="U283">
        <f>IF(H283="",0,LEN(H283)-LEN(SUBSTITUTE(H283,"|",""))+1)</f>
        <v/>
      </c>
      <c r="V283">
        <f>IF(Q283="P",(N283+O283+P283)/3,0.3*I283+0.3*J283+0.2*K283+0.1*L283+0.1*M283)</f>
        <v/>
      </c>
      <c r="W283">
        <f>IF(Q283="P",IF(F283="",0,IFNA(VLOOKUP(F283,Pitcher_Trait_Coef!$A:$B,2,FALSE),0))+IF(G283="",0,IFNA(VLOOKUP(G283,Pitcher_Trait_Coef!$A:$B,2,FALSE),0)),IF(F283="",0,IFNA(VLOOKUP(F283,Hitter_Trait_Coef!$A:$B,2,FALSE),0))+IF(G283="",0,IFNA(VLOOKUP(G283,Hitter_Trait_Coef!$A:$B,2,FALSE),0)))</f>
        <v/>
      </c>
      <c r="X283">
        <f>IF(Q283="P",IFNA(VLOOKUP(B283,Pitcher_Primary_Coef!$A:$B,2,FALSE),0),IFNA(VLOOKUP(B283,Hitter_Primary_Coef!$A:$B,2,FALSE),0))</f>
        <v/>
      </c>
      <c r="Y283">
        <f>IF(Q283="P",0,IFNA(VLOOKUP(IF(C283="","(none)",C283),Hitter_Secondary_Coef!$A:$B,2,FALSE),0))</f>
        <v/>
      </c>
      <c r="Z283">
        <f>IF(Q283="P",IF(ISNUMBER(SEARCH("2F",H283)),IFNA(VLOOKUP("2F",Pitch_Coef!$A:$B,2,FALSE),0),0)+IF(ISNUMBER(SEARCH("4F",H283)),IFNA(VLOOKUP("4F",Pitch_Coef!$A:$B,2,FALSE),0),0)+IF(ISNUMBER(SEARCH("CB",H283)),IFNA(VLOOKUP("CB",Pitch_Coef!$A:$B,2,FALSE),0),0)+IF(ISNUMBER(SEARCH("CF",H283)),IFNA(VLOOKUP("CF",Pitch_Coef!$A:$B,2,FALSE),0),0)+IF(ISNUMBER(SEARCH("CH",H283)),IFNA(VLOOKUP("CH",Pitch_Coef!$A:$B,2,FALSE),0),0)+IF(ISNUMBER(SEARCH("FK",H283)),IFNA(VLOOKUP("FK",Pitch_Coef!$A:$B,2,FALSE),0),0)+IF(ISNUMBER(SEARCH("SB",H283)),IFNA(VLOOKUP("SB",Pitch_Coef!$A:$B,2,FALSE),0),0)+IF(ISNUMBER(SEARCH("SL",H283)),IFNA(VLOOKUP("SL",Pitch_Coef!$A:$B,2,FALSE),0),0),0)</f>
        <v/>
      </c>
      <c r="AA283">
        <f>IF(Q283="P",16.5944849573+0.2529999141*N283+0.2665900378*O283+0.2632687105*P283+0.0427586837*I283+0.0534777057*J283+0.009015832*K283+0.0204898106*(O283*P283/100)+1.0091022427*U283+1.0968542297*IF(D283="L",1,0)+0.3771555045*IF(D283="S",1,0)-0.2226159177*IF(E283="L",1,0)+1.21385024*R283-1.1652812274*S283+W283+X283+Z283,10.5965166711+0.2825983581*I283+0.2806503532*J283+0.2027213083*K283+0.1147824982*L283+0.0915305332*M283-0.0088454122*(I283*J283/100)-0.0336045706*(K283*L283/100)+2.8497389733*IF(D283="L",1,0)+4.5116226727*IF(D283="S",1,0)-0.6571546448*IF(E283="L",1,0)+0.0850728147*T283+0.0129488446*(T283*T283)+0.1909373936*IF(OR(F283="Utility",G283="Utility"),T283,0)+0.9656824071*R283-1.7517683256*S283+W283+X283+Y283)</f>
        <v/>
      </c>
      <c r="AB283">
        <f>LOOKUP(AA283,Grade_Scale!$A$2:$A$18,Grade_Scale!$B$2:$B$18)</f>
        <v/>
      </c>
      <c r="AC283">
        <f>LOOKUP(AA283,Grade_Scale!$A$2:$A$18,Grade_Scale!$C$2:$C$18)</f>
        <v/>
      </c>
      <c r="AE283">
        <f>IF(AD283="","",AB283-VLOOKUP(AD283,Grade_Scale!$C$2:$E$18,3,FALSE))</f>
        <v/>
      </c>
    </row>
    <row r="284">
      <c r="Q284">
        <f>IF(OR(B284="SP",B284="RP",B284="CP",B284="SP/RP"),"P","H")</f>
        <v/>
      </c>
      <c r="R284">
        <f>IF(F284="",0,IFNA(VLOOKUP(F284,Trait_Polarity!$A:$C,2,FALSE),0))+IF(G284="",0,IFNA(VLOOKUP(G284,Trait_Polarity!$A:$C,2,FALSE),0))</f>
        <v/>
      </c>
      <c r="S284">
        <f>IF(F284="",0,IFNA(VLOOKUP(F284,Trait_Polarity!$A:$C,3,FALSE),0))+IF(G284="",0,IFNA(VLOOKUP(G284,Trait_Polarity!$A:$C,3,FALSE),0))</f>
        <v/>
      </c>
      <c r="T284">
        <f>IF(Q284="P",0,IFNA(VLOOKUP(IF(C284="","(none)",C284),Secondary_Versatility!$A:$B,2,FALSE),0))</f>
        <v/>
      </c>
      <c r="U284">
        <f>IF(H284="",0,LEN(H284)-LEN(SUBSTITUTE(H284,"|",""))+1)</f>
        <v/>
      </c>
      <c r="V284">
        <f>IF(Q284="P",(N284+O284+P284)/3,0.3*I284+0.3*J284+0.2*K284+0.1*L284+0.1*M284)</f>
        <v/>
      </c>
      <c r="W284">
        <f>IF(Q284="P",IF(F284="",0,IFNA(VLOOKUP(F284,Pitcher_Trait_Coef!$A:$B,2,FALSE),0))+IF(G284="",0,IFNA(VLOOKUP(G284,Pitcher_Trait_Coef!$A:$B,2,FALSE),0)),IF(F284="",0,IFNA(VLOOKUP(F284,Hitter_Trait_Coef!$A:$B,2,FALSE),0))+IF(G284="",0,IFNA(VLOOKUP(G284,Hitter_Trait_Coef!$A:$B,2,FALSE),0)))</f>
        <v/>
      </c>
      <c r="X284">
        <f>IF(Q284="P",IFNA(VLOOKUP(B284,Pitcher_Primary_Coef!$A:$B,2,FALSE),0),IFNA(VLOOKUP(B284,Hitter_Primary_Coef!$A:$B,2,FALSE),0))</f>
        <v/>
      </c>
      <c r="Y284">
        <f>IF(Q284="P",0,IFNA(VLOOKUP(IF(C284="","(none)",C284),Hitter_Secondary_Coef!$A:$B,2,FALSE),0))</f>
        <v/>
      </c>
      <c r="Z284">
        <f>IF(Q284="P",IF(ISNUMBER(SEARCH("2F",H284)),IFNA(VLOOKUP("2F",Pitch_Coef!$A:$B,2,FALSE),0),0)+IF(ISNUMBER(SEARCH("4F",H284)),IFNA(VLOOKUP("4F",Pitch_Coef!$A:$B,2,FALSE),0),0)+IF(ISNUMBER(SEARCH("CB",H284)),IFNA(VLOOKUP("CB",Pitch_Coef!$A:$B,2,FALSE),0),0)+IF(ISNUMBER(SEARCH("CF",H284)),IFNA(VLOOKUP("CF",Pitch_Coef!$A:$B,2,FALSE),0),0)+IF(ISNUMBER(SEARCH("CH",H284)),IFNA(VLOOKUP("CH",Pitch_Coef!$A:$B,2,FALSE),0),0)+IF(ISNUMBER(SEARCH("FK",H284)),IFNA(VLOOKUP("FK",Pitch_Coef!$A:$B,2,FALSE),0),0)+IF(ISNUMBER(SEARCH("SB",H284)),IFNA(VLOOKUP("SB",Pitch_Coef!$A:$B,2,FALSE),0),0)+IF(ISNUMBER(SEARCH("SL",H284)),IFNA(VLOOKUP("SL",Pitch_Coef!$A:$B,2,FALSE),0),0),0)</f>
        <v/>
      </c>
      <c r="AA284">
        <f>IF(Q284="P",16.5944849573+0.2529999141*N284+0.2665900378*O284+0.2632687105*P284+0.0427586837*I284+0.0534777057*J284+0.009015832*K284+0.0204898106*(O284*P284/100)+1.0091022427*U284+1.0968542297*IF(D284="L",1,0)+0.3771555045*IF(D284="S",1,0)-0.2226159177*IF(E284="L",1,0)+1.21385024*R284-1.1652812274*S284+W284+X284+Z284,10.5965166711+0.2825983581*I284+0.2806503532*J284+0.2027213083*K284+0.1147824982*L284+0.0915305332*M284-0.0088454122*(I284*J284/100)-0.0336045706*(K284*L284/100)+2.8497389733*IF(D284="L",1,0)+4.5116226727*IF(D284="S",1,0)-0.6571546448*IF(E284="L",1,0)+0.0850728147*T284+0.0129488446*(T284*T284)+0.1909373936*IF(OR(F284="Utility",G284="Utility"),T284,0)+0.9656824071*R284-1.7517683256*S284+W284+X284+Y284)</f>
        <v/>
      </c>
      <c r="AB284">
        <f>LOOKUP(AA284,Grade_Scale!$A$2:$A$18,Grade_Scale!$B$2:$B$18)</f>
        <v/>
      </c>
      <c r="AC284">
        <f>LOOKUP(AA284,Grade_Scale!$A$2:$A$18,Grade_Scale!$C$2:$C$18)</f>
        <v/>
      </c>
      <c r="AE284">
        <f>IF(AD284="","",AB284-VLOOKUP(AD284,Grade_Scale!$C$2:$E$18,3,FALSE))</f>
        <v/>
      </c>
    </row>
    <row r="285">
      <c r="Q285">
        <f>IF(OR(B285="SP",B285="RP",B285="CP",B285="SP/RP"),"P","H")</f>
        <v/>
      </c>
      <c r="R285">
        <f>IF(F285="",0,IFNA(VLOOKUP(F285,Trait_Polarity!$A:$C,2,FALSE),0))+IF(G285="",0,IFNA(VLOOKUP(G285,Trait_Polarity!$A:$C,2,FALSE),0))</f>
        <v/>
      </c>
      <c r="S285">
        <f>IF(F285="",0,IFNA(VLOOKUP(F285,Trait_Polarity!$A:$C,3,FALSE),0))+IF(G285="",0,IFNA(VLOOKUP(G285,Trait_Polarity!$A:$C,3,FALSE),0))</f>
        <v/>
      </c>
      <c r="T285">
        <f>IF(Q285="P",0,IFNA(VLOOKUP(IF(C285="","(none)",C285),Secondary_Versatility!$A:$B,2,FALSE),0))</f>
        <v/>
      </c>
      <c r="U285">
        <f>IF(H285="",0,LEN(H285)-LEN(SUBSTITUTE(H285,"|",""))+1)</f>
        <v/>
      </c>
      <c r="V285">
        <f>IF(Q285="P",(N285+O285+P285)/3,0.3*I285+0.3*J285+0.2*K285+0.1*L285+0.1*M285)</f>
        <v/>
      </c>
      <c r="W285">
        <f>IF(Q285="P",IF(F285="",0,IFNA(VLOOKUP(F285,Pitcher_Trait_Coef!$A:$B,2,FALSE),0))+IF(G285="",0,IFNA(VLOOKUP(G285,Pitcher_Trait_Coef!$A:$B,2,FALSE),0)),IF(F285="",0,IFNA(VLOOKUP(F285,Hitter_Trait_Coef!$A:$B,2,FALSE),0))+IF(G285="",0,IFNA(VLOOKUP(G285,Hitter_Trait_Coef!$A:$B,2,FALSE),0)))</f>
        <v/>
      </c>
      <c r="X285">
        <f>IF(Q285="P",IFNA(VLOOKUP(B285,Pitcher_Primary_Coef!$A:$B,2,FALSE),0),IFNA(VLOOKUP(B285,Hitter_Primary_Coef!$A:$B,2,FALSE),0))</f>
        <v/>
      </c>
      <c r="Y285">
        <f>IF(Q285="P",0,IFNA(VLOOKUP(IF(C285="","(none)",C285),Hitter_Secondary_Coef!$A:$B,2,FALSE),0))</f>
        <v/>
      </c>
      <c r="Z285">
        <f>IF(Q285="P",IF(ISNUMBER(SEARCH("2F",H285)),IFNA(VLOOKUP("2F",Pitch_Coef!$A:$B,2,FALSE),0),0)+IF(ISNUMBER(SEARCH("4F",H285)),IFNA(VLOOKUP("4F",Pitch_Coef!$A:$B,2,FALSE),0),0)+IF(ISNUMBER(SEARCH("CB",H285)),IFNA(VLOOKUP("CB",Pitch_Coef!$A:$B,2,FALSE),0),0)+IF(ISNUMBER(SEARCH("CF",H285)),IFNA(VLOOKUP("CF",Pitch_Coef!$A:$B,2,FALSE),0),0)+IF(ISNUMBER(SEARCH("CH",H285)),IFNA(VLOOKUP("CH",Pitch_Coef!$A:$B,2,FALSE),0),0)+IF(ISNUMBER(SEARCH("FK",H285)),IFNA(VLOOKUP("FK",Pitch_Coef!$A:$B,2,FALSE),0),0)+IF(ISNUMBER(SEARCH("SB",H285)),IFNA(VLOOKUP("SB",Pitch_Coef!$A:$B,2,FALSE),0),0)+IF(ISNUMBER(SEARCH("SL",H285)),IFNA(VLOOKUP("SL",Pitch_Coef!$A:$B,2,FALSE),0),0),0)</f>
        <v/>
      </c>
      <c r="AA285">
        <f>IF(Q285="P",16.5944849573+0.2529999141*N285+0.2665900378*O285+0.2632687105*P285+0.0427586837*I285+0.0534777057*J285+0.009015832*K285+0.0204898106*(O285*P285/100)+1.0091022427*U285+1.0968542297*IF(D285="L",1,0)+0.3771555045*IF(D285="S",1,0)-0.2226159177*IF(E285="L",1,0)+1.21385024*R285-1.1652812274*S285+W285+X285+Z285,10.5965166711+0.2825983581*I285+0.2806503532*J285+0.2027213083*K285+0.1147824982*L285+0.0915305332*M285-0.0088454122*(I285*J285/100)-0.0336045706*(K285*L285/100)+2.8497389733*IF(D285="L",1,0)+4.5116226727*IF(D285="S",1,0)-0.6571546448*IF(E285="L",1,0)+0.0850728147*T285+0.0129488446*(T285*T285)+0.1909373936*IF(OR(F285="Utility",G285="Utility"),T285,0)+0.9656824071*R285-1.7517683256*S285+W285+X285+Y285)</f>
        <v/>
      </c>
      <c r="AB285">
        <f>LOOKUP(AA285,Grade_Scale!$A$2:$A$18,Grade_Scale!$B$2:$B$18)</f>
        <v/>
      </c>
      <c r="AC285">
        <f>LOOKUP(AA285,Grade_Scale!$A$2:$A$18,Grade_Scale!$C$2:$C$18)</f>
        <v/>
      </c>
      <c r="AE285">
        <f>IF(AD285="","",AB285-VLOOKUP(AD285,Grade_Scale!$C$2:$E$18,3,FALSE))</f>
        <v/>
      </c>
    </row>
    <row r="286">
      <c r="Q286">
        <f>IF(OR(B286="SP",B286="RP",B286="CP",B286="SP/RP"),"P","H")</f>
        <v/>
      </c>
      <c r="R286">
        <f>IF(F286="",0,IFNA(VLOOKUP(F286,Trait_Polarity!$A:$C,2,FALSE),0))+IF(G286="",0,IFNA(VLOOKUP(G286,Trait_Polarity!$A:$C,2,FALSE),0))</f>
        <v/>
      </c>
      <c r="S286">
        <f>IF(F286="",0,IFNA(VLOOKUP(F286,Trait_Polarity!$A:$C,3,FALSE),0))+IF(G286="",0,IFNA(VLOOKUP(G286,Trait_Polarity!$A:$C,3,FALSE),0))</f>
        <v/>
      </c>
      <c r="T286">
        <f>IF(Q286="P",0,IFNA(VLOOKUP(IF(C286="","(none)",C286),Secondary_Versatility!$A:$B,2,FALSE),0))</f>
        <v/>
      </c>
      <c r="U286">
        <f>IF(H286="",0,LEN(H286)-LEN(SUBSTITUTE(H286,"|",""))+1)</f>
        <v/>
      </c>
      <c r="V286">
        <f>IF(Q286="P",(N286+O286+P286)/3,0.3*I286+0.3*J286+0.2*K286+0.1*L286+0.1*M286)</f>
        <v/>
      </c>
      <c r="W286">
        <f>IF(Q286="P",IF(F286="",0,IFNA(VLOOKUP(F286,Pitcher_Trait_Coef!$A:$B,2,FALSE),0))+IF(G286="",0,IFNA(VLOOKUP(G286,Pitcher_Trait_Coef!$A:$B,2,FALSE),0)),IF(F286="",0,IFNA(VLOOKUP(F286,Hitter_Trait_Coef!$A:$B,2,FALSE),0))+IF(G286="",0,IFNA(VLOOKUP(G286,Hitter_Trait_Coef!$A:$B,2,FALSE),0)))</f>
        <v/>
      </c>
      <c r="X286">
        <f>IF(Q286="P",IFNA(VLOOKUP(B286,Pitcher_Primary_Coef!$A:$B,2,FALSE),0),IFNA(VLOOKUP(B286,Hitter_Primary_Coef!$A:$B,2,FALSE),0))</f>
        <v/>
      </c>
      <c r="Y286">
        <f>IF(Q286="P",0,IFNA(VLOOKUP(IF(C286="","(none)",C286),Hitter_Secondary_Coef!$A:$B,2,FALSE),0))</f>
        <v/>
      </c>
      <c r="Z286">
        <f>IF(Q286="P",IF(ISNUMBER(SEARCH("2F",H286)),IFNA(VLOOKUP("2F",Pitch_Coef!$A:$B,2,FALSE),0),0)+IF(ISNUMBER(SEARCH("4F",H286)),IFNA(VLOOKUP("4F",Pitch_Coef!$A:$B,2,FALSE),0),0)+IF(ISNUMBER(SEARCH("CB",H286)),IFNA(VLOOKUP("CB",Pitch_Coef!$A:$B,2,FALSE),0),0)+IF(ISNUMBER(SEARCH("CF",H286)),IFNA(VLOOKUP("CF",Pitch_Coef!$A:$B,2,FALSE),0),0)+IF(ISNUMBER(SEARCH("CH",H286)),IFNA(VLOOKUP("CH",Pitch_Coef!$A:$B,2,FALSE),0),0)+IF(ISNUMBER(SEARCH("FK",H286)),IFNA(VLOOKUP("FK",Pitch_Coef!$A:$B,2,FALSE),0),0)+IF(ISNUMBER(SEARCH("SB",H286)),IFNA(VLOOKUP("SB",Pitch_Coef!$A:$B,2,FALSE),0),0)+IF(ISNUMBER(SEARCH("SL",H286)),IFNA(VLOOKUP("SL",Pitch_Coef!$A:$B,2,FALSE),0),0),0)</f>
        <v/>
      </c>
      <c r="AA286">
        <f>IF(Q286="P",16.5944849573+0.2529999141*N286+0.2665900378*O286+0.2632687105*P286+0.0427586837*I286+0.0534777057*J286+0.009015832*K286+0.0204898106*(O286*P286/100)+1.0091022427*U286+1.0968542297*IF(D286="L",1,0)+0.3771555045*IF(D286="S",1,0)-0.2226159177*IF(E286="L",1,0)+1.21385024*R286-1.1652812274*S286+W286+X286+Z286,10.5965166711+0.2825983581*I286+0.2806503532*J286+0.2027213083*K286+0.1147824982*L286+0.0915305332*M286-0.0088454122*(I286*J286/100)-0.0336045706*(K286*L286/100)+2.8497389733*IF(D286="L",1,0)+4.5116226727*IF(D286="S",1,0)-0.6571546448*IF(E286="L",1,0)+0.0850728147*T286+0.0129488446*(T286*T286)+0.1909373936*IF(OR(F286="Utility",G286="Utility"),T286,0)+0.9656824071*R286-1.7517683256*S286+W286+X286+Y286)</f>
        <v/>
      </c>
      <c r="AB286">
        <f>LOOKUP(AA286,Grade_Scale!$A$2:$A$18,Grade_Scale!$B$2:$B$18)</f>
        <v/>
      </c>
      <c r="AC286">
        <f>LOOKUP(AA286,Grade_Scale!$A$2:$A$18,Grade_Scale!$C$2:$C$18)</f>
        <v/>
      </c>
      <c r="AE286">
        <f>IF(AD286="","",AB286-VLOOKUP(AD286,Grade_Scale!$C$2:$E$18,3,FALSE))</f>
        <v/>
      </c>
    </row>
    <row r="287">
      <c r="Q287">
        <f>IF(OR(B287="SP",B287="RP",B287="CP",B287="SP/RP"),"P","H")</f>
        <v/>
      </c>
      <c r="R287">
        <f>IF(F287="",0,IFNA(VLOOKUP(F287,Trait_Polarity!$A:$C,2,FALSE),0))+IF(G287="",0,IFNA(VLOOKUP(G287,Trait_Polarity!$A:$C,2,FALSE),0))</f>
        <v/>
      </c>
      <c r="S287">
        <f>IF(F287="",0,IFNA(VLOOKUP(F287,Trait_Polarity!$A:$C,3,FALSE),0))+IF(G287="",0,IFNA(VLOOKUP(G287,Trait_Polarity!$A:$C,3,FALSE),0))</f>
        <v/>
      </c>
      <c r="T287">
        <f>IF(Q287="P",0,IFNA(VLOOKUP(IF(C287="","(none)",C287),Secondary_Versatility!$A:$B,2,FALSE),0))</f>
        <v/>
      </c>
      <c r="U287">
        <f>IF(H287="",0,LEN(H287)-LEN(SUBSTITUTE(H287,"|",""))+1)</f>
        <v/>
      </c>
      <c r="V287">
        <f>IF(Q287="P",(N287+O287+P287)/3,0.3*I287+0.3*J287+0.2*K287+0.1*L287+0.1*M287)</f>
        <v/>
      </c>
      <c r="W287">
        <f>IF(Q287="P",IF(F287="",0,IFNA(VLOOKUP(F287,Pitcher_Trait_Coef!$A:$B,2,FALSE),0))+IF(G287="",0,IFNA(VLOOKUP(G287,Pitcher_Trait_Coef!$A:$B,2,FALSE),0)),IF(F287="",0,IFNA(VLOOKUP(F287,Hitter_Trait_Coef!$A:$B,2,FALSE),0))+IF(G287="",0,IFNA(VLOOKUP(G287,Hitter_Trait_Coef!$A:$B,2,FALSE),0)))</f>
        <v/>
      </c>
      <c r="X287">
        <f>IF(Q287="P",IFNA(VLOOKUP(B287,Pitcher_Primary_Coef!$A:$B,2,FALSE),0),IFNA(VLOOKUP(B287,Hitter_Primary_Coef!$A:$B,2,FALSE),0))</f>
        <v/>
      </c>
      <c r="Y287">
        <f>IF(Q287="P",0,IFNA(VLOOKUP(IF(C287="","(none)",C287),Hitter_Secondary_Coef!$A:$B,2,FALSE),0))</f>
        <v/>
      </c>
      <c r="Z287">
        <f>IF(Q287="P",IF(ISNUMBER(SEARCH("2F",H287)),IFNA(VLOOKUP("2F",Pitch_Coef!$A:$B,2,FALSE),0),0)+IF(ISNUMBER(SEARCH("4F",H287)),IFNA(VLOOKUP("4F",Pitch_Coef!$A:$B,2,FALSE),0),0)+IF(ISNUMBER(SEARCH("CB",H287)),IFNA(VLOOKUP("CB",Pitch_Coef!$A:$B,2,FALSE),0),0)+IF(ISNUMBER(SEARCH("CF",H287)),IFNA(VLOOKUP("CF",Pitch_Coef!$A:$B,2,FALSE),0),0)+IF(ISNUMBER(SEARCH("CH",H287)),IFNA(VLOOKUP("CH",Pitch_Coef!$A:$B,2,FALSE),0),0)+IF(ISNUMBER(SEARCH("FK",H287)),IFNA(VLOOKUP("FK",Pitch_Coef!$A:$B,2,FALSE),0),0)+IF(ISNUMBER(SEARCH("SB",H287)),IFNA(VLOOKUP("SB",Pitch_Coef!$A:$B,2,FALSE),0),0)+IF(ISNUMBER(SEARCH("SL",H287)),IFNA(VLOOKUP("SL",Pitch_Coef!$A:$B,2,FALSE),0),0),0)</f>
        <v/>
      </c>
      <c r="AA287">
        <f>IF(Q287="P",16.5944849573+0.2529999141*N287+0.2665900378*O287+0.2632687105*P287+0.0427586837*I287+0.0534777057*J287+0.009015832*K287+0.0204898106*(O287*P287/100)+1.0091022427*U287+1.0968542297*IF(D287="L",1,0)+0.3771555045*IF(D287="S",1,0)-0.2226159177*IF(E287="L",1,0)+1.21385024*R287-1.1652812274*S287+W287+X287+Z287,10.5965166711+0.2825983581*I287+0.2806503532*J287+0.2027213083*K287+0.1147824982*L287+0.0915305332*M287-0.0088454122*(I287*J287/100)-0.0336045706*(K287*L287/100)+2.8497389733*IF(D287="L",1,0)+4.5116226727*IF(D287="S",1,0)-0.6571546448*IF(E287="L",1,0)+0.0850728147*T287+0.0129488446*(T287*T287)+0.1909373936*IF(OR(F287="Utility",G287="Utility"),T287,0)+0.9656824071*R287-1.7517683256*S287+W287+X287+Y287)</f>
        <v/>
      </c>
      <c r="AB287">
        <f>LOOKUP(AA287,Grade_Scale!$A$2:$A$18,Grade_Scale!$B$2:$B$18)</f>
        <v/>
      </c>
      <c r="AC287">
        <f>LOOKUP(AA287,Grade_Scale!$A$2:$A$18,Grade_Scale!$C$2:$C$18)</f>
        <v/>
      </c>
      <c r="AE287">
        <f>IF(AD287="","",AB287-VLOOKUP(AD287,Grade_Scale!$C$2:$E$18,3,FALSE))</f>
        <v/>
      </c>
    </row>
    <row r="288">
      <c r="Q288">
        <f>IF(OR(B288="SP",B288="RP",B288="CP",B288="SP/RP"),"P","H")</f>
        <v/>
      </c>
      <c r="R288">
        <f>IF(F288="",0,IFNA(VLOOKUP(F288,Trait_Polarity!$A:$C,2,FALSE),0))+IF(G288="",0,IFNA(VLOOKUP(G288,Trait_Polarity!$A:$C,2,FALSE),0))</f>
        <v/>
      </c>
      <c r="S288">
        <f>IF(F288="",0,IFNA(VLOOKUP(F288,Trait_Polarity!$A:$C,3,FALSE),0))+IF(G288="",0,IFNA(VLOOKUP(G288,Trait_Polarity!$A:$C,3,FALSE),0))</f>
        <v/>
      </c>
      <c r="T288">
        <f>IF(Q288="P",0,IFNA(VLOOKUP(IF(C288="","(none)",C288),Secondary_Versatility!$A:$B,2,FALSE),0))</f>
        <v/>
      </c>
      <c r="U288">
        <f>IF(H288="",0,LEN(H288)-LEN(SUBSTITUTE(H288,"|",""))+1)</f>
        <v/>
      </c>
      <c r="V288">
        <f>IF(Q288="P",(N288+O288+P288)/3,0.3*I288+0.3*J288+0.2*K288+0.1*L288+0.1*M288)</f>
        <v/>
      </c>
      <c r="W288">
        <f>IF(Q288="P",IF(F288="",0,IFNA(VLOOKUP(F288,Pitcher_Trait_Coef!$A:$B,2,FALSE),0))+IF(G288="",0,IFNA(VLOOKUP(G288,Pitcher_Trait_Coef!$A:$B,2,FALSE),0)),IF(F288="",0,IFNA(VLOOKUP(F288,Hitter_Trait_Coef!$A:$B,2,FALSE),0))+IF(G288="",0,IFNA(VLOOKUP(G288,Hitter_Trait_Coef!$A:$B,2,FALSE),0)))</f>
        <v/>
      </c>
      <c r="X288">
        <f>IF(Q288="P",IFNA(VLOOKUP(B288,Pitcher_Primary_Coef!$A:$B,2,FALSE),0),IFNA(VLOOKUP(B288,Hitter_Primary_Coef!$A:$B,2,FALSE),0))</f>
        <v/>
      </c>
      <c r="Y288">
        <f>IF(Q288="P",0,IFNA(VLOOKUP(IF(C288="","(none)",C288),Hitter_Secondary_Coef!$A:$B,2,FALSE),0))</f>
        <v/>
      </c>
      <c r="Z288">
        <f>IF(Q288="P",IF(ISNUMBER(SEARCH("2F",H288)),IFNA(VLOOKUP("2F",Pitch_Coef!$A:$B,2,FALSE),0),0)+IF(ISNUMBER(SEARCH("4F",H288)),IFNA(VLOOKUP("4F",Pitch_Coef!$A:$B,2,FALSE),0),0)+IF(ISNUMBER(SEARCH("CB",H288)),IFNA(VLOOKUP("CB",Pitch_Coef!$A:$B,2,FALSE),0),0)+IF(ISNUMBER(SEARCH("CF",H288)),IFNA(VLOOKUP("CF",Pitch_Coef!$A:$B,2,FALSE),0),0)+IF(ISNUMBER(SEARCH("CH",H288)),IFNA(VLOOKUP("CH",Pitch_Coef!$A:$B,2,FALSE),0),0)+IF(ISNUMBER(SEARCH("FK",H288)),IFNA(VLOOKUP("FK",Pitch_Coef!$A:$B,2,FALSE),0),0)+IF(ISNUMBER(SEARCH("SB",H288)),IFNA(VLOOKUP("SB",Pitch_Coef!$A:$B,2,FALSE),0),0)+IF(ISNUMBER(SEARCH("SL",H288)),IFNA(VLOOKUP("SL",Pitch_Coef!$A:$B,2,FALSE),0),0),0)</f>
        <v/>
      </c>
      <c r="AA288">
        <f>IF(Q288="P",16.5944849573+0.2529999141*N288+0.2665900378*O288+0.2632687105*P288+0.0427586837*I288+0.0534777057*J288+0.009015832*K288+0.0204898106*(O288*P288/100)+1.0091022427*U288+1.0968542297*IF(D288="L",1,0)+0.3771555045*IF(D288="S",1,0)-0.2226159177*IF(E288="L",1,0)+1.21385024*R288-1.1652812274*S288+W288+X288+Z288,10.5965166711+0.2825983581*I288+0.2806503532*J288+0.2027213083*K288+0.1147824982*L288+0.0915305332*M288-0.0088454122*(I288*J288/100)-0.0336045706*(K288*L288/100)+2.8497389733*IF(D288="L",1,0)+4.5116226727*IF(D288="S",1,0)-0.6571546448*IF(E288="L",1,0)+0.0850728147*T288+0.0129488446*(T288*T288)+0.1909373936*IF(OR(F288="Utility",G288="Utility"),T288,0)+0.9656824071*R288-1.7517683256*S288+W288+X288+Y288)</f>
        <v/>
      </c>
      <c r="AB288">
        <f>LOOKUP(AA288,Grade_Scale!$A$2:$A$18,Grade_Scale!$B$2:$B$18)</f>
        <v/>
      </c>
      <c r="AC288">
        <f>LOOKUP(AA288,Grade_Scale!$A$2:$A$18,Grade_Scale!$C$2:$C$18)</f>
        <v/>
      </c>
      <c r="AE288">
        <f>IF(AD288="","",AB288-VLOOKUP(AD288,Grade_Scale!$C$2:$E$18,3,FALSE))</f>
        <v/>
      </c>
    </row>
    <row r="289">
      <c r="Q289">
        <f>IF(OR(B289="SP",B289="RP",B289="CP",B289="SP/RP"),"P","H")</f>
        <v/>
      </c>
      <c r="R289">
        <f>IF(F289="",0,IFNA(VLOOKUP(F289,Trait_Polarity!$A:$C,2,FALSE),0))+IF(G289="",0,IFNA(VLOOKUP(G289,Trait_Polarity!$A:$C,2,FALSE),0))</f>
        <v/>
      </c>
      <c r="S289">
        <f>IF(F289="",0,IFNA(VLOOKUP(F289,Trait_Polarity!$A:$C,3,FALSE),0))+IF(G289="",0,IFNA(VLOOKUP(G289,Trait_Polarity!$A:$C,3,FALSE),0))</f>
        <v/>
      </c>
      <c r="T289">
        <f>IF(Q289="P",0,IFNA(VLOOKUP(IF(C289="","(none)",C289),Secondary_Versatility!$A:$B,2,FALSE),0))</f>
        <v/>
      </c>
      <c r="U289">
        <f>IF(H289="",0,LEN(H289)-LEN(SUBSTITUTE(H289,"|",""))+1)</f>
        <v/>
      </c>
      <c r="V289">
        <f>IF(Q289="P",(N289+O289+P289)/3,0.3*I289+0.3*J289+0.2*K289+0.1*L289+0.1*M289)</f>
        <v/>
      </c>
      <c r="W289">
        <f>IF(Q289="P",IF(F289="",0,IFNA(VLOOKUP(F289,Pitcher_Trait_Coef!$A:$B,2,FALSE),0))+IF(G289="",0,IFNA(VLOOKUP(G289,Pitcher_Trait_Coef!$A:$B,2,FALSE),0)),IF(F289="",0,IFNA(VLOOKUP(F289,Hitter_Trait_Coef!$A:$B,2,FALSE),0))+IF(G289="",0,IFNA(VLOOKUP(G289,Hitter_Trait_Coef!$A:$B,2,FALSE),0)))</f>
        <v/>
      </c>
      <c r="X289">
        <f>IF(Q289="P",IFNA(VLOOKUP(B289,Pitcher_Primary_Coef!$A:$B,2,FALSE),0),IFNA(VLOOKUP(B289,Hitter_Primary_Coef!$A:$B,2,FALSE),0))</f>
        <v/>
      </c>
      <c r="Y289">
        <f>IF(Q289="P",0,IFNA(VLOOKUP(IF(C289="","(none)",C289),Hitter_Secondary_Coef!$A:$B,2,FALSE),0))</f>
        <v/>
      </c>
      <c r="Z289">
        <f>IF(Q289="P",IF(ISNUMBER(SEARCH("2F",H289)),IFNA(VLOOKUP("2F",Pitch_Coef!$A:$B,2,FALSE),0),0)+IF(ISNUMBER(SEARCH("4F",H289)),IFNA(VLOOKUP("4F",Pitch_Coef!$A:$B,2,FALSE),0),0)+IF(ISNUMBER(SEARCH("CB",H289)),IFNA(VLOOKUP("CB",Pitch_Coef!$A:$B,2,FALSE),0),0)+IF(ISNUMBER(SEARCH("CF",H289)),IFNA(VLOOKUP("CF",Pitch_Coef!$A:$B,2,FALSE),0),0)+IF(ISNUMBER(SEARCH("CH",H289)),IFNA(VLOOKUP("CH",Pitch_Coef!$A:$B,2,FALSE),0),0)+IF(ISNUMBER(SEARCH("FK",H289)),IFNA(VLOOKUP("FK",Pitch_Coef!$A:$B,2,FALSE),0),0)+IF(ISNUMBER(SEARCH("SB",H289)),IFNA(VLOOKUP("SB",Pitch_Coef!$A:$B,2,FALSE),0),0)+IF(ISNUMBER(SEARCH("SL",H289)),IFNA(VLOOKUP("SL",Pitch_Coef!$A:$B,2,FALSE),0),0),0)</f>
        <v/>
      </c>
      <c r="AA289">
        <f>IF(Q289="P",16.5944849573+0.2529999141*N289+0.2665900378*O289+0.2632687105*P289+0.0427586837*I289+0.0534777057*J289+0.009015832*K289+0.0204898106*(O289*P289/100)+1.0091022427*U289+1.0968542297*IF(D289="L",1,0)+0.3771555045*IF(D289="S",1,0)-0.2226159177*IF(E289="L",1,0)+1.21385024*R289-1.1652812274*S289+W289+X289+Z289,10.5965166711+0.2825983581*I289+0.2806503532*J289+0.2027213083*K289+0.1147824982*L289+0.0915305332*M289-0.0088454122*(I289*J289/100)-0.0336045706*(K289*L289/100)+2.8497389733*IF(D289="L",1,0)+4.5116226727*IF(D289="S",1,0)-0.6571546448*IF(E289="L",1,0)+0.0850728147*T289+0.0129488446*(T289*T289)+0.1909373936*IF(OR(F289="Utility",G289="Utility"),T289,0)+0.9656824071*R289-1.7517683256*S289+W289+X289+Y289)</f>
        <v/>
      </c>
      <c r="AB289">
        <f>LOOKUP(AA289,Grade_Scale!$A$2:$A$18,Grade_Scale!$B$2:$B$18)</f>
        <v/>
      </c>
      <c r="AC289">
        <f>LOOKUP(AA289,Grade_Scale!$A$2:$A$18,Grade_Scale!$C$2:$C$18)</f>
        <v/>
      </c>
      <c r="AE289">
        <f>IF(AD289="","",AB289-VLOOKUP(AD289,Grade_Scale!$C$2:$E$18,3,FALSE))</f>
        <v/>
      </c>
    </row>
    <row r="290">
      <c r="Q290">
        <f>IF(OR(B290="SP",B290="RP",B290="CP",B290="SP/RP"),"P","H")</f>
        <v/>
      </c>
      <c r="R290">
        <f>IF(F290="",0,IFNA(VLOOKUP(F290,Trait_Polarity!$A:$C,2,FALSE),0))+IF(G290="",0,IFNA(VLOOKUP(G290,Trait_Polarity!$A:$C,2,FALSE),0))</f>
        <v/>
      </c>
      <c r="S290">
        <f>IF(F290="",0,IFNA(VLOOKUP(F290,Trait_Polarity!$A:$C,3,FALSE),0))+IF(G290="",0,IFNA(VLOOKUP(G290,Trait_Polarity!$A:$C,3,FALSE),0))</f>
        <v/>
      </c>
      <c r="T290">
        <f>IF(Q290="P",0,IFNA(VLOOKUP(IF(C290="","(none)",C290),Secondary_Versatility!$A:$B,2,FALSE),0))</f>
        <v/>
      </c>
      <c r="U290">
        <f>IF(H290="",0,LEN(H290)-LEN(SUBSTITUTE(H290,"|",""))+1)</f>
        <v/>
      </c>
      <c r="V290">
        <f>IF(Q290="P",(N290+O290+P290)/3,0.3*I290+0.3*J290+0.2*K290+0.1*L290+0.1*M290)</f>
        <v/>
      </c>
      <c r="W290">
        <f>IF(Q290="P",IF(F290="",0,IFNA(VLOOKUP(F290,Pitcher_Trait_Coef!$A:$B,2,FALSE),0))+IF(G290="",0,IFNA(VLOOKUP(G290,Pitcher_Trait_Coef!$A:$B,2,FALSE),0)),IF(F290="",0,IFNA(VLOOKUP(F290,Hitter_Trait_Coef!$A:$B,2,FALSE),0))+IF(G290="",0,IFNA(VLOOKUP(G290,Hitter_Trait_Coef!$A:$B,2,FALSE),0)))</f>
        <v/>
      </c>
      <c r="X290">
        <f>IF(Q290="P",IFNA(VLOOKUP(B290,Pitcher_Primary_Coef!$A:$B,2,FALSE),0),IFNA(VLOOKUP(B290,Hitter_Primary_Coef!$A:$B,2,FALSE),0))</f>
        <v/>
      </c>
      <c r="Y290">
        <f>IF(Q290="P",0,IFNA(VLOOKUP(IF(C290="","(none)",C290),Hitter_Secondary_Coef!$A:$B,2,FALSE),0))</f>
        <v/>
      </c>
      <c r="Z290">
        <f>IF(Q290="P",IF(ISNUMBER(SEARCH("2F",H290)),IFNA(VLOOKUP("2F",Pitch_Coef!$A:$B,2,FALSE),0),0)+IF(ISNUMBER(SEARCH("4F",H290)),IFNA(VLOOKUP("4F",Pitch_Coef!$A:$B,2,FALSE),0),0)+IF(ISNUMBER(SEARCH("CB",H290)),IFNA(VLOOKUP("CB",Pitch_Coef!$A:$B,2,FALSE),0),0)+IF(ISNUMBER(SEARCH("CF",H290)),IFNA(VLOOKUP("CF",Pitch_Coef!$A:$B,2,FALSE),0),0)+IF(ISNUMBER(SEARCH("CH",H290)),IFNA(VLOOKUP("CH",Pitch_Coef!$A:$B,2,FALSE),0),0)+IF(ISNUMBER(SEARCH("FK",H290)),IFNA(VLOOKUP("FK",Pitch_Coef!$A:$B,2,FALSE),0),0)+IF(ISNUMBER(SEARCH("SB",H290)),IFNA(VLOOKUP("SB",Pitch_Coef!$A:$B,2,FALSE),0),0)+IF(ISNUMBER(SEARCH("SL",H290)),IFNA(VLOOKUP("SL",Pitch_Coef!$A:$B,2,FALSE),0),0),0)</f>
        <v/>
      </c>
      <c r="AA290">
        <f>IF(Q290="P",16.5944849573+0.2529999141*N290+0.2665900378*O290+0.2632687105*P290+0.0427586837*I290+0.0534777057*J290+0.009015832*K290+0.0204898106*(O290*P290/100)+1.0091022427*U290+1.0968542297*IF(D290="L",1,0)+0.3771555045*IF(D290="S",1,0)-0.2226159177*IF(E290="L",1,0)+1.21385024*R290-1.1652812274*S290+W290+X290+Z290,10.5965166711+0.2825983581*I290+0.2806503532*J290+0.2027213083*K290+0.1147824982*L290+0.0915305332*M290-0.0088454122*(I290*J290/100)-0.0336045706*(K290*L290/100)+2.8497389733*IF(D290="L",1,0)+4.5116226727*IF(D290="S",1,0)-0.6571546448*IF(E290="L",1,0)+0.0850728147*T290+0.0129488446*(T290*T290)+0.1909373936*IF(OR(F290="Utility",G290="Utility"),T290,0)+0.9656824071*R290-1.7517683256*S290+W290+X290+Y290)</f>
        <v/>
      </c>
      <c r="AB290">
        <f>LOOKUP(AA290,Grade_Scale!$A$2:$A$18,Grade_Scale!$B$2:$B$18)</f>
        <v/>
      </c>
      <c r="AC290">
        <f>LOOKUP(AA290,Grade_Scale!$A$2:$A$18,Grade_Scale!$C$2:$C$18)</f>
        <v/>
      </c>
      <c r="AE290">
        <f>IF(AD290="","",AB290-VLOOKUP(AD290,Grade_Scale!$C$2:$E$18,3,FALSE))</f>
        <v/>
      </c>
    </row>
    <row r="291">
      <c r="Q291">
        <f>IF(OR(B291="SP",B291="RP",B291="CP",B291="SP/RP"),"P","H")</f>
        <v/>
      </c>
      <c r="R291">
        <f>IF(F291="",0,IFNA(VLOOKUP(F291,Trait_Polarity!$A:$C,2,FALSE),0))+IF(G291="",0,IFNA(VLOOKUP(G291,Trait_Polarity!$A:$C,2,FALSE),0))</f>
        <v/>
      </c>
      <c r="S291">
        <f>IF(F291="",0,IFNA(VLOOKUP(F291,Trait_Polarity!$A:$C,3,FALSE),0))+IF(G291="",0,IFNA(VLOOKUP(G291,Trait_Polarity!$A:$C,3,FALSE),0))</f>
        <v/>
      </c>
      <c r="T291">
        <f>IF(Q291="P",0,IFNA(VLOOKUP(IF(C291="","(none)",C291),Secondary_Versatility!$A:$B,2,FALSE),0))</f>
        <v/>
      </c>
      <c r="U291">
        <f>IF(H291="",0,LEN(H291)-LEN(SUBSTITUTE(H291,"|",""))+1)</f>
        <v/>
      </c>
      <c r="V291">
        <f>IF(Q291="P",(N291+O291+P291)/3,0.3*I291+0.3*J291+0.2*K291+0.1*L291+0.1*M291)</f>
        <v/>
      </c>
      <c r="W291">
        <f>IF(Q291="P",IF(F291="",0,IFNA(VLOOKUP(F291,Pitcher_Trait_Coef!$A:$B,2,FALSE),0))+IF(G291="",0,IFNA(VLOOKUP(G291,Pitcher_Trait_Coef!$A:$B,2,FALSE),0)),IF(F291="",0,IFNA(VLOOKUP(F291,Hitter_Trait_Coef!$A:$B,2,FALSE),0))+IF(G291="",0,IFNA(VLOOKUP(G291,Hitter_Trait_Coef!$A:$B,2,FALSE),0)))</f>
        <v/>
      </c>
      <c r="X291">
        <f>IF(Q291="P",IFNA(VLOOKUP(B291,Pitcher_Primary_Coef!$A:$B,2,FALSE),0),IFNA(VLOOKUP(B291,Hitter_Primary_Coef!$A:$B,2,FALSE),0))</f>
        <v/>
      </c>
      <c r="Y291">
        <f>IF(Q291="P",0,IFNA(VLOOKUP(IF(C291="","(none)",C291),Hitter_Secondary_Coef!$A:$B,2,FALSE),0))</f>
        <v/>
      </c>
      <c r="Z291">
        <f>IF(Q291="P",IF(ISNUMBER(SEARCH("2F",H291)),IFNA(VLOOKUP("2F",Pitch_Coef!$A:$B,2,FALSE),0),0)+IF(ISNUMBER(SEARCH("4F",H291)),IFNA(VLOOKUP("4F",Pitch_Coef!$A:$B,2,FALSE),0),0)+IF(ISNUMBER(SEARCH("CB",H291)),IFNA(VLOOKUP("CB",Pitch_Coef!$A:$B,2,FALSE),0),0)+IF(ISNUMBER(SEARCH("CF",H291)),IFNA(VLOOKUP("CF",Pitch_Coef!$A:$B,2,FALSE),0),0)+IF(ISNUMBER(SEARCH("CH",H291)),IFNA(VLOOKUP("CH",Pitch_Coef!$A:$B,2,FALSE),0),0)+IF(ISNUMBER(SEARCH("FK",H291)),IFNA(VLOOKUP("FK",Pitch_Coef!$A:$B,2,FALSE),0),0)+IF(ISNUMBER(SEARCH("SB",H291)),IFNA(VLOOKUP("SB",Pitch_Coef!$A:$B,2,FALSE),0),0)+IF(ISNUMBER(SEARCH("SL",H291)),IFNA(VLOOKUP("SL",Pitch_Coef!$A:$B,2,FALSE),0),0),0)</f>
        <v/>
      </c>
      <c r="AA291">
        <f>IF(Q291="P",16.5944849573+0.2529999141*N291+0.2665900378*O291+0.2632687105*P291+0.0427586837*I291+0.0534777057*J291+0.009015832*K291+0.0204898106*(O291*P291/100)+1.0091022427*U291+1.0968542297*IF(D291="L",1,0)+0.3771555045*IF(D291="S",1,0)-0.2226159177*IF(E291="L",1,0)+1.21385024*R291-1.1652812274*S291+W291+X291+Z291,10.5965166711+0.2825983581*I291+0.2806503532*J291+0.2027213083*K291+0.1147824982*L291+0.0915305332*M291-0.0088454122*(I291*J291/100)-0.0336045706*(K291*L291/100)+2.8497389733*IF(D291="L",1,0)+4.5116226727*IF(D291="S",1,0)-0.6571546448*IF(E291="L",1,0)+0.0850728147*T291+0.0129488446*(T291*T291)+0.1909373936*IF(OR(F291="Utility",G291="Utility"),T291,0)+0.9656824071*R291-1.7517683256*S291+W291+X291+Y291)</f>
        <v/>
      </c>
      <c r="AB291">
        <f>LOOKUP(AA291,Grade_Scale!$A$2:$A$18,Grade_Scale!$B$2:$B$18)</f>
        <v/>
      </c>
      <c r="AC291">
        <f>LOOKUP(AA291,Grade_Scale!$A$2:$A$18,Grade_Scale!$C$2:$C$18)</f>
        <v/>
      </c>
      <c r="AE291">
        <f>IF(AD291="","",AB291-VLOOKUP(AD291,Grade_Scale!$C$2:$E$18,3,FALSE))</f>
        <v/>
      </c>
    </row>
    <row r="292">
      <c r="Q292">
        <f>IF(OR(B292="SP",B292="RP",B292="CP",B292="SP/RP"),"P","H")</f>
        <v/>
      </c>
      <c r="R292">
        <f>IF(F292="",0,IFNA(VLOOKUP(F292,Trait_Polarity!$A:$C,2,FALSE),0))+IF(G292="",0,IFNA(VLOOKUP(G292,Trait_Polarity!$A:$C,2,FALSE),0))</f>
        <v/>
      </c>
      <c r="S292">
        <f>IF(F292="",0,IFNA(VLOOKUP(F292,Trait_Polarity!$A:$C,3,FALSE),0))+IF(G292="",0,IFNA(VLOOKUP(G292,Trait_Polarity!$A:$C,3,FALSE),0))</f>
        <v/>
      </c>
      <c r="T292">
        <f>IF(Q292="P",0,IFNA(VLOOKUP(IF(C292="","(none)",C292),Secondary_Versatility!$A:$B,2,FALSE),0))</f>
        <v/>
      </c>
      <c r="U292">
        <f>IF(H292="",0,LEN(H292)-LEN(SUBSTITUTE(H292,"|",""))+1)</f>
        <v/>
      </c>
      <c r="V292">
        <f>IF(Q292="P",(N292+O292+P292)/3,0.3*I292+0.3*J292+0.2*K292+0.1*L292+0.1*M292)</f>
        <v/>
      </c>
      <c r="W292">
        <f>IF(Q292="P",IF(F292="",0,IFNA(VLOOKUP(F292,Pitcher_Trait_Coef!$A:$B,2,FALSE),0))+IF(G292="",0,IFNA(VLOOKUP(G292,Pitcher_Trait_Coef!$A:$B,2,FALSE),0)),IF(F292="",0,IFNA(VLOOKUP(F292,Hitter_Trait_Coef!$A:$B,2,FALSE),0))+IF(G292="",0,IFNA(VLOOKUP(G292,Hitter_Trait_Coef!$A:$B,2,FALSE),0)))</f>
        <v/>
      </c>
      <c r="X292">
        <f>IF(Q292="P",IFNA(VLOOKUP(B292,Pitcher_Primary_Coef!$A:$B,2,FALSE),0),IFNA(VLOOKUP(B292,Hitter_Primary_Coef!$A:$B,2,FALSE),0))</f>
        <v/>
      </c>
      <c r="Y292">
        <f>IF(Q292="P",0,IFNA(VLOOKUP(IF(C292="","(none)",C292),Hitter_Secondary_Coef!$A:$B,2,FALSE),0))</f>
        <v/>
      </c>
      <c r="Z292">
        <f>IF(Q292="P",IF(ISNUMBER(SEARCH("2F",H292)),IFNA(VLOOKUP("2F",Pitch_Coef!$A:$B,2,FALSE),0),0)+IF(ISNUMBER(SEARCH("4F",H292)),IFNA(VLOOKUP("4F",Pitch_Coef!$A:$B,2,FALSE),0),0)+IF(ISNUMBER(SEARCH("CB",H292)),IFNA(VLOOKUP("CB",Pitch_Coef!$A:$B,2,FALSE),0),0)+IF(ISNUMBER(SEARCH("CF",H292)),IFNA(VLOOKUP("CF",Pitch_Coef!$A:$B,2,FALSE),0),0)+IF(ISNUMBER(SEARCH("CH",H292)),IFNA(VLOOKUP("CH",Pitch_Coef!$A:$B,2,FALSE),0),0)+IF(ISNUMBER(SEARCH("FK",H292)),IFNA(VLOOKUP("FK",Pitch_Coef!$A:$B,2,FALSE),0),0)+IF(ISNUMBER(SEARCH("SB",H292)),IFNA(VLOOKUP("SB",Pitch_Coef!$A:$B,2,FALSE),0),0)+IF(ISNUMBER(SEARCH("SL",H292)),IFNA(VLOOKUP("SL",Pitch_Coef!$A:$B,2,FALSE),0),0),0)</f>
        <v/>
      </c>
      <c r="AA292">
        <f>IF(Q292="P",16.5944849573+0.2529999141*N292+0.2665900378*O292+0.2632687105*P292+0.0427586837*I292+0.0534777057*J292+0.009015832*K292+0.0204898106*(O292*P292/100)+1.0091022427*U292+1.0968542297*IF(D292="L",1,0)+0.3771555045*IF(D292="S",1,0)-0.2226159177*IF(E292="L",1,0)+1.21385024*R292-1.1652812274*S292+W292+X292+Z292,10.5965166711+0.2825983581*I292+0.2806503532*J292+0.2027213083*K292+0.1147824982*L292+0.0915305332*M292-0.0088454122*(I292*J292/100)-0.0336045706*(K292*L292/100)+2.8497389733*IF(D292="L",1,0)+4.5116226727*IF(D292="S",1,0)-0.6571546448*IF(E292="L",1,0)+0.0850728147*T292+0.0129488446*(T292*T292)+0.1909373936*IF(OR(F292="Utility",G292="Utility"),T292,0)+0.9656824071*R292-1.7517683256*S292+W292+X292+Y292)</f>
        <v/>
      </c>
      <c r="AB292">
        <f>LOOKUP(AA292,Grade_Scale!$A$2:$A$18,Grade_Scale!$B$2:$B$18)</f>
        <v/>
      </c>
      <c r="AC292">
        <f>LOOKUP(AA292,Grade_Scale!$A$2:$A$18,Grade_Scale!$C$2:$C$18)</f>
        <v/>
      </c>
      <c r="AE292">
        <f>IF(AD292="","",AB292-VLOOKUP(AD292,Grade_Scale!$C$2:$E$18,3,FALSE))</f>
        <v/>
      </c>
    </row>
    <row r="293">
      <c r="Q293">
        <f>IF(OR(B293="SP",B293="RP",B293="CP",B293="SP/RP"),"P","H")</f>
        <v/>
      </c>
      <c r="R293">
        <f>IF(F293="",0,IFNA(VLOOKUP(F293,Trait_Polarity!$A:$C,2,FALSE),0))+IF(G293="",0,IFNA(VLOOKUP(G293,Trait_Polarity!$A:$C,2,FALSE),0))</f>
        <v/>
      </c>
      <c r="S293">
        <f>IF(F293="",0,IFNA(VLOOKUP(F293,Trait_Polarity!$A:$C,3,FALSE),0))+IF(G293="",0,IFNA(VLOOKUP(G293,Trait_Polarity!$A:$C,3,FALSE),0))</f>
        <v/>
      </c>
      <c r="T293">
        <f>IF(Q293="P",0,IFNA(VLOOKUP(IF(C293="","(none)",C293),Secondary_Versatility!$A:$B,2,FALSE),0))</f>
        <v/>
      </c>
      <c r="U293">
        <f>IF(H293="",0,LEN(H293)-LEN(SUBSTITUTE(H293,"|",""))+1)</f>
        <v/>
      </c>
      <c r="V293">
        <f>IF(Q293="P",(N293+O293+P293)/3,0.3*I293+0.3*J293+0.2*K293+0.1*L293+0.1*M293)</f>
        <v/>
      </c>
      <c r="W293">
        <f>IF(Q293="P",IF(F293="",0,IFNA(VLOOKUP(F293,Pitcher_Trait_Coef!$A:$B,2,FALSE),0))+IF(G293="",0,IFNA(VLOOKUP(G293,Pitcher_Trait_Coef!$A:$B,2,FALSE),0)),IF(F293="",0,IFNA(VLOOKUP(F293,Hitter_Trait_Coef!$A:$B,2,FALSE),0))+IF(G293="",0,IFNA(VLOOKUP(G293,Hitter_Trait_Coef!$A:$B,2,FALSE),0)))</f>
        <v/>
      </c>
      <c r="X293">
        <f>IF(Q293="P",IFNA(VLOOKUP(B293,Pitcher_Primary_Coef!$A:$B,2,FALSE),0),IFNA(VLOOKUP(B293,Hitter_Primary_Coef!$A:$B,2,FALSE),0))</f>
        <v/>
      </c>
      <c r="Y293">
        <f>IF(Q293="P",0,IFNA(VLOOKUP(IF(C293="","(none)",C293),Hitter_Secondary_Coef!$A:$B,2,FALSE),0))</f>
        <v/>
      </c>
      <c r="Z293">
        <f>IF(Q293="P",IF(ISNUMBER(SEARCH("2F",H293)),IFNA(VLOOKUP("2F",Pitch_Coef!$A:$B,2,FALSE),0),0)+IF(ISNUMBER(SEARCH("4F",H293)),IFNA(VLOOKUP("4F",Pitch_Coef!$A:$B,2,FALSE),0),0)+IF(ISNUMBER(SEARCH("CB",H293)),IFNA(VLOOKUP("CB",Pitch_Coef!$A:$B,2,FALSE),0),0)+IF(ISNUMBER(SEARCH("CF",H293)),IFNA(VLOOKUP("CF",Pitch_Coef!$A:$B,2,FALSE),0),0)+IF(ISNUMBER(SEARCH("CH",H293)),IFNA(VLOOKUP("CH",Pitch_Coef!$A:$B,2,FALSE),0),0)+IF(ISNUMBER(SEARCH("FK",H293)),IFNA(VLOOKUP("FK",Pitch_Coef!$A:$B,2,FALSE),0),0)+IF(ISNUMBER(SEARCH("SB",H293)),IFNA(VLOOKUP("SB",Pitch_Coef!$A:$B,2,FALSE),0),0)+IF(ISNUMBER(SEARCH("SL",H293)),IFNA(VLOOKUP("SL",Pitch_Coef!$A:$B,2,FALSE),0),0),0)</f>
        <v/>
      </c>
      <c r="AA293">
        <f>IF(Q293="P",16.5944849573+0.2529999141*N293+0.2665900378*O293+0.2632687105*P293+0.0427586837*I293+0.0534777057*J293+0.009015832*K293+0.0204898106*(O293*P293/100)+1.0091022427*U293+1.0968542297*IF(D293="L",1,0)+0.3771555045*IF(D293="S",1,0)-0.2226159177*IF(E293="L",1,0)+1.21385024*R293-1.1652812274*S293+W293+X293+Z293,10.5965166711+0.2825983581*I293+0.2806503532*J293+0.2027213083*K293+0.1147824982*L293+0.0915305332*M293-0.0088454122*(I293*J293/100)-0.0336045706*(K293*L293/100)+2.8497389733*IF(D293="L",1,0)+4.5116226727*IF(D293="S",1,0)-0.6571546448*IF(E293="L",1,0)+0.0850728147*T293+0.0129488446*(T293*T293)+0.1909373936*IF(OR(F293="Utility",G293="Utility"),T293,0)+0.9656824071*R293-1.7517683256*S293+W293+X293+Y293)</f>
        <v/>
      </c>
      <c r="AB293">
        <f>LOOKUP(AA293,Grade_Scale!$A$2:$A$18,Grade_Scale!$B$2:$B$18)</f>
        <v/>
      </c>
      <c r="AC293">
        <f>LOOKUP(AA293,Grade_Scale!$A$2:$A$18,Grade_Scale!$C$2:$C$18)</f>
        <v/>
      </c>
      <c r="AE293">
        <f>IF(AD293="","",AB293-VLOOKUP(AD293,Grade_Scale!$C$2:$E$18,3,FALSE))</f>
        <v/>
      </c>
    </row>
    <row r="294">
      <c r="Q294">
        <f>IF(OR(B294="SP",B294="RP",B294="CP",B294="SP/RP"),"P","H")</f>
        <v/>
      </c>
      <c r="R294">
        <f>IF(F294="",0,IFNA(VLOOKUP(F294,Trait_Polarity!$A:$C,2,FALSE),0))+IF(G294="",0,IFNA(VLOOKUP(G294,Trait_Polarity!$A:$C,2,FALSE),0))</f>
        <v/>
      </c>
      <c r="S294">
        <f>IF(F294="",0,IFNA(VLOOKUP(F294,Trait_Polarity!$A:$C,3,FALSE),0))+IF(G294="",0,IFNA(VLOOKUP(G294,Trait_Polarity!$A:$C,3,FALSE),0))</f>
        <v/>
      </c>
      <c r="T294">
        <f>IF(Q294="P",0,IFNA(VLOOKUP(IF(C294="","(none)",C294),Secondary_Versatility!$A:$B,2,FALSE),0))</f>
        <v/>
      </c>
      <c r="U294">
        <f>IF(H294="",0,LEN(H294)-LEN(SUBSTITUTE(H294,"|",""))+1)</f>
        <v/>
      </c>
      <c r="V294">
        <f>IF(Q294="P",(N294+O294+P294)/3,0.3*I294+0.3*J294+0.2*K294+0.1*L294+0.1*M294)</f>
        <v/>
      </c>
      <c r="W294">
        <f>IF(Q294="P",IF(F294="",0,IFNA(VLOOKUP(F294,Pitcher_Trait_Coef!$A:$B,2,FALSE),0))+IF(G294="",0,IFNA(VLOOKUP(G294,Pitcher_Trait_Coef!$A:$B,2,FALSE),0)),IF(F294="",0,IFNA(VLOOKUP(F294,Hitter_Trait_Coef!$A:$B,2,FALSE),0))+IF(G294="",0,IFNA(VLOOKUP(G294,Hitter_Trait_Coef!$A:$B,2,FALSE),0)))</f>
        <v/>
      </c>
      <c r="X294">
        <f>IF(Q294="P",IFNA(VLOOKUP(B294,Pitcher_Primary_Coef!$A:$B,2,FALSE),0),IFNA(VLOOKUP(B294,Hitter_Primary_Coef!$A:$B,2,FALSE),0))</f>
        <v/>
      </c>
      <c r="Y294">
        <f>IF(Q294="P",0,IFNA(VLOOKUP(IF(C294="","(none)",C294),Hitter_Secondary_Coef!$A:$B,2,FALSE),0))</f>
        <v/>
      </c>
      <c r="Z294">
        <f>IF(Q294="P",IF(ISNUMBER(SEARCH("2F",H294)),IFNA(VLOOKUP("2F",Pitch_Coef!$A:$B,2,FALSE),0),0)+IF(ISNUMBER(SEARCH("4F",H294)),IFNA(VLOOKUP("4F",Pitch_Coef!$A:$B,2,FALSE),0),0)+IF(ISNUMBER(SEARCH("CB",H294)),IFNA(VLOOKUP("CB",Pitch_Coef!$A:$B,2,FALSE),0),0)+IF(ISNUMBER(SEARCH("CF",H294)),IFNA(VLOOKUP("CF",Pitch_Coef!$A:$B,2,FALSE),0),0)+IF(ISNUMBER(SEARCH("CH",H294)),IFNA(VLOOKUP("CH",Pitch_Coef!$A:$B,2,FALSE),0),0)+IF(ISNUMBER(SEARCH("FK",H294)),IFNA(VLOOKUP("FK",Pitch_Coef!$A:$B,2,FALSE),0),0)+IF(ISNUMBER(SEARCH("SB",H294)),IFNA(VLOOKUP("SB",Pitch_Coef!$A:$B,2,FALSE),0),0)+IF(ISNUMBER(SEARCH("SL",H294)),IFNA(VLOOKUP("SL",Pitch_Coef!$A:$B,2,FALSE),0),0),0)</f>
        <v/>
      </c>
      <c r="AA294">
        <f>IF(Q294="P",16.5944849573+0.2529999141*N294+0.2665900378*O294+0.2632687105*P294+0.0427586837*I294+0.0534777057*J294+0.009015832*K294+0.0204898106*(O294*P294/100)+1.0091022427*U294+1.0968542297*IF(D294="L",1,0)+0.3771555045*IF(D294="S",1,0)-0.2226159177*IF(E294="L",1,0)+1.21385024*R294-1.1652812274*S294+W294+X294+Z294,10.5965166711+0.2825983581*I294+0.2806503532*J294+0.2027213083*K294+0.1147824982*L294+0.0915305332*M294-0.0088454122*(I294*J294/100)-0.0336045706*(K294*L294/100)+2.8497389733*IF(D294="L",1,0)+4.5116226727*IF(D294="S",1,0)-0.6571546448*IF(E294="L",1,0)+0.0850728147*T294+0.0129488446*(T294*T294)+0.1909373936*IF(OR(F294="Utility",G294="Utility"),T294,0)+0.9656824071*R294-1.7517683256*S294+W294+X294+Y294)</f>
        <v/>
      </c>
      <c r="AB294">
        <f>LOOKUP(AA294,Grade_Scale!$A$2:$A$18,Grade_Scale!$B$2:$B$18)</f>
        <v/>
      </c>
      <c r="AC294">
        <f>LOOKUP(AA294,Grade_Scale!$A$2:$A$18,Grade_Scale!$C$2:$C$18)</f>
        <v/>
      </c>
      <c r="AE294">
        <f>IF(AD294="","",AB294-VLOOKUP(AD294,Grade_Scale!$C$2:$E$18,3,FALSE))</f>
        <v/>
      </c>
    </row>
    <row r="295">
      <c r="Q295">
        <f>IF(OR(B295="SP",B295="RP",B295="CP",B295="SP/RP"),"P","H")</f>
        <v/>
      </c>
      <c r="R295">
        <f>IF(F295="",0,IFNA(VLOOKUP(F295,Trait_Polarity!$A:$C,2,FALSE),0))+IF(G295="",0,IFNA(VLOOKUP(G295,Trait_Polarity!$A:$C,2,FALSE),0))</f>
        <v/>
      </c>
      <c r="S295">
        <f>IF(F295="",0,IFNA(VLOOKUP(F295,Trait_Polarity!$A:$C,3,FALSE),0))+IF(G295="",0,IFNA(VLOOKUP(G295,Trait_Polarity!$A:$C,3,FALSE),0))</f>
        <v/>
      </c>
      <c r="T295">
        <f>IF(Q295="P",0,IFNA(VLOOKUP(IF(C295="","(none)",C295),Secondary_Versatility!$A:$B,2,FALSE),0))</f>
        <v/>
      </c>
      <c r="U295">
        <f>IF(H295="",0,LEN(H295)-LEN(SUBSTITUTE(H295,"|",""))+1)</f>
        <v/>
      </c>
      <c r="V295">
        <f>IF(Q295="P",(N295+O295+P295)/3,0.3*I295+0.3*J295+0.2*K295+0.1*L295+0.1*M295)</f>
        <v/>
      </c>
      <c r="W295">
        <f>IF(Q295="P",IF(F295="",0,IFNA(VLOOKUP(F295,Pitcher_Trait_Coef!$A:$B,2,FALSE),0))+IF(G295="",0,IFNA(VLOOKUP(G295,Pitcher_Trait_Coef!$A:$B,2,FALSE),0)),IF(F295="",0,IFNA(VLOOKUP(F295,Hitter_Trait_Coef!$A:$B,2,FALSE),0))+IF(G295="",0,IFNA(VLOOKUP(G295,Hitter_Trait_Coef!$A:$B,2,FALSE),0)))</f>
        <v/>
      </c>
      <c r="X295">
        <f>IF(Q295="P",IFNA(VLOOKUP(B295,Pitcher_Primary_Coef!$A:$B,2,FALSE),0),IFNA(VLOOKUP(B295,Hitter_Primary_Coef!$A:$B,2,FALSE),0))</f>
        <v/>
      </c>
      <c r="Y295">
        <f>IF(Q295="P",0,IFNA(VLOOKUP(IF(C295="","(none)",C295),Hitter_Secondary_Coef!$A:$B,2,FALSE),0))</f>
        <v/>
      </c>
      <c r="Z295">
        <f>IF(Q295="P",IF(ISNUMBER(SEARCH("2F",H295)),IFNA(VLOOKUP("2F",Pitch_Coef!$A:$B,2,FALSE),0),0)+IF(ISNUMBER(SEARCH("4F",H295)),IFNA(VLOOKUP("4F",Pitch_Coef!$A:$B,2,FALSE),0),0)+IF(ISNUMBER(SEARCH("CB",H295)),IFNA(VLOOKUP("CB",Pitch_Coef!$A:$B,2,FALSE),0),0)+IF(ISNUMBER(SEARCH("CF",H295)),IFNA(VLOOKUP("CF",Pitch_Coef!$A:$B,2,FALSE),0),0)+IF(ISNUMBER(SEARCH("CH",H295)),IFNA(VLOOKUP("CH",Pitch_Coef!$A:$B,2,FALSE),0),0)+IF(ISNUMBER(SEARCH("FK",H295)),IFNA(VLOOKUP("FK",Pitch_Coef!$A:$B,2,FALSE),0),0)+IF(ISNUMBER(SEARCH("SB",H295)),IFNA(VLOOKUP("SB",Pitch_Coef!$A:$B,2,FALSE),0),0)+IF(ISNUMBER(SEARCH("SL",H295)),IFNA(VLOOKUP("SL",Pitch_Coef!$A:$B,2,FALSE),0),0),0)</f>
        <v/>
      </c>
      <c r="AA295">
        <f>IF(Q295="P",16.5944849573+0.2529999141*N295+0.2665900378*O295+0.2632687105*P295+0.0427586837*I295+0.0534777057*J295+0.009015832*K295+0.0204898106*(O295*P295/100)+1.0091022427*U295+1.0968542297*IF(D295="L",1,0)+0.3771555045*IF(D295="S",1,0)-0.2226159177*IF(E295="L",1,0)+1.21385024*R295-1.1652812274*S295+W295+X295+Z295,10.5965166711+0.2825983581*I295+0.2806503532*J295+0.2027213083*K295+0.1147824982*L295+0.0915305332*M295-0.0088454122*(I295*J295/100)-0.0336045706*(K295*L295/100)+2.8497389733*IF(D295="L",1,0)+4.5116226727*IF(D295="S",1,0)-0.6571546448*IF(E295="L",1,0)+0.0850728147*T295+0.0129488446*(T295*T295)+0.1909373936*IF(OR(F295="Utility",G295="Utility"),T295,0)+0.9656824071*R295-1.7517683256*S295+W295+X295+Y295)</f>
        <v/>
      </c>
      <c r="AB295">
        <f>LOOKUP(AA295,Grade_Scale!$A$2:$A$18,Grade_Scale!$B$2:$B$18)</f>
        <v/>
      </c>
      <c r="AC295">
        <f>LOOKUP(AA295,Grade_Scale!$A$2:$A$18,Grade_Scale!$C$2:$C$18)</f>
        <v/>
      </c>
      <c r="AE295">
        <f>IF(AD295="","",AB295-VLOOKUP(AD295,Grade_Scale!$C$2:$E$18,3,FALSE))</f>
        <v/>
      </c>
    </row>
    <row r="296">
      <c r="Q296">
        <f>IF(OR(B296="SP",B296="RP",B296="CP",B296="SP/RP"),"P","H")</f>
        <v/>
      </c>
      <c r="R296">
        <f>IF(F296="",0,IFNA(VLOOKUP(F296,Trait_Polarity!$A:$C,2,FALSE),0))+IF(G296="",0,IFNA(VLOOKUP(G296,Trait_Polarity!$A:$C,2,FALSE),0))</f>
        <v/>
      </c>
      <c r="S296">
        <f>IF(F296="",0,IFNA(VLOOKUP(F296,Trait_Polarity!$A:$C,3,FALSE),0))+IF(G296="",0,IFNA(VLOOKUP(G296,Trait_Polarity!$A:$C,3,FALSE),0))</f>
        <v/>
      </c>
      <c r="T296">
        <f>IF(Q296="P",0,IFNA(VLOOKUP(IF(C296="","(none)",C296),Secondary_Versatility!$A:$B,2,FALSE),0))</f>
        <v/>
      </c>
      <c r="U296">
        <f>IF(H296="",0,LEN(H296)-LEN(SUBSTITUTE(H296,"|",""))+1)</f>
        <v/>
      </c>
      <c r="V296">
        <f>IF(Q296="P",(N296+O296+P296)/3,0.3*I296+0.3*J296+0.2*K296+0.1*L296+0.1*M296)</f>
        <v/>
      </c>
      <c r="W296">
        <f>IF(Q296="P",IF(F296="",0,IFNA(VLOOKUP(F296,Pitcher_Trait_Coef!$A:$B,2,FALSE),0))+IF(G296="",0,IFNA(VLOOKUP(G296,Pitcher_Trait_Coef!$A:$B,2,FALSE),0)),IF(F296="",0,IFNA(VLOOKUP(F296,Hitter_Trait_Coef!$A:$B,2,FALSE),0))+IF(G296="",0,IFNA(VLOOKUP(G296,Hitter_Trait_Coef!$A:$B,2,FALSE),0)))</f>
        <v/>
      </c>
      <c r="X296">
        <f>IF(Q296="P",IFNA(VLOOKUP(B296,Pitcher_Primary_Coef!$A:$B,2,FALSE),0),IFNA(VLOOKUP(B296,Hitter_Primary_Coef!$A:$B,2,FALSE),0))</f>
        <v/>
      </c>
      <c r="Y296">
        <f>IF(Q296="P",0,IFNA(VLOOKUP(IF(C296="","(none)",C296),Hitter_Secondary_Coef!$A:$B,2,FALSE),0))</f>
        <v/>
      </c>
      <c r="Z296">
        <f>IF(Q296="P",IF(ISNUMBER(SEARCH("2F",H296)),IFNA(VLOOKUP("2F",Pitch_Coef!$A:$B,2,FALSE),0),0)+IF(ISNUMBER(SEARCH("4F",H296)),IFNA(VLOOKUP("4F",Pitch_Coef!$A:$B,2,FALSE),0),0)+IF(ISNUMBER(SEARCH("CB",H296)),IFNA(VLOOKUP("CB",Pitch_Coef!$A:$B,2,FALSE),0),0)+IF(ISNUMBER(SEARCH("CF",H296)),IFNA(VLOOKUP("CF",Pitch_Coef!$A:$B,2,FALSE),0),0)+IF(ISNUMBER(SEARCH("CH",H296)),IFNA(VLOOKUP("CH",Pitch_Coef!$A:$B,2,FALSE),0),0)+IF(ISNUMBER(SEARCH("FK",H296)),IFNA(VLOOKUP("FK",Pitch_Coef!$A:$B,2,FALSE),0),0)+IF(ISNUMBER(SEARCH("SB",H296)),IFNA(VLOOKUP("SB",Pitch_Coef!$A:$B,2,FALSE),0),0)+IF(ISNUMBER(SEARCH("SL",H296)),IFNA(VLOOKUP("SL",Pitch_Coef!$A:$B,2,FALSE),0),0),0)</f>
        <v/>
      </c>
      <c r="AA296">
        <f>IF(Q296="P",16.5944849573+0.2529999141*N296+0.2665900378*O296+0.2632687105*P296+0.0427586837*I296+0.0534777057*J296+0.009015832*K296+0.0204898106*(O296*P296/100)+1.0091022427*U296+1.0968542297*IF(D296="L",1,0)+0.3771555045*IF(D296="S",1,0)-0.2226159177*IF(E296="L",1,0)+1.21385024*R296-1.1652812274*S296+W296+X296+Z296,10.5965166711+0.2825983581*I296+0.2806503532*J296+0.2027213083*K296+0.1147824982*L296+0.0915305332*M296-0.0088454122*(I296*J296/100)-0.0336045706*(K296*L296/100)+2.8497389733*IF(D296="L",1,0)+4.5116226727*IF(D296="S",1,0)-0.6571546448*IF(E296="L",1,0)+0.0850728147*T296+0.0129488446*(T296*T296)+0.1909373936*IF(OR(F296="Utility",G296="Utility"),T296,0)+0.9656824071*R296-1.7517683256*S296+W296+X296+Y296)</f>
        <v/>
      </c>
      <c r="AB296">
        <f>LOOKUP(AA296,Grade_Scale!$A$2:$A$18,Grade_Scale!$B$2:$B$18)</f>
        <v/>
      </c>
      <c r="AC296">
        <f>LOOKUP(AA296,Grade_Scale!$A$2:$A$18,Grade_Scale!$C$2:$C$18)</f>
        <v/>
      </c>
      <c r="AE296">
        <f>IF(AD296="","",AB296-VLOOKUP(AD296,Grade_Scale!$C$2:$E$18,3,FALSE))</f>
        <v/>
      </c>
    </row>
    <row r="297">
      <c r="Q297">
        <f>IF(OR(B297="SP",B297="RP",B297="CP",B297="SP/RP"),"P","H")</f>
        <v/>
      </c>
      <c r="R297">
        <f>IF(F297="",0,IFNA(VLOOKUP(F297,Trait_Polarity!$A:$C,2,FALSE),0))+IF(G297="",0,IFNA(VLOOKUP(G297,Trait_Polarity!$A:$C,2,FALSE),0))</f>
        <v/>
      </c>
      <c r="S297">
        <f>IF(F297="",0,IFNA(VLOOKUP(F297,Trait_Polarity!$A:$C,3,FALSE),0))+IF(G297="",0,IFNA(VLOOKUP(G297,Trait_Polarity!$A:$C,3,FALSE),0))</f>
        <v/>
      </c>
      <c r="T297">
        <f>IF(Q297="P",0,IFNA(VLOOKUP(IF(C297="","(none)",C297),Secondary_Versatility!$A:$B,2,FALSE),0))</f>
        <v/>
      </c>
      <c r="U297">
        <f>IF(H297="",0,LEN(H297)-LEN(SUBSTITUTE(H297,"|",""))+1)</f>
        <v/>
      </c>
      <c r="V297">
        <f>IF(Q297="P",(N297+O297+P297)/3,0.3*I297+0.3*J297+0.2*K297+0.1*L297+0.1*M297)</f>
        <v/>
      </c>
      <c r="W297">
        <f>IF(Q297="P",IF(F297="",0,IFNA(VLOOKUP(F297,Pitcher_Trait_Coef!$A:$B,2,FALSE),0))+IF(G297="",0,IFNA(VLOOKUP(G297,Pitcher_Trait_Coef!$A:$B,2,FALSE),0)),IF(F297="",0,IFNA(VLOOKUP(F297,Hitter_Trait_Coef!$A:$B,2,FALSE),0))+IF(G297="",0,IFNA(VLOOKUP(G297,Hitter_Trait_Coef!$A:$B,2,FALSE),0)))</f>
        <v/>
      </c>
      <c r="X297">
        <f>IF(Q297="P",IFNA(VLOOKUP(B297,Pitcher_Primary_Coef!$A:$B,2,FALSE),0),IFNA(VLOOKUP(B297,Hitter_Primary_Coef!$A:$B,2,FALSE),0))</f>
        <v/>
      </c>
      <c r="Y297">
        <f>IF(Q297="P",0,IFNA(VLOOKUP(IF(C297="","(none)",C297),Hitter_Secondary_Coef!$A:$B,2,FALSE),0))</f>
        <v/>
      </c>
      <c r="Z297">
        <f>IF(Q297="P",IF(ISNUMBER(SEARCH("2F",H297)),IFNA(VLOOKUP("2F",Pitch_Coef!$A:$B,2,FALSE),0),0)+IF(ISNUMBER(SEARCH("4F",H297)),IFNA(VLOOKUP("4F",Pitch_Coef!$A:$B,2,FALSE),0),0)+IF(ISNUMBER(SEARCH("CB",H297)),IFNA(VLOOKUP("CB",Pitch_Coef!$A:$B,2,FALSE),0),0)+IF(ISNUMBER(SEARCH("CF",H297)),IFNA(VLOOKUP("CF",Pitch_Coef!$A:$B,2,FALSE),0),0)+IF(ISNUMBER(SEARCH("CH",H297)),IFNA(VLOOKUP("CH",Pitch_Coef!$A:$B,2,FALSE),0),0)+IF(ISNUMBER(SEARCH("FK",H297)),IFNA(VLOOKUP("FK",Pitch_Coef!$A:$B,2,FALSE),0),0)+IF(ISNUMBER(SEARCH("SB",H297)),IFNA(VLOOKUP("SB",Pitch_Coef!$A:$B,2,FALSE),0),0)+IF(ISNUMBER(SEARCH("SL",H297)),IFNA(VLOOKUP("SL",Pitch_Coef!$A:$B,2,FALSE),0),0),0)</f>
        <v/>
      </c>
      <c r="AA297">
        <f>IF(Q297="P",16.5944849573+0.2529999141*N297+0.2665900378*O297+0.2632687105*P297+0.0427586837*I297+0.0534777057*J297+0.009015832*K297+0.0204898106*(O297*P297/100)+1.0091022427*U297+1.0968542297*IF(D297="L",1,0)+0.3771555045*IF(D297="S",1,0)-0.2226159177*IF(E297="L",1,0)+1.21385024*R297-1.1652812274*S297+W297+X297+Z297,10.5965166711+0.2825983581*I297+0.2806503532*J297+0.2027213083*K297+0.1147824982*L297+0.0915305332*M297-0.0088454122*(I297*J297/100)-0.0336045706*(K297*L297/100)+2.8497389733*IF(D297="L",1,0)+4.5116226727*IF(D297="S",1,0)-0.6571546448*IF(E297="L",1,0)+0.0850728147*T297+0.0129488446*(T297*T297)+0.1909373936*IF(OR(F297="Utility",G297="Utility"),T297,0)+0.9656824071*R297-1.7517683256*S297+W297+X297+Y297)</f>
        <v/>
      </c>
      <c r="AB297">
        <f>LOOKUP(AA297,Grade_Scale!$A$2:$A$18,Grade_Scale!$B$2:$B$18)</f>
        <v/>
      </c>
      <c r="AC297">
        <f>LOOKUP(AA297,Grade_Scale!$A$2:$A$18,Grade_Scale!$C$2:$C$18)</f>
        <v/>
      </c>
      <c r="AE297">
        <f>IF(AD297="","",AB297-VLOOKUP(AD297,Grade_Scale!$C$2:$E$18,3,FALSE))</f>
        <v/>
      </c>
    </row>
    <row r="298">
      <c r="Q298">
        <f>IF(OR(B298="SP",B298="RP",B298="CP",B298="SP/RP"),"P","H")</f>
        <v/>
      </c>
      <c r="R298">
        <f>IF(F298="",0,IFNA(VLOOKUP(F298,Trait_Polarity!$A:$C,2,FALSE),0))+IF(G298="",0,IFNA(VLOOKUP(G298,Trait_Polarity!$A:$C,2,FALSE),0))</f>
        <v/>
      </c>
      <c r="S298">
        <f>IF(F298="",0,IFNA(VLOOKUP(F298,Trait_Polarity!$A:$C,3,FALSE),0))+IF(G298="",0,IFNA(VLOOKUP(G298,Trait_Polarity!$A:$C,3,FALSE),0))</f>
        <v/>
      </c>
      <c r="T298">
        <f>IF(Q298="P",0,IFNA(VLOOKUP(IF(C298="","(none)",C298),Secondary_Versatility!$A:$B,2,FALSE),0))</f>
        <v/>
      </c>
      <c r="U298">
        <f>IF(H298="",0,LEN(H298)-LEN(SUBSTITUTE(H298,"|",""))+1)</f>
        <v/>
      </c>
      <c r="V298">
        <f>IF(Q298="P",(N298+O298+P298)/3,0.3*I298+0.3*J298+0.2*K298+0.1*L298+0.1*M298)</f>
        <v/>
      </c>
      <c r="W298">
        <f>IF(Q298="P",IF(F298="",0,IFNA(VLOOKUP(F298,Pitcher_Trait_Coef!$A:$B,2,FALSE),0))+IF(G298="",0,IFNA(VLOOKUP(G298,Pitcher_Trait_Coef!$A:$B,2,FALSE),0)),IF(F298="",0,IFNA(VLOOKUP(F298,Hitter_Trait_Coef!$A:$B,2,FALSE),0))+IF(G298="",0,IFNA(VLOOKUP(G298,Hitter_Trait_Coef!$A:$B,2,FALSE),0)))</f>
        <v/>
      </c>
      <c r="X298">
        <f>IF(Q298="P",IFNA(VLOOKUP(B298,Pitcher_Primary_Coef!$A:$B,2,FALSE),0),IFNA(VLOOKUP(B298,Hitter_Primary_Coef!$A:$B,2,FALSE),0))</f>
        <v/>
      </c>
      <c r="Y298">
        <f>IF(Q298="P",0,IFNA(VLOOKUP(IF(C298="","(none)",C298),Hitter_Secondary_Coef!$A:$B,2,FALSE),0))</f>
        <v/>
      </c>
      <c r="Z298">
        <f>IF(Q298="P",IF(ISNUMBER(SEARCH("2F",H298)),IFNA(VLOOKUP("2F",Pitch_Coef!$A:$B,2,FALSE),0),0)+IF(ISNUMBER(SEARCH("4F",H298)),IFNA(VLOOKUP("4F",Pitch_Coef!$A:$B,2,FALSE),0),0)+IF(ISNUMBER(SEARCH("CB",H298)),IFNA(VLOOKUP("CB",Pitch_Coef!$A:$B,2,FALSE),0),0)+IF(ISNUMBER(SEARCH("CF",H298)),IFNA(VLOOKUP("CF",Pitch_Coef!$A:$B,2,FALSE),0),0)+IF(ISNUMBER(SEARCH("CH",H298)),IFNA(VLOOKUP("CH",Pitch_Coef!$A:$B,2,FALSE),0),0)+IF(ISNUMBER(SEARCH("FK",H298)),IFNA(VLOOKUP("FK",Pitch_Coef!$A:$B,2,FALSE),0),0)+IF(ISNUMBER(SEARCH("SB",H298)),IFNA(VLOOKUP("SB",Pitch_Coef!$A:$B,2,FALSE),0),0)+IF(ISNUMBER(SEARCH("SL",H298)),IFNA(VLOOKUP("SL",Pitch_Coef!$A:$B,2,FALSE),0),0),0)</f>
        <v/>
      </c>
      <c r="AA298">
        <f>IF(Q298="P",16.5944849573+0.2529999141*N298+0.2665900378*O298+0.2632687105*P298+0.0427586837*I298+0.0534777057*J298+0.009015832*K298+0.0204898106*(O298*P298/100)+1.0091022427*U298+1.0968542297*IF(D298="L",1,0)+0.3771555045*IF(D298="S",1,0)-0.2226159177*IF(E298="L",1,0)+1.21385024*R298-1.1652812274*S298+W298+X298+Z298,10.5965166711+0.2825983581*I298+0.2806503532*J298+0.2027213083*K298+0.1147824982*L298+0.0915305332*M298-0.0088454122*(I298*J298/100)-0.0336045706*(K298*L298/100)+2.8497389733*IF(D298="L",1,0)+4.5116226727*IF(D298="S",1,0)-0.6571546448*IF(E298="L",1,0)+0.0850728147*T298+0.0129488446*(T298*T298)+0.1909373936*IF(OR(F298="Utility",G298="Utility"),T298,0)+0.9656824071*R298-1.7517683256*S298+W298+X298+Y298)</f>
        <v/>
      </c>
      <c r="AB298">
        <f>LOOKUP(AA298,Grade_Scale!$A$2:$A$18,Grade_Scale!$B$2:$B$18)</f>
        <v/>
      </c>
      <c r="AC298">
        <f>LOOKUP(AA298,Grade_Scale!$A$2:$A$18,Grade_Scale!$C$2:$C$18)</f>
        <v/>
      </c>
      <c r="AE298">
        <f>IF(AD298="","",AB298-VLOOKUP(AD298,Grade_Scale!$C$2:$E$18,3,FALSE))</f>
        <v/>
      </c>
    </row>
    <row r="299">
      <c r="Q299">
        <f>IF(OR(B299="SP",B299="RP",B299="CP",B299="SP/RP"),"P","H")</f>
        <v/>
      </c>
      <c r="R299">
        <f>IF(F299="",0,IFNA(VLOOKUP(F299,Trait_Polarity!$A:$C,2,FALSE),0))+IF(G299="",0,IFNA(VLOOKUP(G299,Trait_Polarity!$A:$C,2,FALSE),0))</f>
        <v/>
      </c>
      <c r="S299">
        <f>IF(F299="",0,IFNA(VLOOKUP(F299,Trait_Polarity!$A:$C,3,FALSE),0))+IF(G299="",0,IFNA(VLOOKUP(G299,Trait_Polarity!$A:$C,3,FALSE),0))</f>
        <v/>
      </c>
      <c r="T299">
        <f>IF(Q299="P",0,IFNA(VLOOKUP(IF(C299="","(none)",C299),Secondary_Versatility!$A:$B,2,FALSE),0))</f>
        <v/>
      </c>
      <c r="U299">
        <f>IF(H299="",0,LEN(H299)-LEN(SUBSTITUTE(H299,"|",""))+1)</f>
        <v/>
      </c>
      <c r="V299">
        <f>IF(Q299="P",(N299+O299+P299)/3,0.3*I299+0.3*J299+0.2*K299+0.1*L299+0.1*M299)</f>
        <v/>
      </c>
      <c r="W299">
        <f>IF(Q299="P",IF(F299="",0,IFNA(VLOOKUP(F299,Pitcher_Trait_Coef!$A:$B,2,FALSE),0))+IF(G299="",0,IFNA(VLOOKUP(G299,Pitcher_Trait_Coef!$A:$B,2,FALSE),0)),IF(F299="",0,IFNA(VLOOKUP(F299,Hitter_Trait_Coef!$A:$B,2,FALSE),0))+IF(G299="",0,IFNA(VLOOKUP(G299,Hitter_Trait_Coef!$A:$B,2,FALSE),0)))</f>
        <v/>
      </c>
      <c r="X299">
        <f>IF(Q299="P",IFNA(VLOOKUP(B299,Pitcher_Primary_Coef!$A:$B,2,FALSE),0),IFNA(VLOOKUP(B299,Hitter_Primary_Coef!$A:$B,2,FALSE),0))</f>
        <v/>
      </c>
      <c r="Y299">
        <f>IF(Q299="P",0,IFNA(VLOOKUP(IF(C299="","(none)",C299),Hitter_Secondary_Coef!$A:$B,2,FALSE),0))</f>
        <v/>
      </c>
      <c r="Z299">
        <f>IF(Q299="P",IF(ISNUMBER(SEARCH("2F",H299)),IFNA(VLOOKUP("2F",Pitch_Coef!$A:$B,2,FALSE),0),0)+IF(ISNUMBER(SEARCH("4F",H299)),IFNA(VLOOKUP("4F",Pitch_Coef!$A:$B,2,FALSE),0),0)+IF(ISNUMBER(SEARCH("CB",H299)),IFNA(VLOOKUP("CB",Pitch_Coef!$A:$B,2,FALSE),0),0)+IF(ISNUMBER(SEARCH("CF",H299)),IFNA(VLOOKUP("CF",Pitch_Coef!$A:$B,2,FALSE),0),0)+IF(ISNUMBER(SEARCH("CH",H299)),IFNA(VLOOKUP("CH",Pitch_Coef!$A:$B,2,FALSE),0),0)+IF(ISNUMBER(SEARCH("FK",H299)),IFNA(VLOOKUP("FK",Pitch_Coef!$A:$B,2,FALSE),0),0)+IF(ISNUMBER(SEARCH("SB",H299)),IFNA(VLOOKUP("SB",Pitch_Coef!$A:$B,2,FALSE),0),0)+IF(ISNUMBER(SEARCH("SL",H299)),IFNA(VLOOKUP("SL",Pitch_Coef!$A:$B,2,FALSE),0),0),0)</f>
        <v/>
      </c>
      <c r="AA299">
        <f>IF(Q299="P",16.5944849573+0.2529999141*N299+0.2665900378*O299+0.2632687105*P299+0.0427586837*I299+0.0534777057*J299+0.009015832*K299+0.0204898106*(O299*P299/100)+1.0091022427*U299+1.0968542297*IF(D299="L",1,0)+0.3771555045*IF(D299="S",1,0)-0.2226159177*IF(E299="L",1,0)+1.21385024*R299-1.1652812274*S299+W299+X299+Z299,10.5965166711+0.2825983581*I299+0.2806503532*J299+0.2027213083*K299+0.1147824982*L299+0.0915305332*M299-0.0088454122*(I299*J299/100)-0.0336045706*(K299*L299/100)+2.8497389733*IF(D299="L",1,0)+4.5116226727*IF(D299="S",1,0)-0.6571546448*IF(E299="L",1,0)+0.0850728147*T299+0.0129488446*(T299*T299)+0.1909373936*IF(OR(F299="Utility",G299="Utility"),T299,0)+0.9656824071*R299-1.7517683256*S299+W299+X299+Y299)</f>
        <v/>
      </c>
      <c r="AB299">
        <f>LOOKUP(AA299,Grade_Scale!$A$2:$A$18,Grade_Scale!$B$2:$B$18)</f>
        <v/>
      </c>
      <c r="AC299">
        <f>LOOKUP(AA299,Grade_Scale!$A$2:$A$18,Grade_Scale!$C$2:$C$18)</f>
        <v/>
      </c>
      <c r="AE299">
        <f>IF(AD299="","",AB299-VLOOKUP(AD299,Grade_Scale!$C$2:$E$18,3,FALSE))</f>
        <v/>
      </c>
    </row>
    <row r="300">
      <c r="Q300">
        <f>IF(OR(B300="SP",B300="RP",B300="CP",B300="SP/RP"),"P","H")</f>
        <v/>
      </c>
      <c r="R300">
        <f>IF(F300="",0,IFNA(VLOOKUP(F300,Trait_Polarity!$A:$C,2,FALSE),0))+IF(G300="",0,IFNA(VLOOKUP(G300,Trait_Polarity!$A:$C,2,FALSE),0))</f>
        <v/>
      </c>
      <c r="S300">
        <f>IF(F300="",0,IFNA(VLOOKUP(F300,Trait_Polarity!$A:$C,3,FALSE),0))+IF(G300="",0,IFNA(VLOOKUP(G300,Trait_Polarity!$A:$C,3,FALSE),0))</f>
        <v/>
      </c>
      <c r="T300">
        <f>IF(Q300="P",0,IFNA(VLOOKUP(IF(C300="","(none)",C300),Secondary_Versatility!$A:$B,2,FALSE),0))</f>
        <v/>
      </c>
      <c r="U300">
        <f>IF(H300="",0,LEN(H300)-LEN(SUBSTITUTE(H300,"|",""))+1)</f>
        <v/>
      </c>
      <c r="V300">
        <f>IF(Q300="P",(N300+O300+P300)/3,0.3*I300+0.3*J300+0.2*K300+0.1*L300+0.1*M300)</f>
        <v/>
      </c>
      <c r="W300">
        <f>IF(Q300="P",IF(F300="",0,IFNA(VLOOKUP(F300,Pitcher_Trait_Coef!$A:$B,2,FALSE),0))+IF(G300="",0,IFNA(VLOOKUP(G300,Pitcher_Trait_Coef!$A:$B,2,FALSE),0)),IF(F300="",0,IFNA(VLOOKUP(F300,Hitter_Trait_Coef!$A:$B,2,FALSE),0))+IF(G300="",0,IFNA(VLOOKUP(G300,Hitter_Trait_Coef!$A:$B,2,FALSE),0)))</f>
        <v/>
      </c>
      <c r="X300">
        <f>IF(Q300="P",IFNA(VLOOKUP(B300,Pitcher_Primary_Coef!$A:$B,2,FALSE),0),IFNA(VLOOKUP(B300,Hitter_Primary_Coef!$A:$B,2,FALSE),0))</f>
        <v/>
      </c>
      <c r="Y300">
        <f>IF(Q300="P",0,IFNA(VLOOKUP(IF(C300="","(none)",C300),Hitter_Secondary_Coef!$A:$B,2,FALSE),0))</f>
        <v/>
      </c>
      <c r="Z300">
        <f>IF(Q300="P",IF(ISNUMBER(SEARCH("2F",H300)),IFNA(VLOOKUP("2F",Pitch_Coef!$A:$B,2,FALSE),0),0)+IF(ISNUMBER(SEARCH("4F",H300)),IFNA(VLOOKUP("4F",Pitch_Coef!$A:$B,2,FALSE),0),0)+IF(ISNUMBER(SEARCH("CB",H300)),IFNA(VLOOKUP("CB",Pitch_Coef!$A:$B,2,FALSE),0),0)+IF(ISNUMBER(SEARCH("CF",H300)),IFNA(VLOOKUP("CF",Pitch_Coef!$A:$B,2,FALSE),0),0)+IF(ISNUMBER(SEARCH("CH",H300)),IFNA(VLOOKUP("CH",Pitch_Coef!$A:$B,2,FALSE),0),0)+IF(ISNUMBER(SEARCH("FK",H300)),IFNA(VLOOKUP("FK",Pitch_Coef!$A:$B,2,FALSE),0),0)+IF(ISNUMBER(SEARCH("SB",H300)),IFNA(VLOOKUP("SB",Pitch_Coef!$A:$B,2,FALSE),0),0)+IF(ISNUMBER(SEARCH("SL",H300)),IFNA(VLOOKUP("SL",Pitch_Coef!$A:$B,2,FALSE),0),0),0)</f>
        <v/>
      </c>
      <c r="AA300">
        <f>IF(Q300="P",16.5944849573+0.2529999141*N300+0.2665900378*O300+0.2632687105*P300+0.0427586837*I300+0.0534777057*J300+0.009015832*K300+0.0204898106*(O300*P300/100)+1.0091022427*U300+1.0968542297*IF(D300="L",1,0)+0.3771555045*IF(D300="S",1,0)-0.2226159177*IF(E300="L",1,0)+1.21385024*R300-1.1652812274*S300+W300+X300+Z300,10.5965166711+0.2825983581*I300+0.2806503532*J300+0.2027213083*K300+0.1147824982*L300+0.0915305332*M300-0.0088454122*(I300*J300/100)-0.0336045706*(K300*L300/100)+2.8497389733*IF(D300="L",1,0)+4.5116226727*IF(D300="S",1,0)-0.6571546448*IF(E300="L",1,0)+0.0850728147*T300+0.0129488446*(T300*T300)+0.1909373936*IF(OR(F300="Utility",G300="Utility"),T300,0)+0.9656824071*R300-1.7517683256*S300+W300+X300+Y300)</f>
        <v/>
      </c>
      <c r="AB300">
        <f>LOOKUP(AA300,Grade_Scale!$A$2:$A$18,Grade_Scale!$B$2:$B$18)</f>
        <v/>
      </c>
      <c r="AC300">
        <f>LOOKUP(AA300,Grade_Scale!$A$2:$A$18,Grade_Scale!$C$2:$C$18)</f>
        <v/>
      </c>
      <c r="AE300">
        <f>IF(AD300="","",AB300-VLOOKUP(AD300,Grade_Scale!$C$2:$E$18,3,FALSE))</f>
        <v/>
      </c>
    </row>
    <row r="301">
      <c r="Q301">
        <f>IF(OR(B301="SP",B301="RP",B301="CP",B301="SP/RP"),"P","H")</f>
        <v/>
      </c>
      <c r="R301">
        <f>IF(F301="",0,IFNA(VLOOKUP(F301,Trait_Polarity!$A:$C,2,FALSE),0))+IF(G301="",0,IFNA(VLOOKUP(G301,Trait_Polarity!$A:$C,2,FALSE),0))</f>
        <v/>
      </c>
      <c r="S301">
        <f>IF(F301="",0,IFNA(VLOOKUP(F301,Trait_Polarity!$A:$C,3,FALSE),0))+IF(G301="",0,IFNA(VLOOKUP(G301,Trait_Polarity!$A:$C,3,FALSE),0))</f>
        <v/>
      </c>
      <c r="T301">
        <f>IF(Q301="P",0,IFNA(VLOOKUP(IF(C301="","(none)",C301),Secondary_Versatility!$A:$B,2,FALSE),0))</f>
        <v/>
      </c>
      <c r="U301">
        <f>IF(H301="",0,LEN(H301)-LEN(SUBSTITUTE(H301,"|",""))+1)</f>
        <v/>
      </c>
      <c r="V301">
        <f>IF(Q301="P",(N301+O301+P301)/3,0.3*I301+0.3*J301+0.2*K301+0.1*L301+0.1*M301)</f>
        <v/>
      </c>
      <c r="W301">
        <f>IF(Q301="P",IF(F301="",0,IFNA(VLOOKUP(F301,Pitcher_Trait_Coef!$A:$B,2,FALSE),0))+IF(G301="",0,IFNA(VLOOKUP(G301,Pitcher_Trait_Coef!$A:$B,2,FALSE),0)),IF(F301="",0,IFNA(VLOOKUP(F301,Hitter_Trait_Coef!$A:$B,2,FALSE),0))+IF(G301="",0,IFNA(VLOOKUP(G301,Hitter_Trait_Coef!$A:$B,2,FALSE),0)))</f>
        <v/>
      </c>
      <c r="X301">
        <f>IF(Q301="P",IFNA(VLOOKUP(B301,Pitcher_Primary_Coef!$A:$B,2,FALSE),0),IFNA(VLOOKUP(B301,Hitter_Primary_Coef!$A:$B,2,FALSE),0))</f>
        <v/>
      </c>
      <c r="Y301">
        <f>IF(Q301="P",0,IFNA(VLOOKUP(IF(C301="","(none)",C301),Hitter_Secondary_Coef!$A:$B,2,FALSE),0))</f>
        <v/>
      </c>
      <c r="Z301">
        <f>IF(Q301="P",IF(ISNUMBER(SEARCH("2F",H301)),IFNA(VLOOKUP("2F",Pitch_Coef!$A:$B,2,FALSE),0),0)+IF(ISNUMBER(SEARCH("4F",H301)),IFNA(VLOOKUP("4F",Pitch_Coef!$A:$B,2,FALSE),0),0)+IF(ISNUMBER(SEARCH("CB",H301)),IFNA(VLOOKUP("CB",Pitch_Coef!$A:$B,2,FALSE),0),0)+IF(ISNUMBER(SEARCH("CF",H301)),IFNA(VLOOKUP("CF",Pitch_Coef!$A:$B,2,FALSE),0),0)+IF(ISNUMBER(SEARCH("CH",H301)),IFNA(VLOOKUP("CH",Pitch_Coef!$A:$B,2,FALSE),0),0)+IF(ISNUMBER(SEARCH("FK",H301)),IFNA(VLOOKUP("FK",Pitch_Coef!$A:$B,2,FALSE),0),0)+IF(ISNUMBER(SEARCH("SB",H301)),IFNA(VLOOKUP("SB",Pitch_Coef!$A:$B,2,FALSE),0),0)+IF(ISNUMBER(SEARCH("SL",H301)),IFNA(VLOOKUP("SL",Pitch_Coef!$A:$B,2,FALSE),0),0),0)</f>
        <v/>
      </c>
      <c r="AA301">
        <f>IF(Q301="P",16.5944849573+0.2529999141*N301+0.2665900378*O301+0.2632687105*P301+0.0427586837*I301+0.0534777057*J301+0.009015832*K301+0.0204898106*(O301*P301/100)+1.0091022427*U301+1.0968542297*IF(D301="L",1,0)+0.3771555045*IF(D301="S",1,0)-0.2226159177*IF(E301="L",1,0)+1.21385024*R301-1.1652812274*S301+W301+X301+Z301,10.5965166711+0.2825983581*I301+0.2806503532*J301+0.2027213083*K301+0.1147824982*L301+0.0915305332*M301-0.0088454122*(I301*J301/100)-0.0336045706*(K301*L301/100)+2.8497389733*IF(D301="L",1,0)+4.5116226727*IF(D301="S",1,0)-0.6571546448*IF(E301="L",1,0)+0.0850728147*T301+0.0129488446*(T301*T301)+0.1909373936*IF(OR(F301="Utility",G301="Utility"),T301,0)+0.9656824071*R301-1.7517683256*S301+W301+X301+Y301)</f>
        <v/>
      </c>
      <c r="AB301">
        <f>LOOKUP(AA301,Grade_Scale!$A$2:$A$18,Grade_Scale!$B$2:$B$18)</f>
        <v/>
      </c>
      <c r="AC301">
        <f>LOOKUP(AA301,Grade_Scale!$A$2:$A$18,Grade_Scale!$C$2:$C$18)</f>
        <v/>
      </c>
      <c r="AE301">
        <f>IF(AD301="","",AB301-VLOOKUP(AD301,Grade_Scale!$C$2:$E$18,3,FALSE))</f>
        <v/>
      </c>
    </row>
    <row r="302">
      <c r="Q302">
        <f>IF(OR(B302="SP",B302="RP",B302="CP",B302="SP/RP"),"P","H")</f>
        <v/>
      </c>
      <c r="R302">
        <f>IF(F302="",0,IFNA(VLOOKUP(F302,Trait_Polarity!$A:$C,2,FALSE),0))+IF(G302="",0,IFNA(VLOOKUP(G302,Trait_Polarity!$A:$C,2,FALSE),0))</f>
        <v/>
      </c>
      <c r="S302">
        <f>IF(F302="",0,IFNA(VLOOKUP(F302,Trait_Polarity!$A:$C,3,FALSE),0))+IF(G302="",0,IFNA(VLOOKUP(G302,Trait_Polarity!$A:$C,3,FALSE),0))</f>
        <v/>
      </c>
      <c r="T302">
        <f>IF(Q302="P",0,IFNA(VLOOKUP(IF(C302="","(none)",C302),Secondary_Versatility!$A:$B,2,FALSE),0))</f>
        <v/>
      </c>
      <c r="U302">
        <f>IF(H302="",0,LEN(H302)-LEN(SUBSTITUTE(H302,"|",""))+1)</f>
        <v/>
      </c>
      <c r="V302">
        <f>IF(Q302="P",(N302+O302+P302)/3,0.3*I302+0.3*J302+0.2*K302+0.1*L302+0.1*M302)</f>
        <v/>
      </c>
      <c r="W302">
        <f>IF(Q302="P",IF(F302="",0,IFNA(VLOOKUP(F302,Pitcher_Trait_Coef!$A:$B,2,FALSE),0))+IF(G302="",0,IFNA(VLOOKUP(G302,Pitcher_Trait_Coef!$A:$B,2,FALSE),0)),IF(F302="",0,IFNA(VLOOKUP(F302,Hitter_Trait_Coef!$A:$B,2,FALSE),0))+IF(G302="",0,IFNA(VLOOKUP(G302,Hitter_Trait_Coef!$A:$B,2,FALSE),0)))</f>
        <v/>
      </c>
      <c r="X302">
        <f>IF(Q302="P",IFNA(VLOOKUP(B302,Pitcher_Primary_Coef!$A:$B,2,FALSE),0),IFNA(VLOOKUP(B302,Hitter_Primary_Coef!$A:$B,2,FALSE),0))</f>
        <v/>
      </c>
      <c r="Y302">
        <f>IF(Q302="P",0,IFNA(VLOOKUP(IF(C302="","(none)",C302),Hitter_Secondary_Coef!$A:$B,2,FALSE),0))</f>
        <v/>
      </c>
      <c r="Z302">
        <f>IF(Q302="P",IF(ISNUMBER(SEARCH("2F",H302)),IFNA(VLOOKUP("2F",Pitch_Coef!$A:$B,2,FALSE),0),0)+IF(ISNUMBER(SEARCH("4F",H302)),IFNA(VLOOKUP("4F",Pitch_Coef!$A:$B,2,FALSE),0),0)+IF(ISNUMBER(SEARCH("CB",H302)),IFNA(VLOOKUP("CB",Pitch_Coef!$A:$B,2,FALSE),0),0)+IF(ISNUMBER(SEARCH("CF",H302)),IFNA(VLOOKUP("CF",Pitch_Coef!$A:$B,2,FALSE),0),0)+IF(ISNUMBER(SEARCH("CH",H302)),IFNA(VLOOKUP("CH",Pitch_Coef!$A:$B,2,FALSE),0),0)+IF(ISNUMBER(SEARCH("FK",H302)),IFNA(VLOOKUP("FK",Pitch_Coef!$A:$B,2,FALSE),0),0)+IF(ISNUMBER(SEARCH("SB",H302)),IFNA(VLOOKUP("SB",Pitch_Coef!$A:$B,2,FALSE),0),0)+IF(ISNUMBER(SEARCH("SL",H302)),IFNA(VLOOKUP("SL",Pitch_Coef!$A:$B,2,FALSE),0),0),0)</f>
        <v/>
      </c>
      <c r="AA302">
        <f>IF(Q302="P",16.5944849573+0.2529999141*N302+0.2665900378*O302+0.2632687105*P302+0.0427586837*I302+0.0534777057*J302+0.009015832*K302+0.0204898106*(O302*P302/100)+1.0091022427*U302+1.0968542297*IF(D302="L",1,0)+0.3771555045*IF(D302="S",1,0)-0.2226159177*IF(E302="L",1,0)+1.21385024*R302-1.1652812274*S302+W302+X302+Z302,10.5965166711+0.2825983581*I302+0.2806503532*J302+0.2027213083*K302+0.1147824982*L302+0.0915305332*M302-0.0088454122*(I302*J302/100)-0.0336045706*(K302*L302/100)+2.8497389733*IF(D302="L",1,0)+4.5116226727*IF(D302="S",1,0)-0.6571546448*IF(E302="L",1,0)+0.0850728147*T302+0.0129488446*(T302*T302)+0.1909373936*IF(OR(F302="Utility",G302="Utility"),T302,0)+0.9656824071*R302-1.7517683256*S302+W302+X302+Y302)</f>
        <v/>
      </c>
      <c r="AB302">
        <f>LOOKUP(AA302,Grade_Scale!$A$2:$A$18,Grade_Scale!$B$2:$B$18)</f>
        <v/>
      </c>
      <c r="AC302">
        <f>LOOKUP(AA302,Grade_Scale!$A$2:$A$18,Grade_Scale!$C$2:$C$18)</f>
        <v/>
      </c>
      <c r="AE302">
        <f>IF(AD302="","",AB302-VLOOKUP(AD302,Grade_Scale!$C$2:$E$18,3,FALSE))</f>
        <v/>
      </c>
    </row>
    <row r="303">
      <c r="Q303">
        <f>IF(OR(B303="SP",B303="RP",B303="CP",B303="SP/RP"),"P","H")</f>
        <v/>
      </c>
      <c r="R303">
        <f>IF(F303="",0,IFNA(VLOOKUP(F303,Trait_Polarity!$A:$C,2,FALSE),0))+IF(G303="",0,IFNA(VLOOKUP(G303,Trait_Polarity!$A:$C,2,FALSE),0))</f>
        <v/>
      </c>
      <c r="S303">
        <f>IF(F303="",0,IFNA(VLOOKUP(F303,Trait_Polarity!$A:$C,3,FALSE),0))+IF(G303="",0,IFNA(VLOOKUP(G303,Trait_Polarity!$A:$C,3,FALSE),0))</f>
        <v/>
      </c>
      <c r="T303">
        <f>IF(Q303="P",0,IFNA(VLOOKUP(IF(C303="","(none)",C303),Secondary_Versatility!$A:$B,2,FALSE),0))</f>
        <v/>
      </c>
      <c r="U303">
        <f>IF(H303="",0,LEN(H303)-LEN(SUBSTITUTE(H303,"|",""))+1)</f>
        <v/>
      </c>
      <c r="V303">
        <f>IF(Q303="P",(N303+O303+P303)/3,0.3*I303+0.3*J303+0.2*K303+0.1*L303+0.1*M303)</f>
        <v/>
      </c>
      <c r="W303">
        <f>IF(Q303="P",IF(F303="",0,IFNA(VLOOKUP(F303,Pitcher_Trait_Coef!$A:$B,2,FALSE),0))+IF(G303="",0,IFNA(VLOOKUP(G303,Pitcher_Trait_Coef!$A:$B,2,FALSE),0)),IF(F303="",0,IFNA(VLOOKUP(F303,Hitter_Trait_Coef!$A:$B,2,FALSE),0))+IF(G303="",0,IFNA(VLOOKUP(G303,Hitter_Trait_Coef!$A:$B,2,FALSE),0)))</f>
        <v/>
      </c>
      <c r="X303">
        <f>IF(Q303="P",IFNA(VLOOKUP(B303,Pitcher_Primary_Coef!$A:$B,2,FALSE),0),IFNA(VLOOKUP(B303,Hitter_Primary_Coef!$A:$B,2,FALSE),0))</f>
        <v/>
      </c>
      <c r="Y303">
        <f>IF(Q303="P",0,IFNA(VLOOKUP(IF(C303="","(none)",C303),Hitter_Secondary_Coef!$A:$B,2,FALSE),0))</f>
        <v/>
      </c>
      <c r="Z303">
        <f>IF(Q303="P",IF(ISNUMBER(SEARCH("2F",H303)),IFNA(VLOOKUP("2F",Pitch_Coef!$A:$B,2,FALSE),0),0)+IF(ISNUMBER(SEARCH("4F",H303)),IFNA(VLOOKUP("4F",Pitch_Coef!$A:$B,2,FALSE),0),0)+IF(ISNUMBER(SEARCH("CB",H303)),IFNA(VLOOKUP("CB",Pitch_Coef!$A:$B,2,FALSE),0),0)+IF(ISNUMBER(SEARCH("CF",H303)),IFNA(VLOOKUP("CF",Pitch_Coef!$A:$B,2,FALSE),0),0)+IF(ISNUMBER(SEARCH("CH",H303)),IFNA(VLOOKUP("CH",Pitch_Coef!$A:$B,2,FALSE),0),0)+IF(ISNUMBER(SEARCH("FK",H303)),IFNA(VLOOKUP("FK",Pitch_Coef!$A:$B,2,FALSE),0),0)+IF(ISNUMBER(SEARCH("SB",H303)),IFNA(VLOOKUP("SB",Pitch_Coef!$A:$B,2,FALSE),0),0)+IF(ISNUMBER(SEARCH("SL",H303)),IFNA(VLOOKUP("SL",Pitch_Coef!$A:$B,2,FALSE),0),0),0)</f>
        <v/>
      </c>
      <c r="AA303">
        <f>IF(Q303="P",16.5944849573+0.2529999141*N303+0.2665900378*O303+0.2632687105*P303+0.0427586837*I303+0.0534777057*J303+0.009015832*K303+0.0204898106*(O303*P303/100)+1.0091022427*U303+1.0968542297*IF(D303="L",1,0)+0.3771555045*IF(D303="S",1,0)-0.2226159177*IF(E303="L",1,0)+1.21385024*R303-1.1652812274*S303+W303+X303+Z303,10.5965166711+0.2825983581*I303+0.2806503532*J303+0.2027213083*K303+0.1147824982*L303+0.0915305332*M303-0.0088454122*(I303*J303/100)-0.0336045706*(K303*L303/100)+2.8497389733*IF(D303="L",1,0)+4.5116226727*IF(D303="S",1,0)-0.6571546448*IF(E303="L",1,0)+0.0850728147*T303+0.0129488446*(T303*T303)+0.1909373936*IF(OR(F303="Utility",G303="Utility"),T303,0)+0.9656824071*R303-1.7517683256*S303+W303+X303+Y303)</f>
        <v/>
      </c>
      <c r="AB303">
        <f>LOOKUP(AA303,Grade_Scale!$A$2:$A$18,Grade_Scale!$B$2:$B$18)</f>
        <v/>
      </c>
      <c r="AC303">
        <f>LOOKUP(AA303,Grade_Scale!$A$2:$A$18,Grade_Scale!$C$2:$C$18)</f>
        <v/>
      </c>
      <c r="AE303">
        <f>IF(AD303="","",AB303-VLOOKUP(AD303,Grade_Scale!$C$2:$E$18,3,FALSE))</f>
        <v/>
      </c>
    </row>
    <row r="304">
      <c r="Q304">
        <f>IF(OR(B304="SP",B304="RP",B304="CP",B304="SP/RP"),"P","H")</f>
        <v/>
      </c>
      <c r="R304">
        <f>IF(F304="",0,IFNA(VLOOKUP(F304,Trait_Polarity!$A:$C,2,FALSE),0))+IF(G304="",0,IFNA(VLOOKUP(G304,Trait_Polarity!$A:$C,2,FALSE),0))</f>
        <v/>
      </c>
      <c r="S304">
        <f>IF(F304="",0,IFNA(VLOOKUP(F304,Trait_Polarity!$A:$C,3,FALSE),0))+IF(G304="",0,IFNA(VLOOKUP(G304,Trait_Polarity!$A:$C,3,FALSE),0))</f>
        <v/>
      </c>
      <c r="T304">
        <f>IF(Q304="P",0,IFNA(VLOOKUP(IF(C304="","(none)",C304),Secondary_Versatility!$A:$B,2,FALSE),0))</f>
        <v/>
      </c>
      <c r="U304">
        <f>IF(H304="",0,LEN(H304)-LEN(SUBSTITUTE(H304,"|",""))+1)</f>
        <v/>
      </c>
      <c r="V304">
        <f>IF(Q304="P",(N304+O304+P304)/3,0.3*I304+0.3*J304+0.2*K304+0.1*L304+0.1*M304)</f>
        <v/>
      </c>
      <c r="W304">
        <f>IF(Q304="P",IF(F304="",0,IFNA(VLOOKUP(F304,Pitcher_Trait_Coef!$A:$B,2,FALSE),0))+IF(G304="",0,IFNA(VLOOKUP(G304,Pitcher_Trait_Coef!$A:$B,2,FALSE),0)),IF(F304="",0,IFNA(VLOOKUP(F304,Hitter_Trait_Coef!$A:$B,2,FALSE),0))+IF(G304="",0,IFNA(VLOOKUP(G304,Hitter_Trait_Coef!$A:$B,2,FALSE),0)))</f>
        <v/>
      </c>
      <c r="X304">
        <f>IF(Q304="P",IFNA(VLOOKUP(B304,Pitcher_Primary_Coef!$A:$B,2,FALSE),0),IFNA(VLOOKUP(B304,Hitter_Primary_Coef!$A:$B,2,FALSE),0))</f>
        <v/>
      </c>
      <c r="Y304">
        <f>IF(Q304="P",0,IFNA(VLOOKUP(IF(C304="","(none)",C304),Hitter_Secondary_Coef!$A:$B,2,FALSE),0))</f>
        <v/>
      </c>
      <c r="Z304">
        <f>IF(Q304="P",IF(ISNUMBER(SEARCH("2F",H304)),IFNA(VLOOKUP("2F",Pitch_Coef!$A:$B,2,FALSE),0),0)+IF(ISNUMBER(SEARCH("4F",H304)),IFNA(VLOOKUP("4F",Pitch_Coef!$A:$B,2,FALSE),0),0)+IF(ISNUMBER(SEARCH("CB",H304)),IFNA(VLOOKUP("CB",Pitch_Coef!$A:$B,2,FALSE),0),0)+IF(ISNUMBER(SEARCH("CF",H304)),IFNA(VLOOKUP("CF",Pitch_Coef!$A:$B,2,FALSE),0),0)+IF(ISNUMBER(SEARCH("CH",H304)),IFNA(VLOOKUP("CH",Pitch_Coef!$A:$B,2,FALSE),0),0)+IF(ISNUMBER(SEARCH("FK",H304)),IFNA(VLOOKUP("FK",Pitch_Coef!$A:$B,2,FALSE),0),0)+IF(ISNUMBER(SEARCH("SB",H304)),IFNA(VLOOKUP("SB",Pitch_Coef!$A:$B,2,FALSE),0),0)+IF(ISNUMBER(SEARCH("SL",H304)),IFNA(VLOOKUP("SL",Pitch_Coef!$A:$B,2,FALSE),0),0),0)</f>
        <v/>
      </c>
      <c r="AA304">
        <f>IF(Q304="P",16.5944849573+0.2529999141*N304+0.2665900378*O304+0.2632687105*P304+0.0427586837*I304+0.0534777057*J304+0.009015832*K304+0.0204898106*(O304*P304/100)+1.0091022427*U304+1.0968542297*IF(D304="L",1,0)+0.3771555045*IF(D304="S",1,0)-0.2226159177*IF(E304="L",1,0)+1.21385024*R304-1.1652812274*S304+W304+X304+Z304,10.5965166711+0.2825983581*I304+0.2806503532*J304+0.2027213083*K304+0.1147824982*L304+0.0915305332*M304-0.0088454122*(I304*J304/100)-0.0336045706*(K304*L304/100)+2.8497389733*IF(D304="L",1,0)+4.5116226727*IF(D304="S",1,0)-0.6571546448*IF(E304="L",1,0)+0.0850728147*T304+0.0129488446*(T304*T304)+0.1909373936*IF(OR(F304="Utility",G304="Utility"),T304,0)+0.9656824071*R304-1.7517683256*S304+W304+X304+Y304)</f>
        <v/>
      </c>
      <c r="AB304">
        <f>LOOKUP(AA304,Grade_Scale!$A$2:$A$18,Grade_Scale!$B$2:$B$18)</f>
        <v/>
      </c>
      <c r="AC304">
        <f>LOOKUP(AA304,Grade_Scale!$A$2:$A$18,Grade_Scale!$C$2:$C$18)</f>
        <v/>
      </c>
      <c r="AE304">
        <f>IF(AD304="","",AB304-VLOOKUP(AD304,Grade_Scale!$C$2:$E$18,3,FALSE))</f>
        <v/>
      </c>
    </row>
    <row r="305">
      <c r="Q305">
        <f>IF(OR(B305="SP",B305="RP",B305="CP",B305="SP/RP"),"P","H")</f>
        <v/>
      </c>
      <c r="R305">
        <f>IF(F305="",0,IFNA(VLOOKUP(F305,Trait_Polarity!$A:$C,2,FALSE),0))+IF(G305="",0,IFNA(VLOOKUP(G305,Trait_Polarity!$A:$C,2,FALSE),0))</f>
        <v/>
      </c>
      <c r="S305">
        <f>IF(F305="",0,IFNA(VLOOKUP(F305,Trait_Polarity!$A:$C,3,FALSE),0))+IF(G305="",0,IFNA(VLOOKUP(G305,Trait_Polarity!$A:$C,3,FALSE),0))</f>
        <v/>
      </c>
      <c r="T305">
        <f>IF(Q305="P",0,IFNA(VLOOKUP(IF(C305="","(none)",C305),Secondary_Versatility!$A:$B,2,FALSE),0))</f>
        <v/>
      </c>
      <c r="U305">
        <f>IF(H305="",0,LEN(H305)-LEN(SUBSTITUTE(H305,"|",""))+1)</f>
        <v/>
      </c>
      <c r="V305">
        <f>IF(Q305="P",(N305+O305+P305)/3,0.3*I305+0.3*J305+0.2*K305+0.1*L305+0.1*M305)</f>
        <v/>
      </c>
      <c r="W305">
        <f>IF(Q305="P",IF(F305="",0,IFNA(VLOOKUP(F305,Pitcher_Trait_Coef!$A:$B,2,FALSE),0))+IF(G305="",0,IFNA(VLOOKUP(G305,Pitcher_Trait_Coef!$A:$B,2,FALSE),0)),IF(F305="",0,IFNA(VLOOKUP(F305,Hitter_Trait_Coef!$A:$B,2,FALSE),0))+IF(G305="",0,IFNA(VLOOKUP(G305,Hitter_Trait_Coef!$A:$B,2,FALSE),0)))</f>
        <v/>
      </c>
      <c r="X305">
        <f>IF(Q305="P",IFNA(VLOOKUP(B305,Pitcher_Primary_Coef!$A:$B,2,FALSE),0),IFNA(VLOOKUP(B305,Hitter_Primary_Coef!$A:$B,2,FALSE),0))</f>
        <v/>
      </c>
      <c r="Y305">
        <f>IF(Q305="P",0,IFNA(VLOOKUP(IF(C305="","(none)",C305),Hitter_Secondary_Coef!$A:$B,2,FALSE),0))</f>
        <v/>
      </c>
      <c r="Z305">
        <f>IF(Q305="P",IF(ISNUMBER(SEARCH("2F",H305)),IFNA(VLOOKUP("2F",Pitch_Coef!$A:$B,2,FALSE),0),0)+IF(ISNUMBER(SEARCH("4F",H305)),IFNA(VLOOKUP("4F",Pitch_Coef!$A:$B,2,FALSE),0),0)+IF(ISNUMBER(SEARCH("CB",H305)),IFNA(VLOOKUP("CB",Pitch_Coef!$A:$B,2,FALSE),0),0)+IF(ISNUMBER(SEARCH("CF",H305)),IFNA(VLOOKUP("CF",Pitch_Coef!$A:$B,2,FALSE),0),0)+IF(ISNUMBER(SEARCH("CH",H305)),IFNA(VLOOKUP("CH",Pitch_Coef!$A:$B,2,FALSE),0),0)+IF(ISNUMBER(SEARCH("FK",H305)),IFNA(VLOOKUP("FK",Pitch_Coef!$A:$B,2,FALSE),0),0)+IF(ISNUMBER(SEARCH("SB",H305)),IFNA(VLOOKUP("SB",Pitch_Coef!$A:$B,2,FALSE),0),0)+IF(ISNUMBER(SEARCH("SL",H305)),IFNA(VLOOKUP("SL",Pitch_Coef!$A:$B,2,FALSE),0),0),0)</f>
        <v/>
      </c>
      <c r="AA305">
        <f>IF(Q305="P",16.5944849573+0.2529999141*N305+0.2665900378*O305+0.2632687105*P305+0.0427586837*I305+0.0534777057*J305+0.009015832*K305+0.0204898106*(O305*P305/100)+1.0091022427*U305+1.0968542297*IF(D305="L",1,0)+0.3771555045*IF(D305="S",1,0)-0.2226159177*IF(E305="L",1,0)+1.21385024*R305-1.1652812274*S305+W305+X305+Z305,10.5965166711+0.2825983581*I305+0.2806503532*J305+0.2027213083*K305+0.1147824982*L305+0.0915305332*M305-0.0088454122*(I305*J305/100)-0.0336045706*(K305*L305/100)+2.8497389733*IF(D305="L",1,0)+4.5116226727*IF(D305="S",1,0)-0.6571546448*IF(E305="L",1,0)+0.0850728147*T305+0.0129488446*(T305*T305)+0.1909373936*IF(OR(F305="Utility",G305="Utility"),T305,0)+0.9656824071*R305-1.7517683256*S305+W305+X305+Y305)</f>
        <v/>
      </c>
      <c r="AB305">
        <f>LOOKUP(AA305,Grade_Scale!$A$2:$A$18,Grade_Scale!$B$2:$B$18)</f>
        <v/>
      </c>
      <c r="AC305">
        <f>LOOKUP(AA305,Grade_Scale!$A$2:$A$18,Grade_Scale!$C$2:$C$18)</f>
        <v/>
      </c>
      <c r="AE305">
        <f>IF(AD305="","",AB305-VLOOKUP(AD305,Grade_Scale!$C$2:$E$18,3,FALSE))</f>
        <v/>
      </c>
    </row>
    <row r="306">
      <c r="Q306">
        <f>IF(OR(B306="SP",B306="RP",B306="CP",B306="SP/RP"),"P","H")</f>
        <v/>
      </c>
      <c r="R306">
        <f>IF(F306="",0,IFNA(VLOOKUP(F306,Trait_Polarity!$A:$C,2,FALSE),0))+IF(G306="",0,IFNA(VLOOKUP(G306,Trait_Polarity!$A:$C,2,FALSE),0))</f>
        <v/>
      </c>
      <c r="S306">
        <f>IF(F306="",0,IFNA(VLOOKUP(F306,Trait_Polarity!$A:$C,3,FALSE),0))+IF(G306="",0,IFNA(VLOOKUP(G306,Trait_Polarity!$A:$C,3,FALSE),0))</f>
        <v/>
      </c>
      <c r="T306">
        <f>IF(Q306="P",0,IFNA(VLOOKUP(IF(C306="","(none)",C306),Secondary_Versatility!$A:$B,2,FALSE),0))</f>
        <v/>
      </c>
      <c r="U306">
        <f>IF(H306="",0,LEN(H306)-LEN(SUBSTITUTE(H306,"|",""))+1)</f>
        <v/>
      </c>
      <c r="V306">
        <f>IF(Q306="P",(N306+O306+P306)/3,0.3*I306+0.3*J306+0.2*K306+0.1*L306+0.1*M306)</f>
        <v/>
      </c>
      <c r="W306">
        <f>IF(Q306="P",IF(F306="",0,IFNA(VLOOKUP(F306,Pitcher_Trait_Coef!$A:$B,2,FALSE),0))+IF(G306="",0,IFNA(VLOOKUP(G306,Pitcher_Trait_Coef!$A:$B,2,FALSE),0)),IF(F306="",0,IFNA(VLOOKUP(F306,Hitter_Trait_Coef!$A:$B,2,FALSE),0))+IF(G306="",0,IFNA(VLOOKUP(G306,Hitter_Trait_Coef!$A:$B,2,FALSE),0)))</f>
        <v/>
      </c>
      <c r="X306">
        <f>IF(Q306="P",IFNA(VLOOKUP(B306,Pitcher_Primary_Coef!$A:$B,2,FALSE),0),IFNA(VLOOKUP(B306,Hitter_Primary_Coef!$A:$B,2,FALSE),0))</f>
        <v/>
      </c>
      <c r="Y306">
        <f>IF(Q306="P",0,IFNA(VLOOKUP(IF(C306="","(none)",C306),Hitter_Secondary_Coef!$A:$B,2,FALSE),0))</f>
        <v/>
      </c>
      <c r="Z306">
        <f>IF(Q306="P",IF(ISNUMBER(SEARCH("2F",H306)),IFNA(VLOOKUP("2F",Pitch_Coef!$A:$B,2,FALSE),0),0)+IF(ISNUMBER(SEARCH("4F",H306)),IFNA(VLOOKUP("4F",Pitch_Coef!$A:$B,2,FALSE),0),0)+IF(ISNUMBER(SEARCH("CB",H306)),IFNA(VLOOKUP("CB",Pitch_Coef!$A:$B,2,FALSE),0),0)+IF(ISNUMBER(SEARCH("CF",H306)),IFNA(VLOOKUP("CF",Pitch_Coef!$A:$B,2,FALSE),0),0)+IF(ISNUMBER(SEARCH("CH",H306)),IFNA(VLOOKUP("CH",Pitch_Coef!$A:$B,2,FALSE),0),0)+IF(ISNUMBER(SEARCH("FK",H306)),IFNA(VLOOKUP("FK",Pitch_Coef!$A:$B,2,FALSE),0),0)+IF(ISNUMBER(SEARCH("SB",H306)),IFNA(VLOOKUP("SB",Pitch_Coef!$A:$B,2,FALSE),0),0)+IF(ISNUMBER(SEARCH("SL",H306)),IFNA(VLOOKUP("SL",Pitch_Coef!$A:$B,2,FALSE),0),0),0)</f>
        <v/>
      </c>
      <c r="AA306">
        <f>IF(Q306="P",16.5944849573+0.2529999141*N306+0.2665900378*O306+0.2632687105*P306+0.0427586837*I306+0.0534777057*J306+0.009015832*K306+0.0204898106*(O306*P306/100)+1.0091022427*U306+1.0968542297*IF(D306="L",1,0)+0.3771555045*IF(D306="S",1,0)-0.2226159177*IF(E306="L",1,0)+1.21385024*R306-1.1652812274*S306+W306+X306+Z306,10.5965166711+0.2825983581*I306+0.2806503532*J306+0.2027213083*K306+0.1147824982*L306+0.0915305332*M306-0.0088454122*(I306*J306/100)-0.0336045706*(K306*L306/100)+2.8497389733*IF(D306="L",1,0)+4.5116226727*IF(D306="S",1,0)-0.6571546448*IF(E306="L",1,0)+0.0850728147*T306+0.0129488446*(T306*T306)+0.1909373936*IF(OR(F306="Utility",G306="Utility"),T306,0)+0.9656824071*R306-1.7517683256*S306+W306+X306+Y306)</f>
        <v/>
      </c>
      <c r="AB306">
        <f>LOOKUP(AA306,Grade_Scale!$A$2:$A$18,Grade_Scale!$B$2:$B$18)</f>
        <v/>
      </c>
      <c r="AC306">
        <f>LOOKUP(AA306,Grade_Scale!$A$2:$A$18,Grade_Scale!$C$2:$C$18)</f>
        <v/>
      </c>
      <c r="AE306">
        <f>IF(AD306="","",AB306-VLOOKUP(AD306,Grade_Scale!$C$2:$E$18,3,FALSE))</f>
        <v/>
      </c>
    </row>
    <row r="307">
      <c r="Q307">
        <f>IF(OR(B307="SP",B307="RP",B307="CP",B307="SP/RP"),"P","H")</f>
        <v/>
      </c>
      <c r="R307">
        <f>IF(F307="",0,IFNA(VLOOKUP(F307,Trait_Polarity!$A:$C,2,FALSE),0))+IF(G307="",0,IFNA(VLOOKUP(G307,Trait_Polarity!$A:$C,2,FALSE),0))</f>
        <v/>
      </c>
      <c r="S307">
        <f>IF(F307="",0,IFNA(VLOOKUP(F307,Trait_Polarity!$A:$C,3,FALSE),0))+IF(G307="",0,IFNA(VLOOKUP(G307,Trait_Polarity!$A:$C,3,FALSE),0))</f>
        <v/>
      </c>
      <c r="T307">
        <f>IF(Q307="P",0,IFNA(VLOOKUP(IF(C307="","(none)",C307),Secondary_Versatility!$A:$B,2,FALSE),0))</f>
        <v/>
      </c>
      <c r="U307">
        <f>IF(H307="",0,LEN(H307)-LEN(SUBSTITUTE(H307,"|",""))+1)</f>
        <v/>
      </c>
      <c r="V307">
        <f>IF(Q307="P",(N307+O307+P307)/3,0.3*I307+0.3*J307+0.2*K307+0.1*L307+0.1*M307)</f>
        <v/>
      </c>
      <c r="W307">
        <f>IF(Q307="P",IF(F307="",0,IFNA(VLOOKUP(F307,Pitcher_Trait_Coef!$A:$B,2,FALSE),0))+IF(G307="",0,IFNA(VLOOKUP(G307,Pitcher_Trait_Coef!$A:$B,2,FALSE),0)),IF(F307="",0,IFNA(VLOOKUP(F307,Hitter_Trait_Coef!$A:$B,2,FALSE),0))+IF(G307="",0,IFNA(VLOOKUP(G307,Hitter_Trait_Coef!$A:$B,2,FALSE),0)))</f>
        <v/>
      </c>
      <c r="X307">
        <f>IF(Q307="P",IFNA(VLOOKUP(B307,Pitcher_Primary_Coef!$A:$B,2,FALSE),0),IFNA(VLOOKUP(B307,Hitter_Primary_Coef!$A:$B,2,FALSE),0))</f>
        <v/>
      </c>
      <c r="Y307">
        <f>IF(Q307="P",0,IFNA(VLOOKUP(IF(C307="","(none)",C307),Hitter_Secondary_Coef!$A:$B,2,FALSE),0))</f>
        <v/>
      </c>
      <c r="Z307">
        <f>IF(Q307="P",IF(ISNUMBER(SEARCH("2F",H307)),IFNA(VLOOKUP("2F",Pitch_Coef!$A:$B,2,FALSE),0),0)+IF(ISNUMBER(SEARCH("4F",H307)),IFNA(VLOOKUP("4F",Pitch_Coef!$A:$B,2,FALSE),0),0)+IF(ISNUMBER(SEARCH("CB",H307)),IFNA(VLOOKUP("CB",Pitch_Coef!$A:$B,2,FALSE),0),0)+IF(ISNUMBER(SEARCH("CF",H307)),IFNA(VLOOKUP("CF",Pitch_Coef!$A:$B,2,FALSE),0),0)+IF(ISNUMBER(SEARCH("CH",H307)),IFNA(VLOOKUP("CH",Pitch_Coef!$A:$B,2,FALSE),0),0)+IF(ISNUMBER(SEARCH("FK",H307)),IFNA(VLOOKUP("FK",Pitch_Coef!$A:$B,2,FALSE),0),0)+IF(ISNUMBER(SEARCH("SB",H307)),IFNA(VLOOKUP("SB",Pitch_Coef!$A:$B,2,FALSE),0),0)+IF(ISNUMBER(SEARCH("SL",H307)),IFNA(VLOOKUP("SL",Pitch_Coef!$A:$B,2,FALSE),0),0),0)</f>
        <v/>
      </c>
      <c r="AA307">
        <f>IF(Q307="P",16.5944849573+0.2529999141*N307+0.2665900378*O307+0.2632687105*P307+0.0427586837*I307+0.0534777057*J307+0.009015832*K307+0.0204898106*(O307*P307/100)+1.0091022427*U307+1.0968542297*IF(D307="L",1,0)+0.3771555045*IF(D307="S",1,0)-0.2226159177*IF(E307="L",1,0)+1.21385024*R307-1.1652812274*S307+W307+X307+Z307,10.5965166711+0.2825983581*I307+0.2806503532*J307+0.2027213083*K307+0.1147824982*L307+0.0915305332*M307-0.0088454122*(I307*J307/100)-0.0336045706*(K307*L307/100)+2.8497389733*IF(D307="L",1,0)+4.5116226727*IF(D307="S",1,0)-0.6571546448*IF(E307="L",1,0)+0.0850728147*T307+0.0129488446*(T307*T307)+0.1909373936*IF(OR(F307="Utility",G307="Utility"),T307,0)+0.9656824071*R307-1.7517683256*S307+W307+X307+Y307)</f>
        <v/>
      </c>
      <c r="AB307">
        <f>LOOKUP(AA307,Grade_Scale!$A$2:$A$18,Grade_Scale!$B$2:$B$18)</f>
        <v/>
      </c>
      <c r="AC307">
        <f>LOOKUP(AA307,Grade_Scale!$A$2:$A$18,Grade_Scale!$C$2:$C$18)</f>
        <v/>
      </c>
      <c r="AE307">
        <f>IF(AD307="","",AB307-VLOOKUP(AD307,Grade_Scale!$C$2:$E$18,3,FALSE))</f>
        <v/>
      </c>
    </row>
    <row r="308">
      <c r="Q308">
        <f>IF(OR(B308="SP",B308="RP",B308="CP",B308="SP/RP"),"P","H")</f>
        <v/>
      </c>
      <c r="R308">
        <f>IF(F308="",0,IFNA(VLOOKUP(F308,Trait_Polarity!$A:$C,2,FALSE),0))+IF(G308="",0,IFNA(VLOOKUP(G308,Trait_Polarity!$A:$C,2,FALSE),0))</f>
        <v/>
      </c>
      <c r="S308">
        <f>IF(F308="",0,IFNA(VLOOKUP(F308,Trait_Polarity!$A:$C,3,FALSE),0))+IF(G308="",0,IFNA(VLOOKUP(G308,Trait_Polarity!$A:$C,3,FALSE),0))</f>
        <v/>
      </c>
      <c r="T308">
        <f>IF(Q308="P",0,IFNA(VLOOKUP(IF(C308="","(none)",C308),Secondary_Versatility!$A:$B,2,FALSE),0))</f>
        <v/>
      </c>
      <c r="U308">
        <f>IF(H308="",0,LEN(H308)-LEN(SUBSTITUTE(H308,"|",""))+1)</f>
        <v/>
      </c>
      <c r="V308">
        <f>IF(Q308="P",(N308+O308+P308)/3,0.3*I308+0.3*J308+0.2*K308+0.1*L308+0.1*M308)</f>
        <v/>
      </c>
      <c r="W308">
        <f>IF(Q308="P",IF(F308="",0,IFNA(VLOOKUP(F308,Pitcher_Trait_Coef!$A:$B,2,FALSE),0))+IF(G308="",0,IFNA(VLOOKUP(G308,Pitcher_Trait_Coef!$A:$B,2,FALSE),0)),IF(F308="",0,IFNA(VLOOKUP(F308,Hitter_Trait_Coef!$A:$B,2,FALSE),0))+IF(G308="",0,IFNA(VLOOKUP(G308,Hitter_Trait_Coef!$A:$B,2,FALSE),0)))</f>
        <v/>
      </c>
      <c r="X308">
        <f>IF(Q308="P",IFNA(VLOOKUP(B308,Pitcher_Primary_Coef!$A:$B,2,FALSE),0),IFNA(VLOOKUP(B308,Hitter_Primary_Coef!$A:$B,2,FALSE),0))</f>
        <v/>
      </c>
      <c r="Y308">
        <f>IF(Q308="P",0,IFNA(VLOOKUP(IF(C308="","(none)",C308),Hitter_Secondary_Coef!$A:$B,2,FALSE),0))</f>
        <v/>
      </c>
      <c r="Z308">
        <f>IF(Q308="P",IF(ISNUMBER(SEARCH("2F",H308)),IFNA(VLOOKUP("2F",Pitch_Coef!$A:$B,2,FALSE),0),0)+IF(ISNUMBER(SEARCH("4F",H308)),IFNA(VLOOKUP("4F",Pitch_Coef!$A:$B,2,FALSE),0),0)+IF(ISNUMBER(SEARCH("CB",H308)),IFNA(VLOOKUP("CB",Pitch_Coef!$A:$B,2,FALSE),0),0)+IF(ISNUMBER(SEARCH("CF",H308)),IFNA(VLOOKUP("CF",Pitch_Coef!$A:$B,2,FALSE),0),0)+IF(ISNUMBER(SEARCH("CH",H308)),IFNA(VLOOKUP("CH",Pitch_Coef!$A:$B,2,FALSE),0),0)+IF(ISNUMBER(SEARCH("FK",H308)),IFNA(VLOOKUP("FK",Pitch_Coef!$A:$B,2,FALSE),0),0)+IF(ISNUMBER(SEARCH("SB",H308)),IFNA(VLOOKUP("SB",Pitch_Coef!$A:$B,2,FALSE),0),0)+IF(ISNUMBER(SEARCH("SL",H308)),IFNA(VLOOKUP("SL",Pitch_Coef!$A:$B,2,FALSE),0),0),0)</f>
        <v/>
      </c>
      <c r="AA308">
        <f>IF(Q308="P",16.5944849573+0.2529999141*N308+0.2665900378*O308+0.2632687105*P308+0.0427586837*I308+0.0534777057*J308+0.009015832*K308+0.0204898106*(O308*P308/100)+1.0091022427*U308+1.0968542297*IF(D308="L",1,0)+0.3771555045*IF(D308="S",1,0)-0.2226159177*IF(E308="L",1,0)+1.21385024*R308-1.1652812274*S308+W308+X308+Z308,10.5965166711+0.2825983581*I308+0.2806503532*J308+0.2027213083*K308+0.1147824982*L308+0.0915305332*M308-0.0088454122*(I308*J308/100)-0.0336045706*(K308*L308/100)+2.8497389733*IF(D308="L",1,0)+4.5116226727*IF(D308="S",1,0)-0.6571546448*IF(E308="L",1,0)+0.0850728147*T308+0.0129488446*(T308*T308)+0.1909373936*IF(OR(F308="Utility",G308="Utility"),T308,0)+0.9656824071*R308-1.7517683256*S308+W308+X308+Y308)</f>
        <v/>
      </c>
      <c r="AB308">
        <f>LOOKUP(AA308,Grade_Scale!$A$2:$A$18,Grade_Scale!$B$2:$B$18)</f>
        <v/>
      </c>
      <c r="AC308">
        <f>LOOKUP(AA308,Grade_Scale!$A$2:$A$18,Grade_Scale!$C$2:$C$18)</f>
        <v/>
      </c>
      <c r="AE308">
        <f>IF(AD308="","",AB308-VLOOKUP(AD308,Grade_Scale!$C$2:$E$18,3,FALSE))</f>
        <v/>
      </c>
    </row>
    <row r="309">
      <c r="Q309">
        <f>IF(OR(B309="SP",B309="RP",B309="CP",B309="SP/RP"),"P","H")</f>
        <v/>
      </c>
      <c r="R309">
        <f>IF(F309="",0,IFNA(VLOOKUP(F309,Trait_Polarity!$A:$C,2,FALSE),0))+IF(G309="",0,IFNA(VLOOKUP(G309,Trait_Polarity!$A:$C,2,FALSE),0))</f>
        <v/>
      </c>
      <c r="S309">
        <f>IF(F309="",0,IFNA(VLOOKUP(F309,Trait_Polarity!$A:$C,3,FALSE),0))+IF(G309="",0,IFNA(VLOOKUP(G309,Trait_Polarity!$A:$C,3,FALSE),0))</f>
        <v/>
      </c>
      <c r="T309">
        <f>IF(Q309="P",0,IFNA(VLOOKUP(IF(C309="","(none)",C309),Secondary_Versatility!$A:$B,2,FALSE),0))</f>
        <v/>
      </c>
      <c r="U309">
        <f>IF(H309="",0,LEN(H309)-LEN(SUBSTITUTE(H309,"|",""))+1)</f>
        <v/>
      </c>
      <c r="V309">
        <f>IF(Q309="P",(N309+O309+P309)/3,0.3*I309+0.3*J309+0.2*K309+0.1*L309+0.1*M309)</f>
        <v/>
      </c>
      <c r="W309">
        <f>IF(Q309="P",IF(F309="",0,IFNA(VLOOKUP(F309,Pitcher_Trait_Coef!$A:$B,2,FALSE),0))+IF(G309="",0,IFNA(VLOOKUP(G309,Pitcher_Trait_Coef!$A:$B,2,FALSE),0)),IF(F309="",0,IFNA(VLOOKUP(F309,Hitter_Trait_Coef!$A:$B,2,FALSE),0))+IF(G309="",0,IFNA(VLOOKUP(G309,Hitter_Trait_Coef!$A:$B,2,FALSE),0)))</f>
        <v/>
      </c>
      <c r="X309">
        <f>IF(Q309="P",IFNA(VLOOKUP(B309,Pitcher_Primary_Coef!$A:$B,2,FALSE),0),IFNA(VLOOKUP(B309,Hitter_Primary_Coef!$A:$B,2,FALSE),0))</f>
        <v/>
      </c>
      <c r="Y309">
        <f>IF(Q309="P",0,IFNA(VLOOKUP(IF(C309="","(none)",C309),Hitter_Secondary_Coef!$A:$B,2,FALSE),0))</f>
        <v/>
      </c>
      <c r="Z309">
        <f>IF(Q309="P",IF(ISNUMBER(SEARCH("2F",H309)),IFNA(VLOOKUP("2F",Pitch_Coef!$A:$B,2,FALSE),0),0)+IF(ISNUMBER(SEARCH("4F",H309)),IFNA(VLOOKUP("4F",Pitch_Coef!$A:$B,2,FALSE),0),0)+IF(ISNUMBER(SEARCH("CB",H309)),IFNA(VLOOKUP("CB",Pitch_Coef!$A:$B,2,FALSE),0),0)+IF(ISNUMBER(SEARCH("CF",H309)),IFNA(VLOOKUP("CF",Pitch_Coef!$A:$B,2,FALSE),0),0)+IF(ISNUMBER(SEARCH("CH",H309)),IFNA(VLOOKUP("CH",Pitch_Coef!$A:$B,2,FALSE),0),0)+IF(ISNUMBER(SEARCH("FK",H309)),IFNA(VLOOKUP("FK",Pitch_Coef!$A:$B,2,FALSE),0),0)+IF(ISNUMBER(SEARCH("SB",H309)),IFNA(VLOOKUP("SB",Pitch_Coef!$A:$B,2,FALSE),0),0)+IF(ISNUMBER(SEARCH("SL",H309)),IFNA(VLOOKUP("SL",Pitch_Coef!$A:$B,2,FALSE),0),0),0)</f>
        <v/>
      </c>
      <c r="AA309">
        <f>IF(Q309="P",16.5944849573+0.2529999141*N309+0.2665900378*O309+0.2632687105*P309+0.0427586837*I309+0.0534777057*J309+0.009015832*K309+0.0204898106*(O309*P309/100)+1.0091022427*U309+1.0968542297*IF(D309="L",1,0)+0.3771555045*IF(D309="S",1,0)-0.2226159177*IF(E309="L",1,0)+1.21385024*R309-1.1652812274*S309+W309+X309+Z309,10.5965166711+0.2825983581*I309+0.2806503532*J309+0.2027213083*K309+0.1147824982*L309+0.0915305332*M309-0.0088454122*(I309*J309/100)-0.0336045706*(K309*L309/100)+2.8497389733*IF(D309="L",1,0)+4.5116226727*IF(D309="S",1,0)-0.6571546448*IF(E309="L",1,0)+0.0850728147*T309+0.0129488446*(T309*T309)+0.1909373936*IF(OR(F309="Utility",G309="Utility"),T309,0)+0.9656824071*R309-1.7517683256*S309+W309+X309+Y309)</f>
        <v/>
      </c>
      <c r="AB309">
        <f>LOOKUP(AA309,Grade_Scale!$A$2:$A$18,Grade_Scale!$B$2:$B$18)</f>
        <v/>
      </c>
      <c r="AC309">
        <f>LOOKUP(AA309,Grade_Scale!$A$2:$A$18,Grade_Scale!$C$2:$C$18)</f>
        <v/>
      </c>
      <c r="AE309">
        <f>IF(AD309="","",AB309-VLOOKUP(AD309,Grade_Scale!$C$2:$E$18,3,FALSE))</f>
        <v/>
      </c>
    </row>
    <row r="310">
      <c r="Q310">
        <f>IF(OR(B310="SP",B310="RP",B310="CP",B310="SP/RP"),"P","H")</f>
        <v/>
      </c>
      <c r="R310">
        <f>IF(F310="",0,IFNA(VLOOKUP(F310,Trait_Polarity!$A:$C,2,FALSE),0))+IF(G310="",0,IFNA(VLOOKUP(G310,Trait_Polarity!$A:$C,2,FALSE),0))</f>
        <v/>
      </c>
      <c r="S310">
        <f>IF(F310="",0,IFNA(VLOOKUP(F310,Trait_Polarity!$A:$C,3,FALSE),0))+IF(G310="",0,IFNA(VLOOKUP(G310,Trait_Polarity!$A:$C,3,FALSE),0))</f>
        <v/>
      </c>
      <c r="T310">
        <f>IF(Q310="P",0,IFNA(VLOOKUP(IF(C310="","(none)",C310),Secondary_Versatility!$A:$B,2,FALSE),0))</f>
        <v/>
      </c>
      <c r="U310">
        <f>IF(H310="",0,LEN(H310)-LEN(SUBSTITUTE(H310,"|",""))+1)</f>
        <v/>
      </c>
      <c r="V310">
        <f>IF(Q310="P",(N310+O310+P310)/3,0.3*I310+0.3*J310+0.2*K310+0.1*L310+0.1*M310)</f>
        <v/>
      </c>
      <c r="W310">
        <f>IF(Q310="P",IF(F310="",0,IFNA(VLOOKUP(F310,Pitcher_Trait_Coef!$A:$B,2,FALSE),0))+IF(G310="",0,IFNA(VLOOKUP(G310,Pitcher_Trait_Coef!$A:$B,2,FALSE),0)),IF(F310="",0,IFNA(VLOOKUP(F310,Hitter_Trait_Coef!$A:$B,2,FALSE),0))+IF(G310="",0,IFNA(VLOOKUP(G310,Hitter_Trait_Coef!$A:$B,2,FALSE),0)))</f>
        <v/>
      </c>
      <c r="X310">
        <f>IF(Q310="P",IFNA(VLOOKUP(B310,Pitcher_Primary_Coef!$A:$B,2,FALSE),0),IFNA(VLOOKUP(B310,Hitter_Primary_Coef!$A:$B,2,FALSE),0))</f>
        <v/>
      </c>
      <c r="Y310">
        <f>IF(Q310="P",0,IFNA(VLOOKUP(IF(C310="","(none)",C310),Hitter_Secondary_Coef!$A:$B,2,FALSE),0))</f>
        <v/>
      </c>
      <c r="Z310">
        <f>IF(Q310="P",IF(ISNUMBER(SEARCH("2F",H310)),IFNA(VLOOKUP("2F",Pitch_Coef!$A:$B,2,FALSE),0),0)+IF(ISNUMBER(SEARCH("4F",H310)),IFNA(VLOOKUP("4F",Pitch_Coef!$A:$B,2,FALSE),0),0)+IF(ISNUMBER(SEARCH("CB",H310)),IFNA(VLOOKUP("CB",Pitch_Coef!$A:$B,2,FALSE),0),0)+IF(ISNUMBER(SEARCH("CF",H310)),IFNA(VLOOKUP("CF",Pitch_Coef!$A:$B,2,FALSE),0),0)+IF(ISNUMBER(SEARCH("CH",H310)),IFNA(VLOOKUP("CH",Pitch_Coef!$A:$B,2,FALSE),0),0)+IF(ISNUMBER(SEARCH("FK",H310)),IFNA(VLOOKUP("FK",Pitch_Coef!$A:$B,2,FALSE),0),0)+IF(ISNUMBER(SEARCH("SB",H310)),IFNA(VLOOKUP("SB",Pitch_Coef!$A:$B,2,FALSE),0),0)+IF(ISNUMBER(SEARCH("SL",H310)),IFNA(VLOOKUP("SL",Pitch_Coef!$A:$B,2,FALSE),0),0),0)</f>
        <v/>
      </c>
      <c r="AA310">
        <f>IF(Q310="P",16.5944849573+0.2529999141*N310+0.2665900378*O310+0.2632687105*P310+0.0427586837*I310+0.0534777057*J310+0.009015832*K310+0.0204898106*(O310*P310/100)+1.0091022427*U310+1.0968542297*IF(D310="L",1,0)+0.3771555045*IF(D310="S",1,0)-0.2226159177*IF(E310="L",1,0)+1.21385024*R310-1.1652812274*S310+W310+X310+Z310,10.5965166711+0.2825983581*I310+0.2806503532*J310+0.2027213083*K310+0.1147824982*L310+0.0915305332*M310-0.0088454122*(I310*J310/100)-0.0336045706*(K310*L310/100)+2.8497389733*IF(D310="L",1,0)+4.5116226727*IF(D310="S",1,0)-0.6571546448*IF(E310="L",1,0)+0.0850728147*T310+0.0129488446*(T310*T310)+0.1909373936*IF(OR(F310="Utility",G310="Utility"),T310,0)+0.9656824071*R310-1.7517683256*S310+W310+X310+Y310)</f>
        <v/>
      </c>
      <c r="AB310">
        <f>LOOKUP(AA310,Grade_Scale!$A$2:$A$18,Grade_Scale!$B$2:$B$18)</f>
        <v/>
      </c>
      <c r="AC310">
        <f>LOOKUP(AA310,Grade_Scale!$A$2:$A$18,Grade_Scale!$C$2:$C$18)</f>
        <v/>
      </c>
      <c r="AE310">
        <f>IF(AD310="","",AB310-VLOOKUP(AD310,Grade_Scale!$C$2:$E$18,3,FALSE))</f>
        <v/>
      </c>
    </row>
    <row r="311">
      <c r="Q311">
        <f>IF(OR(B311="SP",B311="RP",B311="CP",B311="SP/RP"),"P","H")</f>
        <v/>
      </c>
      <c r="R311">
        <f>IF(F311="",0,IFNA(VLOOKUP(F311,Trait_Polarity!$A:$C,2,FALSE),0))+IF(G311="",0,IFNA(VLOOKUP(G311,Trait_Polarity!$A:$C,2,FALSE),0))</f>
        <v/>
      </c>
      <c r="S311">
        <f>IF(F311="",0,IFNA(VLOOKUP(F311,Trait_Polarity!$A:$C,3,FALSE),0))+IF(G311="",0,IFNA(VLOOKUP(G311,Trait_Polarity!$A:$C,3,FALSE),0))</f>
        <v/>
      </c>
      <c r="T311">
        <f>IF(Q311="P",0,IFNA(VLOOKUP(IF(C311="","(none)",C311),Secondary_Versatility!$A:$B,2,FALSE),0))</f>
        <v/>
      </c>
      <c r="U311">
        <f>IF(H311="",0,LEN(H311)-LEN(SUBSTITUTE(H311,"|",""))+1)</f>
        <v/>
      </c>
      <c r="V311">
        <f>IF(Q311="P",(N311+O311+P311)/3,0.3*I311+0.3*J311+0.2*K311+0.1*L311+0.1*M311)</f>
        <v/>
      </c>
      <c r="W311">
        <f>IF(Q311="P",IF(F311="",0,IFNA(VLOOKUP(F311,Pitcher_Trait_Coef!$A:$B,2,FALSE),0))+IF(G311="",0,IFNA(VLOOKUP(G311,Pitcher_Trait_Coef!$A:$B,2,FALSE),0)),IF(F311="",0,IFNA(VLOOKUP(F311,Hitter_Trait_Coef!$A:$B,2,FALSE),0))+IF(G311="",0,IFNA(VLOOKUP(G311,Hitter_Trait_Coef!$A:$B,2,FALSE),0)))</f>
        <v/>
      </c>
      <c r="X311">
        <f>IF(Q311="P",IFNA(VLOOKUP(B311,Pitcher_Primary_Coef!$A:$B,2,FALSE),0),IFNA(VLOOKUP(B311,Hitter_Primary_Coef!$A:$B,2,FALSE),0))</f>
        <v/>
      </c>
      <c r="Y311">
        <f>IF(Q311="P",0,IFNA(VLOOKUP(IF(C311="","(none)",C311),Hitter_Secondary_Coef!$A:$B,2,FALSE),0))</f>
        <v/>
      </c>
      <c r="Z311">
        <f>IF(Q311="P",IF(ISNUMBER(SEARCH("2F",H311)),IFNA(VLOOKUP("2F",Pitch_Coef!$A:$B,2,FALSE),0),0)+IF(ISNUMBER(SEARCH("4F",H311)),IFNA(VLOOKUP("4F",Pitch_Coef!$A:$B,2,FALSE),0),0)+IF(ISNUMBER(SEARCH("CB",H311)),IFNA(VLOOKUP("CB",Pitch_Coef!$A:$B,2,FALSE),0),0)+IF(ISNUMBER(SEARCH("CF",H311)),IFNA(VLOOKUP("CF",Pitch_Coef!$A:$B,2,FALSE),0),0)+IF(ISNUMBER(SEARCH("CH",H311)),IFNA(VLOOKUP("CH",Pitch_Coef!$A:$B,2,FALSE),0),0)+IF(ISNUMBER(SEARCH("FK",H311)),IFNA(VLOOKUP("FK",Pitch_Coef!$A:$B,2,FALSE),0),0)+IF(ISNUMBER(SEARCH("SB",H311)),IFNA(VLOOKUP("SB",Pitch_Coef!$A:$B,2,FALSE),0),0)+IF(ISNUMBER(SEARCH("SL",H311)),IFNA(VLOOKUP("SL",Pitch_Coef!$A:$B,2,FALSE),0),0),0)</f>
        <v/>
      </c>
      <c r="AA311">
        <f>IF(Q311="P",16.5944849573+0.2529999141*N311+0.2665900378*O311+0.2632687105*P311+0.0427586837*I311+0.0534777057*J311+0.009015832*K311+0.0204898106*(O311*P311/100)+1.0091022427*U311+1.0968542297*IF(D311="L",1,0)+0.3771555045*IF(D311="S",1,0)-0.2226159177*IF(E311="L",1,0)+1.21385024*R311-1.1652812274*S311+W311+X311+Z311,10.5965166711+0.2825983581*I311+0.2806503532*J311+0.2027213083*K311+0.1147824982*L311+0.0915305332*M311-0.0088454122*(I311*J311/100)-0.0336045706*(K311*L311/100)+2.8497389733*IF(D311="L",1,0)+4.5116226727*IF(D311="S",1,0)-0.6571546448*IF(E311="L",1,0)+0.0850728147*T311+0.0129488446*(T311*T311)+0.1909373936*IF(OR(F311="Utility",G311="Utility"),T311,0)+0.9656824071*R311-1.7517683256*S311+W311+X311+Y311)</f>
        <v/>
      </c>
      <c r="AB311">
        <f>LOOKUP(AA311,Grade_Scale!$A$2:$A$18,Grade_Scale!$B$2:$B$18)</f>
        <v/>
      </c>
      <c r="AC311">
        <f>LOOKUP(AA311,Grade_Scale!$A$2:$A$18,Grade_Scale!$C$2:$C$18)</f>
        <v/>
      </c>
      <c r="AE311">
        <f>IF(AD311="","",AB311-VLOOKUP(AD311,Grade_Scale!$C$2:$E$18,3,FALSE))</f>
        <v/>
      </c>
    </row>
    <row r="312">
      <c r="Q312">
        <f>IF(OR(B312="SP",B312="RP",B312="CP",B312="SP/RP"),"P","H")</f>
        <v/>
      </c>
      <c r="R312">
        <f>IF(F312="",0,IFNA(VLOOKUP(F312,Trait_Polarity!$A:$C,2,FALSE),0))+IF(G312="",0,IFNA(VLOOKUP(G312,Trait_Polarity!$A:$C,2,FALSE),0))</f>
        <v/>
      </c>
      <c r="S312">
        <f>IF(F312="",0,IFNA(VLOOKUP(F312,Trait_Polarity!$A:$C,3,FALSE),0))+IF(G312="",0,IFNA(VLOOKUP(G312,Trait_Polarity!$A:$C,3,FALSE),0))</f>
        <v/>
      </c>
      <c r="T312">
        <f>IF(Q312="P",0,IFNA(VLOOKUP(IF(C312="","(none)",C312),Secondary_Versatility!$A:$B,2,FALSE),0))</f>
        <v/>
      </c>
      <c r="U312">
        <f>IF(H312="",0,LEN(H312)-LEN(SUBSTITUTE(H312,"|",""))+1)</f>
        <v/>
      </c>
      <c r="V312">
        <f>IF(Q312="P",(N312+O312+P312)/3,0.3*I312+0.3*J312+0.2*K312+0.1*L312+0.1*M312)</f>
        <v/>
      </c>
      <c r="W312">
        <f>IF(Q312="P",IF(F312="",0,IFNA(VLOOKUP(F312,Pitcher_Trait_Coef!$A:$B,2,FALSE),0))+IF(G312="",0,IFNA(VLOOKUP(G312,Pitcher_Trait_Coef!$A:$B,2,FALSE),0)),IF(F312="",0,IFNA(VLOOKUP(F312,Hitter_Trait_Coef!$A:$B,2,FALSE),0))+IF(G312="",0,IFNA(VLOOKUP(G312,Hitter_Trait_Coef!$A:$B,2,FALSE),0)))</f>
        <v/>
      </c>
      <c r="X312">
        <f>IF(Q312="P",IFNA(VLOOKUP(B312,Pitcher_Primary_Coef!$A:$B,2,FALSE),0),IFNA(VLOOKUP(B312,Hitter_Primary_Coef!$A:$B,2,FALSE),0))</f>
        <v/>
      </c>
      <c r="Y312">
        <f>IF(Q312="P",0,IFNA(VLOOKUP(IF(C312="","(none)",C312),Hitter_Secondary_Coef!$A:$B,2,FALSE),0))</f>
        <v/>
      </c>
      <c r="Z312">
        <f>IF(Q312="P",IF(ISNUMBER(SEARCH("2F",H312)),IFNA(VLOOKUP("2F",Pitch_Coef!$A:$B,2,FALSE),0),0)+IF(ISNUMBER(SEARCH("4F",H312)),IFNA(VLOOKUP("4F",Pitch_Coef!$A:$B,2,FALSE),0),0)+IF(ISNUMBER(SEARCH("CB",H312)),IFNA(VLOOKUP("CB",Pitch_Coef!$A:$B,2,FALSE),0),0)+IF(ISNUMBER(SEARCH("CF",H312)),IFNA(VLOOKUP("CF",Pitch_Coef!$A:$B,2,FALSE),0),0)+IF(ISNUMBER(SEARCH("CH",H312)),IFNA(VLOOKUP("CH",Pitch_Coef!$A:$B,2,FALSE),0),0)+IF(ISNUMBER(SEARCH("FK",H312)),IFNA(VLOOKUP("FK",Pitch_Coef!$A:$B,2,FALSE),0),0)+IF(ISNUMBER(SEARCH("SB",H312)),IFNA(VLOOKUP("SB",Pitch_Coef!$A:$B,2,FALSE),0),0)+IF(ISNUMBER(SEARCH("SL",H312)),IFNA(VLOOKUP("SL",Pitch_Coef!$A:$B,2,FALSE),0),0),0)</f>
        <v/>
      </c>
      <c r="AA312">
        <f>IF(Q312="P",16.5944849573+0.2529999141*N312+0.2665900378*O312+0.2632687105*P312+0.0427586837*I312+0.0534777057*J312+0.009015832*K312+0.0204898106*(O312*P312/100)+1.0091022427*U312+1.0968542297*IF(D312="L",1,0)+0.3771555045*IF(D312="S",1,0)-0.2226159177*IF(E312="L",1,0)+1.21385024*R312-1.1652812274*S312+W312+X312+Z312,10.5965166711+0.2825983581*I312+0.2806503532*J312+0.2027213083*K312+0.1147824982*L312+0.0915305332*M312-0.0088454122*(I312*J312/100)-0.0336045706*(K312*L312/100)+2.8497389733*IF(D312="L",1,0)+4.5116226727*IF(D312="S",1,0)-0.6571546448*IF(E312="L",1,0)+0.0850728147*T312+0.0129488446*(T312*T312)+0.1909373936*IF(OR(F312="Utility",G312="Utility"),T312,0)+0.9656824071*R312-1.7517683256*S312+W312+X312+Y312)</f>
        <v/>
      </c>
      <c r="AB312">
        <f>LOOKUP(AA312,Grade_Scale!$A$2:$A$18,Grade_Scale!$B$2:$B$18)</f>
        <v/>
      </c>
      <c r="AC312">
        <f>LOOKUP(AA312,Grade_Scale!$A$2:$A$18,Grade_Scale!$C$2:$C$18)</f>
        <v/>
      </c>
      <c r="AE312">
        <f>IF(AD312="","",AB312-VLOOKUP(AD312,Grade_Scale!$C$2:$E$18,3,FALSE))</f>
        <v/>
      </c>
    </row>
    <row r="313">
      <c r="Q313">
        <f>IF(OR(B313="SP",B313="RP",B313="CP",B313="SP/RP"),"P","H")</f>
        <v/>
      </c>
      <c r="R313">
        <f>IF(F313="",0,IFNA(VLOOKUP(F313,Trait_Polarity!$A:$C,2,FALSE),0))+IF(G313="",0,IFNA(VLOOKUP(G313,Trait_Polarity!$A:$C,2,FALSE),0))</f>
        <v/>
      </c>
      <c r="S313">
        <f>IF(F313="",0,IFNA(VLOOKUP(F313,Trait_Polarity!$A:$C,3,FALSE),0))+IF(G313="",0,IFNA(VLOOKUP(G313,Trait_Polarity!$A:$C,3,FALSE),0))</f>
        <v/>
      </c>
      <c r="T313">
        <f>IF(Q313="P",0,IFNA(VLOOKUP(IF(C313="","(none)",C313),Secondary_Versatility!$A:$B,2,FALSE),0))</f>
        <v/>
      </c>
      <c r="U313">
        <f>IF(H313="",0,LEN(H313)-LEN(SUBSTITUTE(H313,"|",""))+1)</f>
        <v/>
      </c>
      <c r="V313">
        <f>IF(Q313="P",(N313+O313+P313)/3,0.3*I313+0.3*J313+0.2*K313+0.1*L313+0.1*M313)</f>
        <v/>
      </c>
      <c r="W313">
        <f>IF(Q313="P",IF(F313="",0,IFNA(VLOOKUP(F313,Pitcher_Trait_Coef!$A:$B,2,FALSE),0))+IF(G313="",0,IFNA(VLOOKUP(G313,Pitcher_Trait_Coef!$A:$B,2,FALSE),0)),IF(F313="",0,IFNA(VLOOKUP(F313,Hitter_Trait_Coef!$A:$B,2,FALSE),0))+IF(G313="",0,IFNA(VLOOKUP(G313,Hitter_Trait_Coef!$A:$B,2,FALSE),0)))</f>
        <v/>
      </c>
      <c r="X313">
        <f>IF(Q313="P",IFNA(VLOOKUP(B313,Pitcher_Primary_Coef!$A:$B,2,FALSE),0),IFNA(VLOOKUP(B313,Hitter_Primary_Coef!$A:$B,2,FALSE),0))</f>
        <v/>
      </c>
      <c r="Y313">
        <f>IF(Q313="P",0,IFNA(VLOOKUP(IF(C313="","(none)",C313),Hitter_Secondary_Coef!$A:$B,2,FALSE),0))</f>
        <v/>
      </c>
      <c r="Z313">
        <f>IF(Q313="P",IF(ISNUMBER(SEARCH("2F",H313)),IFNA(VLOOKUP("2F",Pitch_Coef!$A:$B,2,FALSE),0),0)+IF(ISNUMBER(SEARCH("4F",H313)),IFNA(VLOOKUP("4F",Pitch_Coef!$A:$B,2,FALSE),0),0)+IF(ISNUMBER(SEARCH("CB",H313)),IFNA(VLOOKUP("CB",Pitch_Coef!$A:$B,2,FALSE),0),0)+IF(ISNUMBER(SEARCH("CF",H313)),IFNA(VLOOKUP("CF",Pitch_Coef!$A:$B,2,FALSE),0),0)+IF(ISNUMBER(SEARCH("CH",H313)),IFNA(VLOOKUP("CH",Pitch_Coef!$A:$B,2,FALSE),0),0)+IF(ISNUMBER(SEARCH("FK",H313)),IFNA(VLOOKUP("FK",Pitch_Coef!$A:$B,2,FALSE),0),0)+IF(ISNUMBER(SEARCH("SB",H313)),IFNA(VLOOKUP("SB",Pitch_Coef!$A:$B,2,FALSE),0),0)+IF(ISNUMBER(SEARCH("SL",H313)),IFNA(VLOOKUP("SL",Pitch_Coef!$A:$B,2,FALSE),0),0),0)</f>
        <v/>
      </c>
      <c r="AA313">
        <f>IF(Q313="P",16.5944849573+0.2529999141*N313+0.2665900378*O313+0.2632687105*P313+0.0427586837*I313+0.0534777057*J313+0.009015832*K313+0.0204898106*(O313*P313/100)+1.0091022427*U313+1.0968542297*IF(D313="L",1,0)+0.3771555045*IF(D313="S",1,0)-0.2226159177*IF(E313="L",1,0)+1.21385024*R313-1.1652812274*S313+W313+X313+Z313,10.5965166711+0.2825983581*I313+0.2806503532*J313+0.2027213083*K313+0.1147824982*L313+0.0915305332*M313-0.0088454122*(I313*J313/100)-0.0336045706*(K313*L313/100)+2.8497389733*IF(D313="L",1,0)+4.5116226727*IF(D313="S",1,0)-0.6571546448*IF(E313="L",1,0)+0.0850728147*T313+0.0129488446*(T313*T313)+0.1909373936*IF(OR(F313="Utility",G313="Utility"),T313,0)+0.9656824071*R313-1.7517683256*S313+W313+X313+Y313)</f>
        <v/>
      </c>
      <c r="AB313">
        <f>LOOKUP(AA313,Grade_Scale!$A$2:$A$18,Grade_Scale!$B$2:$B$18)</f>
        <v/>
      </c>
      <c r="AC313">
        <f>LOOKUP(AA313,Grade_Scale!$A$2:$A$18,Grade_Scale!$C$2:$C$18)</f>
        <v/>
      </c>
      <c r="AE313">
        <f>IF(AD313="","",AB313-VLOOKUP(AD313,Grade_Scale!$C$2:$E$18,3,FALSE))</f>
        <v/>
      </c>
    </row>
    <row r="314">
      <c r="Q314">
        <f>IF(OR(B314="SP",B314="RP",B314="CP",B314="SP/RP"),"P","H")</f>
        <v/>
      </c>
      <c r="R314">
        <f>IF(F314="",0,IFNA(VLOOKUP(F314,Trait_Polarity!$A:$C,2,FALSE),0))+IF(G314="",0,IFNA(VLOOKUP(G314,Trait_Polarity!$A:$C,2,FALSE),0))</f>
        <v/>
      </c>
      <c r="S314">
        <f>IF(F314="",0,IFNA(VLOOKUP(F314,Trait_Polarity!$A:$C,3,FALSE),0))+IF(G314="",0,IFNA(VLOOKUP(G314,Trait_Polarity!$A:$C,3,FALSE),0))</f>
        <v/>
      </c>
      <c r="T314">
        <f>IF(Q314="P",0,IFNA(VLOOKUP(IF(C314="","(none)",C314),Secondary_Versatility!$A:$B,2,FALSE),0))</f>
        <v/>
      </c>
      <c r="U314">
        <f>IF(H314="",0,LEN(H314)-LEN(SUBSTITUTE(H314,"|",""))+1)</f>
        <v/>
      </c>
      <c r="V314">
        <f>IF(Q314="P",(N314+O314+P314)/3,0.3*I314+0.3*J314+0.2*K314+0.1*L314+0.1*M314)</f>
        <v/>
      </c>
      <c r="W314">
        <f>IF(Q314="P",IF(F314="",0,IFNA(VLOOKUP(F314,Pitcher_Trait_Coef!$A:$B,2,FALSE),0))+IF(G314="",0,IFNA(VLOOKUP(G314,Pitcher_Trait_Coef!$A:$B,2,FALSE),0)),IF(F314="",0,IFNA(VLOOKUP(F314,Hitter_Trait_Coef!$A:$B,2,FALSE),0))+IF(G314="",0,IFNA(VLOOKUP(G314,Hitter_Trait_Coef!$A:$B,2,FALSE),0)))</f>
        <v/>
      </c>
      <c r="X314">
        <f>IF(Q314="P",IFNA(VLOOKUP(B314,Pitcher_Primary_Coef!$A:$B,2,FALSE),0),IFNA(VLOOKUP(B314,Hitter_Primary_Coef!$A:$B,2,FALSE),0))</f>
        <v/>
      </c>
      <c r="Y314">
        <f>IF(Q314="P",0,IFNA(VLOOKUP(IF(C314="","(none)",C314),Hitter_Secondary_Coef!$A:$B,2,FALSE),0))</f>
        <v/>
      </c>
      <c r="Z314">
        <f>IF(Q314="P",IF(ISNUMBER(SEARCH("2F",H314)),IFNA(VLOOKUP("2F",Pitch_Coef!$A:$B,2,FALSE),0),0)+IF(ISNUMBER(SEARCH("4F",H314)),IFNA(VLOOKUP("4F",Pitch_Coef!$A:$B,2,FALSE),0),0)+IF(ISNUMBER(SEARCH("CB",H314)),IFNA(VLOOKUP("CB",Pitch_Coef!$A:$B,2,FALSE),0),0)+IF(ISNUMBER(SEARCH("CF",H314)),IFNA(VLOOKUP("CF",Pitch_Coef!$A:$B,2,FALSE),0),0)+IF(ISNUMBER(SEARCH("CH",H314)),IFNA(VLOOKUP("CH",Pitch_Coef!$A:$B,2,FALSE),0),0)+IF(ISNUMBER(SEARCH("FK",H314)),IFNA(VLOOKUP("FK",Pitch_Coef!$A:$B,2,FALSE),0),0)+IF(ISNUMBER(SEARCH("SB",H314)),IFNA(VLOOKUP("SB",Pitch_Coef!$A:$B,2,FALSE),0),0)+IF(ISNUMBER(SEARCH("SL",H314)),IFNA(VLOOKUP("SL",Pitch_Coef!$A:$B,2,FALSE),0),0),0)</f>
        <v/>
      </c>
      <c r="AA314">
        <f>IF(Q314="P",16.5944849573+0.2529999141*N314+0.2665900378*O314+0.2632687105*P314+0.0427586837*I314+0.0534777057*J314+0.009015832*K314+0.0204898106*(O314*P314/100)+1.0091022427*U314+1.0968542297*IF(D314="L",1,0)+0.3771555045*IF(D314="S",1,0)-0.2226159177*IF(E314="L",1,0)+1.21385024*R314-1.1652812274*S314+W314+X314+Z314,10.5965166711+0.2825983581*I314+0.2806503532*J314+0.2027213083*K314+0.1147824982*L314+0.0915305332*M314-0.0088454122*(I314*J314/100)-0.0336045706*(K314*L314/100)+2.8497389733*IF(D314="L",1,0)+4.5116226727*IF(D314="S",1,0)-0.6571546448*IF(E314="L",1,0)+0.0850728147*T314+0.0129488446*(T314*T314)+0.1909373936*IF(OR(F314="Utility",G314="Utility"),T314,0)+0.9656824071*R314-1.7517683256*S314+W314+X314+Y314)</f>
        <v/>
      </c>
      <c r="AB314">
        <f>LOOKUP(AA314,Grade_Scale!$A$2:$A$18,Grade_Scale!$B$2:$B$18)</f>
        <v/>
      </c>
      <c r="AC314">
        <f>LOOKUP(AA314,Grade_Scale!$A$2:$A$18,Grade_Scale!$C$2:$C$18)</f>
        <v/>
      </c>
      <c r="AE314">
        <f>IF(AD314="","",AB314-VLOOKUP(AD314,Grade_Scale!$C$2:$E$18,3,FALSE))</f>
        <v/>
      </c>
    </row>
    <row r="315">
      <c r="Q315">
        <f>IF(OR(B315="SP",B315="RP",B315="CP",B315="SP/RP"),"P","H")</f>
        <v/>
      </c>
      <c r="R315">
        <f>IF(F315="",0,IFNA(VLOOKUP(F315,Trait_Polarity!$A:$C,2,FALSE),0))+IF(G315="",0,IFNA(VLOOKUP(G315,Trait_Polarity!$A:$C,2,FALSE),0))</f>
        <v/>
      </c>
      <c r="S315">
        <f>IF(F315="",0,IFNA(VLOOKUP(F315,Trait_Polarity!$A:$C,3,FALSE),0))+IF(G315="",0,IFNA(VLOOKUP(G315,Trait_Polarity!$A:$C,3,FALSE),0))</f>
        <v/>
      </c>
      <c r="T315">
        <f>IF(Q315="P",0,IFNA(VLOOKUP(IF(C315="","(none)",C315),Secondary_Versatility!$A:$B,2,FALSE),0))</f>
        <v/>
      </c>
      <c r="U315">
        <f>IF(H315="",0,LEN(H315)-LEN(SUBSTITUTE(H315,"|",""))+1)</f>
        <v/>
      </c>
      <c r="V315">
        <f>IF(Q315="P",(N315+O315+P315)/3,0.3*I315+0.3*J315+0.2*K315+0.1*L315+0.1*M315)</f>
        <v/>
      </c>
      <c r="W315">
        <f>IF(Q315="P",IF(F315="",0,IFNA(VLOOKUP(F315,Pitcher_Trait_Coef!$A:$B,2,FALSE),0))+IF(G315="",0,IFNA(VLOOKUP(G315,Pitcher_Trait_Coef!$A:$B,2,FALSE),0)),IF(F315="",0,IFNA(VLOOKUP(F315,Hitter_Trait_Coef!$A:$B,2,FALSE),0))+IF(G315="",0,IFNA(VLOOKUP(G315,Hitter_Trait_Coef!$A:$B,2,FALSE),0)))</f>
        <v/>
      </c>
      <c r="X315">
        <f>IF(Q315="P",IFNA(VLOOKUP(B315,Pitcher_Primary_Coef!$A:$B,2,FALSE),0),IFNA(VLOOKUP(B315,Hitter_Primary_Coef!$A:$B,2,FALSE),0))</f>
        <v/>
      </c>
      <c r="Y315">
        <f>IF(Q315="P",0,IFNA(VLOOKUP(IF(C315="","(none)",C315),Hitter_Secondary_Coef!$A:$B,2,FALSE),0))</f>
        <v/>
      </c>
      <c r="Z315">
        <f>IF(Q315="P",IF(ISNUMBER(SEARCH("2F",H315)),IFNA(VLOOKUP("2F",Pitch_Coef!$A:$B,2,FALSE),0),0)+IF(ISNUMBER(SEARCH("4F",H315)),IFNA(VLOOKUP("4F",Pitch_Coef!$A:$B,2,FALSE),0),0)+IF(ISNUMBER(SEARCH("CB",H315)),IFNA(VLOOKUP("CB",Pitch_Coef!$A:$B,2,FALSE),0),0)+IF(ISNUMBER(SEARCH("CF",H315)),IFNA(VLOOKUP("CF",Pitch_Coef!$A:$B,2,FALSE),0),0)+IF(ISNUMBER(SEARCH("CH",H315)),IFNA(VLOOKUP("CH",Pitch_Coef!$A:$B,2,FALSE),0),0)+IF(ISNUMBER(SEARCH("FK",H315)),IFNA(VLOOKUP("FK",Pitch_Coef!$A:$B,2,FALSE),0),0)+IF(ISNUMBER(SEARCH("SB",H315)),IFNA(VLOOKUP("SB",Pitch_Coef!$A:$B,2,FALSE),0),0)+IF(ISNUMBER(SEARCH("SL",H315)),IFNA(VLOOKUP("SL",Pitch_Coef!$A:$B,2,FALSE),0),0),0)</f>
        <v/>
      </c>
      <c r="AA315">
        <f>IF(Q315="P",16.5944849573+0.2529999141*N315+0.2665900378*O315+0.2632687105*P315+0.0427586837*I315+0.0534777057*J315+0.009015832*K315+0.0204898106*(O315*P315/100)+1.0091022427*U315+1.0968542297*IF(D315="L",1,0)+0.3771555045*IF(D315="S",1,0)-0.2226159177*IF(E315="L",1,0)+1.21385024*R315-1.1652812274*S315+W315+X315+Z315,10.5965166711+0.2825983581*I315+0.2806503532*J315+0.2027213083*K315+0.1147824982*L315+0.0915305332*M315-0.0088454122*(I315*J315/100)-0.0336045706*(K315*L315/100)+2.8497389733*IF(D315="L",1,0)+4.5116226727*IF(D315="S",1,0)-0.6571546448*IF(E315="L",1,0)+0.0850728147*T315+0.0129488446*(T315*T315)+0.1909373936*IF(OR(F315="Utility",G315="Utility"),T315,0)+0.9656824071*R315-1.7517683256*S315+W315+X315+Y315)</f>
        <v/>
      </c>
      <c r="AB315">
        <f>LOOKUP(AA315,Grade_Scale!$A$2:$A$18,Grade_Scale!$B$2:$B$18)</f>
        <v/>
      </c>
      <c r="AC315">
        <f>LOOKUP(AA315,Grade_Scale!$A$2:$A$18,Grade_Scale!$C$2:$C$18)</f>
        <v/>
      </c>
      <c r="AE315">
        <f>IF(AD315="","",AB315-VLOOKUP(AD315,Grade_Scale!$C$2:$E$18,3,FALSE))</f>
        <v/>
      </c>
    </row>
    <row r="316">
      <c r="Q316">
        <f>IF(OR(B316="SP",B316="RP",B316="CP",B316="SP/RP"),"P","H")</f>
        <v/>
      </c>
      <c r="R316">
        <f>IF(F316="",0,IFNA(VLOOKUP(F316,Trait_Polarity!$A:$C,2,FALSE),0))+IF(G316="",0,IFNA(VLOOKUP(G316,Trait_Polarity!$A:$C,2,FALSE),0))</f>
        <v/>
      </c>
      <c r="S316">
        <f>IF(F316="",0,IFNA(VLOOKUP(F316,Trait_Polarity!$A:$C,3,FALSE),0))+IF(G316="",0,IFNA(VLOOKUP(G316,Trait_Polarity!$A:$C,3,FALSE),0))</f>
        <v/>
      </c>
      <c r="T316">
        <f>IF(Q316="P",0,IFNA(VLOOKUP(IF(C316="","(none)",C316),Secondary_Versatility!$A:$B,2,FALSE),0))</f>
        <v/>
      </c>
      <c r="U316">
        <f>IF(H316="",0,LEN(H316)-LEN(SUBSTITUTE(H316,"|",""))+1)</f>
        <v/>
      </c>
      <c r="V316">
        <f>IF(Q316="P",(N316+O316+P316)/3,0.3*I316+0.3*J316+0.2*K316+0.1*L316+0.1*M316)</f>
        <v/>
      </c>
      <c r="W316">
        <f>IF(Q316="P",IF(F316="",0,IFNA(VLOOKUP(F316,Pitcher_Trait_Coef!$A:$B,2,FALSE),0))+IF(G316="",0,IFNA(VLOOKUP(G316,Pitcher_Trait_Coef!$A:$B,2,FALSE),0)),IF(F316="",0,IFNA(VLOOKUP(F316,Hitter_Trait_Coef!$A:$B,2,FALSE),0))+IF(G316="",0,IFNA(VLOOKUP(G316,Hitter_Trait_Coef!$A:$B,2,FALSE),0)))</f>
        <v/>
      </c>
      <c r="X316">
        <f>IF(Q316="P",IFNA(VLOOKUP(B316,Pitcher_Primary_Coef!$A:$B,2,FALSE),0),IFNA(VLOOKUP(B316,Hitter_Primary_Coef!$A:$B,2,FALSE),0))</f>
        <v/>
      </c>
      <c r="Y316">
        <f>IF(Q316="P",0,IFNA(VLOOKUP(IF(C316="","(none)",C316),Hitter_Secondary_Coef!$A:$B,2,FALSE),0))</f>
        <v/>
      </c>
      <c r="Z316">
        <f>IF(Q316="P",IF(ISNUMBER(SEARCH("2F",H316)),IFNA(VLOOKUP("2F",Pitch_Coef!$A:$B,2,FALSE),0),0)+IF(ISNUMBER(SEARCH("4F",H316)),IFNA(VLOOKUP("4F",Pitch_Coef!$A:$B,2,FALSE),0),0)+IF(ISNUMBER(SEARCH("CB",H316)),IFNA(VLOOKUP("CB",Pitch_Coef!$A:$B,2,FALSE),0),0)+IF(ISNUMBER(SEARCH("CF",H316)),IFNA(VLOOKUP("CF",Pitch_Coef!$A:$B,2,FALSE),0),0)+IF(ISNUMBER(SEARCH("CH",H316)),IFNA(VLOOKUP("CH",Pitch_Coef!$A:$B,2,FALSE),0),0)+IF(ISNUMBER(SEARCH("FK",H316)),IFNA(VLOOKUP("FK",Pitch_Coef!$A:$B,2,FALSE),0),0)+IF(ISNUMBER(SEARCH("SB",H316)),IFNA(VLOOKUP("SB",Pitch_Coef!$A:$B,2,FALSE),0),0)+IF(ISNUMBER(SEARCH("SL",H316)),IFNA(VLOOKUP("SL",Pitch_Coef!$A:$B,2,FALSE),0),0),0)</f>
        <v/>
      </c>
      <c r="AA316">
        <f>IF(Q316="P",16.5944849573+0.2529999141*N316+0.2665900378*O316+0.2632687105*P316+0.0427586837*I316+0.0534777057*J316+0.009015832*K316+0.0204898106*(O316*P316/100)+1.0091022427*U316+1.0968542297*IF(D316="L",1,0)+0.3771555045*IF(D316="S",1,0)-0.2226159177*IF(E316="L",1,0)+1.21385024*R316-1.1652812274*S316+W316+X316+Z316,10.5965166711+0.2825983581*I316+0.2806503532*J316+0.2027213083*K316+0.1147824982*L316+0.0915305332*M316-0.0088454122*(I316*J316/100)-0.0336045706*(K316*L316/100)+2.8497389733*IF(D316="L",1,0)+4.5116226727*IF(D316="S",1,0)-0.6571546448*IF(E316="L",1,0)+0.0850728147*T316+0.0129488446*(T316*T316)+0.1909373936*IF(OR(F316="Utility",G316="Utility"),T316,0)+0.9656824071*R316-1.7517683256*S316+W316+X316+Y316)</f>
        <v/>
      </c>
      <c r="AB316">
        <f>LOOKUP(AA316,Grade_Scale!$A$2:$A$18,Grade_Scale!$B$2:$B$18)</f>
        <v/>
      </c>
      <c r="AC316">
        <f>LOOKUP(AA316,Grade_Scale!$A$2:$A$18,Grade_Scale!$C$2:$C$18)</f>
        <v/>
      </c>
      <c r="AE316">
        <f>IF(AD316="","",AB316-VLOOKUP(AD316,Grade_Scale!$C$2:$E$18,3,FALSE))</f>
        <v/>
      </c>
    </row>
    <row r="317">
      <c r="Q317">
        <f>IF(OR(B317="SP",B317="RP",B317="CP",B317="SP/RP"),"P","H")</f>
        <v/>
      </c>
      <c r="R317">
        <f>IF(F317="",0,IFNA(VLOOKUP(F317,Trait_Polarity!$A:$C,2,FALSE),0))+IF(G317="",0,IFNA(VLOOKUP(G317,Trait_Polarity!$A:$C,2,FALSE),0))</f>
        <v/>
      </c>
      <c r="S317">
        <f>IF(F317="",0,IFNA(VLOOKUP(F317,Trait_Polarity!$A:$C,3,FALSE),0))+IF(G317="",0,IFNA(VLOOKUP(G317,Trait_Polarity!$A:$C,3,FALSE),0))</f>
        <v/>
      </c>
      <c r="T317">
        <f>IF(Q317="P",0,IFNA(VLOOKUP(IF(C317="","(none)",C317),Secondary_Versatility!$A:$B,2,FALSE),0))</f>
        <v/>
      </c>
      <c r="U317">
        <f>IF(H317="",0,LEN(H317)-LEN(SUBSTITUTE(H317,"|",""))+1)</f>
        <v/>
      </c>
      <c r="V317">
        <f>IF(Q317="P",(N317+O317+P317)/3,0.3*I317+0.3*J317+0.2*K317+0.1*L317+0.1*M317)</f>
        <v/>
      </c>
      <c r="W317">
        <f>IF(Q317="P",IF(F317="",0,IFNA(VLOOKUP(F317,Pitcher_Trait_Coef!$A:$B,2,FALSE),0))+IF(G317="",0,IFNA(VLOOKUP(G317,Pitcher_Trait_Coef!$A:$B,2,FALSE),0)),IF(F317="",0,IFNA(VLOOKUP(F317,Hitter_Trait_Coef!$A:$B,2,FALSE),0))+IF(G317="",0,IFNA(VLOOKUP(G317,Hitter_Trait_Coef!$A:$B,2,FALSE),0)))</f>
        <v/>
      </c>
      <c r="X317">
        <f>IF(Q317="P",IFNA(VLOOKUP(B317,Pitcher_Primary_Coef!$A:$B,2,FALSE),0),IFNA(VLOOKUP(B317,Hitter_Primary_Coef!$A:$B,2,FALSE),0))</f>
        <v/>
      </c>
      <c r="Y317">
        <f>IF(Q317="P",0,IFNA(VLOOKUP(IF(C317="","(none)",C317),Hitter_Secondary_Coef!$A:$B,2,FALSE),0))</f>
        <v/>
      </c>
      <c r="Z317">
        <f>IF(Q317="P",IF(ISNUMBER(SEARCH("2F",H317)),IFNA(VLOOKUP("2F",Pitch_Coef!$A:$B,2,FALSE),0),0)+IF(ISNUMBER(SEARCH("4F",H317)),IFNA(VLOOKUP("4F",Pitch_Coef!$A:$B,2,FALSE),0),0)+IF(ISNUMBER(SEARCH("CB",H317)),IFNA(VLOOKUP("CB",Pitch_Coef!$A:$B,2,FALSE),0),0)+IF(ISNUMBER(SEARCH("CF",H317)),IFNA(VLOOKUP("CF",Pitch_Coef!$A:$B,2,FALSE),0),0)+IF(ISNUMBER(SEARCH("CH",H317)),IFNA(VLOOKUP("CH",Pitch_Coef!$A:$B,2,FALSE),0),0)+IF(ISNUMBER(SEARCH("FK",H317)),IFNA(VLOOKUP("FK",Pitch_Coef!$A:$B,2,FALSE),0),0)+IF(ISNUMBER(SEARCH("SB",H317)),IFNA(VLOOKUP("SB",Pitch_Coef!$A:$B,2,FALSE),0),0)+IF(ISNUMBER(SEARCH("SL",H317)),IFNA(VLOOKUP("SL",Pitch_Coef!$A:$B,2,FALSE),0),0),0)</f>
        <v/>
      </c>
      <c r="AA317">
        <f>IF(Q317="P",16.5944849573+0.2529999141*N317+0.2665900378*O317+0.2632687105*P317+0.0427586837*I317+0.0534777057*J317+0.009015832*K317+0.0204898106*(O317*P317/100)+1.0091022427*U317+1.0968542297*IF(D317="L",1,0)+0.3771555045*IF(D317="S",1,0)-0.2226159177*IF(E317="L",1,0)+1.21385024*R317-1.1652812274*S317+W317+X317+Z317,10.5965166711+0.2825983581*I317+0.2806503532*J317+0.2027213083*K317+0.1147824982*L317+0.0915305332*M317-0.0088454122*(I317*J317/100)-0.0336045706*(K317*L317/100)+2.8497389733*IF(D317="L",1,0)+4.5116226727*IF(D317="S",1,0)-0.6571546448*IF(E317="L",1,0)+0.0850728147*T317+0.0129488446*(T317*T317)+0.1909373936*IF(OR(F317="Utility",G317="Utility"),T317,0)+0.9656824071*R317-1.7517683256*S317+W317+X317+Y317)</f>
        <v/>
      </c>
      <c r="AB317">
        <f>LOOKUP(AA317,Grade_Scale!$A$2:$A$18,Grade_Scale!$B$2:$B$18)</f>
        <v/>
      </c>
      <c r="AC317">
        <f>LOOKUP(AA317,Grade_Scale!$A$2:$A$18,Grade_Scale!$C$2:$C$18)</f>
        <v/>
      </c>
      <c r="AE317">
        <f>IF(AD317="","",AB317-VLOOKUP(AD317,Grade_Scale!$C$2:$E$18,3,FALSE))</f>
        <v/>
      </c>
    </row>
    <row r="318">
      <c r="Q318">
        <f>IF(OR(B318="SP",B318="RP",B318="CP",B318="SP/RP"),"P","H")</f>
        <v/>
      </c>
      <c r="R318">
        <f>IF(F318="",0,IFNA(VLOOKUP(F318,Trait_Polarity!$A:$C,2,FALSE),0))+IF(G318="",0,IFNA(VLOOKUP(G318,Trait_Polarity!$A:$C,2,FALSE),0))</f>
        <v/>
      </c>
      <c r="S318">
        <f>IF(F318="",0,IFNA(VLOOKUP(F318,Trait_Polarity!$A:$C,3,FALSE),0))+IF(G318="",0,IFNA(VLOOKUP(G318,Trait_Polarity!$A:$C,3,FALSE),0))</f>
        <v/>
      </c>
      <c r="T318">
        <f>IF(Q318="P",0,IFNA(VLOOKUP(IF(C318="","(none)",C318),Secondary_Versatility!$A:$B,2,FALSE),0))</f>
        <v/>
      </c>
      <c r="U318">
        <f>IF(H318="",0,LEN(H318)-LEN(SUBSTITUTE(H318,"|",""))+1)</f>
        <v/>
      </c>
      <c r="V318">
        <f>IF(Q318="P",(N318+O318+P318)/3,0.3*I318+0.3*J318+0.2*K318+0.1*L318+0.1*M318)</f>
        <v/>
      </c>
      <c r="W318">
        <f>IF(Q318="P",IF(F318="",0,IFNA(VLOOKUP(F318,Pitcher_Trait_Coef!$A:$B,2,FALSE),0))+IF(G318="",0,IFNA(VLOOKUP(G318,Pitcher_Trait_Coef!$A:$B,2,FALSE),0)),IF(F318="",0,IFNA(VLOOKUP(F318,Hitter_Trait_Coef!$A:$B,2,FALSE),0))+IF(G318="",0,IFNA(VLOOKUP(G318,Hitter_Trait_Coef!$A:$B,2,FALSE),0)))</f>
        <v/>
      </c>
      <c r="X318">
        <f>IF(Q318="P",IFNA(VLOOKUP(B318,Pitcher_Primary_Coef!$A:$B,2,FALSE),0),IFNA(VLOOKUP(B318,Hitter_Primary_Coef!$A:$B,2,FALSE),0))</f>
        <v/>
      </c>
      <c r="Y318">
        <f>IF(Q318="P",0,IFNA(VLOOKUP(IF(C318="","(none)",C318),Hitter_Secondary_Coef!$A:$B,2,FALSE),0))</f>
        <v/>
      </c>
      <c r="Z318">
        <f>IF(Q318="P",IF(ISNUMBER(SEARCH("2F",H318)),IFNA(VLOOKUP("2F",Pitch_Coef!$A:$B,2,FALSE),0),0)+IF(ISNUMBER(SEARCH("4F",H318)),IFNA(VLOOKUP("4F",Pitch_Coef!$A:$B,2,FALSE),0),0)+IF(ISNUMBER(SEARCH("CB",H318)),IFNA(VLOOKUP("CB",Pitch_Coef!$A:$B,2,FALSE),0),0)+IF(ISNUMBER(SEARCH("CF",H318)),IFNA(VLOOKUP("CF",Pitch_Coef!$A:$B,2,FALSE),0),0)+IF(ISNUMBER(SEARCH("CH",H318)),IFNA(VLOOKUP("CH",Pitch_Coef!$A:$B,2,FALSE),0),0)+IF(ISNUMBER(SEARCH("FK",H318)),IFNA(VLOOKUP("FK",Pitch_Coef!$A:$B,2,FALSE),0),0)+IF(ISNUMBER(SEARCH("SB",H318)),IFNA(VLOOKUP("SB",Pitch_Coef!$A:$B,2,FALSE),0),0)+IF(ISNUMBER(SEARCH("SL",H318)),IFNA(VLOOKUP("SL",Pitch_Coef!$A:$B,2,FALSE),0),0),0)</f>
        <v/>
      </c>
      <c r="AA318">
        <f>IF(Q318="P",16.5944849573+0.2529999141*N318+0.2665900378*O318+0.2632687105*P318+0.0427586837*I318+0.0534777057*J318+0.009015832*K318+0.0204898106*(O318*P318/100)+1.0091022427*U318+1.0968542297*IF(D318="L",1,0)+0.3771555045*IF(D318="S",1,0)-0.2226159177*IF(E318="L",1,0)+1.21385024*R318-1.1652812274*S318+W318+X318+Z318,10.5965166711+0.2825983581*I318+0.2806503532*J318+0.2027213083*K318+0.1147824982*L318+0.0915305332*M318-0.0088454122*(I318*J318/100)-0.0336045706*(K318*L318/100)+2.8497389733*IF(D318="L",1,0)+4.5116226727*IF(D318="S",1,0)-0.6571546448*IF(E318="L",1,0)+0.0850728147*T318+0.0129488446*(T318*T318)+0.1909373936*IF(OR(F318="Utility",G318="Utility"),T318,0)+0.9656824071*R318-1.7517683256*S318+W318+X318+Y318)</f>
        <v/>
      </c>
      <c r="AB318">
        <f>LOOKUP(AA318,Grade_Scale!$A$2:$A$18,Grade_Scale!$B$2:$B$18)</f>
        <v/>
      </c>
      <c r="AC318">
        <f>LOOKUP(AA318,Grade_Scale!$A$2:$A$18,Grade_Scale!$C$2:$C$18)</f>
        <v/>
      </c>
      <c r="AE318">
        <f>IF(AD318="","",AB318-VLOOKUP(AD318,Grade_Scale!$C$2:$E$18,3,FALSE))</f>
        <v/>
      </c>
    </row>
    <row r="319">
      <c r="Q319">
        <f>IF(OR(B319="SP",B319="RP",B319="CP",B319="SP/RP"),"P","H")</f>
        <v/>
      </c>
      <c r="R319">
        <f>IF(F319="",0,IFNA(VLOOKUP(F319,Trait_Polarity!$A:$C,2,FALSE),0))+IF(G319="",0,IFNA(VLOOKUP(G319,Trait_Polarity!$A:$C,2,FALSE),0))</f>
        <v/>
      </c>
      <c r="S319">
        <f>IF(F319="",0,IFNA(VLOOKUP(F319,Trait_Polarity!$A:$C,3,FALSE),0))+IF(G319="",0,IFNA(VLOOKUP(G319,Trait_Polarity!$A:$C,3,FALSE),0))</f>
        <v/>
      </c>
      <c r="T319">
        <f>IF(Q319="P",0,IFNA(VLOOKUP(IF(C319="","(none)",C319),Secondary_Versatility!$A:$B,2,FALSE),0))</f>
        <v/>
      </c>
      <c r="U319">
        <f>IF(H319="",0,LEN(H319)-LEN(SUBSTITUTE(H319,"|",""))+1)</f>
        <v/>
      </c>
      <c r="V319">
        <f>IF(Q319="P",(N319+O319+P319)/3,0.3*I319+0.3*J319+0.2*K319+0.1*L319+0.1*M319)</f>
        <v/>
      </c>
      <c r="W319">
        <f>IF(Q319="P",IF(F319="",0,IFNA(VLOOKUP(F319,Pitcher_Trait_Coef!$A:$B,2,FALSE),0))+IF(G319="",0,IFNA(VLOOKUP(G319,Pitcher_Trait_Coef!$A:$B,2,FALSE),0)),IF(F319="",0,IFNA(VLOOKUP(F319,Hitter_Trait_Coef!$A:$B,2,FALSE),0))+IF(G319="",0,IFNA(VLOOKUP(G319,Hitter_Trait_Coef!$A:$B,2,FALSE),0)))</f>
        <v/>
      </c>
      <c r="X319">
        <f>IF(Q319="P",IFNA(VLOOKUP(B319,Pitcher_Primary_Coef!$A:$B,2,FALSE),0),IFNA(VLOOKUP(B319,Hitter_Primary_Coef!$A:$B,2,FALSE),0))</f>
        <v/>
      </c>
      <c r="Y319">
        <f>IF(Q319="P",0,IFNA(VLOOKUP(IF(C319="","(none)",C319),Hitter_Secondary_Coef!$A:$B,2,FALSE),0))</f>
        <v/>
      </c>
      <c r="Z319">
        <f>IF(Q319="P",IF(ISNUMBER(SEARCH("2F",H319)),IFNA(VLOOKUP("2F",Pitch_Coef!$A:$B,2,FALSE),0),0)+IF(ISNUMBER(SEARCH("4F",H319)),IFNA(VLOOKUP("4F",Pitch_Coef!$A:$B,2,FALSE),0),0)+IF(ISNUMBER(SEARCH("CB",H319)),IFNA(VLOOKUP("CB",Pitch_Coef!$A:$B,2,FALSE),0),0)+IF(ISNUMBER(SEARCH("CF",H319)),IFNA(VLOOKUP("CF",Pitch_Coef!$A:$B,2,FALSE),0),0)+IF(ISNUMBER(SEARCH("CH",H319)),IFNA(VLOOKUP("CH",Pitch_Coef!$A:$B,2,FALSE),0),0)+IF(ISNUMBER(SEARCH("FK",H319)),IFNA(VLOOKUP("FK",Pitch_Coef!$A:$B,2,FALSE),0),0)+IF(ISNUMBER(SEARCH("SB",H319)),IFNA(VLOOKUP("SB",Pitch_Coef!$A:$B,2,FALSE),0),0)+IF(ISNUMBER(SEARCH("SL",H319)),IFNA(VLOOKUP("SL",Pitch_Coef!$A:$B,2,FALSE),0),0),0)</f>
        <v/>
      </c>
      <c r="AA319">
        <f>IF(Q319="P",16.5944849573+0.2529999141*N319+0.2665900378*O319+0.2632687105*P319+0.0427586837*I319+0.0534777057*J319+0.009015832*K319+0.0204898106*(O319*P319/100)+1.0091022427*U319+1.0968542297*IF(D319="L",1,0)+0.3771555045*IF(D319="S",1,0)-0.2226159177*IF(E319="L",1,0)+1.21385024*R319-1.1652812274*S319+W319+X319+Z319,10.5965166711+0.2825983581*I319+0.2806503532*J319+0.2027213083*K319+0.1147824982*L319+0.0915305332*M319-0.0088454122*(I319*J319/100)-0.0336045706*(K319*L319/100)+2.8497389733*IF(D319="L",1,0)+4.5116226727*IF(D319="S",1,0)-0.6571546448*IF(E319="L",1,0)+0.0850728147*T319+0.0129488446*(T319*T319)+0.1909373936*IF(OR(F319="Utility",G319="Utility"),T319,0)+0.9656824071*R319-1.7517683256*S319+W319+X319+Y319)</f>
        <v/>
      </c>
      <c r="AB319">
        <f>LOOKUP(AA319,Grade_Scale!$A$2:$A$18,Grade_Scale!$B$2:$B$18)</f>
        <v/>
      </c>
      <c r="AC319">
        <f>LOOKUP(AA319,Grade_Scale!$A$2:$A$18,Grade_Scale!$C$2:$C$18)</f>
        <v/>
      </c>
      <c r="AE319">
        <f>IF(AD319="","",AB319-VLOOKUP(AD319,Grade_Scale!$C$2:$E$18,3,FALSE))</f>
        <v/>
      </c>
    </row>
    <row r="320">
      <c r="Q320">
        <f>IF(OR(B320="SP",B320="RP",B320="CP",B320="SP/RP"),"P","H")</f>
        <v/>
      </c>
      <c r="R320">
        <f>IF(F320="",0,IFNA(VLOOKUP(F320,Trait_Polarity!$A:$C,2,FALSE),0))+IF(G320="",0,IFNA(VLOOKUP(G320,Trait_Polarity!$A:$C,2,FALSE),0))</f>
        <v/>
      </c>
      <c r="S320">
        <f>IF(F320="",0,IFNA(VLOOKUP(F320,Trait_Polarity!$A:$C,3,FALSE),0))+IF(G320="",0,IFNA(VLOOKUP(G320,Trait_Polarity!$A:$C,3,FALSE),0))</f>
        <v/>
      </c>
      <c r="T320">
        <f>IF(Q320="P",0,IFNA(VLOOKUP(IF(C320="","(none)",C320),Secondary_Versatility!$A:$B,2,FALSE),0))</f>
        <v/>
      </c>
      <c r="U320">
        <f>IF(H320="",0,LEN(H320)-LEN(SUBSTITUTE(H320,"|",""))+1)</f>
        <v/>
      </c>
      <c r="V320">
        <f>IF(Q320="P",(N320+O320+P320)/3,0.3*I320+0.3*J320+0.2*K320+0.1*L320+0.1*M320)</f>
        <v/>
      </c>
      <c r="W320">
        <f>IF(Q320="P",IF(F320="",0,IFNA(VLOOKUP(F320,Pitcher_Trait_Coef!$A:$B,2,FALSE),0))+IF(G320="",0,IFNA(VLOOKUP(G320,Pitcher_Trait_Coef!$A:$B,2,FALSE),0)),IF(F320="",0,IFNA(VLOOKUP(F320,Hitter_Trait_Coef!$A:$B,2,FALSE),0))+IF(G320="",0,IFNA(VLOOKUP(G320,Hitter_Trait_Coef!$A:$B,2,FALSE),0)))</f>
        <v/>
      </c>
      <c r="X320">
        <f>IF(Q320="P",IFNA(VLOOKUP(B320,Pitcher_Primary_Coef!$A:$B,2,FALSE),0),IFNA(VLOOKUP(B320,Hitter_Primary_Coef!$A:$B,2,FALSE),0))</f>
        <v/>
      </c>
      <c r="Y320">
        <f>IF(Q320="P",0,IFNA(VLOOKUP(IF(C320="","(none)",C320),Hitter_Secondary_Coef!$A:$B,2,FALSE),0))</f>
        <v/>
      </c>
      <c r="Z320">
        <f>IF(Q320="P",IF(ISNUMBER(SEARCH("2F",H320)),IFNA(VLOOKUP("2F",Pitch_Coef!$A:$B,2,FALSE),0),0)+IF(ISNUMBER(SEARCH("4F",H320)),IFNA(VLOOKUP("4F",Pitch_Coef!$A:$B,2,FALSE),0),0)+IF(ISNUMBER(SEARCH("CB",H320)),IFNA(VLOOKUP("CB",Pitch_Coef!$A:$B,2,FALSE),0),0)+IF(ISNUMBER(SEARCH("CF",H320)),IFNA(VLOOKUP("CF",Pitch_Coef!$A:$B,2,FALSE),0),0)+IF(ISNUMBER(SEARCH("CH",H320)),IFNA(VLOOKUP("CH",Pitch_Coef!$A:$B,2,FALSE),0),0)+IF(ISNUMBER(SEARCH("FK",H320)),IFNA(VLOOKUP("FK",Pitch_Coef!$A:$B,2,FALSE),0),0)+IF(ISNUMBER(SEARCH("SB",H320)),IFNA(VLOOKUP("SB",Pitch_Coef!$A:$B,2,FALSE),0),0)+IF(ISNUMBER(SEARCH("SL",H320)),IFNA(VLOOKUP("SL",Pitch_Coef!$A:$B,2,FALSE),0),0),0)</f>
        <v/>
      </c>
      <c r="AA320">
        <f>IF(Q320="P",16.5944849573+0.2529999141*N320+0.2665900378*O320+0.2632687105*P320+0.0427586837*I320+0.0534777057*J320+0.009015832*K320+0.0204898106*(O320*P320/100)+1.0091022427*U320+1.0968542297*IF(D320="L",1,0)+0.3771555045*IF(D320="S",1,0)-0.2226159177*IF(E320="L",1,0)+1.21385024*R320-1.1652812274*S320+W320+X320+Z320,10.5965166711+0.2825983581*I320+0.2806503532*J320+0.2027213083*K320+0.1147824982*L320+0.0915305332*M320-0.0088454122*(I320*J320/100)-0.0336045706*(K320*L320/100)+2.8497389733*IF(D320="L",1,0)+4.5116226727*IF(D320="S",1,0)-0.6571546448*IF(E320="L",1,0)+0.0850728147*T320+0.0129488446*(T320*T320)+0.1909373936*IF(OR(F320="Utility",G320="Utility"),T320,0)+0.9656824071*R320-1.7517683256*S320+W320+X320+Y320)</f>
        <v/>
      </c>
      <c r="AB320">
        <f>LOOKUP(AA320,Grade_Scale!$A$2:$A$18,Grade_Scale!$B$2:$B$18)</f>
        <v/>
      </c>
      <c r="AC320">
        <f>LOOKUP(AA320,Grade_Scale!$A$2:$A$18,Grade_Scale!$C$2:$C$18)</f>
        <v/>
      </c>
      <c r="AE320">
        <f>IF(AD320="","",AB320-VLOOKUP(AD320,Grade_Scale!$C$2:$E$18,3,FALSE))</f>
        <v/>
      </c>
    </row>
    <row r="321">
      <c r="Q321">
        <f>IF(OR(B321="SP",B321="RP",B321="CP",B321="SP/RP"),"P","H")</f>
        <v/>
      </c>
      <c r="R321">
        <f>IF(F321="",0,IFNA(VLOOKUP(F321,Trait_Polarity!$A:$C,2,FALSE),0))+IF(G321="",0,IFNA(VLOOKUP(G321,Trait_Polarity!$A:$C,2,FALSE),0))</f>
        <v/>
      </c>
      <c r="S321">
        <f>IF(F321="",0,IFNA(VLOOKUP(F321,Trait_Polarity!$A:$C,3,FALSE),0))+IF(G321="",0,IFNA(VLOOKUP(G321,Trait_Polarity!$A:$C,3,FALSE),0))</f>
        <v/>
      </c>
      <c r="T321">
        <f>IF(Q321="P",0,IFNA(VLOOKUP(IF(C321="","(none)",C321),Secondary_Versatility!$A:$B,2,FALSE),0))</f>
        <v/>
      </c>
      <c r="U321">
        <f>IF(H321="",0,LEN(H321)-LEN(SUBSTITUTE(H321,"|",""))+1)</f>
        <v/>
      </c>
      <c r="V321">
        <f>IF(Q321="P",(N321+O321+P321)/3,0.3*I321+0.3*J321+0.2*K321+0.1*L321+0.1*M321)</f>
        <v/>
      </c>
      <c r="W321">
        <f>IF(Q321="P",IF(F321="",0,IFNA(VLOOKUP(F321,Pitcher_Trait_Coef!$A:$B,2,FALSE),0))+IF(G321="",0,IFNA(VLOOKUP(G321,Pitcher_Trait_Coef!$A:$B,2,FALSE),0)),IF(F321="",0,IFNA(VLOOKUP(F321,Hitter_Trait_Coef!$A:$B,2,FALSE),0))+IF(G321="",0,IFNA(VLOOKUP(G321,Hitter_Trait_Coef!$A:$B,2,FALSE),0)))</f>
        <v/>
      </c>
      <c r="X321">
        <f>IF(Q321="P",IFNA(VLOOKUP(B321,Pitcher_Primary_Coef!$A:$B,2,FALSE),0),IFNA(VLOOKUP(B321,Hitter_Primary_Coef!$A:$B,2,FALSE),0))</f>
        <v/>
      </c>
      <c r="Y321">
        <f>IF(Q321="P",0,IFNA(VLOOKUP(IF(C321="","(none)",C321),Hitter_Secondary_Coef!$A:$B,2,FALSE),0))</f>
        <v/>
      </c>
      <c r="Z321">
        <f>IF(Q321="P",IF(ISNUMBER(SEARCH("2F",H321)),IFNA(VLOOKUP("2F",Pitch_Coef!$A:$B,2,FALSE),0),0)+IF(ISNUMBER(SEARCH("4F",H321)),IFNA(VLOOKUP("4F",Pitch_Coef!$A:$B,2,FALSE),0),0)+IF(ISNUMBER(SEARCH("CB",H321)),IFNA(VLOOKUP("CB",Pitch_Coef!$A:$B,2,FALSE),0),0)+IF(ISNUMBER(SEARCH("CF",H321)),IFNA(VLOOKUP("CF",Pitch_Coef!$A:$B,2,FALSE),0),0)+IF(ISNUMBER(SEARCH("CH",H321)),IFNA(VLOOKUP("CH",Pitch_Coef!$A:$B,2,FALSE),0),0)+IF(ISNUMBER(SEARCH("FK",H321)),IFNA(VLOOKUP("FK",Pitch_Coef!$A:$B,2,FALSE),0),0)+IF(ISNUMBER(SEARCH("SB",H321)),IFNA(VLOOKUP("SB",Pitch_Coef!$A:$B,2,FALSE),0),0)+IF(ISNUMBER(SEARCH("SL",H321)),IFNA(VLOOKUP("SL",Pitch_Coef!$A:$B,2,FALSE),0),0),0)</f>
        <v/>
      </c>
      <c r="AA321">
        <f>IF(Q321="P",16.5944849573+0.2529999141*N321+0.2665900378*O321+0.2632687105*P321+0.0427586837*I321+0.0534777057*J321+0.009015832*K321+0.0204898106*(O321*P321/100)+1.0091022427*U321+1.0968542297*IF(D321="L",1,0)+0.3771555045*IF(D321="S",1,0)-0.2226159177*IF(E321="L",1,0)+1.21385024*R321-1.1652812274*S321+W321+X321+Z321,10.5965166711+0.2825983581*I321+0.2806503532*J321+0.2027213083*K321+0.1147824982*L321+0.0915305332*M321-0.0088454122*(I321*J321/100)-0.0336045706*(K321*L321/100)+2.8497389733*IF(D321="L",1,0)+4.5116226727*IF(D321="S",1,0)-0.6571546448*IF(E321="L",1,0)+0.0850728147*T321+0.0129488446*(T321*T321)+0.1909373936*IF(OR(F321="Utility",G321="Utility"),T321,0)+0.9656824071*R321-1.7517683256*S321+W321+X321+Y321)</f>
        <v/>
      </c>
      <c r="AB321">
        <f>LOOKUP(AA321,Grade_Scale!$A$2:$A$18,Grade_Scale!$B$2:$B$18)</f>
        <v/>
      </c>
      <c r="AC321">
        <f>LOOKUP(AA321,Grade_Scale!$A$2:$A$18,Grade_Scale!$C$2:$C$18)</f>
        <v/>
      </c>
      <c r="AE321">
        <f>IF(AD321="","",AB321-VLOOKUP(AD321,Grade_Scale!$C$2:$E$18,3,FALSE))</f>
        <v/>
      </c>
    </row>
    <row r="322">
      <c r="Q322">
        <f>IF(OR(B322="SP",B322="RP",B322="CP",B322="SP/RP"),"P","H")</f>
        <v/>
      </c>
      <c r="R322">
        <f>IF(F322="",0,IFNA(VLOOKUP(F322,Trait_Polarity!$A:$C,2,FALSE),0))+IF(G322="",0,IFNA(VLOOKUP(G322,Trait_Polarity!$A:$C,2,FALSE),0))</f>
        <v/>
      </c>
      <c r="S322">
        <f>IF(F322="",0,IFNA(VLOOKUP(F322,Trait_Polarity!$A:$C,3,FALSE),0))+IF(G322="",0,IFNA(VLOOKUP(G322,Trait_Polarity!$A:$C,3,FALSE),0))</f>
        <v/>
      </c>
      <c r="T322">
        <f>IF(Q322="P",0,IFNA(VLOOKUP(IF(C322="","(none)",C322),Secondary_Versatility!$A:$B,2,FALSE),0))</f>
        <v/>
      </c>
      <c r="U322">
        <f>IF(H322="",0,LEN(H322)-LEN(SUBSTITUTE(H322,"|",""))+1)</f>
        <v/>
      </c>
      <c r="V322">
        <f>IF(Q322="P",(N322+O322+P322)/3,0.3*I322+0.3*J322+0.2*K322+0.1*L322+0.1*M322)</f>
        <v/>
      </c>
      <c r="W322">
        <f>IF(Q322="P",IF(F322="",0,IFNA(VLOOKUP(F322,Pitcher_Trait_Coef!$A:$B,2,FALSE),0))+IF(G322="",0,IFNA(VLOOKUP(G322,Pitcher_Trait_Coef!$A:$B,2,FALSE),0)),IF(F322="",0,IFNA(VLOOKUP(F322,Hitter_Trait_Coef!$A:$B,2,FALSE),0))+IF(G322="",0,IFNA(VLOOKUP(G322,Hitter_Trait_Coef!$A:$B,2,FALSE),0)))</f>
        <v/>
      </c>
      <c r="X322">
        <f>IF(Q322="P",IFNA(VLOOKUP(B322,Pitcher_Primary_Coef!$A:$B,2,FALSE),0),IFNA(VLOOKUP(B322,Hitter_Primary_Coef!$A:$B,2,FALSE),0))</f>
        <v/>
      </c>
      <c r="Y322">
        <f>IF(Q322="P",0,IFNA(VLOOKUP(IF(C322="","(none)",C322),Hitter_Secondary_Coef!$A:$B,2,FALSE),0))</f>
        <v/>
      </c>
      <c r="Z322">
        <f>IF(Q322="P",IF(ISNUMBER(SEARCH("2F",H322)),IFNA(VLOOKUP("2F",Pitch_Coef!$A:$B,2,FALSE),0),0)+IF(ISNUMBER(SEARCH("4F",H322)),IFNA(VLOOKUP("4F",Pitch_Coef!$A:$B,2,FALSE),0),0)+IF(ISNUMBER(SEARCH("CB",H322)),IFNA(VLOOKUP("CB",Pitch_Coef!$A:$B,2,FALSE),0),0)+IF(ISNUMBER(SEARCH("CF",H322)),IFNA(VLOOKUP("CF",Pitch_Coef!$A:$B,2,FALSE),0),0)+IF(ISNUMBER(SEARCH("CH",H322)),IFNA(VLOOKUP("CH",Pitch_Coef!$A:$B,2,FALSE),0),0)+IF(ISNUMBER(SEARCH("FK",H322)),IFNA(VLOOKUP("FK",Pitch_Coef!$A:$B,2,FALSE),0),0)+IF(ISNUMBER(SEARCH("SB",H322)),IFNA(VLOOKUP("SB",Pitch_Coef!$A:$B,2,FALSE),0),0)+IF(ISNUMBER(SEARCH("SL",H322)),IFNA(VLOOKUP("SL",Pitch_Coef!$A:$B,2,FALSE),0),0),0)</f>
        <v/>
      </c>
      <c r="AA322">
        <f>IF(Q322="P",16.5944849573+0.2529999141*N322+0.2665900378*O322+0.2632687105*P322+0.0427586837*I322+0.0534777057*J322+0.009015832*K322+0.0204898106*(O322*P322/100)+1.0091022427*U322+1.0968542297*IF(D322="L",1,0)+0.3771555045*IF(D322="S",1,0)-0.2226159177*IF(E322="L",1,0)+1.21385024*R322-1.1652812274*S322+W322+X322+Z322,10.5965166711+0.2825983581*I322+0.2806503532*J322+0.2027213083*K322+0.1147824982*L322+0.0915305332*M322-0.0088454122*(I322*J322/100)-0.0336045706*(K322*L322/100)+2.8497389733*IF(D322="L",1,0)+4.5116226727*IF(D322="S",1,0)-0.6571546448*IF(E322="L",1,0)+0.0850728147*T322+0.0129488446*(T322*T322)+0.1909373936*IF(OR(F322="Utility",G322="Utility"),T322,0)+0.9656824071*R322-1.7517683256*S322+W322+X322+Y322)</f>
        <v/>
      </c>
      <c r="AB322">
        <f>LOOKUP(AA322,Grade_Scale!$A$2:$A$18,Grade_Scale!$B$2:$B$18)</f>
        <v/>
      </c>
      <c r="AC322">
        <f>LOOKUP(AA322,Grade_Scale!$A$2:$A$18,Grade_Scale!$C$2:$C$18)</f>
        <v/>
      </c>
      <c r="AE322">
        <f>IF(AD322="","",AB322-VLOOKUP(AD322,Grade_Scale!$C$2:$E$18,3,FALSE))</f>
        <v/>
      </c>
    </row>
    <row r="323">
      <c r="Q323">
        <f>IF(OR(B323="SP",B323="RP",B323="CP",B323="SP/RP"),"P","H")</f>
        <v/>
      </c>
      <c r="R323">
        <f>IF(F323="",0,IFNA(VLOOKUP(F323,Trait_Polarity!$A:$C,2,FALSE),0))+IF(G323="",0,IFNA(VLOOKUP(G323,Trait_Polarity!$A:$C,2,FALSE),0))</f>
        <v/>
      </c>
      <c r="S323">
        <f>IF(F323="",0,IFNA(VLOOKUP(F323,Trait_Polarity!$A:$C,3,FALSE),0))+IF(G323="",0,IFNA(VLOOKUP(G323,Trait_Polarity!$A:$C,3,FALSE),0))</f>
        <v/>
      </c>
      <c r="T323">
        <f>IF(Q323="P",0,IFNA(VLOOKUP(IF(C323="","(none)",C323),Secondary_Versatility!$A:$B,2,FALSE),0))</f>
        <v/>
      </c>
      <c r="U323">
        <f>IF(H323="",0,LEN(H323)-LEN(SUBSTITUTE(H323,"|",""))+1)</f>
        <v/>
      </c>
      <c r="V323">
        <f>IF(Q323="P",(N323+O323+P323)/3,0.3*I323+0.3*J323+0.2*K323+0.1*L323+0.1*M323)</f>
        <v/>
      </c>
      <c r="W323">
        <f>IF(Q323="P",IF(F323="",0,IFNA(VLOOKUP(F323,Pitcher_Trait_Coef!$A:$B,2,FALSE),0))+IF(G323="",0,IFNA(VLOOKUP(G323,Pitcher_Trait_Coef!$A:$B,2,FALSE),0)),IF(F323="",0,IFNA(VLOOKUP(F323,Hitter_Trait_Coef!$A:$B,2,FALSE),0))+IF(G323="",0,IFNA(VLOOKUP(G323,Hitter_Trait_Coef!$A:$B,2,FALSE),0)))</f>
        <v/>
      </c>
      <c r="X323">
        <f>IF(Q323="P",IFNA(VLOOKUP(B323,Pitcher_Primary_Coef!$A:$B,2,FALSE),0),IFNA(VLOOKUP(B323,Hitter_Primary_Coef!$A:$B,2,FALSE),0))</f>
        <v/>
      </c>
      <c r="Y323">
        <f>IF(Q323="P",0,IFNA(VLOOKUP(IF(C323="","(none)",C323),Hitter_Secondary_Coef!$A:$B,2,FALSE),0))</f>
        <v/>
      </c>
      <c r="Z323">
        <f>IF(Q323="P",IF(ISNUMBER(SEARCH("2F",H323)),IFNA(VLOOKUP("2F",Pitch_Coef!$A:$B,2,FALSE),0),0)+IF(ISNUMBER(SEARCH("4F",H323)),IFNA(VLOOKUP("4F",Pitch_Coef!$A:$B,2,FALSE),0),0)+IF(ISNUMBER(SEARCH("CB",H323)),IFNA(VLOOKUP("CB",Pitch_Coef!$A:$B,2,FALSE),0),0)+IF(ISNUMBER(SEARCH("CF",H323)),IFNA(VLOOKUP("CF",Pitch_Coef!$A:$B,2,FALSE),0),0)+IF(ISNUMBER(SEARCH("CH",H323)),IFNA(VLOOKUP("CH",Pitch_Coef!$A:$B,2,FALSE),0),0)+IF(ISNUMBER(SEARCH("FK",H323)),IFNA(VLOOKUP("FK",Pitch_Coef!$A:$B,2,FALSE),0),0)+IF(ISNUMBER(SEARCH("SB",H323)),IFNA(VLOOKUP("SB",Pitch_Coef!$A:$B,2,FALSE),0),0)+IF(ISNUMBER(SEARCH("SL",H323)),IFNA(VLOOKUP("SL",Pitch_Coef!$A:$B,2,FALSE),0),0),0)</f>
        <v/>
      </c>
      <c r="AA323">
        <f>IF(Q323="P",16.5944849573+0.2529999141*N323+0.2665900378*O323+0.2632687105*P323+0.0427586837*I323+0.0534777057*J323+0.009015832*K323+0.0204898106*(O323*P323/100)+1.0091022427*U323+1.0968542297*IF(D323="L",1,0)+0.3771555045*IF(D323="S",1,0)-0.2226159177*IF(E323="L",1,0)+1.21385024*R323-1.1652812274*S323+W323+X323+Z323,10.5965166711+0.2825983581*I323+0.2806503532*J323+0.2027213083*K323+0.1147824982*L323+0.0915305332*M323-0.0088454122*(I323*J323/100)-0.0336045706*(K323*L323/100)+2.8497389733*IF(D323="L",1,0)+4.5116226727*IF(D323="S",1,0)-0.6571546448*IF(E323="L",1,0)+0.0850728147*T323+0.0129488446*(T323*T323)+0.1909373936*IF(OR(F323="Utility",G323="Utility"),T323,0)+0.9656824071*R323-1.7517683256*S323+W323+X323+Y323)</f>
        <v/>
      </c>
      <c r="AB323">
        <f>LOOKUP(AA323,Grade_Scale!$A$2:$A$18,Grade_Scale!$B$2:$B$18)</f>
        <v/>
      </c>
      <c r="AC323">
        <f>LOOKUP(AA323,Grade_Scale!$A$2:$A$18,Grade_Scale!$C$2:$C$18)</f>
        <v/>
      </c>
      <c r="AE323">
        <f>IF(AD323="","",AB323-VLOOKUP(AD323,Grade_Scale!$C$2:$E$18,3,FALSE))</f>
        <v/>
      </c>
    </row>
    <row r="324">
      <c r="Q324">
        <f>IF(OR(B324="SP",B324="RP",B324="CP",B324="SP/RP"),"P","H")</f>
        <v/>
      </c>
      <c r="R324">
        <f>IF(F324="",0,IFNA(VLOOKUP(F324,Trait_Polarity!$A:$C,2,FALSE),0))+IF(G324="",0,IFNA(VLOOKUP(G324,Trait_Polarity!$A:$C,2,FALSE),0))</f>
        <v/>
      </c>
      <c r="S324">
        <f>IF(F324="",0,IFNA(VLOOKUP(F324,Trait_Polarity!$A:$C,3,FALSE),0))+IF(G324="",0,IFNA(VLOOKUP(G324,Trait_Polarity!$A:$C,3,FALSE),0))</f>
        <v/>
      </c>
      <c r="T324">
        <f>IF(Q324="P",0,IFNA(VLOOKUP(IF(C324="","(none)",C324),Secondary_Versatility!$A:$B,2,FALSE),0))</f>
        <v/>
      </c>
      <c r="U324">
        <f>IF(H324="",0,LEN(H324)-LEN(SUBSTITUTE(H324,"|",""))+1)</f>
        <v/>
      </c>
      <c r="V324">
        <f>IF(Q324="P",(N324+O324+P324)/3,0.3*I324+0.3*J324+0.2*K324+0.1*L324+0.1*M324)</f>
        <v/>
      </c>
      <c r="W324">
        <f>IF(Q324="P",IF(F324="",0,IFNA(VLOOKUP(F324,Pitcher_Trait_Coef!$A:$B,2,FALSE),0))+IF(G324="",0,IFNA(VLOOKUP(G324,Pitcher_Trait_Coef!$A:$B,2,FALSE),0)),IF(F324="",0,IFNA(VLOOKUP(F324,Hitter_Trait_Coef!$A:$B,2,FALSE),0))+IF(G324="",0,IFNA(VLOOKUP(G324,Hitter_Trait_Coef!$A:$B,2,FALSE),0)))</f>
        <v/>
      </c>
      <c r="X324">
        <f>IF(Q324="P",IFNA(VLOOKUP(B324,Pitcher_Primary_Coef!$A:$B,2,FALSE),0),IFNA(VLOOKUP(B324,Hitter_Primary_Coef!$A:$B,2,FALSE),0))</f>
        <v/>
      </c>
      <c r="Y324">
        <f>IF(Q324="P",0,IFNA(VLOOKUP(IF(C324="","(none)",C324),Hitter_Secondary_Coef!$A:$B,2,FALSE),0))</f>
        <v/>
      </c>
      <c r="Z324">
        <f>IF(Q324="P",IF(ISNUMBER(SEARCH("2F",H324)),IFNA(VLOOKUP("2F",Pitch_Coef!$A:$B,2,FALSE),0),0)+IF(ISNUMBER(SEARCH("4F",H324)),IFNA(VLOOKUP("4F",Pitch_Coef!$A:$B,2,FALSE),0),0)+IF(ISNUMBER(SEARCH("CB",H324)),IFNA(VLOOKUP("CB",Pitch_Coef!$A:$B,2,FALSE),0),0)+IF(ISNUMBER(SEARCH("CF",H324)),IFNA(VLOOKUP("CF",Pitch_Coef!$A:$B,2,FALSE),0),0)+IF(ISNUMBER(SEARCH("CH",H324)),IFNA(VLOOKUP("CH",Pitch_Coef!$A:$B,2,FALSE),0),0)+IF(ISNUMBER(SEARCH("FK",H324)),IFNA(VLOOKUP("FK",Pitch_Coef!$A:$B,2,FALSE),0),0)+IF(ISNUMBER(SEARCH("SB",H324)),IFNA(VLOOKUP("SB",Pitch_Coef!$A:$B,2,FALSE),0),0)+IF(ISNUMBER(SEARCH("SL",H324)),IFNA(VLOOKUP("SL",Pitch_Coef!$A:$B,2,FALSE),0),0),0)</f>
        <v/>
      </c>
      <c r="AA324">
        <f>IF(Q324="P",16.5944849573+0.2529999141*N324+0.2665900378*O324+0.2632687105*P324+0.0427586837*I324+0.0534777057*J324+0.009015832*K324+0.0204898106*(O324*P324/100)+1.0091022427*U324+1.0968542297*IF(D324="L",1,0)+0.3771555045*IF(D324="S",1,0)-0.2226159177*IF(E324="L",1,0)+1.21385024*R324-1.1652812274*S324+W324+X324+Z324,10.5965166711+0.2825983581*I324+0.2806503532*J324+0.2027213083*K324+0.1147824982*L324+0.0915305332*M324-0.0088454122*(I324*J324/100)-0.0336045706*(K324*L324/100)+2.8497389733*IF(D324="L",1,0)+4.5116226727*IF(D324="S",1,0)-0.6571546448*IF(E324="L",1,0)+0.0850728147*T324+0.0129488446*(T324*T324)+0.1909373936*IF(OR(F324="Utility",G324="Utility"),T324,0)+0.9656824071*R324-1.7517683256*S324+W324+X324+Y324)</f>
        <v/>
      </c>
      <c r="AB324">
        <f>LOOKUP(AA324,Grade_Scale!$A$2:$A$18,Grade_Scale!$B$2:$B$18)</f>
        <v/>
      </c>
      <c r="AC324">
        <f>LOOKUP(AA324,Grade_Scale!$A$2:$A$18,Grade_Scale!$C$2:$C$18)</f>
        <v/>
      </c>
      <c r="AE324">
        <f>IF(AD324="","",AB324-VLOOKUP(AD324,Grade_Scale!$C$2:$E$18,3,FALSE))</f>
        <v/>
      </c>
    </row>
    <row r="325">
      <c r="Q325">
        <f>IF(OR(B325="SP",B325="RP",B325="CP",B325="SP/RP"),"P","H")</f>
        <v/>
      </c>
      <c r="R325">
        <f>IF(F325="",0,IFNA(VLOOKUP(F325,Trait_Polarity!$A:$C,2,FALSE),0))+IF(G325="",0,IFNA(VLOOKUP(G325,Trait_Polarity!$A:$C,2,FALSE),0))</f>
        <v/>
      </c>
      <c r="S325">
        <f>IF(F325="",0,IFNA(VLOOKUP(F325,Trait_Polarity!$A:$C,3,FALSE),0))+IF(G325="",0,IFNA(VLOOKUP(G325,Trait_Polarity!$A:$C,3,FALSE),0))</f>
        <v/>
      </c>
      <c r="T325">
        <f>IF(Q325="P",0,IFNA(VLOOKUP(IF(C325="","(none)",C325),Secondary_Versatility!$A:$B,2,FALSE),0))</f>
        <v/>
      </c>
      <c r="U325">
        <f>IF(H325="",0,LEN(H325)-LEN(SUBSTITUTE(H325,"|",""))+1)</f>
        <v/>
      </c>
      <c r="V325">
        <f>IF(Q325="P",(N325+O325+P325)/3,0.3*I325+0.3*J325+0.2*K325+0.1*L325+0.1*M325)</f>
        <v/>
      </c>
      <c r="W325">
        <f>IF(Q325="P",IF(F325="",0,IFNA(VLOOKUP(F325,Pitcher_Trait_Coef!$A:$B,2,FALSE),0))+IF(G325="",0,IFNA(VLOOKUP(G325,Pitcher_Trait_Coef!$A:$B,2,FALSE),0)),IF(F325="",0,IFNA(VLOOKUP(F325,Hitter_Trait_Coef!$A:$B,2,FALSE),0))+IF(G325="",0,IFNA(VLOOKUP(G325,Hitter_Trait_Coef!$A:$B,2,FALSE),0)))</f>
        <v/>
      </c>
      <c r="X325">
        <f>IF(Q325="P",IFNA(VLOOKUP(B325,Pitcher_Primary_Coef!$A:$B,2,FALSE),0),IFNA(VLOOKUP(B325,Hitter_Primary_Coef!$A:$B,2,FALSE),0))</f>
        <v/>
      </c>
      <c r="Y325">
        <f>IF(Q325="P",0,IFNA(VLOOKUP(IF(C325="","(none)",C325),Hitter_Secondary_Coef!$A:$B,2,FALSE),0))</f>
        <v/>
      </c>
      <c r="Z325">
        <f>IF(Q325="P",IF(ISNUMBER(SEARCH("2F",H325)),IFNA(VLOOKUP("2F",Pitch_Coef!$A:$B,2,FALSE),0),0)+IF(ISNUMBER(SEARCH("4F",H325)),IFNA(VLOOKUP("4F",Pitch_Coef!$A:$B,2,FALSE),0),0)+IF(ISNUMBER(SEARCH("CB",H325)),IFNA(VLOOKUP("CB",Pitch_Coef!$A:$B,2,FALSE),0),0)+IF(ISNUMBER(SEARCH("CF",H325)),IFNA(VLOOKUP("CF",Pitch_Coef!$A:$B,2,FALSE),0),0)+IF(ISNUMBER(SEARCH("CH",H325)),IFNA(VLOOKUP("CH",Pitch_Coef!$A:$B,2,FALSE),0),0)+IF(ISNUMBER(SEARCH("FK",H325)),IFNA(VLOOKUP("FK",Pitch_Coef!$A:$B,2,FALSE),0),0)+IF(ISNUMBER(SEARCH("SB",H325)),IFNA(VLOOKUP("SB",Pitch_Coef!$A:$B,2,FALSE),0),0)+IF(ISNUMBER(SEARCH("SL",H325)),IFNA(VLOOKUP("SL",Pitch_Coef!$A:$B,2,FALSE),0),0),0)</f>
        <v/>
      </c>
      <c r="AA325">
        <f>IF(Q325="P",16.5944849573+0.2529999141*N325+0.2665900378*O325+0.2632687105*P325+0.0427586837*I325+0.0534777057*J325+0.009015832*K325+0.0204898106*(O325*P325/100)+1.0091022427*U325+1.0968542297*IF(D325="L",1,0)+0.3771555045*IF(D325="S",1,0)-0.2226159177*IF(E325="L",1,0)+1.21385024*R325-1.1652812274*S325+W325+X325+Z325,10.5965166711+0.2825983581*I325+0.2806503532*J325+0.2027213083*K325+0.1147824982*L325+0.0915305332*M325-0.0088454122*(I325*J325/100)-0.0336045706*(K325*L325/100)+2.8497389733*IF(D325="L",1,0)+4.5116226727*IF(D325="S",1,0)-0.6571546448*IF(E325="L",1,0)+0.0850728147*T325+0.0129488446*(T325*T325)+0.1909373936*IF(OR(F325="Utility",G325="Utility"),T325,0)+0.9656824071*R325-1.7517683256*S325+W325+X325+Y325)</f>
        <v/>
      </c>
      <c r="AB325">
        <f>LOOKUP(AA325,Grade_Scale!$A$2:$A$18,Grade_Scale!$B$2:$B$18)</f>
        <v/>
      </c>
      <c r="AC325">
        <f>LOOKUP(AA325,Grade_Scale!$A$2:$A$18,Grade_Scale!$C$2:$C$18)</f>
        <v/>
      </c>
      <c r="AE325">
        <f>IF(AD325="","",AB325-VLOOKUP(AD325,Grade_Scale!$C$2:$E$18,3,FALSE))</f>
        <v/>
      </c>
    </row>
    <row r="326">
      <c r="Q326">
        <f>IF(OR(B326="SP",B326="RP",B326="CP",B326="SP/RP"),"P","H")</f>
        <v/>
      </c>
      <c r="R326">
        <f>IF(F326="",0,IFNA(VLOOKUP(F326,Trait_Polarity!$A:$C,2,FALSE),0))+IF(G326="",0,IFNA(VLOOKUP(G326,Trait_Polarity!$A:$C,2,FALSE),0))</f>
        <v/>
      </c>
      <c r="S326">
        <f>IF(F326="",0,IFNA(VLOOKUP(F326,Trait_Polarity!$A:$C,3,FALSE),0))+IF(G326="",0,IFNA(VLOOKUP(G326,Trait_Polarity!$A:$C,3,FALSE),0))</f>
        <v/>
      </c>
      <c r="T326">
        <f>IF(Q326="P",0,IFNA(VLOOKUP(IF(C326="","(none)",C326),Secondary_Versatility!$A:$B,2,FALSE),0))</f>
        <v/>
      </c>
      <c r="U326">
        <f>IF(H326="",0,LEN(H326)-LEN(SUBSTITUTE(H326,"|",""))+1)</f>
        <v/>
      </c>
      <c r="V326">
        <f>IF(Q326="P",(N326+O326+P326)/3,0.3*I326+0.3*J326+0.2*K326+0.1*L326+0.1*M326)</f>
        <v/>
      </c>
      <c r="W326">
        <f>IF(Q326="P",IF(F326="",0,IFNA(VLOOKUP(F326,Pitcher_Trait_Coef!$A:$B,2,FALSE),0))+IF(G326="",0,IFNA(VLOOKUP(G326,Pitcher_Trait_Coef!$A:$B,2,FALSE),0)),IF(F326="",0,IFNA(VLOOKUP(F326,Hitter_Trait_Coef!$A:$B,2,FALSE),0))+IF(G326="",0,IFNA(VLOOKUP(G326,Hitter_Trait_Coef!$A:$B,2,FALSE),0)))</f>
        <v/>
      </c>
      <c r="X326">
        <f>IF(Q326="P",IFNA(VLOOKUP(B326,Pitcher_Primary_Coef!$A:$B,2,FALSE),0),IFNA(VLOOKUP(B326,Hitter_Primary_Coef!$A:$B,2,FALSE),0))</f>
        <v/>
      </c>
      <c r="Y326">
        <f>IF(Q326="P",0,IFNA(VLOOKUP(IF(C326="","(none)",C326),Hitter_Secondary_Coef!$A:$B,2,FALSE),0))</f>
        <v/>
      </c>
      <c r="Z326">
        <f>IF(Q326="P",IF(ISNUMBER(SEARCH("2F",H326)),IFNA(VLOOKUP("2F",Pitch_Coef!$A:$B,2,FALSE),0),0)+IF(ISNUMBER(SEARCH("4F",H326)),IFNA(VLOOKUP("4F",Pitch_Coef!$A:$B,2,FALSE),0),0)+IF(ISNUMBER(SEARCH("CB",H326)),IFNA(VLOOKUP("CB",Pitch_Coef!$A:$B,2,FALSE),0),0)+IF(ISNUMBER(SEARCH("CF",H326)),IFNA(VLOOKUP("CF",Pitch_Coef!$A:$B,2,FALSE),0),0)+IF(ISNUMBER(SEARCH("CH",H326)),IFNA(VLOOKUP("CH",Pitch_Coef!$A:$B,2,FALSE),0),0)+IF(ISNUMBER(SEARCH("FK",H326)),IFNA(VLOOKUP("FK",Pitch_Coef!$A:$B,2,FALSE),0),0)+IF(ISNUMBER(SEARCH("SB",H326)),IFNA(VLOOKUP("SB",Pitch_Coef!$A:$B,2,FALSE),0),0)+IF(ISNUMBER(SEARCH("SL",H326)),IFNA(VLOOKUP("SL",Pitch_Coef!$A:$B,2,FALSE),0),0),0)</f>
        <v/>
      </c>
      <c r="AA326">
        <f>IF(Q326="P",16.5944849573+0.2529999141*N326+0.2665900378*O326+0.2632687105*P326+0.0427586837*I326+0.0534777057*J326+0.009015832*K326+0.0204898106*(O326*P326/100)+1.0091022427*U326+1.0968542297*IF(D326="L",1,0)+0.3771555045*IF(D326="S",1,0)-0.2226159177*IF(E326="L",1,0)+1.21385024*R326-1.1652812274*S326+W326+X326+Z326,10.5965166711+0.2825983581*I326+0.2806503532*J326+0.2027213083*K326+0.1147824982*L326+0.0915305332*M326-0.0088454122*(I326*J326/100)-0.0336045706*(K326*L326/100)+2.8497389733*IF(D326="L",1,0)+4.5116226727*IF(D326="S",1,0)-0.6571546448*IF(E326="L",1,0)+0.0850728147*T326+0.0129488446*(T326*T326)+0.1909373936*IF(OR(F326="Utility",G326="Utility"),T326,0)+0.9656824071*R326-1.7517683256*S326+W326+X326+Y326)</f>
        <v/>
      </c>
      <c r="AB326">
        <f>LOOKUP(AA326,Grade_Scale!$A$2:$A$18,Grade_Scale!$B$2:$B$18)</f>
        <v/>
      </c>
      <c r="AC326">
        <f>LOOKUP(AA326,Grade_Scale!$A$2:$A$18,Grade_Scale!$C$2:$C$18)</f>
        <v/>
      </c>
      <c r="AE326">
        <f>IF(AD326="","",AB326-VLOOKUP(AD326,Grade_Scale!$C$2:$E$18,3,FALSE))</f>
        <v/>
      </c>
    </row>
    <row r="327">
      <c r="Q327">
        <f>IF(OR(B327="SP",B327="RP",B327="CP",B327="SP/RP"),"P","H")</f>
        <v/>
      </c>
      <c r="R327">
        <f>IF(F327="",0,IFNA(VLOOKUP(F327,Trait_Polarity!$A:$C,2,FALSE),0))+IF(G327="",0,IFNA(VLOOKUP(G327,Trait_Polarity!$A:$C,2,FALSE),0))</f>
        <v/>
      </c>
      <c r="S327">
        <f>IF(F327="",0,IFNA(VLOOKUP(F327,Trait_Polarity!$A:$C,3,FALSE),0))+IF(G327="",0,IFNA(VLOOKUP(G327,Trait_Polarity!$A:$C,3,FALSE),0))</f>
        <v/>
      </c>
      <c r="T327">
        <f>IF(Q327="P",0,IFNA(VLOOKUP(IF(C327="","(none)",C327),Secondary_Versatility!$A:$B,2,FALSE),0))</f>
        <v/>
      </c>
      <c r="U327">
        <f>IF(H327="",0,LEN(H327)-LEN(SUBSTITUTE(H327,"|",""))+1)</f>
        <v/>
      </c>
      <c r="V327">
        <f>IF(Q327="P",(N327+O327+P327)/3,0.3*I327+0.3*J327+0.2*K327+0.1*L327+0.1*M327)</f>
        <v/>
      </c>
      <c r="W327">
        <f>IF(Q327="P",IF(F327="",0,IFNA(VLOOKUP(F327,Pitcher_Trait_Coef!$A:$B,2,FALSE),0))+IF(G327="",0,IFNA(VLOOKUP(G327,Pitcher_Trait_Coef!$A:$B,2,FALSE),0)),IF(F327="",0,IFNA(VLOOKUP(F327,Hitter_Trait_Coef!$A:$B,2,FALSE),0))+IF(G327="",0,IFNA(VLOOKUP(G327,Hitter_Trait_Coef!$A:$B,2,FALSE),0)))</f>
        <v/>
      </c>
      <c r="X327">
        <f>IF(Q327="P",IFNA(VLOOKUP(B327,Pitcher_Primary_Coef!$A:$B,2,FALSE),0),IFNA(VLOOKUP(B327,Hitter_Primary_Coef!$A:$B,2,FALSE),0))</f>
        <v/>
      </c>
      <c r="Y327">
        <f>IF(Q327="P",0,IFNA(VLOOKUP(IF(C327="","(none)",C327),Hitter_Secondary_Coef!$A:$B,2,FALSE),0))</f>
        <v/>
      </c>
      <c r="Z327">
        <f>IF(Q327="P",IF(ISNUMBER(SEARCH("2F",H327)),IFNA(VLOOKUP("2F",Pitch_Coef!$A:$B,2,FALSE),0),0)+IF(ISNUMBER(SEARCH("4F",H327)),IFNA(VLOOKUP("4F",Pitch_Coef!$A:$B,2,FALSE),0),0)+IF(ISNUMBER(SEARCH("CB",H327)),IFNA(VLOOKUP("CB",Pitch_Coef!$A:$B,2,FALSE),0),0)+IF(ISNUMBER(SEARCH("CF",H327)),IFNA(VLOOKUP("CF",Pitch_Coef!$A:$B,2,FALSE),0),0)+IF(ISNUMBER(SEARCH("CH",H327)),IFNA(VLOOKUP("CH",Pitch_Coef!$A:$B,2,FALSE),0),0)+IF(ISNUMBER(SEARCH("FK",H327)),IFNA(VLOOKUP("FK",Pitch_Coef!$A:$B,2,FALSE),0),0)+IF(ISNUMBER(SEARCH("SB",H327)),IFNA(VLOOKUP("SB",Pitch_Coef!$A:$B,2,FALSE),0),0)+IF(ISNUMBER(SEARCH("SL",H327)),IFNA(VLOOKUP("SL",Pitch_Coef!$A:$B,2,FALSE),0),0),0)</f>
        <v/>
      </c>
      <c r="AA327">
        <f>IF(Q327="P",16.5944849573+0.2529999141*N327+0.2665900378*O327+0.2632687105*P327+0.0427586837*I327+0.0534777057*J327+0.009015832*K327+0.0204898106*(O327*P327/100)+1.0091022427*U327+1.0968542297*IF(D327="L",1,0)+0.3771555045*IF(D327="S",1,0)-0.2226159177*IF(E327="L",1,0)+1.21385024*R327-1.1652812274*S327+W327+X327+Z327,10.5965166711+0.2825983581*I327+0.2806503532*J327+0.2027213083*K327+0.1147824982*L327+0.0915305332*M327-0.0088454122*(I327*J327/100)-0.0336045706*(K327*L327/100)+2.8497389733*IF(D327="L",1,0)+4.5116226727*IF(D327="S",1,0)-0.6571546448*IF(E327="L",1,0)+0.0850728147*T327+0.0129488446*(T327*T327)+0.1909373936*IF(OR(F327="Utility",G327="Utility"),T327,0)+0.9656824071*R327-1.7517683256*S327+W327+X327+Y327)</f>
        <v/>
      </c>
      <c r="AB327">
        <f>LOOKUP(AA327,Grade_Scale!$A$2:$A$18,Grade_Scale!$B$2:$B$18)</f>
        <v/>
      </c>
      <c r="AC327">
        <f>LOOKUP(AA327,Grade_Scale!$A$2:$A$18,Grade_Scale!$C$2:$C$18)</f>
        <v/>
      </c>
      <c r="AE327">
        <f>IF(AD327="","",AB327-VLOOKUP(AD327,Grade_Scale!$C$2:$E$18,3,FALSE))</f>
        <v/>
      </c>
    </row>
    <row r="328">
      <c r="Q328">
        <f>IF(OR(B328="SP",B328="RP",B328="CP",B328="SP/RP"),"P","H")</f>
        <v/>
      </c>
      <c r="R328">
        <f>IF(F328="",0,IFNA(VLOOKUP(F328,Trait_Polarity!$A:$C,2,FALSE),0))+IF(G328="",0,IFNA(VLOOKUP(G328,Trait_Polarity!$A:$C,2,FALSE),0))</f>
        <v/>
      </c>
      <c r="S328">
        <f>IF(F328="",0,IFNA(VLOOKUP(F328,Trait_Polarity!$A:$C,3,FALSE),0))+IF(G328="",0,IFNA(VLOOKUP(G328,Trait_Polarity!$A:$C,3,FALSE),0))</f>
        <v/>
      </c>
      <c r="T328">
        <f>IF(Q328="P",0,IFNA(VLOOKUP(IF(C328="","(none)",C328),Secondary_Versatility!$A:$B,2,FALSE),0))</f>
        <v/>
      </c>
      <c r="U328">
        <f>IF(H328="",0,LEN(H328)-LEN(SUBSTITUTE(H328,"|",""))+1)</f>
        <v/>
      </c>
      <c r="V328">
        <f>IF(Q328="P",(N328+O328+P328)/3,0.3*I328+0.3*J328+0.2*K328+0.1*L328+0.1*M328)</f>
        <v/>
      </c>
      <c r="W328">
        <f>IF(Q328="P",IF(F328="",0,IFNA(VLOOKUP(F328,Pitcher_Trait_Coef!$A:$B,2,FALSE),0))+IF(G328="",0,IFNA(VLOOKUP(G328,Pitcher_Trait_Coef!$A:$B,2,FALSE),0)),IF(F328="",0,IFNA(VLOOKUP(F328,Hitter_Trait_Coef!$A:$B,2,FALSE),0))+IF(G328="",0,IFNA(VLOOKUP(G328,Hitter_Trait_Coef!$A:$B,2,FALSE),0)))</f>
        <v/>
      </c>
      <c r="X328">
        <f>IF(Q328="P",IFNA(VLOOKUP(B328,Pitcher_Primary_Coef!$A:$B,2,FALSE),0),IFNA(VLOOKUP(B328,Hitter_Primary_Coef!$A:$B,2,FALSE),0))</f>
        <v/>
      </c>
      <c r="Y328">
        <f>IF(Q328="P",0,IFNA(VLOOKUP(IF(C328="","(none)",C328),Hitter_Secondary_Coef!$A:$B,2,FALSE),0))</f>
        <v/>
      </c>
      <c r="Z328">
        <f>IF(Q328="P",IF(ISNUMBER(SEARCH("2F",H328)),IFNA(VLOOKUP("2F",Pitch_Coef!$A:$B,2,FALSE),0),0)+IF(ISNUMBER(SEARCH("4F",H328)),IFNA(VLOOKUP("4F",Pitch_Coef!$A:$B,2,FALSE),0),0)+IF(ISNUMBER(SEARCH("CB",H328)),IFNA(VLOOKUP("CB",Pitch_Coef!$A:$B,2,FALSE),0),0)+IF(ISNUMBER(SEARCH("CF",H328)),IFNA(VLOOKUP("CF",Pitch_Coef!$A:$B,2,FALSE),0),0)+IF(ISNUMBER(SEARCH("CH",H328)),IFNA(VLOOKUP("CH",Pitch_Coef!$A:$B,2,FALSE),0),0)+IF(ISNUMBER(SEARCH("FK",H328)),IFNA(VLOOKUP("FK",Pitch_Coef!$A:$B,2,FALSE),0),0)+IF(ISNUMBER(SEARCH("SB",H328)),IFNA(VLOOKUP("SB",Pitch_Coef!$A:$B,2,FALSE),0),0)+IF(ISNUMBER(SEARCH("SL",H328)),IFNA(VLOOKUP("SL",Pitch_Coef!$A:$B,2,FALSE),0),0),0)</f>
        <v/>
      </c>
      <c r="AA328">
        <f>IF(Q328="P",16.5944849573+0.2529999141*N328+0.2665900378*O328+0.2632687105*P328+0.0427586837*I328+0.0534777057*J328+0.009015832*K328+0.0204898106*(O328*P328/100)+1.0091022427*U328+1.0968542297*IF(D328="L",1,0)+0.3771555045*IF(D328="S",1,0)-0.2226159177*IF(E328="L",1,0)+1.21385024*R328-1.1652812274*S328+W328+X328+Z328,10.5965166711+0.2825983581*I328+0.2806503532*J328+0.2027213083*K328+0.1147824982*L328+0.0915305332*M328-0.0088454122*(I328*J328/100)-0.0336045706*(K328*L328/100)+2.8497389733*IF(D328="L",1,0)+4.5116226727*IF(D328="S",1,0)-0.6571546448*IF(E328="L",1,0)+0.0850728147*T328+0.0129488446*(T328*T328)+0.1909373936*IF(OR(F328="Utility",G328="Utility"),T328,0)+0.9656824071*R328-1.7517683256*S328+W328+X328+Y328)</f>
        <v/>
      </c>
      <c r="AB328">
        <f>LOOKUP(AA328,Grade_Scale!$A$2:$A$18,Grade_Scale!$B$2:$B$18)</f>
        <v/>
      </c>
      <c r="AC328">
        <f>LOOKUP(AA328,Grade_Scale!$A$2:$A$18,Grade_Scale!$C$2:$C$18)</f>
        <v/>
      </c>
      <c r="AE328">
        <f>IF(AD328="","",AB328-VLOOKUP(AD328,Grade_Scale!$C$2:$E$18,3,FALSE))</f>
        <v/>
      </c>
    </row>
    <row r="329">
      <c r="Q329">
        <f>IF(OR(B329="SP",B329="RP",B329="CP",B329="SP/RP"),"P","H")</f>
        <v/>
      </c>
      <c r="R329">
        <f>IF(F329="",0,IFNA(VLOOKUP(F329,Trait_Polarity!$A:$C,2,FALSE),0))+IF(G329="",0,IFNA(VLOOKUP(G329,Trait_Polarity!$A:$C,2,FALSE),0))</f>
        <v/>
      </c>
      <c r="S329">
        <f>IF(F329="",0,IFNA(VLOOKUP(F329,Trait_Polarity!$A:$C,3,FALSE),0))+IF(G329="",0,IFNA(VLOOKUP(G329,Trait_Polarity!$A:$C,3,FALSE),0))</f>
        <v/>
      </c>
      <c r="T329">
        <f>IF(Q329="P",0,IFNA(VLOOKUP(IF(C329="","(none)",C329),Secondary_Versatility!$A:$B,2,FALSE),0))</f>
        <v/>
      </c>
      <c r="U329">
        <f>IF(H329="",0,LEN(H329)-LEN(SUBSTITUTE(H329,"|",""))+1)</f>
        <v/>
      </c>
      <c r="V329">
        <f>IF(Q329="P",(N329+O329+P329)/3,0.3*I329+0.3*J329+0.2*K329+0.1*L329+0.1*M329)</f>
        <v/>
      </c>
      <c r="W329">
        <f>IF(Q329="P",IF(F329="",0,IFNA(VLOOKUP(F329,Pitcher_Trait_Coef!$A:$B,2,FALSE),0))+IF(G329="",0,IFNA(VLOOKUP(G329,Pitcher_Trait_Coef!$A:$B,2,FALSE),0)),IF(F329="",0,IFNA(VLOOKUP(F329,Hitter_Trait_Coef!$A:$B,2,FALSE),0))+IF(G329="",0,IFNA(VLOOKUP(G329,Hitter_Trait_Coef!$A:$B,2,FALSE),0)))</f>
        <v/>
      </c>
      <c r="X329">
        <f>IF(Q329="P",IFNA(VLOOKUP(B329,Pitcher_Primary_Coef!$A:$B,2,FALSE),0),IFNA(VLOOKUP(B329,Hitter_Primary_Coef!$A:$B,2,FALSE),0))</f>
        <v/>
      </c>
      <c r="Y329">
        <f>IF(Q329="P",0,IFNA(VLOOKUP(IF(C329="","(none)",C329),Hitter_Secondary_Coef!$A:$B,2,FALSE),0))</f>
        <v/>
      </c>
      <c r="Z329">
        <f>IF(Q329="P",IF(ISNUMBER(SEARCH("2F",H329)),IFNA(VLOOKUP("2F",Pitch_Coef!$A:$B,2,FALSE),0),0)+IF(ISNUMBER(SEARCH("4F",H329)),IFNA(VLOOKUP("4F",Pitch_Coef!$A:$B,2,FALSE),0),0)+IF(ISNUMBER(SEARCH("CB",H329)),IFNA(VLOOKUP("CB",Pitch_Coef!$A:$B,2,FALSE),0),0)+IF(ISNUMBER(SEARCH("CF",H329)),IFNA(VLOOKUP("CF",Pitch_Coef!$A:$B,2,FALSE),0),0)+IF(ISNUMBER(SEARCH("CH",H329)),IFNA(VLOOKUP("CH",Pitch_Coef!$A:$B,2,FALSE),0),0)+IF(ISNUMBER(SEARCH("FK",H329)),IFNA(VLOOKUP("FK",Pitch_Coef!$A:$B,2,FALSE),0),0)+IF(ISNUMBER(SEARCH("SB",H329)),IFNA(VLOOKUP("SB",Pitch_Coef!$A:$B,2,FALSE),0),0)+IF(ISNUMBER(SEARCH("SL",H329)),IFNA(VLOOKUP("SL",Pitch_Coef!$A:$B,2,FALSE),0),0),0)</f>
        <v/>
      </c>
      <c r="AA329">
        <f>IF(Q329="P",16.5944849573+0.2529999141*N329+0.2665900378*O329+0.2632687105*P329+0.0427586837*I329+0.0534777057*J329+0.009015832*K329+0.0204898106*(O329*P329/100)+1.0091022427*U329+1.0968542297*IF(D329="L",1,0)+0.3771555045*IF(D329="S",1,0)-0.2226159177*IF(E329="L",1,0)+1.21385024*R329-1.1652812274*S329+W329+X329+Z329,10.5965166711+0.2825983581*I329+0.2806503532*J329+0.2027213083*K329+0.1147824982*L329+0.0915305332*M329-0.0088454122*(I329*J329/100)-0.0336045706*(K329*L329/100)+2.8497389733*IF(D329="L",1,0)+4.5116226727*IF(D329="S",1,0)-0.6571546448*IF(E329="L",1,0)+0.0850728147*T329+0.0129488446*(T329*T329)+0.1909373936*IF(OR(F329="Utility",G329="Utility"),T329,0)+0.9656824071*R329-1.7517683256*S329+W329+X329+Y329)</f>
        <v/>
      </c>
      <c r="AB329">
        <f>LOOKUP(AA329,Grade_Scale!$A$2:$A$18,Grade_Scale!$B$2:$B$18)</f>
        <v/>
      </c>
      <c r="AC329">
        <f>LOOKUP(AA329,Grade_Scale!$A$2:$A$18,Grade_Scale!$C$2:$C$18)</f>
        <v/>
      </c>
      <c r="AE329">
        <f>IF(AD329="","",AB329-VLOOKUP(AD329,Grade_Scale!$C$2:$E$18,3,FALSE))</f>
        <v/>
      </c>
    </row>
    <row r="330">
      <c r="Q330">
        <f>IF(OR(B330="SP",B330="RP",B330="CP",B330="SP/RP"),"P","H")</f>
        <v/>
      </c>
      <c r="R330">
        <f>IF(F330="",0,IFNA(VLOOKUP(F330,Trait_Polarity!$A:$C,2,FALSE),0))+IF(G330="",0,IFNA(VLOOKUP(G330,Trait_Polarity!$A:$C,2,FALSE),0))</f>
        <v/>
      </c>
      <c r="S330">
        <f>IF(F330="",0,IFNA(VLOOKUP(F330,Trait_Polarity!$A:$C,3,FALSE),0))+IF(G330="",0,IFNA(VLOOKUP(G330,Trait_Polarity!$A:$C,3,FALSE),0))</f>
        <v/>
      </c>
      <c r="T330">
        <f>IF(Q330="P",0,IFNA(VLOOKUP(IF(C330="","(none)",C330),Secondary_Versatility!$A:$B,2,FALSE),0))</f>
        <v/>
      </c>
      <c r="U330">
        <f>IF(H330="",0,LEN(H330)-LEN(SUBSTITUTE(H330,"|",""))+1)</f>
        <v/>
      </c>
      <c r="V330">
        <f>IF(Q330="P",(N330+O330+P330)/3,0.3*I330+0.3*J330+0.2*K330+0.1*L330+0.1*M330)</f>
        <v/>
      </c>
      <c r="W330">
        <f>IF(Q330="P",IF(F330="",0,IFNA(VLOOKUP(F330,Pitcher_Trait_Coef!$A:$B,2,FALSE),0))+IF(G330="",0,IFNA(VLOOKUP(G330,Pitcher_Trait_Coef!$A:$B,2,FALSE),0)),IF(F330="",0,IFNA(VLOOKUP(F330,Hitter_Trait_Coef!$A:$B,2,FALSE),0))+IF(G330="",0,IFNA(VLOOKUP(G330,Hitter_Trait_Coef!$A:$B,2,FALSE),0)))</f>
        <v/>
      </c>
      <c r="X330">
        <f>IF(Q330="P",IFNA(VLOOKUP(B330,Pitcher_Primary_Coef!$A:$B,2,FALSE),0),IFNA(VLOOKUP(B330,Hitter_Primary_Coef!$A:$B,2,FALSE),0))</f>
        <v/>
      </c>
      <c r="Y330">
        <f>IF(Q330="P",0,IFNA(VLOOKUP(IF(C330="","(none)",C330),Hitter_Secondary_Coef!$A:$B,2,FALSE),0))</f>
        <v/>
      </c>
      <c r="Z330">
        <f>IF(Q330="P",IF(ISNUMBER(SEARCH("2F",H330)),IFNA(VLOOKUP("2F",Pitch_Coef!$A:$B,2,FALSE),0),0)+IF(ISNUMBER(SEARCH("4F",H330)),IFNA(VLOOKUP("4F",Pitch_Coef!$A:$B,2,FALSE),0),0)+IF(ISNUMBER(SEARCH("CB",H330)),IFNA(VLOOKUP("CB",Pitch_Coef!$A:$B,2,FALSE),0),0)+IF(ISNUMBER(SEARCH("CF",H330)),IFNA(VLOOKUP("CF",Pitch_Coef!$A:$B,2,FALSE),0),0)+IF(ISNUMBER(SEARCH("CH",H330)),IFNA(VLOOKUP("CH",Pitch_Coef!$A:$B,2,FALSE),0),0)+IF(ISNUMBER(SEARCH("FK",H330)),IFNA(VLOOKUP("FK",Pitch_Coef!$A:$B,2,FALSE),0),0)+IF(ISNUMBER(SEARCH("SB",H330)),IFNA(VLOOKUP("SB",Pitch_Coef!$A:$B,2,FALSE),0),0)+IF(ISNUMBER(SEARCH("SL",H330)),IFNA(VLOOKUP("SL",Pitch_Coef!$A:$B,2,FALSE),0),0),0)</f>
        <v/>
      </c>
      <c r="AA330">
        <f>IF(Q330="P",16.5944849573+0.2529999141*N330+0.2665900378*O330+0.2632687105*P330+0.0427586837*I330+0.0534777057*J330+0.009015832*K330+0.0204898106*(O330*P330/100)+1.0091022427*U330+1.0968542297*IF(D330="L",1,0)+0.3771555045*IF(D330="S",1,0)-0.2226159177*IF(E330="L",1,0)+1.21385024*R330-1.1652812274*S330+W330+X330+Z330,10.5965166711+0.2825983581*I330+0.2806503532*J330+0.2027213083*K330+0.1147824982*L330+0.0915305332*M330-0.0088454122*(I330*J330/100)-0.0336045706*(K330*L330/100)+2.8497389733*IF(D330="L",1,0)+4.5116226727*IF(D330="S",1,0)-0.6571546448*IF(E330="L",1,0)+0.0850728147*T330+0.0129488446*(T330*T330)+0.1909373936*IF(OR(F330="Utility",G330="Utility"),T330,0)+0.9656824071*R330-1.7517683256*S330+W330+X330+Y330)</f>
        <v/>
      </c>
      <c r="AB330">
        <f>LOOKUP(AA330,Grade_Scale!$A$2:$A$18,Grade_Scale!$B$2:$B$18)</f>
        <v/>
      </c>
      <c r="AC330">
        <f>LOOKUP(AA330,Grade_Scale!$A$2:$A$18,Grade_Scale!$C$2:$C$18)</f>
        <v/>
      </c>
      <c r="AE330">
        <f>IF(AD330="","",AB330-VLOOKUP(AD330,Grade_Scale!$C$2:$E$18,3,FALSE))</f>
        <v/>
      </c>
    </row>
    <row r="331">
      <c r="Q331">
        <f>IF(OR(B331="SP",B331="RP",B331="CP",B331="SP/RP"),"P","H")</f>
        <v/>
      </c>
      <c r="R331">
        <f>IF(F331="",0,IFNA(VLOOKUP(F331,Trait_Polarity!$A:$C,2,FALSE),0))+IF(G331="",0,IFNA(VLOOKUP(G331,Trait_Polarity!$A:$C,2,FALSE),0))</f>
        <v/>
      </c>
      <c r="S331">
        <f>IF(F331="",0,IFNA(VLOOKUP(F331,Trait_Polarity!$A:$C,3,FALSE),0))+IF(G331="",0,IFNA(VLOOKUP(G331,Trait_Polarity!$A:$C,3,FALSE),0))</f>
        <v/>
      </c>
      <c r="T331">
        <f>IF(Q331="P",0,IFNA(VLOOKUP(IF(C331="","(none)",C331),Secondary_Versatility!$A:$B,2,FALSE),0))</f>
        <v/>
      </c>
      <c r="U331">
        <f>IF(H331="",0,LEN(H331)-LEN(SUBSTITUTE(H331,"|",""))+1)</f>
        <v/>
      </c>
      <c r="V331">
        <f>IF(Q331="P",(N331+O331+P331)/3,0.3*I331+0.3*J331+0.2*K331+0.1*L331+0.1*M331)</f>
        <v/>
      </c>
      <c r="W331">
        <f>IF(Q331="P",IF(F331="",0,IFNA(VLOOKUP(F331,Pitcher_Trait_Coef!$A:$B,2,FALSE),0))+IF(G331="",0,IFNA(VLOOKUP(G331,Pitcher_Trait_Coef!$A:$B,2,FALSE),0)),IF(F331="",0,IFNA(VLOOKUP(F331,Hitter_Trait_Coef!$A:$B,2,FALSE),0))+IF(G331="",0,IFNA(VLOOKUP(G331,Hitter_Trait_Coef!$A:$B,2,FALSE),0)))</f>
        <v/>
      </c>
      <c r="X331">
        <f>IF(Q331="P",IFNA(VLOOKUP(B331,Pitcher_Primary_Coef!$A:$B,2,FALSE),0),IFNA(VLOOKUP(B331,Hitter_Primary_Coef!$A:$B,2,FALSE),0))</f>
        <v/>
      </c>
      <c r="Y331">
        <f>IF(Q331="P",0,IFNA(VLOOKUP(IF(C331="","(none)",C331),Hitter_Secondary_Coef!$A:$B,2,FALSE),0))</f>
        <v/>
      </c>
      <c r="Z331">
        <f>IF(Q331="P",IF(ISNUMBER(SEARCH("2F",H331)),IFNA(VLOOKUP("2F",Pitch_Coef!$A:$B,2,FALSE),0),0)+IF(ISNUMBER(SEARCH("4F",H331)),IFNA(VLOOKUP("4F",Pitch_Coef!$A:$B,2,FALSE),0),0)+IF(ISNUMBER(SEARCH("CB",H331)),IFNA(VLOOKUP("CB",Pitch_Coef!$A:$B,2,FALSE),0),0)+IF(ISNUMBER(SEARCH("CF",H331)),IFNA(VLOOKUP("CF",Pitch_Coef!$A:$B,2,FALSE),0),0)+IF(ISNUMBER(SEARCH("CH",H331)),IFNA(VLOOKUP("CH",Pitch_Coef!$A:$B,2,FALSE),0),0)+IF(ISNUMBER(SEARCH("FK",H331)),IFNA(VLOOKUP("FK",Pitch_Coef!$A:$B,2,FALSE),0),0)+IF(ISNUMBER(SEARCH("SB",H331)),IFNA(VLOOKUP("SB",Pitch_Coef!$A:$B,2,FALSE),0),0)+IF(ISNUMBER(SEARCH("SL",H331)),IFNA(VLOOKUP("SL",Pitch_Coef!$A:$B,2,FALSE),0),0),0)</f>
        <v/>
      </c>
      <c r="AA331">
        <f>IF(Q331="P",16.5944849573+0.2529999141*N331+0.2665900378*O331+0.2632687105*P331+0.0427586837*I331+0.0534777057*J331+0.009015832*K331+0.0204898106*(O331*P331/100)+1.0091022427*U331+1.0968542297*IF(D331="L",1,0)+0.3771555045*IF(D331="S",1,0)-0.2226159177*IF(E331="L",1,0)+1.21385024*R331-1.1652812274*S331+W331+X331+Z331,10.5965166711+0.2825983581*I331+0.2806503532*J331+0.2027213083*K331+0.1147824982*L331+0.0915305332*M331-0.0088454122*(I331*J331/100)-0.0336045706*(K331*L331/100)+2.8497389733*IF(D331="L",1,0)+4.5116226727*IF(D331="S",1,0)-0.6571546448*IF(E331="L",1,0)+0.0850728147*T331+0.0129488446*(T331*T331)+0.1909373936*IF(OR(F331="Utility",G331="Utility"),T331,0)+0.9656824071*R331-1.7517683256*S331+W331+X331+Y331)</f>
        <v/>
      </c>
      <c r="AB331">
        <f>LOOKUP(AA331,Grade_Scale!$A$2:$A$18,Grade_Scale!$B$2:$B$18)</f>
        <v/>
      </c>
      <c r="AC331">
        <f>LOOKUP(AA331,Grade_Scale!$A$2:$A$18,Grade_Scale!$C$2:$C$18)</f>
        <v/>
      </c>
      <c r="AE331">
        <f>IF(AD331="","",AB331-VLOOKUP(AD331,Grade_Scale!$C$2:$E$18,3,FALSE))</f>
        <v/>
      </c>
    </row>
    <row r="332">
      <c r="Q332">
        <f>IF(OR(B332="SP",B332="RP",B332="CP",B332="SP/RP"),"P","H")</f>
        <v/>
      </c>
      <c r="R332">
        <f>IF(F332="",0,IFNA(VLOOKUP(F332,Trait_Polarity!$A:$C,2,FALSE),0))+IF(G332="",0,IFNA(VLOOKUP(G332,Trait_Polarity!$A:$C,2,FALSE),0))</f>
        <v/>
      </c>
      <c r="S332">
        <f>IF(F332="",0,IFNA(VLOOKUP(F332,Trait_Polarity!$A:$C,3,FALSE),0))+IF(G332="",0,IFNA(VLOOKUP(G332,Trait_Polarity!$A:$C,3,FALSE),0))</f>
        <v/>
      </c>
      <c r="T332">
        <f>IF(Q332="P",0,IFNA(VLOOKUP(IF(C332="","(none)",C332),Secondary_Versatility!$A:$B,2,FALSE),0))</f>
        <v/>
      </c>
      <c r="U332">
        <f>IF(H332="",0,LEN(H332)-LEN(SUBSTITUTE(H332,"|",""))+1)</f>
        <v/>
      </c>
      <c r="V332">
        <f>IF(Q332="P",(N332+O332+P332)/3,0.3*I332+0.3*J332+0.2*K332+0.1*L332+0.1*M332)</f>
        <v/>
      </c>
      <c r="W332">
        <f>IF(Q332="P",IF(F332="",0,IFNA(VLOOKUP(F332,Pitcher_Trait_Coef!$A:$B,2,FALSE),0))+IF(G332="",0,IFNA(VLOOKUP(G332,Pitcher_Trait_Coef!$A:$B,2,FALSE),0)),IF(F332="",0,IFNA(VLOOKUP(F332,Hitter_Trait_Coef!$A:$B,2,FALSE),0))+IF(G332="",0,IFNA(VLOOKUP(G332,Hitter_Trait_Coef!$A:$B,2,FALSE),0)))</f>
        <v/>
      </c>
      <c r="X332">
        <f>IF(Q332="P",IFNA(VLOOKUP(B332,Pitcher_Primary_Coef!$A:$B,2,FALSE),0),IFNA(VLOOKUP(B332,Hitter_Primary_Coef!$A:$B,2,FALSE),0))</f>
        <v/>
      </c>
      <c r="Y332">
        <f>IF(Q332="P",0,IFNA(VLOOKUP(IF(C332="","(none)",C332),Hitter_Secondary_Coef!$A:$B,2,FALSE),0))</f>
        <v/>
      </c>
      <c r="Z332">
        <f>IF(Q332="P",IF(ISNUMBER(SEARCH("2F",H332)),IFNA(VLOOKUP("2F",Pitch_Coef!$A:$B,2,FALSE),0),0)+IF(ISNUMBER(SEARCH("4F",H332)),IFNA(VLOOKUP("4F",Pitch_Coef!$A:$B,2,FALSE),0),0)+IF(ISNUMBER(SEARCH("CB",H332)),IFNA(VLOOKUP("CB",Pitch_Coef!$A:$B,2,FALSE),0),0)+IF(ISNUMBER(SEARCH("CF",H332)),IFNA(VLOOKUP("CF",Pitch_Coef!$A:$B,2,FALSE),0),0)+IF(ISNUMBER(SEARCH("CH",H332)),IFNA(VLOOKUP("CH",Pitch_Coef!$A:$B,2,FALSE),0),0)+IF(ISNUMBER(SEARCH("FK",H332)),IFNA(VLOOKUP("FK",Pitch_Coef!$A:$B,2,FALSE),0),0)+IF(ISNUMBER(SEARCH("SB",H332)),IFNA(VLOOKUP("SB",Pitch_Coef!$A:$B,2,FALSE),0),0)+IF(ISNUMBER(SEARCH("SL",H332)),IFNA(VLOOKUP("SL",Pitch_Coef!$A:$B,2,FALSE),0),0),0)</f>
        <v/>
      </c>
      <c r="AA332">
        <f>IF(Q332="P",16.5944849573+0.2529999141*N332+0.2665900378*O332+0.2632687105*P332+0.0427586837*I332+0.0534777057*J332+0.009015832*K332+0.0204898106*(O332*P332/100)+1.0091022427*U332+1.0968542297*IF(D332="L",1,0)+0.3771555045*IF(D332="S",1,0)-0.2226159177*IF(E332="L",1,0)+1.21385024*R332-1.1652812274*S332+W332+X332+Z332,10.5965166711+0.2825983581*I332+0.2806503532*J332+0.2027213083*K332+0.1147824982*L332+0.0915305332*M332-0.0088454122*(I332*J332/100)-0.0336045706*(K332*L332/100)+2.8497389733*IF(D332="L",1,0)+4.5116226727*IF(D332="S",1,0)-0.6571546448*IF(E332="L",1,0)+0.0850728147*T332+0.0129488446*(T332*T332)+0.1909373936*IF(OR(F332="Utility",G332="Utility"),T332,0)+0.9656824071*R332-1.7517683256*S332+W332+X332+Y332)</f>
        <v/>
      </c>
      <c r="AB332">
        <f>LOOKUP(AA332,Grade_Scale!$A$2:$A$18,Grade_Scale!$B$2:$B$18)</f>
        <v/>
      </c>
      <c r="AC332">
        <f>LOOKUP(AA332,Grade_Scale!$A$2:$A$18,Grade_Scale!$C$2:$C$18)</f>
        <v/>
      </c>
      <c r="AE332">
        <f>IF(AD332="","",AB332-VLOOKUP(AD332,Grade_Scale!$C$2:$E$18,3,FALSE))</f>
        <v/>
      </c>
    </row>
    <row r="333">
      <c r="Q333">
        <f>IF(OR(B333="SP",B333="RP",B333="CP",B333="SP/RP"),"P","H")</f>
        <v/>
      </c>
      <c r="R333">
        <f>IF(F333="",0,IFNA(VLOOKUP(F333,Trait_Polarity!$A:$C,2,FALSE),0))+IF(G333="",0,IFNA(VLOOKUP(G333,Trait_Polarity!$A:$C,2,FALSE),0))</f>
        <v/>
      </c>
      <c r="S333">
        <f>IF(F333="",0,IFNA(VLOOKUP(F333,Trait_Polarity!$A:$C,3,FALSE),0))+IF(G333="",0,IFNA(VLOOKUP(G333,Trait_Polarity!$A:$C,3,FALSE),0))</f>
        <v/>
      </c>
      <c r="T333">
        <f>IF(Q333="P",0,IFNA(VLOOKUP(IF(C333="","(none)",C333),Secondary_Versatility!$A:$B,2,FALSE),0))</f>
        <v/>
      </c>
      <c r="U333">
        <f>IF(H333="",0,LEN(H333)-LEN(SUBSTITUTE(H333,"|",""))+1)</f>
        <v/>
      </c>
      <c r="V333">
        <f>IF(Q333="P",(N333+O333+P333)/3,0.3*I333+0.3*J333+0.2*K333+0.1*L333+0.1*M333)</f>
        <v/>
      </c>
      <c r="W333">
        <f>IF(Q333="P",IF(F333="",0,IFNA(VLOOKUP(F333,Pitcher_Trait_Coef!$A:$B,2,FALSE),0))+IF(G333="",0,IFNA(VLOOKUP(G333,Pitcher_Trait_Coef!$A:$B,2,FALSE),0)),IF(F333="",0,IFNA(VLOOKUP(F333,Hitter_Trait_Coef!$A:$B,2,FALSE),0))+IF(G333="",0,IFNA(VLOOKUP(G333,Hitter_Trait_Coef!$A:$B,2,FALSE),0)))</f>
        <v/>
      </c>
      <c r="X333">
        <f>IF(Q333="P",IFNA(VLOOKUP(B333,Pitcher_Primary_Coef!$A:$B,2,FALSE),0),IFNA(VLOOKUP(B333,Hitter_Primary_Coef!$A:$B,2,FALSE),0))</f>
        <v/>
      </c>
      <c r="Y333">
        <f>IF(Q333="P",0,IFNA(VLOOKUP(IF(C333="","(none)",C333),Hitter_Secondary_Coef!$A:$B,2,FALSE),0))</f>
        <v/>
      </c>
      <c r="Z333">
        <f>IF(Q333="P",IF(ISNUMBER(SEARCH("2F",H333)),IFNA(VLOOKUP("2F",Pitch_Coef!$A:$B,2,FALSE),0),0)+IF(ISNUMBER(SEARCH("4F",H333)),IFNA(VLOOKUP("4F",Pitch_Coef!$A:$B,2,FALSE),0),0)+IF(ISNUMBER(SEARCH("CB",H333)),IFNA(VLOOKUP("CB",Pitch_Coef!$A:$B,2,FALSE),0),0)+IF(ISNUMBER(SEARCH("CF",H333)),IFNA(VLOOKUP("CF",Pitch_Coef!$A:$B,2,FALSE),0),0)+IF(ISNUMBER(SEARCH("CH",H333)),IFNA(VLOOKUP("CH",Pitch_Coef!$A:$B,2,FALSE),0),0)+IF(ISNUMBER(SEARCH("FK",H333)),IFNA(VLOOKUP("FK",Pitch_Coef!$A:$B,2,FALSE),0),0)+IF(ISNUMBER(SEARCH("SB",H333)),IFNA(VLOOKUP("SB",Pitch_Coef!$A:$B,2,FALSE),0),0)+IF(ISNUMBER(SEARCH("SL",H333)),IFNA(VLOOKUP("SL",Pitch_Coef!$A:$B,2,FALSE),0),0),0)</f>
        <v/>
      </c>
      <c r="AA333">
        <f>IF(Q333="P",16.5944849573+0.2529999141*N333+0.2665900378*O333+0.2632687105*P333+0.0427586837*I333+0.0534777057*J333+0.009015832*K333+0.0204898106*(O333*P333/100)+1.0091022427*U333+1.0968542297*IF(D333="L",1,0)+0.3771555045*IF(D333="S",1,0)-0.2226159177*IF(E333="L",1,0)+1.21385024*R333-1.1652812274*S333+W333+X333+Z333,10.5965166711+0.2825983581*I333+0.2806503532*J333+0.2027213083*K333+0.1147824982*L333+0.0915305332*M333-0.0088454122*(I333*J333/100)-0.0336045706*(K333*L333/100)+2.8497389733*IF(D333="L",1,0)+4.5116226727*IF(D333="S",1,0)-0.6571546448*IF(E333="L",1,0)+0.0850728147*T333+0.0129488446*(T333*T333)+0.1909373936*IF(OR(F333="Utility",G333="Utility"),T333,0)+0.9656824071*R333-1.7517683256*S333+W333+X333+Y333)</f>
        <v/>
      </c>
      <c r="AB333">
        <f>LOOKUP(AA333,Grade_Scale!$A$2:$A$18,Grade_Scale!$B$2:$B$18)</f>
        <v/>
      </c>
      <c r="AC333">
        <f>LOOKUP(AA333,Grade_Scale!$A$2:$A$18,Grade_Scale!$C$2:$C$18)</f>
        <v/>
      </c>
      <c r="AE333">
        <f>IF(AD333="","",AB333-VLOOKUP(AD333,Grade_Scale!$C$2:$E$18,3,FALSE))</f>
        <v/>
      </c>
    </row>
    <row r="334">
      <c r="Q334">
        <f>IF(OR(B334="SP",B334="RP",B334="CP",B334="SP/RP"),"P","H")</f>
        <v/>
      </c>
      <c r="R334">
        <f>IF(F334="",0,IFNA(VLOOKUP(F334,Trait_Polarity!$A:$C,2,FALSE),0))+IF(G334="",0,IFNA(VLOOKUP(G334,Trait_Polarity!$A:$C,2,FALSE),0))</f>
        <v/>
      </c>
      <c r="S334">
        <f>IF(F334="",0,IFNA(VLOOKUP(F334,Trait_Polarity!$A:$C,3,FALSE),0))+IF(G334="",0,IFNA(VLOOKUP(G334,Trait_Polarity!$A:$C,3,FALSE),0))</f>
        <v/>
      </c>
      <c r="T334">
        <f>IF(Q334="P",0,IFNA(VLOOKUP(IF(C334="","(none)",C334),Secondary_Versatility!$A:$B,2,FALSE),0))</f>
        <v/>
      </c>
      <c r="U334">
        <f>IF(H334="",0,LEN(H334)-LEN(SUBSTITUTE(H334,"|",""))+1)</f>
        <v/>
      </c>
      <c r="V334">
        <f>IF(Q334="P",(N334+O334+P334)/3,0.3*I334+0.3*J334+0.2*K334+0.1*L334+0.1*M334)</f>
        <v/>
      </c>
      <c r="W334">
        <f>IF(Q334="P",IF(F334="",0,IFNA(VLOOKUP(F334,Pitcher_Trait_Coef!$A:$B,2,FALSE),0))+IF(G334="",0,IFNA(VLOOKUP(G334,Pitcher_Trait_Coef!$A:$B,2,FALSE),0)),IF(F334="",0,IFNA(VLOOKUP(F334,Hitter_Trait_Coef!$A:$B,2,FALSE),0))+IF(G334="",0,IFNA(VLOOKUP(G334,Hitter_Trait_Coef!$A:$B,2,FALSE),0)))</f>
        <v/>
      </c>
      <c r="X334">
        <f>IF(Q334="P",IFNA(VLOOKUP(B334,Pitcher_Primary_Coef!$A:$B,2,FALSE),0),IFNA(VLOOKUP(B334,Hitter_Primary_Coef!$A:$B,2,FALSE),0))</f>
        <v/>
      </c>
      <c r="Y334">
        <f>IF(Q334="P",0,IFNA(VLOOKUP(IF(C334="","(none)",C334),Hitter_Secondary_Coef!$A:$B,2,FALSE),0))</f>
        <v/>
      </c>
      <c r="Z334">
        <f>IF(Q334="P",IF(ISNUMBER(SEARCH("2F",H334)),IFNA(VLOOKUP("2F",Pitch_Coef!$A:$B,2,FALSE),0),0)+IF(ISNUMBER(SEARCH("4F",H334)),IFNA(VLOOKUP("4F",Pitch_Coef!$A:$B,2,FALSE),0),0)+IF(ISNUMBER(SEARCH("CB",H334)),IFNA(VLOOKUP("CB",Pitch_Coef!$A:$B,2,FALSE),0),0)+IF(ISNUMBER(SEARCH("CF",H334)),IFNA(VLOOKUP("CF",Pitch_Coef!$A:$B,2,FALSE),0),0)+IF(ISNUMBER(SEARCH("CH",H334)),IFNA(VLOOKUP("CH",Pitch_Coef!$A:$B,2,FALSE),0),0)+IF(ISNUMBER(SEARCH("FK",H334)),IFNA(VLOOKUP("FK",Pitch_Coef!$A:$B,2,FALSE),0),0)+IF(ISNUMBER(SEARCH("SB",H334)),IFNA(VLOOKUP("SB",Pitch_Coef!$A:$B,2,FALSE),0),0)+IF(ISNUMBER(SEARCH("SL",H334)),IFNA(VLOOKUP("SL",Pitch_Coef!$A:$B,2,FALSE),0),0),0)</f>
        <v/>
      </c>
      <c r="AA334">
        <f>IF(Q334="P",16.5944849573+0.2529999141*N334+0.2665900378*O334+0.2632687105*P334+0.0427586837*I334+0.0534777057*J334+0.009015832*K334+0.0204898106*(O334*P334/100)+1.0091022427*U334+1.0968542297*IF(D334="L",1,0)+0.3771555045*IF(D334="S",1,0)-0.2226159177*IF(E334="L",1,0)+1.21385024*R334-1.1652812274*S334+W334+X334+Z334,10.5965166711+0.2825983581*I334+0.2806503532*J334+0.2027213083*K334+0.1147824982*L334+0.0915305332*M334-0.0088454122*(I334*J334/100)-0.0336045706*(K334*L334/100)+2.8497389733*IF(D334="L",1,0)+4.5116226727*IF(D334="S",1,0)-0.6571546448*IF(E334="L",1,0)+0.0850728147*T334+0.0129488446*(T334*T334)+0.1909373936*IF(OR(F334="Utility",G334="Utility"),T334,0)+0.9656824071*R334-1.7517683256*S334+W334+X334+Y334)</f>
        <v/>
      </c>
      <c r="AB334">
        <f>LOOKUP(AA334,Grade_Scale!$A$2:$A$18,Grade_Scale!$B$2:$B$18)</f>
        <v/>
      </c>
      <c r="AC334">
        <f>LOOKUP(AA334,Grade_Scale!$A$2:$A$18,Grade_Scale!$C$2:$C$18)</f>
        <v/>
      </c>
      <c r="AE334">
        <f>IF(AD334="","",AB334-VLOOKUP(AD334,Grade_Scale!$C$2:$E$18,3,FALSE))</f>
        <v/>
      </c>
    </row>
    <row r="335">
      <c r="Q335">
        <f>IF(OR(B335="SP",B335="RP",B335="CP",B335="SP/RP"),"P","H")</f>
        <v/>
      </c>
      <c r="R335">
        <f>IF(F335="",0,IFNA(VLOOKUP(F335,Trait_Polarity!$A:$C,2,FALSE),0))+IF(G335="",0,IFNA(VLOOKUP(G335,Trait_Polarity!$A:$C,2,FALSE),0))</f>
        <v/>
      </c>
      <c r="S335">
        <f>IF(F335="",0,IFNA(VLOOKUP(F335,Trait_Polarity!$A:$C,3,FALSE),0))+IF(G335="",0,IFNA(VLOOKUP(G335,Trait_Polarity!$A:$C,3,FALSE),0))</f>
        <v/>
      </c>
      <c r="T335">
        <f>IF(Q335="P",0,IFNA(VLOOKUP(IF(C335="","(none)",C335),Secondary_Versatility!$A:$B,2,FALSE),0))</f>
        <v/>
      </c>
      <c r="U335">
        <f>IF(H335="",0,LEN(H335)-LEN(SUBSTITUTE(H335,"|",""))+1)</f>
        <v/>
      </c>
      <c r="V335">
        <f>IF(Q335="P",(N335+O335+P335)/3,0.3*I335+0.3*J335+0.2*K335+0.1*L335+0.1*M335)</f>
        <v/>
      </c>
      <c r="W335">
        <f>IF(Q335="P",IF(F335="",0,IFNA(VLOOKUP(F335,Pitcher_Trait_Coef!$A:$B,2,FALSE),0))+IF(G335="",0,IFNA(VLOOKUP(G335,Pitcher_Trait_Coef!$A:$B,2,FALSE),0)),IF(F335="",0,IFNA(VLOOKUP(F335,Hitter_Trait_Coef!$A:$B,2,FALSE),0))+IF(G335="",0,IFNA(VLOOKUP(G335,Hitter_Trait_Coef!$A:$B,2,FALSE),0)))</f>
        <v/>
      </c>
      <c r="X335">
        <f>IF(Q335="P",IFNA(VLOOKUP(B335,Pitcher_Primary_Coef!$A:$B,2,FALSE),0),IFNA(VLOOKUP(B335,Hitter_Primary_Coef!$A:$B,2,FALSE),0))</f>
        <v/>
      </c>
      <c r="Y335">
        <f>IF(Q335="P",0,IFNA(VLOOKUP(IF(C335="","(none)",C335),Hitter_Secondary_Coef!$A:$B,2,FALSE),0))</f>
        <v/>
      </c>
      <c r="Z335">
        <f>IF(Q335="P",IF(ISNUMBER(SEARCH("2F",H335)),IFNA(VLOOKUP("2F",Pitch_Coef!$A:$B,2,FALSE),0),0)+IF(ISNUMBER(SEARCH("4F",H335)),IFNA(VLOOKUP("4F",Pitch_Coef!$A:$B,2,FALSE),0),0)+IF(ISNUMBER(SEARCH("CB",H335)),IFNA(VLOOKUP("CB",Pitch_Coef!$A:$B,2,FALSE),0),0)+IF(ISNUMBER(SEARCH("CF",H335)),IFNA(VLOOKUP("CF",Pitch_Coef!$A:$B,2,FALSE),0),0)+IF(ISNUMBER(SEARCH("CH",H335)),IFNA(VLOOKUP("CH",Pitch_Coef!$A:$B,2,FALSE),0),0)+IF(ISNUMBER(SEARCH("FK",H335)),IFNA(VLOOKUP("FK",Pitch_Coef!$A:$B,2,FALSE),0),0)+IF(ISNUMBER(SEARCH("SB",H335)),IFNA(VLOOKUP("SB",Pitch_Coef!$A:$B,2,FALSE),0),0)+IF(ISNUMBER(SEARCH("SL",H335)),IFNA(VLOOKUP("SL",Pitch_Coef!$A:$B,2,FALSE),0),0),0)</f>
        <v/>
      </c>
      <c r="AA335">
        <f>IF(Q335="P",16.5944849573+0.2529999141*N335+0.2665900378*O335+0.2632687105*P335+0.0427586837*I335+0.0534777057*J335+0.009015832*K335+0.0204898106*(O335*P335/100)+1.0091022427*U335+1.0968542297*IF(D335="L",1,0)+0.3771555045*IF(D335="S",1,0)-0.2226159177*IF(E335="L",1,0)+1.21385024*R335-1.1652812274*S335+W335+X335+Z335,10.5965166711+0.2825983581*I335+0.2806503532*J335+0.2027213083*K335+0.1147824982*L335+0.0915305332*M335-0.0088454122*(I335*J335/100)-0.0336045706*(K335*L335/100)+2.8497389733*IF(D335="L",1,0)+4.5116226727*IF(D335="S",1,0)-0.6571546448*IF(E335="L",1,0)+0.0850728147*T335+0.0129488446*(T335*T335)+0.1909373936*IF(OR(F335="Utility",G335="Utility"),T335,0)+0.9656824071*R335-1.7517683256*S335+W335+X335+Y335)</f>
        <v/>
      </c>
      <c r="AB335">
        <f>LOOKUP(AA335,Grade_Scale!$A$2:$A$18,Grade_Scale!$B$2:$B$18)</f>
        <v/>
      </c>
      <c r="AC335">
        <f>LOOKUP(AA335,Grade_Scale!$A$2:$A$18,Grade_Scale!$C$2:$C$18)</f>
        <v/>
      </c>
      <c r="AE335">
        <f>IF(AD335="","",AB335-VLOOKUP(AD335,Grade_Scale!$C$2:$E$18,3,FALSE))</f>
        <v/>
      </c>
    </row>
    <row r="336">
      <c r="Q336">
        <f>IF(OR(B336="SP",B336="RP",B336="CP",B336="SP/RP"),"P","H")</f>
        <v/>
      </c>
      <c r="R336">
        <f>IF(F336="",0,IFNA(VLOOKUP(F336,Trait_Polarity!$A:$C,2,FALSE),0))+IF(G336="",0,IFNA(VLOOKUP(G336,Trait_Polarity!$A:$C,2,FALSE),0))</f>
        <v/>
      </c>
      <c r="S336">
        <f>IF(F336="",0,IFNA(VLOOKUP(F336,Trait_Polarity!$A:$C,3,FALSE),0))+IF(G336="",0,IFNA(VLOOKUP(G336,Trait_Polarity!$A:$C,3,FALSE),0))</f>
        <v/>
      </c>
      <c r="T336">
        <f>IF(Q336="P",0,IFNA(VLOOKUP(IF(C336="","(none)",C336),Secondary_Versatility!$A:$B,2,FALSE),0))</f>
        <v/>
      </c>
      <c r="U336">
        <f>IF(H336="",0,LEN(H336)-LEN(SUBSTITUTE(H336,"|",""))+1)</f>
        <v/>
      </c>
      <c r="V336">
        <f>IF(Q336="P",(N336+O336+P336)/3,0.3*I336+0.3*J336+0.2*K336+0.1*L336+0.1*M336)</f>
        <v/>
      </c>
      <c r="W336">
        <f>IF(Q336="P",IF(F336="",0,IFNA(VLOOKUP(F336,Pitcher_Trait_Coef!$A:$B,2,FALSE),0))+IF(G336="",0,IFNA(VLOOKUP(G336,Pitcher_Trait_Coef!$A:$B,2,FALSE),0)),IF(F336="",0,IFNA(VLOOKUP(F336,Hitter_Trait_Coef!$A:$B,2,FALSE),0))+IF(G336="",0,IFNA(VLOOKUP(G336,Hitter_Trait_Coef!$A:$B,2,FALSE),0)))</f>
        <v/>
      </c>
      <c r="X336">
        <f>IF(Q336="P",IFNA(VLOOKUP(B336,Pitcher_Primary_Coef!$A:$B,2,FALSE),0),IFNA(VLOOKUP(B336,Hitter_Primary_Coef!$A:$B,2,FALSE),0))</f>
        <v/>
      </c>
      <c r="Y336">
        <f>IF(Q336="P",0,IFNA(VLOOKUP(IF(C336="","(none)",C336),Hitter_Secondary_Coef!$A:$B,2,FALSE),0))</f>
        <v/>
      </c>
      <c r="Z336">
        <f>IF(Q336="P",IF(ISNUMBER(SEARCH("2F",H336)),IFNA(VLOOKUP("2F",Pitch_Coef!$A:$B,2,FALSE),0),0)+IF(ISNUMBER(SEARCH("4F",H336)),IFNA(VLOOKUP("4F",Pitch_Coef!$A:$B,2,FALSE),0),0)+IF(ISNUMBER(SEARCH("CB",H336)),IFNA(VLOOKUP("CB",Pitch_Coef!$A:$B,2,FALSE),0),0)+IF(ISNUMBER(SEARCH("CF",H336)),IFNA(VLOOKUP("CF",Pitch_Coef!$A:$B,2,FALSE),0),0)+IF(ISNUMBER(SEARCH("CH",H336)),IFNA(VLOOKUP("CH",Pitch_Coef!$A:$B,2,FALSE),0),0)+IF(ISNUMBER(SEARCH("FK",H336)),IFNA(VLOOKUP("FK",Pitch_Coef!$A:$B,2,FALSE),0),0)+IF(ISNUMBER(SEARCH("SB",H336)),IFNA(VLOOKUP("SB",Pitch_Coef!$A:$B,2,FALSE),0),0)+IF(ISNUMBER(SEARCH("SL",H336)),IFNA(VLOOKUP("SL",Pitch_Coef!$A:$B,2,FALSE),0),0),0)</f>
        <v/>
      </c>
      <c r="AA336">
        <f>IF(Q336="P",16.5944849573+0.2529999141*N336+0.2665900378*O336+0.2632687105*P336+0.0427586837*I336+0.0534777057*J336+0.009015832*K336+0.0204898106*(O336*P336/100)+1.0091022427*U336+1.0968542297*IF(D336="L",1,0)+0.3771555045*IF(D336="S",1,0)-0.2226159177*IF(E336="L",1,0)+1.21385024*R336-1.1652812274*S336+W336+X336+Z336,10.5965166711+0.2825983581*I336+0.2806503532*J336+0.2027213083*K336+0.1147824982*L336+0.0915305332*M336-0.0088454122*(I336*J336/100)-0.0336045706*(K336*L336/100)+2.8497389733*IF(D336="L",1,0)+4.5116226727*IF(D336="S",1,0)-0.6571546448*IF(E336="L",1,0)+0.0850728147*T336+0.0129488446*(T336*T336)+0.1909373936*IF(OR(F336="Utility",G336="Utility"),T336,0)+0.9656824071*R336-1.7517683256*S336+W336+X336+Y336)</f>
        <v/>
      </c>
      <c r="AB336">
        <f>LOOKUP(AA336,Grade_Scale!$A$2:$A$18,Grade_Scale!$B$2:$B$18)</f>
        <v/>
      </c>
      <c r="AC336">
        <f>LOOKUP(AA336,Grade_Scale!$A$2:$A$18,Grade_Scale!$C$2:$C$18)</f>
        <v/>
      </c>
      <c r="AE336">
        <f>IF(AD336="","",AB336-VLOOKUP(AD336,Grade_Scale!$C$2:$E$18,3,FALSE))</f>
        <v/>
      </c>
    </row>
    <row r="337">
      <c r="Q337">
        <f>IF(OR(B337="SP",B337="RP",B337="CP",B337="SP/RP"),"P","H")</f>
        <v/>
      </c>
      <c r="R337">
        <f>IF(F337="",0,IFNA(VLOOKUP(F337,Trait_Polarity!$A:$C,2,FALSE),0))+IF(G337="",0,IFNA(VLOOKUP(G337,Trait_Polarity!$A:$C,2,FALSE),0))</f>
        <v/>
      </c>
      <c r="S337">
        <f>IF(F337="",0,IFNA(VLOOKUP(F337,Trait_Polarity!$A:$C,3,FALSE),0))+IF(G337="",0,IFNA(VLOOKUP(G337,Trait_Polarity!$A:$C,3,FALSE),0))</f>
        <v/>
      </c>
      <c r="T337">
        <f>IF(Q337="P",0,IFNA(VLOOKUP(IF(C337="","(none)",C337),Secondary_Versatility!$A:$B,2,FALSE),0))</f>
        <v/>
      </c>
      <c r="U337">
        <f>IF(H337="",0,LEN(H337)-LEN(SUBSTITUTE(H337,"|",""))+1)</f>
        <v/>
      </c>
      <c r="V337">
        <f>IF(Q337="P",(N337+O337+P337)/3,0.3*I337+0.3*J337+0.2*K337+0.1*L337+0.1*M337)</f>
        <v/>
      </c>
      <c r="W337">
        <f>IF(Q337="P",IF(F337="",0,IFNA(VLOOKUP(F337,Pitcher_Trait_Coef!$A:$B,2,FALSE),0))+IF(G337="",0,IFNA(VLOOKUP(G337,Pitcher_Trait_Coef!$A:$B,2,FALSE),0)),IF(F337="",0,IFNA(VLOOKUP(F337,Hitter_Trait_Coef!$A:$B,2,FALSE),0))+IF(G337="",0,IFNA(VLOOKUP(G337,Hitter_Trait_Coef!$A:$B,2,FALSE),0)))</f>
        <v/>
      </c>
      <c r="X337">
        <f>IF(Q337="P",IFNA(VLOOKUP(B337,Pitcher_Primary_Coef!$A:$B,2,FALSE),0),IFNA(VLOOKUP(B337,Hitter_Primary_Coef!$A:$B,2,FALSE),0))</f>
        <v/>
      </c>
      <c r="Y337">
        <f>IF(Q337="P",0,IFNA(VLOOKUP(IF(C337="","(none)",C337),Hitter_Secondary_Coef!$A:$B,2,FALSE),0))</f>
        <v/>
      </c>
      <c r="Z337">
        <f>IF(Q337="P",IF(ISNUMBER(SEARCH("2F",H337)),IFNA(VLOOKUP("2F",Pitch_Coef!$A:$B,2,FALSE),0),0)+IF(ISNUMBER(SEARCH("4F",H337)),IFNA(VLOOKUP("4F",Pitch_Coef!$A:$B,2,FALSE),0),0)+IF(ISNUMBER(SEARCH("CB",H337)),IFNA(VLOOKUP("CB",Pitch_Coef!$A:$B,2,FALSE),0),0)+IF(ISNUMBER(SEARCH("CF",H337)),IFNA(VLOOKUP("CF",Pitch_Coef!$A:$B,2,FALSE),0),0)+IF(ISNUMBER(SEARCH("CH",H337)),IFNA(VLOOKUP("CH",Pitch_Coef!$A:$B,2,FALSE),0),0)+IF(ISNUMBER(SEARCH("FK",H337)),IFNA(VLOOKUP("FK",Pitch_Coef!$A:$B,2,FALSE),0),0)+IF(ISNUMBER(SEARCH("SB",H337)),IFNA(VLOOKUP("SB",Pitch_Coef!$A:$B,2,FALSE),0),0)+IF(ISNUMBER(SEARCH("SL",H337)),IFNA(VLOOKUP("SL",Pitch_Coef!$A:$B,2,FALSE),0),0),0)</f>
        <v/>
      </c>
      <c r="AA337">
        <f>IF(Q337="P",16.5944849573+0.2529999141*N337+0.2665900378*O337+0.2632687105*P337+0.0427586837*I337+0.0534777057*J337+0.009015832*K337+0.0204898106*(O337*P337/100)+1.0091022427*U337+1.0968542297*IF(D337="L",1,0)+0.3771555045*IF(D337="S",1,0)-0.2226159177*IF(E337="L",1,0)+1.21385024*R337-1.1652812274*S337+W337+X337+Z337,10.5965166711+0.2825983581*I337+0.2806503532*J337+0.2027213083*K337+0.1147824982*L337+0.0915305332*M337-0.0088454122*(I337*J337/100)-0.0336045706*(K337*L337/100)+2.8497389733*IF(D337="L",1,0)+4.5116226727*IF(D337="S",1,0)-0.6571546448*IF(E337="L",1,0)+0.0850728147*T337+0.0129488446*(T337*T337)+0.1909373936*IF(OR(F337="Utility",G337="Utility"),T337,0)+0.9656824071*R337-1.7517683256*S337+W337+X337+Y337)</f>
        <v/>
      </c>
      <c r="AB337">
        <f>LOOKUP(AA337,Grade_Scale!$A$2:$A$18,Grade_Scale!$B$2:$B$18)</f>
        <v/>
      </c>
      <c r="AC337">
        <f>LOOKUP(AA337,Grade_Scale!$A$2:$A$18,Grade_Scale!$C$2:$C$18)</f>
        <v/>
      </c>
      <c r="AE337">
        <f>IF(AD337="","",AB337-VLOOKUP(AD337,Grade_Scale!$C$2:$E$18,3,FALSE))</f>
        <v/>
      </c>
    </row>
    <row r="338">
      <c r="Q338">
        <f>IF(OR(B338="SP",B338="RP",B338="CP",B338="SP/RP"),"P","H")</f>
        <v/>
      </c>
      <c r="R338">
        <f>IF(F338="",0,IFNA(VLOOKUP(F338,Trait_Polarity!$A:$C,2,FALSE),0))+IF(G338="",0,IFNA(VLOOKUP(G338,Trait_Polarity!$A:$C,2,FALSE),0))</f>
        <v/>
      </c>
      <c r="S338">
        <f>IF(F338="",0,IFNA(VLOOKUP(F338,Trait_Polarity!$A:$C,3,FALSE),0))+IF(G338="",0,IFNA(VLOOKUP(G338,Trait_Polarity!$A:$C,3,FALSE),0))</f>
        <v/>
      </c>
      <c r="T338">
        <f>IF(Q338="P",0,IFNA(VLOOKUP(IF(C338="","(none)",C338),Secondary_Versatility!$A:$B,2,FALSE),0))</f>
        <v/>
      </c>
      <c r="U338">
        <f>IF(H338="",0,LEN(H338)-LEN(SUBSTITUTE(H338,"|",""))+1)</f>
        <v/>
      </c>
      <c r="V338">
        <f>IF(Q338="P",(N338+O338+P338)/3,0.3*I338+0.3*J338+0.2*K338+0.1*L338+0.1*M338)</f>
        <v/>
      </c>
      <c r="W338">
        <f>IF(Q338="P",IF(F338="",0,IFNA(VLOOKUP(F338,Pitcher_Trait_Coef!$A:$B,2,FALSE),0))+IF(G338="",0,IFNA(VLOOKUP(G338,Pitcher_Trait_Coef!$A:$B,2,FALSE),0)),IF(F338="",0,IFNA(VLOOKUP(F338,Hitter_Trait_Coef!$A:$B,2,FALSE),0))+IF(G338="",0,IFNA(VLOOKUP(G338,Hitter_Trait_Coef!$A:$B,2,FALSE),0)))</f>
        <v/>
      </c>
      <c r="X338">
        <f>IF(Q338="P",IFNA(VLOOKUP(B338,Pitcher_Primary_Coef!$A:$B,2,FALSE),0),IFNA(VLOOKUP(B338,Hitter_Primary_Coef!$A:$B,2,FALSE),0))</f>
        <v/>
      </c>
      <c r="Y338">
        <f>IF(Q338="P",0,IFNA(VLOOKUP(IF(C338="","(none)",C338),Hitter_Secondary_Coef!$A:$B,2,FALSE),0))</f>
        <v/>
      </c>
      <c r="Z338">
        <f>IF(Q338="P",IF(ISNUMBER(SEARCH("2F",H338)),IFNA(VLOOKUP("2F",Pitch_Coef!$A:$B,2,FALSE),0),0)+IF(ISNUMBER(SEARCH("4F",H338)),IFNA(VLOOKUP("4F",Pitch_Coef!$A:$B,2,FALSE),0),0)+IF(ISNUMBER(SEARCH("CB",H338)),IFNA(VLOOKUP("CB",Pitch_Coef!$A:$B,2,FALSE),0),0)+IF(ISNUMBER(SEARCH("CF",H338)),IFNA(VLOOKUP("CF",Pitch_Coef!$A:$B,2,FALSE),0),0)+IF(ISNUMBER(SEARCH("CH",H338)),IFNA(VLOOKUP("CH",Pitch_Coef!$A:$B,2,FALSE),0),0)+IF(ISNUMBER(SEARCH("FK",H338)),IFNA(VLOOKUP("FK",Pitch_Coef!$A:$B,2,FALSE),0),0)+IF(ISNUMBER(SEARCH("SB",H338)),IFNA(VLOOKUP("SB",Pitch_Coef!$A:$B,2,FALSE),0),0)+IF(ISNUMBER(SEARCH("SL",H338)),IFNA(VLOOKUP("SL",Pitch_Coef!$A:$B,2,FALSE),0),0),0)</f>
        <v/>
      </c>
      <c r="AA338">
        <f>IF(Q338="P",16.5944849573+0.2529999141*N338+0.2665900378*O338+0.2632687105*P338+0.0427586837*I338+0.0534777057*J338+0.009015832*K338+0.0204898106*(O338*P338/100)+1.0091022427*U338+1.0968542297*IF(D338="L",1,0)+0.3771555045*IF(D338="S",1,0)-0.2226159177*IF(E338="L",1,0)+1.21385024*R338-1.1652812274*S338+W338+X338+Z338,10.5965166711+0.2825983581*I338+0.2806503532*J338+0.2027213083*K338+0.1147824982*L338+0.0915305332*M338-0.0088454122*(I338*J338/100)-0.0336045706*(K338*L338/100)+2.8497389733*IF(D338="L",1,0)+4.5116226727*IF(D338="S",1,0)-0.6571546448*IF(E338="L",1,0)+0.0850728147*T338+0.0129488446*(T338*T338)+0.1909373936*IF(OR(F338="Utility",G338="Utility"),T338,0)+0.9656824071*R338-1.7517683256*S338+W338+X338+Y338)</f>
        <v/>
      </c>
      <c r="AB338">
        <f>LOOKUP(AA338,Grade_Scale!$A$2:$A$18,Grade_Scale!$B$2:$B$18)</f>
        <v/>
      </c>
      <c r="AC338">
        <f>LOOKUP(AA338,Grade_Scale!$A$2:$A$18,Grade_Scale!$C$2:$C$18)</f>
        <v/>
      </c>
      <c r="AE338">
        <f>IF(AD338="","",AB338-VLOOKUP(AD338,Grade_Scale!$C$2:$E$18,3,FALSE))</f>
        <v/>
      </c>
    </row>
    <row r="339">
      <c r="Q339">
        <f>IF(OR(B339="SP",B339="RP",B339="CP",B339="SP/RP"),"P","H")</f>
        <v/>
      </c>
      <c r="R339">
        <f>IF(F339="",0,IFNA(VLOOKUP(F339,Trait_Polarity!$A:$C,2,FALSE),0))+IF(G339="",0,IFNA(VLOOKUP(G339,Trait_Polarity!$A:$C,2,FALSE),0))</f>
        <v/>
      </c>
      <c r="S339">
        <f>IF(F339="",0,IFNA(VLOOKUP(F339,Trait_Polarity!$A:$C,3,FALSE),0))+IF(G339="",0,IFNA(VLOOKUP(G339,Trait_Polarity!$A:$C,3,FALSE),0))</f>
        <v/>
      </c>
      <c r="T339">
        <f>IF(Q339="P",0,IFNA(VLOOKUP(IF(C339="","(none)",C339),Secondary_Versatility!$A:$B,2,FALSE),0))</f>
        <v/>
      </c>
      <c r="U339">
        <f>IF(H339="",0,LEN(H339)-LEN(SUBSTITUTE(H339,"|",""))+1)</f>
        <v/>
      </c>
      <c r="V339">
        <f>IF(Q339="P",(N339+O339+P339)/3,0.3*I339+0.3*J339+0.2*K339+0.1*L339+0.1*M339)</f>
        <v/>
      </c>
      <c r="W339">
        <f>IF(Q339="P",IF(F339="",0,IFNA(VLOOKUP(F339,Pitcher_Trait_Coef!$A:$B,2,FALSE),0))+IF(G339="",0,IFNA(VLOOKUP(G339,Pitcher_Trait_Coef!$A:$B,2,FALSE),0)),IF(F339="",0,IFNA(VLOOKUP(F339,Hitter_Trait_Coef!$A:$B,2,FALSE),0))+IF(G339="",0,IFNA(VLOOKUP(G339,Hitter_Trait_Coef!$A:$B,2,FALSE),0)))</f>
        <v/>
      </c>
      <c r="X339">
        <f>IF(Q339="P",IFNA(VLOOKUP(B339,Pitcher_Primary_Coef!$A:$B,2,FALSE),0),IFNA(VLOOKUP(B339,Hitter_Primary_Coef!$A:$B,2,FALSE),0))</f>
        <v/>
      </c>
      <c r="Y339">
        <f>IF(Q339="P",0,IFNA(VLOOKUP(IF(C339="","(none)",C339),Hitter_Secondary_Coef!$A:$B,2,FALSE),0))</f>
        <v/>
      </c>
      <c r="Z339">
        <f>IF(Q339="P",IF(ISNUMBER(SEARCH("2F",H339)),IFNA(VLOOKUP("2F",Pitch_Coef!$A:$B,2,FALSE),0),0)+IF(ISNUMBER(SEARCH("4F",H339)),IFNA(VLOOKUP("4F",Pitch_Coef!$A:$B,2,FALSE),0),0)+IF(ISNUMBER(SEARCH("CB",H339)),IFNA(VLOOKUP("CB",Pitch_Coef!$A:$B,2,FALSE),0),0)+IF(ISNUMBER(SEARCH("CF",H339)),IFNA(VLOOKUP("CF",Pitch_Coef!$A:$B,2,FALSE),0),0)+IF(ISNUMBER(SEARCH("CH",H339)),IFNA(VLOOKUP("CH",Pitch_Coef!$A:$B,2,FALSE),0),0)+IF(ISNUMBER(SEARCH("FK",H339)),IFNA(VLOOKUP("FK",Pitch_Coef!$A:$B,2,FALSE),0),0)+IF(ISNUMBER(SEARCH("SB",H339)),IFNA(VLOOKUP("SB",Pitch_Coef!$A:$B,2,FALSE),0),0)+IF(ISNUMBER(SEARCH("SL",H339)),IFNA(VLOOKUP("SL",Pitch_Coef!$A:$B,2,FALSE),0),0),0)</f>
        <v/>
      </c>
      <c r="AA339">
        <f>IF(Q339="P",16.5944849573+0.2529999141*N339+0.2665900378*O339+0.2632687105*P339+0.0427586837*I339+0.0534777057*J339+0.009015832*K339+0.0204898106*(O339*P339/100)+1.0091022427*U339+1.0968542297*IF(D339="L",1,0)+0.3771555045*IF(D339="S",1,0)-0.2226159177*IF(E339="L",1,0)+1.21385024*R339-1.1652812274*S339+W339+X339+Z339,10.5965166711+0.2825983581*I339+0.2806503532*J339+0.2027213083*K339+0.1147824982*L339+0.0915305332*M339-0.0088454122*(I339*J339/100)-0.0336045706*(K339*L339/100)+2.8497389733*IF(D339="L",1,0)+4.5116226727*IF(D339="S",1,0)-0.6571546448*IF(E339="L",1,0)+0.0850728147*T339+0.0129488446*(T339*T339)+0.1909373936*IF(OR(F339="Utility",G339="Utility"),T339,0)+0.9656824071*R339-1.7517683256*S339+W339+X339+Y339)</f>
        <v/>
      </c>
      <c r="AB339">
        <f>LOOKUP(AA339,Grade_Scale!$A$2:$A$18,Grade_Scale!$B$2:$B$18)</f>
        <v/>
      </c>
      <c r="AC339">
        <f>LOOKUP(AA339,Grade_Scale!$A$2:$A$18,Grade_Scale!$C$2:$C$18)</f>
        <v/>
      </c>
      <c r="AE339">
        <f>IF(AD339="","",AB339-VLOOKUP(AD339,Grade_Scale!$C$2:$E$18,3,FALSE))</f>
        <v/>
      </c>
    </row>
    <row r="340">
      <c r="Q340">
        <f>IF(OR(B340="SP",B340="RP",B340="CP",B340="SP/RP"),"P","H")</f>
        <v/>
      </c>
      <c r="R340">
        <f>IF(F340="",0,IFNA(VLOOKUP(F340,Trait_Polarity!$A:$C,2,FALSE),0))+IF(G340="",0,IFNA(VLOOKUP(G340,Trait_Polarity!$A:$C,2,FALSE),0))</f>
        <v/>
      </c>
      <c r="S340">
        <f>IF(F340="",0,IFNA(VLOOKUP(F340,Trait_Polarity!$A:$C,3,FALSE),0))+IF(G340="",0,IFNA(VLOOKUP(G340,Trait_Polarity!$A:$C,3,FALSE),0))</f>
        <v/>
      </c>
      <c r="T340">
        <f>IF(Q340="P",0,IFNA(VLOOKUP(IF(C340="","(none)",C340),Secondary_Versatility!$A:$B,2,FALSE),0))</f>
        <v/>
      </c>
      <c r="U340">
        <f>IF(H340="",0,LEN(H340)-LEN(SUBSTITUTE(H340,"|",""))+1)</f>
        <v/>
      </c>
      <c r="V340">
        <f>IF(Q340="P",(N340+O340+P340)/3,0.3*I340+0.3*J340+0.2*K340+0.1*L340+0.1*M340)</f>
        <v/>
      </c>
      <c r="W340">
        <f>IF(Q340="P",IF(F340="",0,IFNA(VLOOKUP(F340,Pitcher_Trait_Coef!$A:$B,2,FALSE),0))+IF(G340="",0,IFNA(VLOOKUP(G340,Pitcher_Trait_Coef!$A:$B,2,FALSE),0)),IF(F340="",0,IFNA(VLOOKUP(F340,Hitter_Trait_Coef!$A:$B,2,FALSE),0))+IF(G340="",0,IFNA(VLOOKUP(G340,Hitter_Trait_Coef!$A:$B,2,FALSE),0)))</f>
        <v/>
      </c>
      <c r="X340">
        <f>IF(Q340="P",IFNA(VLOOKUP(B340,Pitcher_Primary_Coef!$A:$B,2,FALSE),0),IFNA(VLOOKUP(B340,Hitter_Primary_Coef!$A:$B,2,FALSE),0))</f>
        <v/>
      </c>
      <c r="Y340">
        <f>IF(Q340="P",0,IFNA(VLOOKUP(IF(C340="","(none)",C340),Hitter_Secondary_Coef!$A:$B,2,FALSE),0))</f>
        <v/>
      </c>
      <c r="Z340">
        <f>IF(Q340="P",IF(ISNUMBER(SEARCH("2F",H340)),IFNA(VLOOKUP("2F",Pitch_Coef!$A:$B,2,FALSE),0),0)+IF(ISNUMBER(SEARCH("4F",H340)),IFNA(VLOOKUP("4F",Pitch_Coef!$A:$B,2,FALSE),0),0)+IF(ISNUMBER(SEARCH("CB",H340)),IFNA(VLOOKUP("CB",Pitch_Coef!$A:$B,2,FALSE),0),0)+IF(ISNUMBER(SEARCH("CF",H340)),IFNA(VLOOKUP("CF",Pitch_Coef!$A:$B,2,FALSE),0),0)+IF(ISNUMBER(SEARCH("CH",H340)),IFNA(VLOOKUP("CH",Pitch_Coef!$A:$B,2,FALSE),0),0)+IF(ISNUMBER(SEARCH("FK",H340)),IFNA(VLOOKUP("FK",Pitch_Coef!$A:$B,2,FALSE),0),0)+IF(ISNUMBER(SEARCH("SB",H340)),IFNA(VLOOKUP("SB",Pitch_Coef!$A:$B,2,FALSE),0),0)+IF(ISNUMBER(SEARCH("SL",H340)),IFNA(VLOOKUP("SL",Pitch_Coef!$A:$B,2,FALSE),0),0),0)</f>
        <v/>
      </c>
      <c r="AA340">
        <f>IF(Q340="P",16.5944849573+0.2529999141*N340+0.2665900378*O340+0.2632687105*P340+0.0427586837*I340+0.0534777057*J340+0.009015832*K340+0.0204898106*(O340*P340/100)+1.0091022427*U340+1.0968542297*IF(D340="L",1,0)+0.3771555045*IF(D340="S",1,0)-0.2226159177*IF(E340="L",1,0)+1.21385024*R340-1.1652812274*S340+W340+X340+Z340,10.5965166711+0.2825983581*I340+0.2806503532*J340+0.2027213083*K340+0.1147824982*L340+0.0915305332*M340-0.0088454122*(I340*J340/100)-0.0336045706*(K340*L340/100)+2.8497389733*IF(D340="L",1,0)+4.5116226727*IF(D340="S",1,0)-0.6571546448*IF(E340="L",1,0)+0.0850728147*T340+0.0129488446*(T340*T340)+0.1909373936*IF(OR(F340="Utility",G340="Utility"),T340,0)+0.9656824071*R340-1.7517683256*S340+W340+X340+Y340)</f>
        <v/>
      </c>
      <c r="AB340">
        <f>LOOKUP(AA340,Grade_Scale!$A$2:$A$18,Grade_Scale!$B$2:$B$18)</f>
        <v/>
      </c>
      <c r="AC340">
        <f>LOOKUP(AA340,Grade_Scale!$A$2:$A$18,Grade_Scale!$C$2:$C$18)</f>
        <v/>
      </c>
      <c r="AE340">
        <f>IF(AD340="","",AB340-VLOOKUP(AD340,Grade_Scale!$C$2:$E$18,3,FALSE))</f>
        <v/>
      </c>
    </row>
    <row r="341">
      <c r="Q341">
        <f>IF(OR(B341="SP",B341="RP",B341="CP",B341="SP/RP"),"P","H")</f>
        <v/>
      </c>
      <c r="R341">
        <f>IF(F341="",0,IFNA(VLOOKUP(F341,Trait_Polarity!$A:$C,2,FALSE),0))+IF(G341="",0,IFNA(VLOOKUP(G341,Trait_Polarity!$A:$C,2,FALSE),0))</f>
        <v/>
      </c>
      <c r="S341">
        <f>IF(F341="",0,IFNA(VLOOKUP(F341,Trait_Polarity!$A:$C,3,FALSE),0))+IF(G341="",0,IFNA(VLOOKUP(G341,Trait_Polarity!$A:$C,3,FALSE),0))</f>
        <v/>
      </c>
      <c r="T341">
        <f>IF(Q341="P",0,IFNA(VLOOKUP(IF(C341="","(none)",C341),Secondary_Versatility!$A:$B,2,FALSE),0))</f>
        <v/>
      </c>
      <c r="U341">
        <f>IF(H341="",0,LEN(H341)-LEN(SUBSTITUTE(H341,"|",""))+1)</f>
        <v/>
      </c>
      <c r="V341">
        <f>IF(Q341="P",(N341+O341+P341)/3,0.3*I341+0.3*J341+0.2*K341+0.1*L341+0.1*M341)</f>
        <v/>
      </c>
      <c r="W341">
        <f>IF(Q341="P",IF(F341="",0,IFNA(VLOOKUP(F341,Pitcher_Trait_Coef!$A:$B,2,FALSE),0))+IF(G341="",0,IFNA(VLOOKUP(G341,Pitcher_Trait_Coef!$A:$B,2,FALSE),0)),IF(F341="",0,IFNA(VLOOKUP(F341,Hitter_Trait_Coef!$A:$B,2,FALSE),0))+IF(G341="",0,IFNA(VLOOKUP(G341,Hitter_Trait_Coef!$A:$B,2,FALSE),0)))</f>
        <v/>
      </c>
      <c r="X341">
        <f>IF(Q341="P",IFNA(VLOOKUP(B341,Pitcher_Primary_Coef!$A:$B,2,FALSE),0),IFNA(VLOOKUP(B341,Hitter_Primary_Coef!$A:$B,2,FALSE),0))</f>
        <v/>
      </c>
      <c r="Y341">
        <f>IF(Q341="P",0,IFNA(VLOOKUP(IF(C341="","(none)",C341),Hitter_Secondary_Coef!$A:$B,2,FALSE),0))</f>
        <v/>
      </c>
      <c r="Z341">
        <f>IF(Q341="P",IF(ISNUMBER(SEARCH("2F",H341)),IFNA(VLOOKUP("2F",Pitch_Coef!$A:$B,2,FALSE),0),0)+IF(ISNUMBER(SEARCH("4F",H341)),IFNA(VLOOKUP("4F",Pitch_Coef!$A:$B,2,FALSE),0),0)+IF(ISNUMBER(SEARCH("CB",H341)),IFNA(VLOOKUP("CB",Pitch_Coef!$A:$B,2,FALSE),0),0)+IF(ISNUMBER(SEARCH("CF",H341)),IFNA(VLOOKUP("CF",Pitch_Coef!$A:$B,2,FALSE),0),0)+IF(ISNUMBER(SEARCH("CH",H341)),IFNA(VLOOKUP("CH",Pitch_Coef!$A:$B,2,FALSE),0),0)+IF(ISNUMBER(SEARCH("FK",H341)),IFNA(VLOOKUP("FK",Pitch_Coef!$A:$B,2,FALSE),0),0)+IF(ISNUMBER(SEARCH("SB",H341)),IFNA(VLOOKUP("SB",Pitch_Coef!$A:$B,2,FALSE),0),0)+IF(ISNUMBER(SEARCH("SL",H341)),IFNA(VLOOKUP("SL",Pitch_Coef!$A:$B,2,FALSE),0),0),0)</f>
        <v/>
      </c>
      <c r="AA341">
        <f>IF(Q341="P",16.5944849573+0.2529999141*N341+0.2665900378*O341+0.2632687105*P341+0.0427586837*I341+0.0534777057*J341+0.009015832*K341+0.0204898106*(O341*P341/100)+1.0091022427*U341+1.0968542297*IF(D341="L",1,0)+0.3771555045*IF(D341="S",1,0)-0.2226159177*IF(E341="L",1,0)+1.21385024*R341-1.1652812274*S341+W341+X341+Z341,10.5965166711+0.2825983581*I341+0.2806503532*J341+0.2027213083*K341+0.1147824982*L341+0.0915305332*M341-0.0088454122*(I341*J341/100)-0.0336045706*(K341*L341/100)+2.8497389733*IF(D341="L",1,0)+4.5116226727*IF(D341="S",1,0)-0.6571546448*IF(E341="L",1,0)+0.0850728147*T341+0.0129488446*(T341*T341)+0.1909373936*IF(OR(F341="Utility",G341="Utility"),T341,0)+0.9656824071*R341-1.7517683256*S341+W341+X341+Y341)</f>
        <v/>
      </c>
      <c r="AB341">
        <f>LOOKUP(AA341,Grade_Scale!$A$2:$A$18,Grade_Scale!$B$2:$B$18)</f>
        <v/>
      </c>
      <c r="AC341">
        <f>LOOKUP(AA341,Grade_Scale!$A$2:$A$18,Grade_Scale!$C$2:$C$18)</f>
        <v/>
      </c>
      <c r="AE341">
        <f>IF(AD341="","",AB341-VLOOKUP(AD341,Grade_Scale!$C$2:$E$18,3,FALSE))</f>
        <v/>
      </c>
    </row>
    <row r="342">
      <c r="Q342">
        <f>IF(OR(B342="SP",B342="RP",B342="CP",B342="SP/RP"),"P","H")</f>
        <v/>
      </c>
      <c r="R342">
        <f>IF(F342="",0,IFNA(VLOOKUP(F342,Trait_Polarity!$A:$C,2,FALSE),0))+IF(G342="",0,IFNA(VLOOKUP(G342,Trait_Polarity!$A:$C,2,FALSE),0))</f>
        <v/>
      </c>
      <c r="S342">
        <f>IF(F342="",0,IFNA(VLOOKUP(F342,Trait_Polarity!$A:$C,3,FALSE),0))+IF(G342="",0,IFNA(VLOOKUP(G342,Trait_Polarity!$A:$C,3,FALSE),0))</f>
        <v/>
      </c>
      <c r="T342">
        <f>IF(Q342="P",0,IFNA(VLOOKUP(IF(C342="","(none)",C342),Secondary_Versatility!$A:$B,2,FALSE),0))</f>
        <v/>
      </c>
      <c r="U342">
        <f>IF(H342="",0,LEN(H342)-LEN(SUBSTITUTE(H342,"|",""))+1)</f>
        <v/>
      </c>
      <c r="V342">
        <f>IF(Q342="P",(N342+O342+P342)/3,0.3*I342+0.3*J342+0.2*K342+0.1*L342+0.1*M342)</f>
        <v/>
      </c>
      <c r="W342">
        <f>IF(Q342="P",IF(F342="",0,IFNA(VLOOKUP(F342,Pitcher_Trait_Coef!$A:$B,2,FALSE),0))+IF(G342="",0,IFNA(VLOOKUP(G342,Pitcher_Trait_Coef!$A:$B,2,FALSE),0)),IF(F342="",0,IFNA(VLOOKUP(F342,Hitter_Trait_Coef!$A:$B,2,FALSE),0))+IF(G342="",0,IFNA(VLOOKUP(G342,Hitter_Trait_Coef!$A:$B,2,FALSE),0)))</f>
        <v/>
      </c>
      <c r="X342">
        <f>IF(Q342="P",IFNA(VLOOKUP(B342,Pitcher_Primary_Coef!$A:$B,2,FALSE),0),IFNA(VLOOKUP(B342,Hitter_Primary_Coef!$A:$B,2,FALSE),0))</f>
        <v/>
      </c>
      <c r="Y342">
        <f>IF(Q342="P",0,IFNA(VLOOKUP(IF(C342="","(none)",C342),Hitter_Secondary_Coef!$A:$B,2,FALSE),0))</f>
        <v/>
      </c>
      <c r="Z342">
        <f>IF(Q342="P",IF(ISNUMBER(SEARCH("2F",H342)),IFNA(VLOOKUP("2F",Pitch_Coef!$A:$B,2,FALSE),0),0)+IF(ISNUMBER(SEARCH("4F",H342)),IFNA(VLOOKUP("4F",Pitch_Coef!$A:$B,2,FALSE),0),0)+IF(ISNUMBER(SEARCH("CB",H342)),IFNA(VLOOKUP("CB",Pitch_Coef!$A:$B,2,FALSE),0),0)+IF(ISNUMBER(SEARCH("CF",H342)),IFNA(VLOOKUP("CF",Pitch_Coef!$A:$B,2,FALSE),0),0)+IF(ISNUMBER(SEARCH("CH",H342)),IFNA(VLOOKUP("CH",Pitch_Coef!$A:$B,2,FALSE),0),0)+IF(ISNUMBER(SEARCH("FK",H342)),IFNA(VLOOKUP("FK",Pitch_Coef!$A:$B,2,FALSE),0),0)+IF(ISNUMBER(SEARCH("SB",H342)),IFNA(VLOOKUP("SB",Pitch_Coef!$A:$B,2,FALSE),0),0)+IF(ISNUMBER(SEARCH("SL",H342)),IFNA(VLOOKUP("SL",Pitch_Coef!$A:$B,2,FALSE),0),0),0)</f>
        <v/>
      </c>
      <c r="AA342">
        <f>IF(Q342="P",16.5944849573+0.2529999141*N342+0.2665900378*O342+0.2632687105*P342+0.0427586837*I342+0.0534777057*J342+0.009015832*K342+0.0204898106*(O342*P342/100)+1.0091022427*U342+1.0968542297*IF(D342="L",1,0)+0.3771555045*IF(D342="S",1,0)-0.2226159177*IF(E342="L",1,0)+1.21385024*R342-1.1652812274*S342+W342+X342+Z342,10.5965166711+0.2825983581*I342+0.2806503532*J342+0.2027213083*K342+0.1147824982*L342+0.0915305332*M342-0.0088454122*(I342*J342/100)-0.0336045706*(K342*L342/100)+2.8497389733*IF(D342="L",1,0)+4.5116226727*IF(D342="S",1,0)-0.6571546448*IF(E342="L",1,0)+0.0850728147*T342+0.0129488446*(T342*T342)+0.1909373936*IF(OR(F342="Utility",G342="Utility"),T342,0)+0.9656824071*R342-1.7517683256*S342+W342+X342+Y342)</f>
        <v/>
      </c>
      <c r="AB342">
        <f>LOOKUP(AA342,Grade_Scale!$A$2:$A$18,Grade_Scale!$B$2:$B$18)</f>
        <v/>
      </c>
      <c r="AC342">
        <f>LOOKUP(AA342,Grade_Scale!$A$2:$A$18,Grade_Scale!$C$2:$C$18)</f>
        <v/>
      </c>
      <c r="AE342">
        <f>IF(AD342="","",AB342-VLOOKUP(AD342,Grade_Scale!$C$2:$E$18,3,FALSE))</f>
        <v/>
      </c>
    </row>
    <row r="343">
      <c r="Q343">
        <f>IF(OR(B343="SP",B343="RP",B343="CP",B343="SP/RP"),"P","H")</f>
        <v/>
      </c>
      <c r="R343">
        <f>IF(F343="",0,IFNA(VLOOKUP(F343,Trait_Polarity!$A:$C,2,FALSE),0))+IF(G343="",0,IFNA(VLOOKUP(G343,Trait_Polarity!$A:$C,2,FALSE),0))</f>
        <v/>
      </c>
      <c r="S343">
        <f>IF(F343="",0,IFNA(VLOOKUP(F343,Trait_Polarity!$A:$C,3,FALSE),0))+IF(G343="",0,IFNA(VLOOKUP(G343,Trait_Polarity!$A:$C,3,FALSE),0))</f>
        <v/>
      </c>
      <c r="T343">
        <f>IF(Q343="P",0,IFNA(VLOOKUP(IF(C343="","(none)",C343),Secondary_Versatility!$A:$B,2,FALSE),0))</f>
        <v/>
      </c>
      <c r="U343">
        <f>IF(H343="",0,LEN(H343)-LEN(SUBSTITUTE(H343,"|",""))+1)</f>
        <v/>
      </c>
      <c r="V343">
        <f>IF(Q343="P",(N343+O343+P343)/3,0.3*I343+0.3*J343+0.2*K343+0.1*L343+0.1*M343)</f>
        <v/>
      </c>
      <c r="W343">
        <f>IF(Q343="P",IF(F343="",0,IFNA(VLOOKUP(F343,Pitcher_Trait_Coef!$A:$B,2,FALSE),0))+IF(G343="",0,IFNA(VLOOKUP(G343,Pitcher_Trait_Coef!$A:$B,2,FALSE),0)),IF(F343="",0,IFNA(VLOOKUP(F343,Hitter_Trait_Coef!$A:$B,2,FALSE),0))+IF(G343="",0,IFNA(VLOOKUP(G343,Hitter_Trait_Coef!$A:$B,2,FALSE),0)))</f>
        <v/>
      </c>
      <c r="X343">
        <f>IF(Q343="P",IFNA(VLOOKUP(B343,Pitcher_Primary_Coef!$A:$B,2,FALSE),0),IFNA(VLOOKUP(B343,Hitter_Primary_Coef!$A:$B,2,FALSE),0))</f>
        <v/>
      </c>
      <c r="Y343">
        <f>IF(Q343="P",0,IFNA(VLOOKUP(IF(C343="","(none)",C343),Hitter_Secondary_Coef!$A:$B,2,FALSE),0))</f>
        <v/>
      </c>
      <c r="Z343">
        <f>IF(Q343="P",IF(ISNUMBER(SEARCH("2F",H343)),IFNA(VLOOKUP("2F",Pitch_Coef!$A:$B,2,FALSE),0),0)+IF(ISNUMBER(SEARCH("4F",H343)),IFNA(VLOOKUP("4F",Pitch_Coef!$A:$B,2,FALSE),0),0)+IF(ISNUMBER(SEARCH("CB",H343)),IFNA(VLOOKUP("CB",Pitch_Coef!$A:$B,2,FALSE),0),0)+IF(ISNUMBER(SEARCH("CF",H343)),IFNA(VLOOKUP("CF",Pitch_Coef!$A:$B,2,FALSE),0),0)+IF(ISNUMBER(SEARCH("CH",H343)),IFNA(VLOOKUP("CH",Pitch_Coef!$A:$B,2,FALSE),0),0)+IF(ISNUMBER(SEARCH("FK",H343)),IFNA(VLOOKUP("FK",Pitch_Coef!$A:$B,2,FALSE),0),0)+IF(ISNUMBER(SEARCH("SB",H343)),IFNA(VLOOKUP("SB",Pitch_Coef!$A:$B,2,FALSE),0),0)+IF(ISNUMBER(SEARCH("SL",H343)),IFNA(VLOOKUP("SL",Pitch_Coef!$A:$B,2,FALSE),0),0),0)</f>
        <v/>
      </c>
      <c r="AA343">
        <f>IF(Q343="P",16.5944849573+0.2529999141*N343+0.2665900378*O343+0.2632687105*P343+0.0427586837*I343+0.0534777057*J343+0.009015832*K343+0.0204898106*(O343*P343/100)+1.0091022427*U343+1.0968542297*IF(D343="L",1,0)+0.3771555045*IF(D343="S",1,0)-0.2226159177*IF(E343="L",1,0)+1.21385024*R343-1.1652812274*S343+W343+X343+Z343,10.5965166711+0.2825983581*I343+0.2806503532*J343+0.2027213083*K343+0.1147824982*L343+0.0915305332*M343-0.0088454122*(I343*J343/100)-0.0336045706*(K343*L343/100)+2.8497389733*IF(D343="L",1,0)+4.5116226727*IF(D343="S",1,0)-0.6571546448*IF(E343="L",1,0)+0.0850728147*T343+0.0129488446*(T343*T343)+0.1909373936*IF(OR(F343="Utility",G343="Utility"),T343,0)+0.9656824071*R343-1.7517683256*S343+W343+X343+Y343)</f>
        <v/>
      </c>
      <c r="AB343">
        <f>LOOKUP(AA343,Grade_Scale!$A$2:$A$18,Grade_Scale!$B$2:$B$18)</f>
        <v/>
      </c>
      <c r="AC343">
        <f>LOOKUP(AA343,Grade_Scale!$A$2:$A$18,Grade_Scale!$C$2:$C$18)</f>
        <v/>
      </c>
      <c r="AE343">
        <f>IF(AD343="","",AB343-VLOOKUP(AD343,Grade_Scale!$C$2:$E$18,3,FALSE))</f>
        <v/>
      </c>
    </row>
    <row r="344">
      <c r="Q344">
        <f>IF(OR(B344="SP",B344="RP",B344="CP",B344="SP/RP"),"P","H")</f>
        <v/>
      </c>
      <c r="R344">
        <f>IF(F344="",0,IFNA(VLOOKUP(F344,Trait_Polarity!$A:$C,2,FALSE),0))+IF(G344="",0,IFNA(VLOOKUP(G344,Trait_Polarity!$A:$C,2,FALSE),0))</f>
        <v/>
      </c>
      <c r="S344">
        <f>IF(F344="",0,IFNA(VLOOKUP(F344,Trait_Polarity!$A:$C,3,FALSE),0))+IF(G344="",0,IFNA(VLOOKUP(G344,Trait_Polarity!$A:$C,3,FALSE),0))</f>
        <v/>
      </c>
      <c r="T344">
        <f>IF(Q344="P",0,IFNA(VLOOKUP(IF(C344="","(none)",C344),Secondary_Versatility!$A:$B,2,FALSE),0))</f>
        <v/>
      </c>
      <c r="U344">
        <f>IF(H344="",0,LEN(H344)-LEN(SUBSTITUTE(H344,"|",""))+1)</f>
        <v/>
      </c>
      <c r="V344">
        <f>IF(Q344="P",(N344+O344+P344)/3,0.3*I344+0.3*J344+0.2*K344+0.1*L344+0.1*M344)</f>
        <v/>
      </c>
      <c r="W344">
        <f>IF(Q344="P",IF(F344="",0,IFNA(VLOOKUP(F344,Pitcher_Trait_Coef!$A:$B,2,FALSE),0))+IF(G344="",0,IFNA(VLOOKUP(G344,Pitcher_Trait_Coef!$A:$B,2,FALSE),0)),IF(F344="",0,IFNA(VLOOKUP(F344,Hitter_Trait_Coef!$A:$B,2,FALSE),0))+IF(G344="",0,IFNA(VLOOKUP(G344,Hitter_Trait_Coef!$A:$B,2,FALSE),0)))</f>
        <v/>
      </c>
      <c r="X344">
        <f>IF(Q344="P",IFNA(VLOOKUP(B344,Pitcher_Primary_Coef!$A:$B,2,FALSE),0),IFNA(VLOOKUP(B344,Hitter_Primary_Coef!$A:$B,2,FALSE),0))</f>
        <v/>
      </c>
      <c r="Y344">
        <f>IF(Q344="P",0,IFNA(VLOOKUP(IF(C344="","(none)",C344),Hitter_Secondary_Coef!$A:$B,2,FALSE),0))</f>
        <v/>
      </c>
      <c r="Z344">
        <f>IF(Q344="P",IF(ISNUMBER(SEARCH("2F",H344)),IFNA(VLOOKUP("2F",Pitch_Coef!$A:$B,2,FALSE),0),0)+IF(ISNUMBER(SEARCH("4F",H344)),IFNA(VLOOKUP("4F",Pitch_Coef!$A:$B,2,FALSE),0),0)+IF(ISNUMBER(SEARCH("CB",H344)),IFNA(VLOOKUP("CB",Pitch_Coef!$A:$B,2,FALSE),0),0)+IF(ISNUMBER(SEARCH("CF",H344)),IFNA(VLOOKUP("CF",Pitch_Coef!$A:$B,2,FALSE),0),0)+IF(ISNUMBER(SEARCH("CH",H344)),IFNA(VLOOKUP("CH",Pitch_Coef!$A:$B,2,FALSE),0),0)+IF(ISNUMBER(SEARCH("FK",H344)),IFNA(VLOOKUP("FK",Pitch_Coef!$A:$B,2,FALSE),0),0)+IF(ISNUMBER(SEARCH("SB",H344)),IFNA(VLOOKUP("SB",Pitch_Coef!$A:$B,2,FALSE),0),0)+IF(ISNUMBER(SEARCH("SL",H344)),IFNA(VLOOKUP("SL",Pitch_Coef!$A:$B,2,FALSE),0),0),0)</f>
        <v/>
      </c>
      <c r="AA344">
        <f>IF(Q344="P",16.5944849573+0.2529999141*N344+0.2665900378*O344+0.2632687105*P344+0.0427586837*I344+0.0534777057*J344+0.009015832*K344+0.0204898106*(O344*P344/100)+1.0091022427*U344+1.0968542297*IF(D344="L",1,0)+0.3771555045*IF(D344="S",1,0)-0.2226159177*IF(E344="L",1,0)+1.21385024*R344-1.1652812274*S344+W344+X344+Z344,10.5965166711+0.2825983581*I344+0.2806503532*J344+0.2027213083*K344+0.1147824982*L344+0.0915305332*M344-0.0088454122*(I344*J344/100)-0.0336045706*(K344*L344/100)+2.8497389733*IF(D344="L",1,0)+4.5116226727*IF(D344="S",1,0)-0.6571546448*IF(E344="L",1,0)+0.0850728147*T344+0.0129488446*(T344*T344)+0.1909373936*IF(OR(F344="Utility",G344="Utility"),T344,0)+0.9656824071*R344-1.7517683256*S344+W344+X344+Y344)</f>
        <v/>
      </c>
      <c r="AB344">
        <f>LOOKUP(AA344,Grade_Scale!$A$2:$A$18,Grade_Scale!$B$2:$B$18)</f>
        <v/>
      </c>
      <c r="AC344">
        <f>LOOKUP(AA344,Grade_Scale!$A$2:$A$18,Grade_Scale!$C$2:$C$18)</f>
        <v/>
      </c>
      <c r="AE344">
        <f>IF(AD344="","",AB344-VLOOKUP(AD344,Grade_Scale!$C$2:$E$18,3,FALSE))</f>
        <v/>
      </c>
    </row>
    <row r="345">
      <c r="Q345">
        <f>IF(OR(B345="SP",B345="RP",B345="CP",B345="SP/RP"),"P","H")</f>
        <v/>
      </c>
      <c r="R345">
        <f>IF(F345="",0,IFNA(VLOOKUP(F345,Trait_Polarity!$A:$C,2,FALSE),0))+IF(G345="",0,IFNA(VLOOKUP(G345,Trait_Polarity!$A:$C,2,FALSE),0))</f>
        <v/>
      </c>
      <c r="S345">
        <f>IF(F345="",0,IFNA(VLOOKUP(F345,Trait_Polarity!$A:$C,3,FALSE),0))+IF(G345="",0,IFNA(VLOOKUP(G345,Trait_Polarity!$A:$C,3,FALSE),0))</f>
        <v/>
      </c>
      <c r="T345">
        <f>IF(Q345="P",0,IFNA(VLOOKUP(IF(C345="","(none)",C345),Secondary_Versatility!$A:$B,2,FALSE),0))</f>
        <v/>
      </c>
      <c r="U345">
        <f>IF(H345="",0,LEN(H345)-LEN(SUBSTITUTE(H345,"|",""))+1)</f>
        <v/>
      </c>
      <c r="V345">
        <f>IF(Q345="P",(N345+O345+P345)/3,0.3*I345+0.3*J345+0.2*K345+0.1*L345+0.1*M345)</f>
        <v/>
      </c>
      <c r="W345">
        <f>IF(Q345="P",IF(F345="",0,IFNA(VLOOKUP(F345,Pitcher_Trait_Coef!$A:$B,2,FALSE),0))+IF(G345="",0,IFNA(VLOOKUP(G345,Pitcher_Trait_Coef!$A:$B,2,FALSE),0)),IF(F345="",0,IFNA(VLOOKUP(F345,Hitter_Trait_Coef!$A:$B,2,FALSE),0))+IF(G345="",0,IFNA(VLOOKUP(G345,Hitter_Trait_Coef!$A:$B,2,FALSE),0)))</f>
        <v/>
      </c>
      <c r="X345">
        <f>IF(Q345="P",IFNA(VLOOKUP(B345,Pitcher_Primary_Coef!$A:$B,2,FALSE),0),IFNA(VLOOKUP(B345,Hitter_Primary_Coef!$A:$B,2,FALSE),0))</f>
        <v/>
      </c>
      <c r="Y345">
        <f>IF(Q345="P",0,IFNA(VLOOKUP(IF(C345="","(none)",C345),Hitter_Secondary_Coef!$A:$B,2,FALSE),0))</f>
        <v/>
      </c>
      <c r="Z345">
        <f>IF(Q345="P",IF(ISNUMBER(SEARCH("2F",H345)),IFNA(VLOOKUP("2F",Pitch_Coef!$A:$B,2,FALSE),0),0)+IF(ISNUMBER(SEARCH("4F",H345)),IFNA(VLOOKUP("4F",Pitch_Coef!$A:$B,2,FALSE),0),0)+IF(ISNUMBER(SEARCH("CB",H345)),IFNA(VLOOKUP("CB",Pitch_Coef!$A:$B,2,FALSE),0),0)+IF(ISNUMBER(SEARCH("CF",H345)),IFNA(VLOOKUP("CF",Pitch_Coef!$A:$B,2,FALSE),0),0)+IF(ISNUMBER(SEARCH("CH",H345)),IFNA(VLOOKUP("CH",Pitch_Coef!$A:$B,2,FALSE),0),0)+IF(ISNUMBER(SEARCH("FK",H345)),IFNA(VLOOKUP("FK",Pitch_Coef!$A:$B,2,FALSE),0),0)+IF(ISNUMBER(SEARCH("SB",H345)),IFNA(VLOOKUP("SB",Pitch_Coef!$A:$B,2,FALSE),0),0)+IF(ISNUMBER(SEARCH("SL",H345)),IFNA(VLOOKUP("SL",Pitch_Coef!$A:$B,2,FALSE),0),0),0)</f>
        <v/>
      </c>
      <c r="AA345">
        <f>IF(Q345="P",16.5944849573+0.2529999141*N345+0.2665900378*O345+0.2632687105*P345+0.0427586837*I345+0.0534777057*J345+0.009015832*K345+0.0204898106*(O345*P345/100)+1.0091022427*U345+1.0968542297*IF(D345="L",1,0)+0.3771555045*IF(D345="S",1,0)-0.2226159177*IF(E345="L",1,0)+1.21385024*R345-1.1652812274*S345+W345+X345+Z345,10.5965166711+0.2825983581*I345+0.2806503532*J345+0.2027213083*K345+0.1147824982*L345+0.0915305332*M345-0.0088454122*(I345*J345/100)-0.0336045706*(K345*L345/100)+2.8497389733*IF(D345="L",1,0)+4.5116226727*IF(D345="S",1,0)-0.6571546448*IF(E345="L",1,0)+0.0850728147*T345+0.0129488446*(T345*T345)+0.1909373936*IF(OR(F345="Utility",G345="Utility"),T345,0)+0.9656824071*R345-1.7517683256*S345+W345+X345+Y345)</f>
        <v/>
      </c>
      <c r="AB345">
        <f>LOOKUP(AA345,Grade_Scale!$A$2:$A$18,Grade_Scale!$B$2:$B$18)</f>
        <v/>
      </c>
      <c r="AC345">
        <f>LOOKUP(AA345,Grade_Scale!$A$2:$A$18,Grade_Scale!$C$2:$C$18)</f>
        <v/>
      </c>
      <c r="AE345">
        <f>IF(AD345="","",AB345-VLOOKUP(AD345,Grade_Scale!$C$2:$E$18,3,FALSE))</f>
        <v/>
      </c>
    </row>
    <row r="346">
      <c r="Q346">
        <f>IF(OR(B346="SP",B346="RP",B346="CP",B346="SP/RP"),"P","H")</f>
        <v/>
      </c>
      <c r="R346">
        <f>IF(F346="",0,IFNA(VLOOKUP(F346,Trait_Polarity!$A:$C,2,FALSE),0))+IF(G346="",0,IFNA(VLOOKUP(G346,Trait_Polarity!$A:$C,2,FALSE),0))</f>
        <v/>
      </c>
      <c r="S346">
        <f>IF(F346="",0,IFNA(VLOOKUP(F346,Trait_Polarity!$A:$C,3,FALSE),0))+IF(G346="",0,IFNA(VLOOKUP(G346,Trait_Polarity!$A:$C,3,FALSE),0))</f>
        <v/>
      </c>
      <c r="T346">
        <f>IF(Q346="P",0,IFNA(VLOOKUP(IF(C346="","(none)",C346),Secondary_Versatility!$A:$B,2,FALSE),0))</f>
        <v/>
      </c>
      <c r="U346">
        <f>IF(H346="",0,LEN(H346)-LEN(SUBSTITUTE(H346,"|",""))+1)</f>
        <v/>
      </c>
      <c r="V346">
        <f>IF(Q346="P",(N346+O346+P346)/3,0.3*I346+0.3*J346+0.2*K346+0.1*L346+0.1*M346)</f>
        <v/>
      </c>
      <c r="W346">
        <f>IF(Q346="P",IF(F346="",0,IFNA(VLOOKUP(F346,Pitcher_Trait_Coef!$A:$B,2,FALSE),0))+IF(G346="",0,IFNA(VLOOKUP(G346,Pitcher_Trait_Coef!$A:$B,2,FALSE),0)),IF(F346="",0,IFNA(VLOOKUP(F346,Hitter_Trait_Coef!$A:$B,2,FALSE),0))+IF(G346="",0,IFNA(VLOOKUP(G346,Hitter_Trait_Coef!$A:$B,2,FALSE),0)))</f>
        <v/>
      </c>
      <c r="X346">
        <f>IF(Q346="P",IFNA(VLOOKUP(B346,Pitcher_Primary_Coef!$A:$B,2,FALSE),0),IFNA(VLOOKUP(B346,Hitter_Primary_Coef!$A:$B,2,FALSE),0))</f>
        <v/>
      </c>
      <c r="Y346">
        <f>IF(Q346="P",0,IFNA(VLOOKUP(IF(C346="","(none)",C346),Hitter_Secondary_Coef!$A:$B,2,FALSE),0))</f>
        <v/>
      </c>
      <c r="Z346">
        <f>IF(Q346="P",IF(ISNUMBER(SEARCH("2F",H346)),IFNA(VLOOKUP("2F",Pitch_Coef!$A:$B,2,FALSE),0),0)+IF(ISNUMBER(SEARCH("4F",H346)),IFNA(VLOOKUP("4F",Pitch_Coef!$A:$B,2,FALSE),0),0)+IF(ISNUMBER(SEARCH("CB",H346)),IFNA(VLOOKUP("CB",Pitch_Coef!$A:$B,2,FALSE),0),0)+IF(ISNUMBER(SEARCH("CF",H346)),IFNA(VLOOKUP("CF",Pitch_Coef!$A:$B,2,FALSE),0),0)+IF(ISNUMBER(SEARCH("CH",H346)),IFNA(VLOOKUP("CH",Pitch_Coef!$A:$B,2,FALSE),0),0)+IF(ISNUMBER(SEARCH("FK",H346)),IFNA(VLOOKUP("FK",Pitch_Coef!$A:$B,2,FALSE),0),0)+IF(ISNUMBER(SEARCH("SB",H346)),IFNA(VLOOKUP("SB",Pitch_Coef!$A:$B,2,FALSE),0),0)+IF(ISNUMBER(SEARCH("SL",H346)),IFNA(VLOOKUP("SL",Pitch_Coef!$A:$B,2,FALSE),0),0),0)</f>
        <v/>
      </c>
      <c r="AA346">
        <f>IF(Q346="P",16.5944849573+0.2529999141*N346+0.2665900378*O346+0.2632687105*P346+0.0427586837*I346+0.0534777057*J346+0.009015832*K346+0.0204898106*(O346*P346/100)+1.0091022427*U346+1.0968542297*IF(D346="L",1,0)+0.3771555045*IF(D346="S",1,0)-0.2226159177*IF(E346="L",1,0)+1.21385024*R346-1.1652812274*S346+W346+X346+Z346,10.5965166711+0.2825983581*I346+0.2806503532*J346+0.2027213083*K346+0.1147824982*L346+0.0915305332*M346-0.0088454122*(I346*J346/100)-0.0336045706*(K346*L346/100)+2.8497389733*IF(D346="L",1,0)+4.5116226727*IF(D346="S",1,0)-0.6571546448*IF(E346="L",1,0)+0.0850728147*T346+0.0129488446*(T346*T346)+0.1909373936*IF(OR(F346="Utility",G346="Utility"),T346,0)+0.9656824071*R346-1.7517683256*S346+W346+X346+Y346)</f>
        <v/>
      </c>
      <c r="AB346">
        <f>LOOKUP(AA346,Grade_Scale!$A$2:$A$18,Grade_Scale!$B$2:$B$18)</f>
        <v/>
      </c>
      <c r="AC346">
        <f>LOOKUP(AA346,Grade_Scale!$A$2:$A$18,Grade_Scale!$C$2:$C$18)</f>
        <v/>
      </c>
      <c r="AE346">
        <f>IF(AD346="","",AB346-VLOOKUP(AD346,Grade_Scale!$C$2:$E$18,3,FALSE))</f>
        <v/>
      </c>
    </row>
    <row r="347">
      <c r="Q347">
        <f>IF(OR(B347="SP",B347="RP",B347="CP",B347="SP/RP"),"P","H")</f>
        <v/>
      </c>
      <c r="R347">
        <f>IF(F347="",0,IFNA(VLOOKUP(F347,Trait_Polarity!$A:$C,2,FALSE),0))+IF(G347="",0,IFNA(VLOOKUP(G347,Trait_Polarity!$A:$C,2,FALSE),0))</f>
        <v/>
      </c>
      <c r="S347">
        <f>IF(F347="",0,IFNA(VLOOKUP(F347,Trait_Polarity!$A:$C,3,FALSE),0))+IF(G347="",0,IFNA(VLOOKUP(G347,Trait_Polarity!$A:$C,3,FALSE),0))</f>
        <v/>
      </c>
      <c r="T347">
        <f>IF(Q347="P",0,IFNA(VLOOKUP(IF(C347="","(none)",C347),Secondary_Versatility!$A:$B,2,FALSE),0))</f>
        <v/>
      </c>
      <c r="U347">
        <f>IF(H347="",0,LEN(H347)-LEN(SUBSTITUTE(H347,"|",""))+1)</f>
        <v/>
      </c>
      <c r="V347">
        <f>IF(Q347="P",(N347+O347+P347)/3,0.3*I347+0.3*J347+0.2*K347+0.1*L347+0.1*M347)</f>
        <v/>
      </c>
      <c r="W347">
        <f>IF(Q347="P",IF(F347="",0,IFNA(VLOOKUP(F347,Pitcher_Trait_Coef!$A:$B,2,FALSE),0))+IF(G347="",0,IFNA(VLOOKUP(G347,Pitcher_Trait_Coef!$A:$B,2,FALSE),0)),IF(F347="",0,IFNA(VLOOKUP(F347,Hitter_Trait_Coef!$A:$B,2,FALSE),0))+IF(G347="",0,IFNA(VLOOKUP(G347,Hitter_Trait_Coef!$A:$B,2,FALSE),0)))</f>
        <v/>
      </c>
      <c r="X347">
        <f>IF(Q347="P",IFNA(VLOOKUP(B347,Pitcher_Primary_Coef!$A:$B,2,FALSE),0),IFNA(VLOOKUP(B347,Hitter_Primary_Coef!$A:$B,2,FALSE),0))</f>
        <v/>
      </c>
      <c r="Y347">
        <f>IF(Q347="P",0,IFNA(VLOOKUP(IF(C347="","(none)",C347),Hitter_Secondary_Coef!$A:$B,2,FALSE),0))</f>
        <v/>
      </c>
      <c r="Z347">
        <f>IF(Q347="P",IF(ISNUMBER(SEARCH("2F",H347)),IFNA(VLOOKUP("2F",Pitch_Coef!$A:$B,2,FALSE),0),0)+IF(ISNUMBER(SEARCH("4F",H347)),IFNA(VLOOKUP("4F",Pitch_Coef!$A:$B,2,FALSE),0),0)+IF(ISNUMBER(SEARCH("CB",H347)),IFNA(VLOOKUP("CB",Pitch_Coef!$A:$B,2,FALSE),0),0)+IF(ISNUMBER(SEARCH("CF",H347)),IFNA(VLOOKUP("CF",Pitch_Coef!$A:$B,2,FALSE),0),0)+IF(ISNUMBER(SEARCH("CH",H347)),IFNA(VLOOKUP("CH",Pitch_Coef!$A:$B,2,FALSE),0),0)+IF(ISNUMBER(SEARCH("FK",H347)),IFNA(VLOOKUP("FK",Pitch_Coef!$A:$B,2,FALSE),0),0)+IF(ISNUMBER(SEARCH("SB",H347)),IFNA(VLOOKUP("SB",Pitch_Coef!$A:$B,2,FALSE),0),0)+IF(ISNUMBER(SEARCH("SL",H347)),IFNA(VLOOKUP("SL",Pitch_Coef!$A:$B,2,FALSE),0),0),0)</f>
        <v/>
      </c>
      <c r="AA347">
        <f>IF(Q347="P",16.5944849573+0.2529999141*N347+0.2665900378*O347+0.2632687105*P347+0.0427586837*I347+0.0534777057*J347+0.009015832*K347+0.0204898106*(O347*P347/100)+1.0091022427*U347+1.0968542297*IF(D347="L",1,0)+0.3771555045*IF(D347="S",1,0)-0.2226159177*IF(E347="L",1,0)+1.21385024*R347-1.1652812274*S347+W347+X347+Z347,10.5965166711+0.2825983581*I347+0.2806503532*J347+0.2027213083*K347+0.1147824982*L347+0.0915305332*M347-0.0088454122*(I347*J347/100)-0.0336045706*(K347*L347/100)+2.8497389733*IF(D347="L",1,0)+4.5116226727*IF(D347="S",1,0)-0.6571546448*IF(E347="L",1,0)+0.0850728147*T347+0.0129488446*(T347*T347)+0.1909373936*IF(OR(F347="Utility",G347="Utility"),T347,0)+0.9656824071*R347-1.7517683256*S347+W347+X347+Y347)</f>
        <v/>
      </c>
      <c r="AB347">
        <f>LOOKUP(AA347,Grade_Scale!$A$2:$A$18,Grade_Scale!$B$2:$B$18)</f>
        <v/>
      </c>
      <c r="AC347">
        <f>LOOKUP(AA347,Grade_Scale!$A$2:$A$18,Grade_Scale!$C$2:$C$18)</f>
        <v/>
      </c>
      <c r="AE347">
        <f>IF(AD347="","",AB347-VLOOKUP(AD347,Grade_Scale!$C$2:$E$18,3,FALSE))</f>
        <v/>
      </c>
    </row>
    <row r="348">
      <c r="Q348">
        <f>IF(OR(B348="SP",B348="RP",B348="CP",B348="SP/RP"),"P","H")</f>
        <v/>
      </c>
      <c r="R348">
        <f>IF(F348="",0,IFNA(VLOOKUP(F348,Trait_Polarity!$A:$C,2,FALSE),0))+IF(G348="",0,IFNA(VLOOKUP(G348,Trait_Polarity!$A:$C,2,FALSE),0))</f>
        <v/>
      </c>
      <c r="S348">
        <f>IF(F348="",0,IFNA(VLOOKUP(F348,Trait_Polarity!$A:$C,3,FALSE),0))+IF(G348="",0,IFNA(VLOOKUP(G348,Trait_Polarity!$A:$C,3,FALSE),0))</f>
        <v/>
      </c>
      <c r="T348">
        <f>IF(Q348="P",0,IFNA(VLOOKUP(IF(C348="","(none)",C348),Secondary_Versatility!$A:$B,2,FALSE),0))</f>
        <v/>
      </c>
      <c r="U348">
        <f>IF(H348="",0,LEN(H348)-LEN(SUBSTITUTE(H348,"|",""))+1)</f>
        <v/>
      </c>
      <c r="V348">
        <f>IF(Q348="P",(N348+O348+P348)/3,0.3*I348+0.3*J348+0.2*K348+0.1*L348+0.1*M348)</f>
        <v/>
      </c>
      <c r="W348">
        <f>IF(Q348="P",IF(F348="",0,IFNA(VLOOKUP(F348,Pitcher_Trait_Coef!$A:$B,2,FALSE),0))+IF(G348="",0,IFNA(VLOOKUP(G348,Pitcher_Trait_Coef!$A:$B,2,FALSE),0)),IF(F348="",0,IFNA(VLOOKUP(F348,Hitter_Trait_Coef!$A:$B,2,FALSE),0))+IF(G348="",0,IFNA(VLOOKUP(G348,Hitter_Trait_Coef!$A:$B,2,FALSE),0)))</f>
        <v/>
      </c>
      <c r="X348">
        <f>IF(Q348="P",IFNA(VLOOKUP(B348,Pitcher_Primary_Coef!$A:$B,2,FALSE),0),IFNA(VLOOKUP(B348,Hitter_Primary_Coef!$A:$B,2,FALSE),0))</f>
        <v/>
      </c>
      <c r="Y348">
        <f>IF(Q348="P",0,IFNA(VLOOKUP(IF(C348="","(none)",C348),Hitter_Secondary_Coef!$A:$B,2,FALSE),0))</f>
        <v/>
      </c>
      <c r="Z348">
        <f>IF(Q348="P",IF(ISNUMBER(SEARCH("2F",H348)),IFNA(VLOOKUP("2F",Pitch_Coef!$A:$B,2,FALSE),0),0)+IF(ISNUMBER(SEARCH("4F",H348)),IFNA(VLOOKUP("4F",Pitch_Coef!$A:$B,2,FALSE),0),0)+IF(ISNUMBER(SEARCH("CB",H348)),IFNA(VLOOKUP("CB",Pitch_Coef!$A:$B,2,FALSE),0),0)+IF(ISNUMBER(SEARCH("CF",H348)),IFNA(VLOOKUP("CF",Pitch_Coef!$A:$B,2,FALSE),0),0)+IF(ISNUMBER(SEARCH("CH",H348)),IFNA(VLOOKUP("CH",Pitch_Coef!$A:$B,2,FALSE),0),0)+IF(ISNUMBER(SEARCH("FK",H348)),IFNA(VLOOKUP("FK",Pitch_Coef!$A:$B,2,FALSE),0),0)+IF(ISNUMBER(SEARCH("SB",H348)),IFNA(VLOOKUP("SB",Pitch_Coef!$A:$B,2,FALSE),0),0)+IF(ISNUMBER(SEARCH("SL",H348)),IFNA(VLOOKUP("SL",Pitch_Coef!$A:$B,2,FALSE),0),0),0)</f>
        <v/>
      </c>
      <c r="AA348">
        <f>IF(Q348="P",16.5944849573+0.2529999141*N348+0.2665900378*O348+0.2632687105*P348+0.0427586837*I348+0.0534777057*J348+0.009015832*K348+0.0204898106*(O348*P348/100)+1.0091022427*U348+1.0968542297*IF(D348="L",1,0)+0.3771555045*IF(D348="S",1,0)-0.2226159177*IF(E348="L",1,0)+1.21385024*R348-1.1652812274*S348+W348+X348+Z348,10.5965166711+0.2825983581*I348+0.2806503532*J348+0.2027213083*K348+0.1147824982*L348+0.0915305332*M348-0.0088454122*(I348*J348/100)-0.0336045706*(K348*L348/100)+2.8497389733*IF(D348="L",1,0)+4.5116226727*IF(D348="S",1,0)-0.6571546448*IF(E348="L",1,0)+0.0850728147*T348+0.0129488446*(T348*T348)+0.1909373936*IF(OR(F348="Utility",G348="Utility"),T348,0)+0.9656824071*R348-1.7517683256*S348+W348+X348+Y348)</f>
        <v/>
      </c>
      <c r="AB348">
        <f>LOOKUP(AA348,Grade_Scale!$A$2:$A$18,Grade_Scale!$B$2:$B$18)</f>
        <v/>
      </c>
      <c r="AC348">
        <f>LOOKUP(AA348,Grade_Scale!$A$2:$A$18,Grade_Scale!$C$2:$C$18)</f>
        <v/>
      </c>
      <c r="AE348">
        <f>IF(AD348="","",AB348-VLOOKUP(AD348,Grade_Scale!$C$2:$E$18,3,FALSE))</f>
        <v/>
      </c>
    </row>
    <row r="349">
      <c r="Q349">
        <f>IF(OR(B349="SP",B349="RP",B349="CP",B349="SP/RP"),"P","H")</f>
        <v/>
      </c>
      <c r="R349">
        <f>IF(F349="",0,IFNA(VLOOKUP(F349,Trait_Polarity!$A:$C,2,FALSE),0))+IF(G349="",0,IFNA(VLOOKUP(G349,Trait_Polarity!$A:$C,2,FALSE),0))</f>
        <v/>
      </c>
      <c r="S349">
        <f>IF(F349="",0,IFNA(VLOOKUP(F349,Trait_Polarity!$A:$C,3,FALSE),0))+IF(G349="",0,IFNA(VLOOKUP(G349,Trait_Polarity!$A:$C,3,FALSE),0))</f>
        <v/>
      </c>
      <c r="T349">
        <f>IF(Q349="P",0,IFNA(VLOOKUP(IF(C349="","(none)",C349),Secondary_Versatility!$A:$B,2,FALSE),0))</f>
        <v/>
      </c>
      <c r="U349">
        <f>IF(H349="",0,LEN(H349)-LEN(SUBSTITUTE(H349,"|",""))+1)</f>
        <v/>
      </c>
      <c r="V349">
        <f>IF(Q349="P",(N349+O349+P349)/3,0.3*I349+0.3*J349+0.2*K349+0.1*L349+0.1*M349)</f>
        <v/>
      </c>
      <c r="W349">
        <f>IF(Q349="P",IF(F349="",0,IFNA(VLOOKUP(F349,Pitcher_Trait_Coef!$A:$B,2,FALSE),0))+IF(G349="",0,IFNA(VLOOKUP(G349,Pitcher_Trait_Coef!$A:$B,2,FALSE),0)),IF(F349="",0,IFNA(VLOOKUP(F349,Hitter_Trait_Coef!$A:$B,2,FALSE),0))+IF(G349="",0,IFNA(VLOOKUP(G349,Hitter_Trait_Coef!$A:$B,2,FALSE),0)))</f>
        <v/>
      </c>
      <c r="X349">
        <f>IF(Q349="P",IFNA(VLOOKUP(B349,Pitcher_Primary_Coef!$A:$B,2,FALSE),0),IFNA(VLOOKUP(B349,Hitter_Primary_Coef!$A:$B,2,FALSE),0))</f>
        <v/>
      </c>
      <c r="Y349">
        <f>IF(Q349="P",0,IFNA(VLOOKUP(IF(C349="","(none)",C349),Hitter_Secondary_Coef!$A:$B,2,FALSE),0))</f>
        <v/>
      </c>
      <c r="Z349">
        <f>IF(Q349="P",IF(ISNUMBER(SEARCH("2F",H349)),IFNA(VLOOKUP("2F",Pitch_Coef!$A:$B,2,FALSE),0),0)+IF(ISNUMBER(SEARCH("4F",H349)),IFNA(VLOOKUP("4F",Pitch_Coef!$A:$B,2,FALSE),0),0)+IF(ISNUMBER(SEARCH("CB",H349)),IFNA(VLOOKUP("CB",Pitch_Coef!$A:$B,2,FALSE),0),0)+IF(ISNUMBER(SEARCH("CF",H349)),IFNA(VLOOKUP("CF",Pitch_Coef!$A:$B,2,FALSE),0),0)+IF(ISNUMBER(SEARCH("CH",H349)),IFNA(VLOOKUP("CH",Pitch_Coef!$A:$B,2,FALSE),0),0)+IF(ISNUMBER(SEARCH("FK",H349)),IFNA(VLOOKUP("FK",Pitch_Coef!$A:$B,2,FALSE),0),0)+IF(ISNUMBER(SEARCH("SB",H349)),IFNA(VLOOKUP("SB",Pitch_Coef!$A:$B,2,FALSE),0),0)+IF(ISNUMBER(SEARCH("SL",H349)),IFNA(VLOOKUP("SL",Pitch_Coef!$A:$B,2,FALSE),0),0),0)</f>
        <v/>
      </c>
      <c r="AA349">
        <f>IF(Q349="P",16.5944849573+0.2529999141*N349+0.2665900378*O349+0.2632687105*P349+0.0427586837*I349+0.0534777057*J349+0.009015832*K349+0.0204898106*(O349*P349/100)+1.0091022427*U349+1.0968542297*IF(D349="L",1,0)+0.3771555045*IF(D349="S",1,0)-0.2226159177*IF(E349="L",1,0)+1.21385024*R349-1.1652812274*S349+W349+X349+Z349,10.5965166711+0.2825983581*I349+0.2806503532*J349+0.2027213083*K349+0.1147824982*L349+0.0915305332*M349-0.0088454122*(I349*J349/100)-0.0336045706*(K349*L349/100)+2.8497389733*IF(D349="L",1,0)+4.5116226727*IF(D349="S",1,0)-0.6571546448*IF(E349="L",1,0)+0.0850728147*T349+0.0129488446*(T349*T349)+0.1909373936*IF(OR(F349="Utility",G349="Utility"),T349,0)+0.9656824071*R349-1.7517683256*S349+W349+X349+Y349)</f>
        <v/>
      </c>
      <c r="AB349">
        <f>LOOKUP(AA349,Grade_Scale!$A$2:$A$18,Grade_Scale!$B$2:$B$18)</f>
        <v/>
      </c>
      <c r="AC349">
        <f>LOOKUP(AA349,Grade_Scale!$A$2:$A$18,Grade_Scale!$C$2:$C$18)</f>
        <v/>
      </c>
      <c r="AE349">
        <f>IF(AD349="","",AB349-VLOOKUP(AD349,Grade_Scale!$C$2:$E$18,3,FALSE))</f>
        <v/>
      </c>
    </row>
    <row r="350">
      <c r="Q350">
        <f>IF(OR(B350="SP",B350="RP",B350="CP",B350="SP/RP"),"P","H")</f>
        <v/>
      </c>
      <c r="R350">
        <f>IF(F350="",0,IFNA(VLOOKUP(F350,Trait_Polarity!$A:$C,2,FALSE),0))+IF(G350="",0,IFNA(VLOOKUP(G350,Trait_Polarity!$A:$C,2,FALSE),0))</f>
        <v/>
      </c>
      <c r="S350">
        <f>IF(F350="",0,IFNA(VLOOKUP(F350,Trait_Polarity!$A:$C,3,FALSE),0))+IF(G350="",0,IFNA(VLOOKUP(G350,Trait_Polarity!$A:$C,3,FALSE),0))</f>
        <v/>
      </c>
      <c r="T350">
        <f>IF(Q350="P",0,IFNA(VLOOKUP(IF(C350="","(none)",C350),Secondary_Versatility!$A:$B,2,FALSE),0))</f>
        <v/>
      </c>
      <c r="U350">
        <f>IF(H350="",0,LEN(H350)-LEN(SUBSTITUTE(H350,"|",""))+1)</f>
        <v/>
      </c>
      <c r="V350">
        <f>IF(Q350="P",(N350+O350+P350)/3,0.3*I350+0.3*J350+0.2*K350+0.1*L350+0.1*M350)</f>
        <v/>
      </c>
      <c r="W350">
        <f>IF(Q350="P",IF(F350="",0,IFNA(VLOOKUP(F350,Pitcher_Trait_Coef!$A:$B,2,FALSE),0))+IF(G350="",0,IFNA(VLOOKUP(G350,Pitcher_Trait_Coef!$A:$B,2,FALSE),0)),IF(F350="",0,IFNA(VLOOKUP(F350,Hitter_Trait_Coef!$A:$B,2,FALSE),0))+IF(G350="",0,IFNA(VLOOKUP(G350,Hitter_Trait_Coef!$A:$B,2,FALSE),0)))</f>
        <v/>
      </c>
      <c r="X350">
        <f>IF(Q350="P",IFNA(VLOOKUP(B350,Pitcher_Primary_Coef!$A:$B,2,FALSE),0),IFNA(VLOOKUP(B350,Hitter_Primary_Coef!$A:$B,2,FALSE),0))</f>
        <v/>
      </c>
      <c r="Y350">
        <f>IF(Q350="P",0,IFNA(VLOOKUP(IF(C350="","(none)",C350),Hitter_Secondary_Coef!$A:$B,2,FALSE),0))</f>
        <v/>
      </c>
      <c r="Z350">
        <f>IF(Q350="P",IF(ISNUMBER(SEARCH("2F",H350)),IFNA(VLOOKUP("2F",Pitch_Coef!$A:$B,2,FALSE),0),0)+IF(ISNUMBER(SEARCH("4F",H350)),IFNA(VLOOKUP("4F",Pitch_Coef!$A:$B,2,FALSE),0),0)+IF(ISNUMBER(SEARCH("CB",H350)),IFNA(VLOOKUP("CB",Pitch_Coef!$A:$B,2,FALSE),0),0)+IF(ISNUMBER(SEARCH("CF",H350)),IFNA(VLOOKUP("CF",Pitch_Coef!$A:$B,2,FALSE),0),0)+IF(ISNUMBER(SEARCH("CH",H350)),IFNA(VLOOKUP("CH",Pitch_Coef!$A:$B,2,FALSE),0),0)+IF(ISNUMBER(SEARCH("FK",H350)),IFNA(VLOOKUP("FK",Pitch_Coef!$A:$B,2,FALSE),0),0)+IF(ISNUMBER(SEARCH("SB",H350)),IFNA(VLOOKUP("SB",Pitch_Coef!$A:$B,2,FALSE),0),0)+IF(ISNUMBER(SEARCH("SL",H350)),IFNA(VLOOKUP("SL",Pitch_Coef!$A:$B,2,FALSE),0),0),0)</f>
        <v/>
      </c>
      <c r="AA350">
        <f>IF(Q350="P",16.5944849573+0.2529999141*N350+0.2665900378*O350+0.2632687105*P350+0.0427586837*I350+0.0534777057*J350+0.009015832*K350+0.0204898106*(O350*P350/100)+1.0091022427*U350+1.0968542297*IF(D350="L",1,0)+0.3771555045*IF(D350="S",1,0)-0.2226159177*IF(E350="L",1,0)+1.21385024*R350-1.1652812274*S350+W350+X350+Z350,10.5965166711+0.2825983581*I350+0.2806503532*J350+0.2027213083*K350+0.1147824982*L350+0.0915305332*M350-0.0088454122*(I350*J350/100)-0.0336045706*(K350*L350/100)+2.8497389733*IF(D350="L",1,0)+4.5116226727*IF(D350="S",1,0)-0.6571546448*IF(E350="L",1,0)+0.0850728147*T350+0.0129488446*(T350*T350)+0.1909373936*IF(OR(F350="Utility",G350="Utility"),T350,0)+0.9656824071*R350-1.7517683256*S350+W350+X350+Y350)</f>
        <v/>
      </c>
      <c r="AB350">
        <f>LOOKUP(AA350,Grade_Scale!$A$2:$A$18,Grade_Scale!$B$2:$B$18)</f>
        <v/>
      </c>
      <c r="AC350">
        <f>LOOKUP(AA350,Grade_Scale!$A$2:$A$18,Grade_Scale!$C$2:$C$18)</f>
        <v/>
      </c>
      <c r="AE350">
        <f>IF(AD350="","",AB350-VLOOKUP(AD350,Grade_Scale!$C$2:$E$18,3,FALSE))</f>
        <v/>
      </c>
    </row>
    <row r="351">
      <c r="Q351">
        <f>IF(OR(B351="SP",B351="RP",B351="CP",B351="SP/RP"),"P","H")</f>
        <v/>
      </c>
      <c r="R351">
        <f>IF(F351="",0,IFNA(VLOOKUP(F351,Trait_Polarity!$A:$C,2,FALSE),0))+IF(G351="",0,IFNA(VLOOKUP(G351,Trait_Polarity!$A:$C,2,FALSE),0))</f>
        <v/>
      </c>
      <c r="S351">
        <f>IF(F351="",0,IFNA(VLOOKUP(F351,Trait_Polarity!$A:$C,3,FALSE),0))+IF(G351="",0,IFNA(VLOOKUP(G351,Trait_Polarity!$A:$C,3,FALSE),0))</f>
        <v/>
      </c>
      <c r="T351">
        <f>IF(Q351="P",0,IFNA(VLOOKUP(IF(C351="","(none)",C351),Secondary_Versatility!$A:$B,2,FALSE),0))</f>
        <v/>
      </c>
      <c r="U351">
        <f>IF(H351="",0,LEN(H351)-LEN(SUBSTITUTE(H351,"|",""))+1)</f>
        <v/>
      </c>
      <c r="V351">
        <f>IF(Q351="P",(N351+O351+P351)/3,0.3*I351+0.3*J351+0.2*K351+0.1*L351+0.1*M351)</f>
        <v/>
      </c>
      <c r="W351">
        <f>IF(Q351="P",IF(F351="",0,IFNA(VLOOKUP(F351,Pitcher_Trait_Coef!$A:$B,2,FALSE),0))+IF(G351="",0,IFNA(VLOOKUP(G351,Pitcher_Trait_Coef!$A:$B,2,FALSE),0)),IF(F351="",0,IFNA(VLOOKUP(F351,Hitter_Trait_Coef!$A:$B,2,FALSE),0))+IF(G351="",0,IFNA(VLOOKUP(G351,Hitter_Trait_Coef!$A:$B,2,FALSE),0)))</f>
        <v/>
      </c>
      <c r="X351">
        <f>IF(Q351="P",IFNA(VLOOKUP(B351,Pitcher_Primary_Coef!$A:$B,2,FALSE),0),IFNA(VLOOKUP(B351,Hitter_Primary_Coef!$A:$B,2,FALSE),0))</f>
        <v/>
      </c>
      <c r="Y351">
        <f>IF(Q351="P",0,IFNA(VLOOKUP(IF(C351="","(none)",C351),Hitter_Secondary_Coef!$A:$B,2,FALSE),0))</f>
        <v/>
      </c>
      <c r="Z351">
        <f>IF(Q351="P",IF(ISNUMBER(SEARCH("2F",H351)),IFNA(VLOOKUP("2F",Pitch_Coef!$A:$B,2,FALSE),0),0)+IF(ISNUMBER(SEARCH("4F",H351)),IFNA(VLOOKUP("4F",Pitch_Coef!$A:$B,2,FALSE),0),0)+IF(ISNUMBER(SEARCH("CB",H351)),IFNA(VLOOKUP("CB",Pitch_Coef!$A:$B,2,FALSE),0),0)+IF(ISNUMBER(SEARCH("CF",H351)),IFNA(VLOOKUP("CF",Pitch_Coef!$A:$B,2,FALSE),0),0)+IF(ISNUMBER(SEARCH("CH",H351)),IFNA(VLOOKUP("CH",Pitch_Coef!$A:$B,2,FALSE),0),0)+IF(ISNUMBER(SEARCH("FK",H351)),IFNA(VLOOKUP("FK",Pitch_Coef!$A:$B,2,FALSE),0),0)+IF(ISNUMBER(SEARCH("SB",H351)),IFNA(VLOOKUP("SB",Pitch_Coef!$A:$B,2,FALSE),0),0)+IF(ISNUMBER(SEARCH("SL",H351)),IFNA(VLOOKUP("SL",Pitch_Coef!$A:$B,2,FALSE),0),0),0)</f>
        <v/>
      </c>
      <c r="AA351">
        <f>IF(Q351="P",16.5944849573+0.2529999141*N351+0.2665900378*O351+0.2632687105*P351+0.0427586837*I351+0.0534777057*J351+0.009015832*K351+0.0204898106*(O351*P351/100)+1.0091022427*U351+1.0968542297*IF(D351="L",1,0)+0.3771555045*IF(D351="S",1,0)-0.2226159177*IF(E351="L",1,0)+1.21385024*R351-1.1652812274*S351+W351+X351+Z351,10.5965166711+0.2825983581*I351+0.2806503532*J351+0.2027213083*K351+0.1147824982*L351+0.0915305332*M351-0.0088454122*(I351*J351/100)-0.0336045706*(K351*L351/100)+2.8497389733*IF(D351="L",1,0)+4.5116226727*IF(D351="S",1,0)-0.6571546448*IF(E351="L",1,0)+0.0850728147*T351+0.0129488446*(T351*T351)+0.1909373936*IF(OR(F351="Utility",G351="Utility"),T351,0)+0.9656824071*R351-1.7517683256*S351+W351+X351+Y351)</f>
        <v/>
      </c>
      <c r="AB351">
        <f>LOOKUP(AA351,Grade_Scale!$A$2:$A$18,Grade_Scale!$B$2:$B$18)</f>
        <v/>
      </c>
      <c r="AC351">
        <f>LOOKUP(AA351,Grade_Scale!$A$2:$A$18,Grade_Scale!$C$2:$C$18)</f>
        <v/>
      </c>
      <c r="AE351">
        <f>IF(AD351="","",AB351-VLOOKUP(AD351,Grade_Scale!$C$2:$E$18,3,FALSE))</f>
        <v/>
      </c>
    </row>
    <row r="352">
      <c r="Q352">
        <f>IF(OR(B352="SP",B352="RP",B352="CP",B352="SP/RP"),"P","H")</f>
        <v/>
      </c>
      <c r="R352">
        <f>IF(F352="",0,IFNA(VLOOKUP(F352,Trait_Polarity!$A:$C,2,FALSE),0))+IF(G352="",0,IFNA(VLOOKUP(G352,Trait_Polarity!$A:$C,2,FALSE),0))</f>
        <v/>
      </c>
      <c r="S352">
        <f>IF(F352="",0,IFNA(VLOOKUP(F352,Trait_Polarity!$A:$C,3,FALSE),0))+IF(G352="",0,IFNA(VLOOKUP(G352,Trait_Polarity!$A:$C,3,FALSE),0))</f>
        <v/>
      </c>
      <c r="T352">
        <f>IF(Q352="P",0,IFNA(VLOOKUP(IF(C352="","(none)",C352),Secondary_Versatility!$A:$B,2,FALSE),0))</f>
        <v/>
      </c>
      <c r="U352">
        <f>IF(H352="",0,LEN(H352)-LEN(SUBSTITUTE(H352,"|",""))+1)</f>
        <v/>
      </c>
      <c r="V352">
        <f>IF(Q352="P",(N352+O352+P352)/3,0.3*I352+0.3*J352+0.2*K352+0.1*L352+0.1*M352)</f>
        <v/>
      </c>
      <c r="W352">
        <f>IF(Q352="P",IF(F352="",0,IFNA(VLOOKUP(F352,Pitcher_Trait_Coef!$A:$B,2,FALSE),0))+IF(G352="",0,IFNA(VLOOKUP(G352,Pitcher_Trait_Coef!$A:$B,2,FALSE),0)),IF(F352="",0,IFNA(VLOOKUP(F352,Hitter_Trait_Coef!$A:$B,2,FALSE),0))+IF(G352="",0,IFNA(VLOOKUP(G352,Hitter_Trait_Coef!$A:$B,2,FALSE),0)))</f>
        <v/>
      </c>
      <c r="X352">
        <f>IF(Q352="P",IFNA(VLOOKUP(B352,Pitcher_Primary_Coef!$A:$B,2,FALSE),0),IFNA(VLOOKUP(B352,Hitter_Primary_Coef!$A:$B,2,FALSE),0))</f>
        <v/>
      </c>
      <c r="Y352">
        <f>IF(Q352="P",0,IFNA(VLOOKUP(IF(C352="","(none)",C352),Hitter_Secondary_Coef!$A:$B,2,FALSE),0))</f>
        <v/>
      </c>
      <c r="Z352">
        <f>IF(Q352="P",IF(ISNUMBER(SEARCH("2F",H352)),IFNA(VLOOKUP("2F",Pitch_Coef!$A:$B,2,FALSE),0),0)+IF(ISNUMBER(SEARCH("4F",H352)),IFNA(VLOOKUP("4F",Pitch_Coef!$A:$B,2,FALSE),0),0)+IF(ISNUMBER(SEARCH("CB",H352)),IFNA(VLOOKUP("CB",Pitch_Coef!$A:$B,2,FALSE),0),0)+IF(ISNUMBER(SEARCH("CF",H352)),IFNA(VLOOKUP("CF",Pitch_Coef!$A:$B,2,FALSE),0),0)+IF(ISNUMBER(SEARCH("CH",H352)),IFNA(VLOOKUP("CH",Pitch_Coef!$A:$B,2,FALSE),0),0)+IF(ISNUMBER(SEARCH("FK",H352)),IFNA(VLOOKUP("FK",Pitch_Coef!$A:$B,2,FALSE),0),0)+IF(ISNUMBER(SEARCH("SB",H352)),IFNA(VLOOKUP("SB",Pitch_Coef!$A:$B,2,FALSE),0),0)+IF(ISNUMBER(SEARCH("SL",H352)),IFNA(VLOOKUP("SL",Pitch_Coef!$A:$B,2,FALSE),0),0),0)</f>
        <v/>
      </c>
      <c r="AA352">
        <f>IF(Q352="P",16.5944849573+0.2529999141*N352+0.2665900378*O352+0.2632687105*P352+0.0427586837*I352+0.0534777057*J352+0.009015832*K352+0.0204898106*(O352*P352/100)+1.0091022427*U352+1.0968542297*IF(D352="L",1,0)+0.3771555045*IF(D352="S",1,0)-0.2226159177*IF(E352="L",1,0)+1.21385024*R352-1.1652812274*S352+W352+X352+Z352,10.5965166711+0.2825983581*I352+0.2806503532*J352+0.2027213083*K352+0.1147824982*L352+0.0915305332*M352-0.0088454122*(I352*J352/100)-0.0336045706*(K352*L352/100)+2.8497389733*IF(D352="L",1,0)+4.5116226727*IF(D352="S",1,0)-0.6571546448*IF(E352="L",1,0)+0.0850728147*T352+0.0129488446*(T352*T352)+0.1909373936*IF(OR(F352="Utility",G352="Utility"),T352,0)+0.9656824071*R352-1.7517683256*S352+W352+X352+Y352)</f>
        <v/>
      </c>
      <c r="AB352">
        <f>LOOKUP(AA352,Grade_Scale!$A$2:$A$18,Grade_Scale!$B$2:$B$18)</f>
        <v/>
      </c>
      <c r="AC352">
        <f>LOOKUP(AA352,Grade_Scale!$A$2:$A$18,Grade_Scale!$C$2:$C$18)</f>
        <v/>
      </c>
      <c r="AE352">
        <f>IF(AD352="","",AB352-VLOOKUP(AD352,Grade_Scale!$C$2:$E$18,3,FALSE))</f>
        <v/>
      </c>
    </row>
    <row r="353">
      <c r="Q353">
        <f>IF(OR(B353="SP",B353="RP",B353="CP",B353="SP/RP"),"P","H")</f>
        <v/>
      </c>
      <c r="R353">
        <f>IF(F353="",0,IFNA(VLOOKUP(F353,Trait_Polarity!$A:$C,2,FALSE),0))+IF(G353="",0,IFNA(VLOOKUP(G353,Trait_Polarity!$A:$C,2,FALSE),0))</f>
        <v/>
      </c>
      <c r="S353">
        <f>IF(F353="",0,IFNA(VLOOKUP(F353,Trait_Polarity!$A:$C,3,FALSE),0))+IF(G353="",0,IFNA(VLOOKUP(G353,Trait_Polarity!$A:$C,3,FALSE),0))</f>
        <v/>
      </c>
      <c r="T353">
        <f>IF(Q353="P",0,IFNA(VLOOKUP(IF(C353="","(none)",C353),Secondary_Versatility!$A:$B,2,FALSE),0))</f>
        <v/>
      </c>
      <c r="U353">
        <f>IF(H353="",0,LEN(H353)-LEN(SUBSTITUTE(H353,"|",""))+1)</f>
        <v/>
      </c>
      <c r="V353">
        <f>IF(Q353="P",(N353+O353+P353)/3,0.3*I353+0.3*J353+0.2*K353+0.1*L353+0.1*M353)</f>
        <v/>
      </c>
      <c r="W353">
        <f>IF(Q353="P",IF(F353="",0,IFNA(VLOOKUP(F353,Pitcher_Trait_Coef!$A:$B,2,FALSE),0))+IF(G353="",0,IFNA(VLOOKUP(G353,Pitcher_Trait_Coef!$A:$B,2,FALSE),0)),IF(F353="",0,IFNA(VLOOKUP(F353,Hitter_Trait_Coef!$A:$B,2,FALSE),0))+IF(G353="",0,IFNA(VLOOKUP(G353,Hitter_Trait_Coef!$A:$B,2,FALSE),0)))</f>
        <v/>
      </c>
      <c r="X353">
        <f>IF(Q353="P",IFNA(VLOOKUP(B353,Pitcher_Primary_Coef!$A:$B,2,FALSE),0),IFNA(VLOOKUP(B353,Hitter_Primary_Coef!$A:$B,2,FALSE),0))</f>
        <v/>
      </c>
      <c r="Y353">
        <f>IF(Q353="P",0,IFNA(VLOOKUP(IF(C353="","(none)",C353),Hitter_Secondary_Coef!$A:$B,2,FALSE),0))</f>
        <v/>
      </c>
      <c r="Z353">
        <f>IF(Q353="P",IF(ISNUMBER(SEARCH("2F",H353)),IFNA(VLOOKUP("2F",Pitch_Coef!$A:$B,2,FALSE),0),0)+IF(ISNUMBER(SEARCH("4F",H353)),IFNA(VLOOKUP("4F",Pitch_Coef!$A:$B,2,FALSE),0),0)+IF(ISNUMBER(SEARCH("CB",H353)),IFNA(VLOOKUP("CB",Pitch_Coef!$A:$B,2,FALSE),0),0)+IF(ISNUMBER(SEARCH("CF",H353)),IFNA(VLOOKUP("CF",Pitch_Coef!$A:$B,2,FALSE),0),0)+IF(ISNUMBER(SEARCH("CH",H353)),IFNA(VLOOKUP("CH",Pitch_Coef!$A:$B,2,FALSE),0),0)+IF(ISNUMBER(SEARCH("FK",H353)),IFNA(VLOOKUP("FK",Pitch_Coef!$A:$B,2,FALSE),0),0)+IF(ISNUMBER(SEARCH("SB",H353)),IFNA(VLOOKUP("SB",Pitch_Coef!$A:$B,2,FALSE),0),0)+IF(ISNUMBER(SEARCH("SL",H353)),IFNA(VLOOKUP("SL",Pitch_Coef!$A:$B,2,FALSE),0),0),0)</f>
        <v/>
      </c>
      <c r="AA353">
        <f>IF(Q353="P",16.5944849573+0.2529999141*N353+0.2665900378*O353+0.2632687105*P353+0.0427586837*I353+0.0534777057*J353+0.009015832*K353+0.0204898106*(O353*P353/100)+1.0091022427*U353+1.0968542297*IF(D353="L",1,0)+0.3771555045*IF(D353="S",1,0)-0.2226159177*IF(E353="L",1,0)+1.21385024*R353-1.1652812274*S353+W353+X353+Z353,10.5965166711+0.2825983581*I353+0.2806503532*J353+0.2027213083*K353+0.1147824982*L353+0.0915305332*M353-0.0088454122*(I353*J353/100)-0.0336045706*(K353*L353/100)+2.8497389733*IF(D353="L",1,0)+4.5116226727*IF(D353="S",1,0)-0.6571546448*IF(E353="L",1,0)+0.0850728147*T353+0.0129488446*(T353*T353)+0.1909373936*IF(OR(F353="Utility",G353="Utility"),T353,0)+0.9656824071*R353-1.7517683256*S353+W353+X353+Y353)</f>
        <v/>
      </c>
      <c r="AB353">
        <f>LOOKUP(AA353,Grade_Scale!$A$2:$A$18,Grade_Scale!$B$2:$B$18)</f>
        <v/>
      </c>
      <c r="AC353">
        <f>LOOKUP(AA353,Grade_Scale!$A$2:$A$18,Grade_Scale!$C$2:$C$18)</f>
        <v/>
      </c>
      <c r="AE353">
        <f>IF(AD353="","",AB353-VLOOKUP(AD353,Grade_Scale!$C$2:$E$18,3,FALSE))</f>
        <v/>
      </c>
    </row>
    <row r="354">
      <c r="Q354">
        <f>IF(OR(B354="SP",B354="RP",B354="CP",B354="SP/RP"),"P","H")</f>
        <v/>
      </c>
      <c r="R354">
        <f>IF(F354="",0,IFNA(VLOOKUP(F354,Trait_Polarity!$A:$C,2,FALSE),0))+IF(G354="",0,IFNA(VLOOKUP(G354,Trait_Polarity!$A:$C,2,FALSE),0))</f>
        <v/>
      </c>
      <c r="S354">
        <f>IF(F354="",0,IFNA(VLOOKUP(F354,Trait_Polarity!$A:$C,3,FALSE),0))+IF(G354="",0,IFNA(VLOOKUP(G354,Trait_Polarity!$A:$C,3,FALSE),0))</f>
        <v/>
      </c>
      <c r="T354">
        <f>IF(Q354="P",0,IFNA(VLOOKUP(IF(C354="","(none)",C354),Secondary_Versatility!$A:$B,2,FALSE),0))</f>
        <v/>
      </c>
      <c r="U354">
        <f>IF(H354="",0,LEN(H354)-LEN(SUBSTITUTE(H354,"|",""))+1)</f>
        <v/>
      </c>
      <c r="V354">
        <f>IF(Q354="P",(N354+O354+P354)/3,0.3*I354+0.3*J354+0.2*K354+0.1*L354+0.1*M354)</f>
        <v/>
      </c>
      <c r="W354">
        <f>IF(Q354="P",IF(F354="",0,IFNA(VLOOKUP(F354,Pitcher_Trait_Coef!$A:$B,2,FALSE),0))+IF(G354="",0,IFNA(VLOOKUP(G354,Pitcher_Trait_Coef!$A:$B,2,FALSE),0)),IF(F354="",0,IFNA(VLOOKUP(F354,Hitter_Trait_Coef!$A:$B,2,FALSE),0))+IF(G354="",0,IFNA(VLOOKUP(G354,Hitter_Trait_Coef!$A:$B,2,FALSE),0)))</f>
        <v/>
      </c>
      <c r="X354">
        <f>IF(Q354="P",IFNA(VLOOKUP(B354,Pitcher_Primary_Coef!$A:$B,2,FALSE),0),IFNA(VLOOKUP(B354,Hitter_Primary_Coef!$A:$B,2,FALSE),0))</f>
        <v/>
      </c>
      <c r="Y354">
        <f>IF(Q354="P",0,IFNA(VLOOKUP(IF(C354="","(none)",C354),Hitter_Secondary_Coef!$A:$B,2,FALSE),0))</f>
        <v/>
      </c>
      <c r="Z354">
        <f>IF(Q354="P",IF(ISNUMBER(SEARCH("2F",H354)),IFNA(VLOOKUP("2F",Pitch_Coef!$A:$B,2,FALSE),0),0)+IF(ISNUMBER(SEARCH("4F",H354)),IFNA(VLOOKUP("4F",Pitch_Coef!$A:$B,2,FALSE),0),0)+IF(ISNUMBER(SEARCH("CB",H354)),IFNA(VLOOKUP("CB",Pitch_Coef!$A:$B,2,FALSE),0),0)+IF(ISNUMBER(SEARCH("CF",H354)),IFNA(VLOOKUP("CF",Pitch_Coef!$A:$B,2,FALSE),0),0)+IF(ISNUMBER(SEARCH("CH",H354)),IFNA(VLOOKUP("CH",Pitch_Coef!$A:$B,2,FALSE),0),0)+IF(ISNUMBER(SEARCH("FK",H354)),IFNA(VLOOKUP("FK",Pitch_Coef!$A:$B,2,FALSE),0),0)+IF(ISNUMBER(SEARCH("SB",H354)),IFNA(VLOOKUP("SB",Pitch_Coef!$A:$B,2,FALSE),0),0)+IF(ISNUMBER(SEARCH("SL",H354)),IFNA(VLOOKUP("SL",Pitch_Coef!$A:$B,2,FALSE),0),0),0)</f>
        <v/>
      </c>
      <c r="AA354">
        <f>IF(Q354="P",16.5944849573+0.2529999141*N354+0.2665900378*O354+0.2632687105*P354+0.0427586837*I354+0.0534777057*J354+0.009015832*K354+0.0204898106*(O354*P354/100)+1.0091022427*U354+1.0968542297*IF(D354="L",1,0)+0.3771555045*IF(D354="S",1,0)-0.2226159177*IF(E354="L",1,0)+1.21385024*R354-1.1652812274*S354+W354+X354+Z354,10.5965166711+0.2825983581*I354+0.2806503532*J354+0.2027213083*K354+0.1147824982*L354+0.0915305332*M354-0.0088454122*(I354*J354/100)-0.0336045706*(K354*L354/100)+2.8497389733*IF(D354="L",1,0)+4.5116226727*IF(D354="S",1,0)-0.6571546448*IF(E354="L",1,0)+0.0850728147*T354+0.0129488446*(T354*T354)+0.1909373936*IF(OR(F354="Utility",G354="Utility"),T354,0)+0.9656824071*R354-1.7517683256*S354+W354+X354+Y354)</f>
        <v/>
      </c>
      <c r="AB354">
        <f>LOOKUP(AA354,Grade_Scale!$A$2:$A$18,Grade_Scale!$B$2:$B$18)</f>
        <v/>
      </c>
      <c r="AC354">
        <f>LOOKUP(AA354,Grade_Scale!$A$2:$A$18,Grade_Scale!$C$2:$C$18)</f>
        <v/>
      </c>
      <c r="AE354">
        <f>IF(AD354="","",AB354-VLOOKUP(AD354,Grade_Scale!$C$2:$E$18,3,FALSE))</f>
        <v/>
      </c>
    </row>
    <row r="355">
      <c r="Q355">
        <f>IF(OR(B355="SP",B355="RP",B355="CP",B355="SP/RP"),"P","H")</f>
        <v/>
      </c>
      <c r="R355">
        <f>IF(F355="",0,IFNA(VLOOKUP(F355,Trait_Polarity!$A:$C,2,FALSE),0))+IF(G355="",0,IFNA(VLOOKUP(G355,Trait_Polarity!$A:$C,2,FALSE),0))</f>
        <v/>
      </c>
      <c r="S355">
        <f>IF(F355="",0,IFNA(VLOOKUP(F355,Trait_Polarity!$A:$C,3,FALSE),0))+IF(G355="",0,IFNA(VLOOKUP(G355,Trait_Polarity!$A:$C,3,FALSE),0))</f>
        <v/>
      </c>
      <c r="T355">
        <f>IF(Q355="P",0,IFNA(VLOOKUP(IF(C355="","(none)",C355),Secondary_Versatility!$A:$B,2,FALSE),0))</f>
        <v/>
      </c>
      <c r="U355">
        <f>IF(H355="",0,LEN(H355)-LEN(SUBSTITUTE(H355,"|",""))+1)</f>
        <v/>
      </c>
      <c r="V355">
        <f>IF(Q355="P",(N355+O355+P355)/3,0.3*I355+0.3*J355+0.2*K355+0.1*L355+0.1*M355)</f>
        <v/>
      </c>
      <c r="W355">
        <f>IF(Q355="P",IF(F355="",0,IFNA(VLOOKUP(F355,Pitcher_Trait_Coef!$A:$B,2,FALSE),0))+IF(G355="",0,IFNA(VLOOKUP(G355,Pitcher_Trait_Coef!$A:$B,2,FALSE),0)),IF(F355="",0,IFNA(VLOOKUP(F355,Hitter_Trait_Coef!$A:$B,2,FALSE),0))+IF(G355="",0,IFNA(VLOOKUP(G355,Hitter_Trait_Coef!$A:$B,2,FALSE),0)))</f>
        <v/>
      </c>
      <c r="X355">
        <f>IF(Q355="P",IFNA(VLOOKUP(B355,Pitcher_Primary_Coef!$A:$B,2,FALSE),0),IFNA(VLOOKUP(B355,Hitter_Primary_Coef!$A:$B,2,FALSE),0))</f>
        <v/>
      </c>
      <c r="Y355">
        <f>IF(Q355="P",0,IFNA(VLOOKUP(IF(C355="","(none)",C355),Hitter_Secondary_Coef!$A:$B,2,FALSE),0))</f>
        <v/>
      </c>
      <c r="Z355">
        <f>IF(Q355="P",IF(ISNUMBER(SEARCH("2F",H355)),IFNA(VLOOKUP("2F",Pitch_Coef!$A:$B,2,FALSE),0),0)+IF(ISNUMBER(SEARCH("4F",H355)),IFNA(VLOOKUP("4F",Pitch_Coef!$A:$B,2,FALSE),0),0)+IF(ISNUMBER(SEARCH("CB",H355)),IFNA(VLOOKUP("CB",Pitch_Coef!$A:$B,2,FALSE),0),0)+IF(ISNUMBER(SEARCH("CF",H355)),IFNA(VLOOKUP("CF",Pitch_Coef!$A:$B,2,FALSE),0),0)+IF(ISNUMBER(SEARCH("CH",H355)),IFNA(VLOOKUP("CH",Pitch_Coef!$A:$B,2,FALSE),0),0)+IF(ISNUMBER(SEARCH("FK",H355)),IFNA(VLOOKUP("FK",Pitch_Coef!$A:$B,2,FALSE),0),0)+IF(ISNUMBER(SEARCH("SB",H355)),IFNA(VLOOKUP("SB",Pitch_Coef!$A:$B,2,FALSE),0),0)+IF(ISNUMBER(SEARCH("SL",H355)),IFNA(VLOOKUP("SL",Pitch_Coef!$A:$B,2,FALSE),0),0),0)</f>
        <v/>
      </c>
      <c r="AA355">
        <f>IF(Q355="P",16.5944849573+0.2529999141*N355+0.2665900378*O355+0.2632687105*P355+0.0427586837*I355+0.0534777057*J355+0.009015832*K355+0.0204898106*(O355*P355/100)+1.0091022427*U355+1.0968542297*IF(D355="L",1,0)+0.3771555045*IF(D355="S",1,0)-0.2226159177*IF(E355="L",1,0)+1.21385024*R355-1.1652812274*S355+W355+X355+Z355,10.5965166711+0.2825983581*I355+0.2806503532*J355+0.2027213083*K355+0.1147824982*L355+0.0915305332*M355-0.0088454122*(I355*J355/100)-0.0336045706*(K355*L355/100)+2.8497389733*IF(D355="L",1,0)+4.5116226727*IF(D355="S",1,0)-0.6571546448*IF(E355="L",1,0)+0.0850728147*T355+0.0129488446*(T355*T355)+0.1909373936*IF(OR(F355="Utility",G355="Utility"),T355,0)+0.9656824071*R355-1.7517683256*S355+W355+X355+Y355)</f>
        <v/>
      </c>
      <c r="AB355">
        <f>LOOKUP(AA355,Grade_Scale!$A$2:$A$18,Grade_Scale!$B$2:$B$18)</f>
        <v/>
      </c>
      <c r="AC355">
        <f>LOOKUP(AA355,Grade_Scale!$A$2:$A$18,Grade_Scale!$C$2:$C$18)</f>
        <v/>
      </c>
      <c r="AE355">
        <f>IF(AD355="","",AB355-VLOOKUP(AD355,Grade_Scale!$C$2:$E$18,3,FALSE))</f>
        <v/>
      </c>
    </row>
    <row r="356">
      <c r="Q356">
        <f>IF(OR(B356="SP",B356="RP",B356="CP",B356="SP/RP"),"P","H")</f>
        <v/>
      </c>
      <c r="R356">
        <f>IF(F356="",0,IFNA(VLOOKUP(F356,Trait_Polarity!$A:$C,2,FALSE),0))+IF(G356="",0,IFNA(VLOOKUP(G356,Trait_Polarity!$A:$C,2,FALSE),0))</f>
        <v/>
      </c>
      <c r="S356">
        <f>IF(F356="",0,IFNA(VLOOKUP(F356,Trait_Polarity!$A:$C,3,FALSE),0))+IF(G356="",0,IFNA(VLOOKUP(G356,Trait_Polarity!$A:$C,3,FALSE),0))</f>
        <v/>
      </c>
      <c r="T356">
        <f>IF(Q356="P",0,IFNA(VLOOKUP(IF(C356="","(none)",C356),Secondary_Versatility!$A:$B,2,FALSE),0))</f>
        <v/>
      </c>
      <c r="U356">
        <f>IF(H356="",0,LEN(H356)-LEN(SUBSTITUTE(H356,"|",""))+1)</f>
        <v/>
      </c>
      <c r="V356">
        <f>IF(Q356="P",(N356+O356+P356)/3,0.3*I356+0.3*J356+0.2*K356+0.1*L356+0.1*M356)</f>
        <v/>
      </c>
      <c r="W356">
        <f>IF(Q356="P",IF(F356="",0,IFNA(VLOOKUP(F356,Pitcher_Trait_Coef!$A:$B,2,FALSE),0))+IF(G356="",0,IFNA(VLOOKUP(G356,Pitcher_Trait_Coef!$A:$B,2,FALSE),0)),IF(F356="",0,IFNA(VLOOKUP(F356,Hitter_Trait_Coef!$A:$B,2,FALSE),0))+IF(G356="",0,IFNA(VLOOKUP(G356,Hitter_Trait_Coef!$A:$B,2,FALSE),0)))</f>
        <v/>
      </c>
      <c r="X356">
        <f>IF(Q356="P",IFNA(VLOOKUP(B356,Pitcher_Primary_Coef!$A:$B,2,FALSE),0),IFNA(VLOOKUP(B356,Hitter_Primary_Coef!$A:$B,2,FALSE),0))</f>
        <v/>
      </c>
      <c r="Y356">
        <f>IF(Q356="P",0,IFNA(VLOOKUP(IF(C356="","(none)",C356),Hitter_Secondary_Coef!$A:$B,2,FALSE),0))</f>
        <v/>
      </c>
      <c r="Z356">
        <f>IF(Q356="P",IF(ISNUMBER(SEARCH("2F",H356)),IFNA(VLOOKUP("2F",Pitch_Coef!$A:$B,2,FALSE),0),0)+IF(ISNUMBER(SEARCH("4F",H356)),IFNA(VLOOKUP("4F",Pitch_Coef!$A:$B,2,FALSE),0),0)+IF(ISNUMBER(SEARCH("CB",H356)),IFNA(VLOOKUP("CB",Pitch_Coef!$A:$B,2,FALSE),0),0)+IF(ISNUMBER(SEARCH("CF",H356)),IFNA(VLOOKUP("CF",Pitch_Coef!$A:$B,2,FALSE),0),0)+IF(ISNUMBER(SEARCH("CH",H356)),IFNA(VLOOKUP("CH",Pitch_Coef!$A:$B,2,FALSE),0),0)+IF(ISNUMBER(SEARCH("FK",H356)),IFNA(VLOOKUP("FK",Pitch_Coef!$A:$B,2,FALSE),0),0)+IF(ISNUMBER(SEARCH("SB",H356)),IFNA(VLOOKUP("SB",Pitch_Coef!$A:$B,2,FALSE),0),0)+IF(ISNUMBER(SEARCH("SL",H356)),IFNA(VLOOKUP("SL",Pitch_Coef!$A:$B,2,FALSE),0),0),0)</f>
        <v/>
      </c>
      <c r="AA356">
        <f>IF(Q356="P",16.5944849573+0.2529999141*N356+0.2665900378*O356+0.2632687105*P356+0.0427586837*I356+0.0534777057*J356+0.009015832*K356+0.0204898106*(O356*P356/100)+1.0091022427*U356+1.0968542297*IF(D356="L",1,0)+0.3771555045*IF(D356="S",1,0)-0.2226159177*IF(E356="L",1,0)+1.21385024*R356-1.1652812274*S356+W356+X356+Z356,10.5965166711+0.2825983581*I356+0.2806503532*J356+0.2027213083*K356+0.1147824982*L356+0.0915305332*M356-0.0088454122*(I356*J356/100)-0.0336045706*(K356*L356/100)+2.8497389733*IF(D356="L",1,0)+4.5116226727*IF(D356="S",1,0)-0.6571546448*IF(E356="L",1,0)+0.0850728147*T356+0.0129488446*(T356*T356)+0.1909373936*IF(OR(F356="Utility",G356="Utility"),T356,0)+0.9656824071*R356-1.7517683256*S356+W356+X356+Y356)</f>
        <v/>
      </c>
      <c r="AB356">
        <f>LOOKUP(AA356,Grade_Scale!$A$2:$A$18,Grade_Scale!$B$2:$B$18)</f>
        <v/>
      </c>
      <c r="AC356">
        <f>LOOKUP(AA356,Grade_Scale!$A$2:$A$18,Grade_Scale!$C$2:$C$18)</f>
        <v/>
      </c>
      <c r="AE356">
        <f>IF(AD356="","",AB356-VLOOKUP(AD356,Grade_Scale!$C$2:$E$18,3,FALSE))</f>
        <v/>
      </c>
    </row>
    <row r="357">
      <c r="Q357">
        <f>IF(OR(B357="SP",B357="RP",B357="CP",B357="SP/RP"),"P","H")</f>
        <v/>
      </c>
      <c r="R357">
        <f>IF(F357="",0,IFNA(VLOOKUP(F357,Trait_Polarity!$A:$C,2,FALSE),0))+IF(G357="",0,IFNA(VLOOKUP(G357,Trait_Polarity!$A:$C,2,FALSE),0))</f>
        <v/>
      </c>
      <c r="S357">
        <f>IF(F357="",0,IFNA(VLOOKUP(F357,Trait_Polarity!$A:$C,3,FALSE),0))+IF(G357="",0,IFNA(VLOOKUP(G357,Trait_Polarity!$A:$C,3,FALSE),0))</f>
        <v/>
      </c>
      <c r="T357">
        <f>IF(Q357="P",0,IFNA(VLOOKUP(IF(C357="","(none)",C357),Secondary_Versatility!$A:$B,2,FALSE),0))</f>
        <v/>
      </c>
      <c r="U357">
        <f>IF(H357="",0,LEN(H357)-LEN(SUBSTITUTE(H357,"|",""))+1)</f>
        <v/>
      </c>
      <c r="V357">
        <f>IF(Q357="P",(N357+O357+P357)/3,0.3*I357+0.3*J357+0.2*K357+0.1*L357+0.1*M357)</f>
        <v/>
      </c>
      <c r="W357">
        <f>IF(Q357="P",IF(F357="",0,IFNA(VLOOKUP(F357,Pitcher_Trait_Coef!$A:$B,2,FALSE),0))+IF(G357="",0,IFNA(VLOOKUP(G357,Pitcher_Trait_Coef!$A:$B,2,FALSE),0)),IF(F357="",0,IFNA(VLOOKUP(F357,Hitter_Trait_Coef!$A:$B,2,FALSE),0))+IF(G357="",0,IFNA(VLOOKUP(G357,Hitter_Trait_Coef!$A:$B,2,FALSE),0)))</f>
        <v/>
      </c>
      <c r="X357">
        <f>IF(Q357="P",IFNA(VLOOKUP(B357,Pitcher_Primary_Coef!$A:$B,2,FALSE),0),IFNA(VLOOKUP(B357,Hitter_Primary_Coef!$A:$B,2,FALSE),0))</f>
        <v/>
      </c>
      <c r="Y357">
        <f>IF(Q357="P",0,IFNA(VLOOKUP(IF(C357="","(none)",C357),Hitter_Secondary_Coef!$A:$B,2,FALSE),0))</f>
        <v/>
      </c>
      <c r="Z357">
        <f>IF(Q357="P",IF(ISNUMBER(SEARCH("2F",H357)),IFNA(VLOOKUP("2F",Pitch_Coef!$A:$B,2,FALSE),0),0)+IF(ISNUMBER(SEARCH("4F",H357)),IFNA(VLOOKUP("4F",Pitch_Coef!$A:$B,2,FALSE),0),0)+IF(ISNUMBER(SEARCH("CB",H357)),IFNA(VLOOKUP("CB",Pitch_Coef!$A:$B,2,FALSE),0),0)+IF(ISNUMBER(SEARCH("CF",H357)),IFNA(VLOOKUP("CF",Pitch_Coef!$A:$B,2,FALSE),0),0)+IF(ISNUMBER(SEARCH("CH",H357)),IFNA(VLOOKUP("CH",Pitch_Coef!$A:$B,2,FALSE),0),0)+IF(ISNUMBER(SEARCH("FK",H357)),IFNA(VLOOKUP("FK",Pitch_Coef!$A:$B,2,FALSE),0),0)+IF(ISNUMBER(SEARCH("SB",H357)),IFNA(VLOOKUP("SB",Pitch_Coef!$A:$B,2,FALSE),0),0)+IF(ISNUMBER(SEARCH("SL",H357)),IFNA(VLOOKUP("SL",Pitch_Coef!$A:$B,2,FALSE),0),0),0)</f>
        <v/>
      </c>
      <c r="AA357">
        <f>IF(Q357="P",16.5944849573+0.2529999141*N357+0.2665900378*O357+0.2632687105*P357+0.0427586837*I357+0.0534777057*J357+0.009015832*K357+0.0204898106*(O357*P357/100)+1.0091022427*U357+1.0968542297*IF(D357="L",1,0)+0.3771555045*IF(D357="S",1,0)-0.2226159177*IF(E357="L",1,0)+1.21385024*R357-1.1652812274*S357+W357+X357+Z357,10.5965166711+0.2825983581*I357+0.2806503532*J357+0.2027213083*K357+0.1147824982*L357+0.0915305332*M357-0.0088454122*(I357*J357/100)-0.0336045706*(K357*L357/100)+2.8497389733*IF(D357="L",1,0)+4.5116226727*IF(D357="S",1,0)-0.6571546448*IF(E357="L",1,0)+0.0850728147*T357+0.0129488446*(T357*T357)+0.1909373936*IF(OR(F357="Utility",G357="Utility"),T357,0)+0.9656824071*R357-1.7517683256*S357+W357+X357+Y357)</f>
        <v/>
      </c>
      <c r="AB357">
        <f>LOOKUP(AA357,Grade_Scale!$A$2:$A$18,Grade_Scale!$B$2:$B$18)</f>
        <v/>
      </c>
      <c r="AC357">
        <f>LOOKUP(AA357,Grade_Scale!$A$2:$A$18,Grade_Scale!$C$2:$C$18)</f>
        <v/>
      </c>
      <c r="AE357">
        <f>IF(AD357="","",AB357-VLOOKUP(AD357,Grade_Scale!$C$2:$E$18,3,FALSE))</f>
        <v/>
      </c>
    </row>
    <row r="358">
      <c r="Q358">
        <f>IF(OR(B358="SP",B358="RP",B358="CP",B358="SP/RP"),"P","H")</f>
        <v/>
      </c>
      <c r="R358">
        <f>IF(F358="",0,IFNA(VLOOKUP(F358,Trait_Polarity!$A:$C,2,FALSE),0))+IF(G358="",0,IFNA(VLOOKUP(G358,Trait_Polarity!$A:$C,2,FALSE),0))</f>
        <v/>
      </c>
      <c r="S358">
        <f>IF(F358="",0,IFNA(VLOOKUP(F358,Trait_Polarity!$A:$C,3,FALSE),0))+IF(G358="",0,IFNA(VLOOKUP(G358,Trait_Polarity!$A:$C,3,FALSE),0))</f>
        <v/>
      </c>
      <c r="T358">
        <f>IF(Q358="P",0,IFNA(VLOOKUP(IF(C358="","(none)",C358),Secondary_Versatility!$A:$B,2,FALSE),0))</f>
        <v/>
      </c>
      <c r="U358">
        <f>IF(H358="",0,LEN(H358)-LEN(SUBSTITUTE(H358,"|",""))+1)</f>
        <v/>
      </c>
      <c r="V358">
        <f>IF(Q358="P",(N358+O358+P358)/3,0.3*I358+0.3*J358+0.2*K358+0.1*L358+0.1*M358)</f>
        <v/>
      </c>
      <c r="W358">
        <f>IF(Q358="P",IF(F358="",0,IFNA(VLOOKUP(F358,Pitcher_Trait_Coef!$A:$B,2,FALSE),0))+IF(G358="",0,IFNA(VLOOKUP(G358,Pitcher_Trait_Coef!$A:$B,2,FALSE),0)),IF(F358="",0,IFNA(VLOOKUP(F358,Hitter_Trait_Coef!$A:$B,2,FALSE),0))+IF(G358="",0,IFNA(VLOOKUP(G358,Hitter_Trait_Coef!$A:$B,2,FALSE),0)))</f>
        <v/>
      </c>
      <c r="X358">
        <f>IF(Q358="P",IFNA(VLOOKUP(B358,Pitcher_Primary_Coef!$A:$B,2,FALSE),0),IFNA(VLOOKUP(B358,Hitter_Primary_Coef!$A:$B,2,FALSE),0))</f>
        <v/>
      </c>
      <c r="Y358">
        <f>IF(Q358="P",0,IFNA(VLOOKUP(IF(C358="","(none)",C358),Hitter_Secondary_Coef!$A:$B,2,FALSE),0))</f>
        <v/>
      </c>
      <c r="Z358">
        <f>IF(Q358="P",IF(ISNUMBER(SEARCH("2F",H358)),IFNA(VLOOKUP("2F",Pitch_Coef!$A:$B,2,FALSE),0),0)+IF(ISNUMBER(SEARCH("4F",H358)),IFNA(VLOOKUP("4F",Pitch_Coef!$A:$B,2,FALSE),0),0)+IF(ISNUMBER(SEARCH("CB",H358)),IFNA(VLOOKUP("CB",Pitch_Coef!$A:$B,2,FALSE),0),0)+IF(ISNUMBER(SEARCH("CF",H358)),IFNA(VLOOKUP("CF",Pitch_Coef!$A:$B,2,FALSE),0),0)+IF(ISNUMBER(SEARCH("CH",H358)),IFNA(VLOOKUP("CH",Pitch_Coef!$A:$B,2,FALSE),0),0)+IF(ISNUMBER(SEARCH("FK",H358)),IFNA(VLOOKUP("FK",Pitch_Coef!$A:$B,2,FALSE),0),0)+IF(ISNUMBER(SEARCH("SB",H358)),IFNA(VLOOKUP("SB",Pitch_Coef!$A:$B,2,FALSE),0),0)+IF(ISNUMBER(SEARCH("SL",H358)),IFNA(VLOOKUP("SL",Pitch_Coef!$A:$B,2,FALSE),0),0),0)</f>
        <v/>
      </c>
      <c r="AA358">
        <f>IF(Q358="P",16.5944849573+0.2529999141*N358+0.2665900378*O358+0.2632687105*P358+0.0427586837*I358+0.0534777057*J358+0.009015832*K358+0.0204898106*(O358*P358/100)+1.0091022427*U358+1.0968542297*IF(D358="L",1,0)+0.3771555045*IF(D358="S",1,0)-0.2226159177*IF(E358="L",1,0)+1.21385024*R358-1.1652812274*S358+W358+X358+Z358,10.5965166711+0.2825983581*I358+0.2806503532*J358+0.2027213083*K358+0.1147824982*L358+0.0915305332*M358-0.0088454122*(I358*J358/100)-0.0336045706*(K358*L358/100)+2.8497389733*IF(D358="L",1,0)+4.5116226727*IF(D358="S",1,0)-0.6571546448*IF(E358="L",1,0)+0.0850728147*T358+0.0129488446*(T358*T358)+0.1909373936*IF(OR(F358="Utility",G358="Utility"),T358,0)+0.9656824071*R358-1.7517683256*S358+W358+X358+Y358)</f>
        <v/>
      </c>
      <c r="AB358">
        <f>LOOKUP(AA358,Grade_Scale!$A$2:$A$18,Grade_Scale!$B$2:$B$18)</f>
        <v/>
      </c>
      <c r="AC358">
        <f>LOOKUP(AA358,Grade_Scale!$A$2:$A$18,Grade_Scale!$C$2:$C$18)</f>
        <v/>
      </c>
      <c r="AE358">
        <f>IF(AD358="","",AB358-VLOOKUP(AD358,Grade_Scale!$C$2:$E$18,3,FALSE))</f>
        <v/>
      </c>
    </row>
    <row r="359">
      <c r="Q359">
        <f>IF(OR(B359="SP",B359="RP",B359="CP",B359="SP/RP"),"P","H")</f>
        <v/>
      </c>
      <c r="R359">
        <f>IF(F359="",0,IFNA(VLOOKUP(F359,Trait_Polarity!$A:$C,2,FALSE),0))+IF(G359="",0,IFNA(VLOOKUP(G359,Trait_Polarity!$A:$C,2,FALSE),0))</f>
        <v/>
      </c>
      <c r="S359">
        <f>IF(F359="",0,IFNA(VLOOKUP(F359,Trait_Polarity!$A:$C,3,FALSE),0))+IF(G359="",0,IFNA(VLOOKUP(G359,Trait_Polarity!$A:$C,3,FALSE),0))</f>
        <v/>
      </c>
      <c r="T359">
        <f>IF(Q359="P",0,IFNA(VLOOKUP(IF(C359="","(none)",C359),Secondary_Versatility!$A:$B,2,FALSE),0))</f>
        <v/>
      </c>
      <c r="U359">
        <f>IF(H359="",0,LEN(H359)-LEN(SUBSTITUTE(H359,"|",""))+1)</f>
        <v/>
      </c>
      <c r="V359">
        <f>IF(Q359="P",(N359+O359+P359)/3,0.3*I359+0.3*J359+0.2*K359+0.1*L359+0.1*M359)</f>
        <v/>
      </c>
      <c r="W359">
        <f>IF(Q359="P",IF(F359="",0,IFNA(VLOOKUP(F359,Pitcher_Trait_Coef!$A:$B,2,FALSE),0))+IF(G359="",0,IFNA(VLOOKUP(G359,Pitcher_Trait_Coef!$A:$B,2,FALSE),0)),IF(F359="",0,IFNA(VLOOKUP(F359,Hitter_Trait_Coef!$A:$B,2,FALSE),0))+IF(G359="",0,IFNA(VLOOKUP(G359,Hitter_Trait_Coef!$A:$B,2,FALSE),0)))</f>
        <v/>
      </c>
      <c r="X359">
        <f>IF(Q359="P",IFNA(VLOOKUP(B359,Pitcher_Primary_Coef!$A:$B,2,FALSE),0),IFNA(VLOOKUP(B359,Hitter_Primary_Coef!$A:$B,2,FALSE),0))</f>
        <v/>
      </c>
      <c r="Y359">
        <f>IF(Q359="P",0,IFNA(VLOOKUP(IF(C359="","(none)",C359),Hitter_Secondary_Coef!$A:$B,2,FALSE),0))</f>
        <v/>
      </c>
      <c r="Z359">
        <f>IF(Q359="P",IF(ISNUMBER(SEARCH("2F",H359)),IFNA(VLOOKUP("2F",Pitch_Coef!$A:$B,2,FALSE),0),0)+IF(ISNUMBER(SEARCH("4F",H359)),IFNA(VLOOKUP("4F",Pitch_Coef!$A:$B,2,FALSE),0),0)+IF(ISNUMBER(SEARCH("CB",H359)),IFNA(VLOOKUP("CB",Pitch_Coef!$A:$B,2,FALSE),0),0)+IF(ISNUMBER(SEARCH("CF",H359)),IFNA(VLOOKUP("CF",Pitch_Coef!$A:$B,2,FALSE),0),0)+IF(ISNUMBER(SEARCH("CH",H359)),IFNA(VLOOKUP("CH",Pitch_Coef!$A:$B,2,FALSE),0),0)+IF(ISNUMBER(SEARCH("FK",H359)),IFNA(VLOOKUP("FK",Pitch_Coef!$A:$B,2,FALSE),0),0)+IF(ISNUMBER(SEARCH("SB",H359)),IFNA(VLOOKUP("SB",Pitch_Coef!$A:$B,2,FALSE),0),0)+IF(ISNUMBER(SEARCH("SL",H359)),IFNA(VLOOKUP("SL",Pitch_Coef!$A:$B,2,FALSE),0),0),0)</f>
        <v/>
      </c>
      <c r="AA359">
        <f>IF(Q359="P",16.5944849573+0.2529999141*N359+0.2665900378*O359+0.2632687105*P359+0.0427586837*I359+0.0534777057*J359+0.009015832*K359+0.0204898106*(O359*P359/100)+1.0091022427*U359+1.0968542297*IF(D359="L",1,0)+0.3771555045*IF(D359="S",1,0)-0.2226159177*IF(E359="L",1,0)+1.21385024*R359-1.1652812274*S359+W359+X359+Z359,10.5965166711+0.2825983581*I359+0.2806503532*J359+0.2027213083*K359+0.1147824982*L359+0.0915305332*M359-0.0088454122*(I359*J359/100)-0.0336045706*(K359*L359/100)+2.8497389733*IF(D359="L",1,0)+4.5116226727*IF(D359="S",1,0)-0.6571546448*IF(E359="L",1,0)+0.0850728147*T359+0.0129488446*(T359*T359)+0.1909373936*IF(OR(F359="Utility",G359="Utility"),T359,0)+0.9656824071*R359-1.7517683256*S359+W359+X359+Y359)</f>
        <v/>
      </c>
      <c r="AB359">
        <f>LOOKUP(AA359,Grade_Scale!$A$2:$A$18,Grade_Scale!$B$2:$B$18)</f>
        <v/>
      </c>
      <c r="AC359">
        <f>LOOKUP(AA359,Grade_Scale!$A$2:$A$18,Grade_Scale!$C$2:$C$18)</f>
        <v/>
      </c>
      <c r="AE359">
        <f>IF(AD359="","",AB359-VLOOKUP(AD359,Grade_Scale!$C$2:$E$18,3,FALSE))</f>
        <v/>
      </c>
    </row>
    <row r="360">
      <c r="Q360">
        <f>IF(OR(B360="SP",B360="RP",B360="CP",B360="SP/RP"),"P","H")</f>
        <v/>
      </c>
      <c r="R360">
        <f>IF(F360="",0,IFNA(VLOOKUP(F360,Trait_Polarity!$A:$C,2,FALSE),0))+IF(G360="",0,IFNA(VLOOKUP(G360,Trait_Polarity!$A:$C,2,FALSE),0))</f>
        <v/>
      </c>
      <c r="S360">
        <f>IF(F360="",0,IFNA(VLOOKUP(F360,Trait_Polarity!$A:$C,3,FALSE),0))+IF(G360="",0,IFNA(VLOOKUP(G360,Trait_Polarity!$A:$C,3,FALSE),0))</f>
        <v/>
      </c>
      <c r="T360">
        <f>IF(Q360="P",0,IFNA(VLOOKUP(IF(C360="","(none)",C360),Secondary_Versatility!$A:$B,2,FALSE),0))</f>
        <v/>
      </c>
      <c r="U360">
        <f>IF(H360="",0,LEN(H360)-LEN(SUBSTITUTE(H360,"|",""))+1)</f>
        <v/>
      </c>
      <c r="V360">
        <f>IF(Q360="P",(N360+O360+P360)/3,0.3*I360+0.3*J360+0.2*K360+0.1*L360+0.1*M360)</f>
        <v/>
      </c>
      <c r="W360">
        <f>IF(Q360="P",IF(F360="",0,IFNA(VLOOKUP(F360,Pitcher_Trait_Coef!$A:$B,2,FALSE),0))+IF(G360="",0,IFNA(VLOOKUP(G360,Pitcher_Trait_Coef!$A:$B,2,FALSE),0)),IF(F360="",0,IFNA(VLOOKUP(F360,Hitter_Trait_Coef!$A:$B,2,FALSE),0))+IF(G360="",0,IFNA(VLOOKUP(G360,Hitter_Trait_Coef!$A:$B,2,FALSE),0)))</f>
        <v/>
      </c>
      <c r="X360">
        <f>IF(Q360="P",IFNA(VLOOKUP(B360,Pitcher_Primary_Coef!$A:$B,2,FALSE),0),IFNA(VLOOKUP(B360,Hitter_Primary_Coef!$A:$B,2,FALSE),0))</f>
        <v/>
      </c>
      <c r="Y360">
        <f>IF(Q360="P",0,IFNA(VLOOKUP(IF(C360="","(none)",C360),Hitter_Secondary_Coef!$A:$B,2,FALSE),0))</f>
        <v/>
      </c>
      <c r="Z360">
        <f>IF(Q360="P",IF(ISNUMBER(SEARCH("2F",H360)),IFNA(VLOOKUP("2F",Pitch_Coef!$A:$B,2,FALSE),0),0)+IF(ISNUMBER(SEARCH("4F",H360)),IFNA(VLOOKUP("4F",Pitch_Coef!$A:$B,2,FALSE),0),0)+IF(ISNUMBER(SEARCH("CB",H360)),IFNA(VLOOKUP("CB",Pitch_Coef!$A:$B,2,FALSE),0),0)+IF(ISNUMBER(SEARCH("CF",H360)),IFNA(VLOOKUP("CF",Pitch_Coef!$A:$B,2,FALSE),0),0)+IF(ISNUMBER(SEARCH("CH",H360)),IFNA(VLOOKUP("CH",Pitch_Coef!$A:$B,2,FALSE),0),0)+IF(ISNUMBER(SEARCH("FK",H360)),IFNA(VLOOKUP("FK",Pitch_Coef!$A:$B,2,FALSE),0),0)+IF(ISNUMBER(SEARCH("SB",H360)),IFNA(VLOOKUP("SB",Pitch_Coef!$A:$B,2,FALSE),0),0)+IF(ISNUMBER(SEARCH("SL",H360)),IFNA(VLOOKUP("SL",Pitch_Coef!$A:$B,2,FALSE),0),0),0)</f>
        <v/>
      </c>
      <c r="AA360">
        <f>IF(Q360="P",16.5944849573+0.2529999141*N360+0.2665900378*O360+0.2632687105*P360+0.0427586837*I360+0.0534777057*J360+0.009015832*K360+0.0204898106*(O360*P360/100)+1.0091022427*U360+1.0968542297*IF(D360="L",1,0)+0.3771555045*IF(D360="S",1,0)-0.2226159177*IF(E360="L",1,0)+1.21385024*R360-1.1652812274*S360+W360+X360+Z360,10.5965166711+0.2825983581*I360+0.2806503532*J360+0.2027213083*K360+0.1147824982*L360+0.0915305332*M360-0.0088454122*(I360*J360/100)-0.0336045706*(K360*L360/100)+2.8497389733*IF(D360="L",1,0)+4.5116226727*IF(D360="S",1,0)-0.6571546448*IF(E360="L",1,0)+0.0850728147*T360+0.0129488446*(T360*T360)+0.1909373936*IF(OR(F360="Utility",G360="Utility"),T360,0)+0.9656824071*R360-1.7517683256*S360+W360+X360+Y360)</f>
        <v/>
      </c>
      <c r="AB360">
        <f>LOOKUP(AA360,Grade_Scale!$A$2:$A$18,Grade_Scale!$B$2:$B$18)</f>
        <v/>
      </c>
      <c r="AC360">
        <f>LOOKUP(AA360,Grade_Scale!$A$2:$A$18,Grade_Scale!$C$2:$C$18)</f>
        <v/>
      </c>
      <c r="AE360">
        <f>IF(AD360="","",AB360-VLOOKUP(AD360,Grade_Scale!$C$2:$E$18,3,FALSE))</f>
        <v/>
      </c>
    </row>
    <row r="361">
      <c r="Q361">
        <f>IF(OR(B361="SP",B361="RP",B361="CP",B361="SP/RP"),"P","H")</f>
        <v/>
      </c>
      <c r="R361">
        <f>IF(F361="",0,IFNA(VLOOKUP(F361,Trait_Polarity!$A:$C,2,FALSE),0))+IF(G361="",0,IFNA(VLOOKUP(G361,Trait_Polarity!$A:$C,2,FALSE),0))</f>
        <v/>
      </c>
      <c r="S361">
        <f>IF(F361="",0,IFNA(VLOOKUP(F361,Trait_Polarity!$A:$C,3,FALSE),0))+IF(G361="",0,IFNA(VLOOKUP(G361,Trait_Polarity!$A:$C,3,FALSE),0))</f>
        <v/>
      </c>
      <c r="T361">
        <f>IF(Q361="P",0,IFNA(VLOOKUP(IF(C361="","(none)",C361),Secondary_Versatility!$A:$B,2,FALSE),0))</f>
        <v/>
      </c>
      <c r="U361">
        <f>IF(H361="",0,LEN(H361)-LEN(SUBSTITUTE(H361,"|",""))+1)</f>
        <v/>
      </c>
      <c r="V361">
        <f>IF(Q361="P",(N361+O361+P361)/3,0.3*I361+0.3*J361+0.2*K361+0.1*L361+0.1*M361)</f>
        <v/>
      </c>
      <c r="W361">
        <f>IF(Q361="P",IF(F361="",0,IFNA(VLOOKUP(F361,Pitcher_Trait_Coef!$A:$B,2,FALSE),0))+IF(G361="",0,IFNA(VLOOKUP(G361,Pitcher_Trait_Coef!$A:$B,2,FALSE),0)),IF(F361="",0,IFNA(VLOOKUP(F361,Hitter_Trait_Coef!$A:$B,2,FALSE),0))+IF(G361="",0,IFNA(VLOOKUP(G361,Hitter_Trait_Coef!$A:$B,2,FALSE),0)))</f>
        <v/>
      </c>
      <c r="X361">
        <f>IF(Q361="P",IFNA(VLOOKUP(B361,Pitcher_Primary_Coef!$A:$B,2,FALSE),0),IFNA(VLOOKUP(B361,Hitter_Primary_Coef!$A:$B,2,FALSE),0))</f>
        <v/>
      </c>
      <c r="Y361">
        <f>IF(Q361="P",0,IFNA(VLOOKUP(IF(C361="","(none)",C361),Hitter_Secondary_Coef!$A:$B,2,FALSE),0))</f>
        <v/>
      </c>
      <c r="Z361">
        <f>IF(Q361="P",IF(ISNUMBER(SEARCH("2F",H361)),IFNA(VLOOKUP("2F",Pitch_Coef!$A:$B,2,FALSE),0),0)+IF(ISNUMBER(SEARCH("4F",H361)),IFNA(VLOOKUP("4F",Pitch_Coef!$A:$B,2,FALSE),0),0)+IF(ISNUMBER(SEARCH("CB",H361)),IFNA(VLOOKUP("CB",Pitch_Coef!$A:$B,2,FALSE),0),0)+IF(ISNUMBER(SEARCH("CF",H361)),IFNA(VLOOKUP("CF",Pitch_Coef!$A:$B,2,FALSE),0),0)+IF(ISNUMBER(SEARCH("CH",H361)),IFNA(VLOOKUP("CH",Pitch_Coef!$A:$B,2,FALSE),0),0)+IF(ISNUMBER(SEARCH("FK",H361)),IFNA(VLOOKUP("FK",Pitch_Coef!$A:$B,2,FALSE),0),0)+IF(ISNUMBER(SEARCH("SB",H361)),IFNA(VLOOKUP("SB",Pitch_Coef!$A:$B,2,FALSE),0),0)+IF(ISNUMBER(SEARCH("SL",H361)),IFNA(VLOOKUP("SL",Pitch_Coef!$A:$B,2,FALSE),0),0),0)</f>
        <v/>
      </c>
      <c r="AA361">
        <f>IF(Q361="P",16.5944849573+0.2529999141*N361+0.2665900378*O361+0.2632687105*P361+0.0427586837*I361+0.0534777057*J361+0.009015832*K361+0.0204898106*(O361*P361/100)+1.0091022427*U361+1.0968542297*IF(D361="L",1,0)+0.3771555045*IF(D361="S",1,0)-0.2226159177*IF(E361="L",1,0)+1.21385024*R361-1.1652812274*S361+W361+X361+Z361,10.5965166711+0.2825983581*I361+0.2806503532*J361+0.2027213083*K361+0.1147824982*L361+0.0915305332*M361-0.0088454122*(I361*J361/100)-0.0336045706*(K361*L361/100)+2.8497389733*IF(D361="L",1,0)+4.5116226727*IF(D361="S",1,0)-0.6571546448*IF(E361="L",1,0)+0.0850728147*T361+0.0129488446*(T361*T361)+0.1909373936*IF(OR(F361="Utility",G361="Utility"),T361,0)+0.9656824071*R361-1.7517683256*S361+W361+X361+Y361)</f>
        <v/>
      </c>
      <c r="AB361">
        <f>LOOKUP(AA361,Grade_Scale!$A$2:$A$18,Grade_Scale!$B$2:$B$18)</f>
        <v/>
      </c>
      <c r="AC361">
        <f>LOOKUP(AA361,Grade_Scale!$A$2:$A$18,Grade_Scale!$C$2:$C$18)</f>
        <v/>
      </c>
      <c r="AE361">
        <f>IF(AD361="","",AB361-VLOOKUP(AD361,Grade_Scale!$C$2:$E$18,3,FALSE))</f>
        <v/>
      </c>
    </row>
    <row r="362">
      <c r="Q362">
        <f>IF(OR(B362="SP",B362="RP",B362="CP",B362="SP/RP"),"P","H")</f>
        <v/>
      </c>
      <c r="R362">
        <f>IF(F362="",0,IFNA(VLOOKUP(F362,Trait_Polarity!$A:$C,2,FALSE),0))+IF(G362="",0,IFNA(VLOOKUP(G362,Trait_Polarity!$A:$C,2,FALSE),0))</f>
        <v/>
      </c>
      <c r="S362">
        <f>IF(F362="",0,IFNA(VLOOKUP(F362,Trait_Polarity!$A:$C,3,FALSE),0))+IF(G362="",0,IFNA(VLOOKUP(G362,Trait_Polarity!$A:$C,3,FALSE),0))</f>
        <v/>
      </c>
      <c r="T362">
        <f>IF(Q362="P",0,IFNA(VLOOKUP(IF(C362="","(none)",C362),Secondary_Versatility!$A:$B,2,FALSE),0))</f>
        <v/>
      </c>
      <c r="U362">
        <f>IF(H362="",0,LEN(H362)-LEN(SUBSTITUTE(H362,"|",""))+1)</f>
        <v/>
      </c>
      <c r="V362">
        <f>IF(Q362="P",(N362+O362+P362)/3,0.3*I362+0.3*J362+0.2*K362+0.1*L362+0.1*M362)</f>
        <v/>
      </c>
      <c r="W362">
        <f>IF(Q362="P",IF(F362="",0,IFNA(VLOOKUP(F362,Pitcher_Trait_Coef!$A:$B,2,FALSE),0))+IF(G362="",0,IFNA(VLOOKUP(G362,Pitcher_Trait_Coef!$A:$B,2,FALSE),0)),IF(F362="",0,IFNA(VLOOKUP(F362,Hitter_Trait_Coef!$A:$B,2,FALSE),0))+IF(G362="",0,IFNA(VLOOKUP(G362,Hitter_Trait_Coef!$A:$B,2,FALSE),0)))</f>
        <v/>
      </c>
      <c r="X362">
        <f>IF(Q362="P",IFNA(VLOOKUP(B362,Pitcher_Primary_Coef!$A:$B,2,FALSE),0),IFNA(VLOOKUP(B362,Hitter_Primary_Coef!$A:$B,2,FALSE),0))</f>
        <v/>
      </c>
      <c r="Y362">
        <f>IF(Q362="P",0,IFNA(VLOOKUP(IF(C362="","(none)",C362),Hitter_Secondary_Coef!$A:$B,2,FALSE),0))</f>
        <v/>
      </c>
      <c r="Z362">
        <f>IF(Q362="P",IF(ISNUMBER(SEARCH("2F",H362)),IFNA(VLOOKUP("2F",Pitch_Coef!$A:$B,2,FALSE),0),0)+IF(ISNUMBER(SEARCH("4F",H362)),IFNA(VLOOKUP("4F",Pitch_Coef!$A:$B,2,FALSE),0),0)+IF(ISNUMBER(SEARCH("CB",H362)),IFNA(VLOOKUP("CB",Pitch_Coef!$A:$B,2,FALSE),0),0)+IF(ISNUMBER(SEARCH("CF",H362)),IFNA(VLOOKUP("CF",Pitch_Coef!$A:$B,2,FALSE),0),0)+IF(ISNUMBER(SEARCH("CH",H362)),IFNA(VLOOKUP("CH",Pitch_Coef!$A:$B,2,FALSE),0),0)+IF(ISNUMBER(SEARCH("FK",H362)),IFNA(VLOOKUP("FK",Pitch_Coef!$A:$B,2,FALSE),0),0)+IF(ISNUMBER(SEARCH("SB",H362)),IFNA(VLOOKUP("SB",Pitch_Coef!$A:$B,2,FALSE),0),0)+IF(ISNUMBER(SEARCH("SL",H362)),IFNA(VLOOKUP("SL",Pitch_Coef!$A:$B,2,FALSE),0),0),0)</f>
        <v/>
      </c>
      <c r="AA362">
        <f>IF(Q362="P",16.5944849573+0.2529999141*N362+0.2665900378*O362+0.2632687105*P362+0.0427586837*I362+0.0534777057*J362+0.009015832*K362+0.0204898106*(O362*P362/100)+1.0091022427*U362+1.0968542297*IF(D362="L",1,0)+0.3771555045*IF(D362="S",1,0)-0.2226159177*IF(E362="L",1,0)+1.21385024*R362-1.1652812274*S362+W362+X362+Z362,10.5965166711+0.2825983581*I362+0.2806503532*J362+0.2027213083*K362+0.1147824982*L362+0.0915305332*M362-0.0088454122*(I362*J362/100)-0.0336045706*(K362*L362/100)+2.8497389733*IF(D362="L",1,0)+4.5116226727*IF(D362="S",1,0)-0.6571546448*IF(E362="L",1,0)+0.0850728147*T362+0.0129488446*(T362*T362)+0.1909373936*IF(OR(F362="Utility",G362="Utility"),T362,0)+0.9656824071*R362-1.7517683256*S362+W362+X362+Y362)</f>
        <v/>
      </c>
      <c r="AB362">
        <f>LOOKUP(AA362,Grade_Scale!$A$2:$A$18,Grade_Scale!$B$2:$B$18)</f>
        <v/>
      </c>
      <c r="AC362">
        <f>LOOKUP(AA362,Grade_Scale!$A$2:$A$18,Grade_Scale!$C$2:$C$18)</f>
        <v/>
      </c>
      <c r="AE362">
        <f>IF(AD362="","",AB362-VLOOKUP(AD362,Grade_Scale!$C$2:$E$18,3,FALSE))</f>
        <v/>
      </c>
    </row>
    <row r="363">
      <c r="Q363">
        <f>IF(OR(B363="SP",B363="RP",B363="CP",B363="SP/RP"),"P","H")</f>
        <v/>
      </c>
      <c r="R363">
        <f>IF(F363="",0,IFNA(VLOOKUP(F363,Trait_Polarity!$A:$C,2,FALSE),0))+IF(G363="",0,IFNA(VLOOKUP(G363,Trait_Polarity!$A:$C,2,FALSE),0))</f>
        <v/>
      </c>
      <c r="S363">
        <f>IF(F363="",0,IFNA(VLOOKUP(F363,Trait_Polarity!$A:$C,3,FALSE),0))+IF(G363="",0,IFNA(VLOOKUP(G363,Trait_Polarity!$A:$C,3,FALSE),0))</f>
        <v/>
      </c>
      <c r="T363">
        <f>IF(Q363="P",0,IFNA(VLOOKUP(IF(C363="","(none)",C363),Secondary_Versatility!$A:$B,2,FALSE),0))</f>
        <v/>
      </c>
      <c r="U363">
        <f>IF(H363="",0,LEN(H363)-LEN(SUBSTITUTE(H363,"|",""))+1)</f>
        <v/>
      </c>
      <c r="V363">
        <f>IF(Q363="P",(N363+O363+P363)/3,0.3*I363+0.3*J363+0.2*K363+0.1*L363+0.1*M363)</f>
        <v/>
      </c>
      <c r="W363">
        <f>IF(Q363="P",IF(F363="",0,IFNA(VLOOKUP(F363,Pitcher_Trait_Coef!$A:$B,2,FALSE),0))+IF(G363="",0,IFNA(VLOOKUP(G363,Pitcher_Trait_Coef!$A:$B,2,FALSE),0)),IF(F363="",0,IFNA(VLOOKUP(F363,Hitter_Trait_Coef!$A:$B,2,FALSE),0))+IF(G363="",0,IFNA(VLOOKUP(G363,Hitter_Trait_Coef!$A:$B,2,FALSE),0)))</f>
        <v/>
      </c>
      <c r="X363">
        <f>IF(Q363="P",IFNA(VLOOKUP(B363,Pitcher_Primary_Coef!$A:$B,2,FALSE),0),IFNA(VLOOKUP(B363,Hitter_Primary_Coef!$A:$B,2,FALSE),0))</f>
        <v/>
      </c>
      <c r="Y363">
        <f>IF(Q363="P",0,IFNA(VLOOKUP(IF(C363="","(none)",C363),Hitter_Secondary_Coef!$A:$B,2,FALSE),0))</f>
        <v/>
      </c>
      <c r="Z363">
        <f>IF(Q363="P",IF(ISNUMBER(SEARCH("2F",H363)),IFNA(VLOOKUP("2F",Pitch_Coef!$A:$B,2,FALSE),0),0)+IF(ISNUMBER(SEARCH("4F",H363)),IFNA(VLOOKUP("4F",Pitch_Coef!$A:$B,2,FALSE),0),0)+IF(ISNUMBER(SEARCH("CB",H363)),IFNA(VLOOKUP("CB",Pitch_Coef!$A:$B,2,FALSE),0),0)+IF(ISNUMBER(SEARCH("CF",H363)),IFNA(VLOOKUP("CF",Pitch_Coef!$A:$B,2,FALSE),0),0)+IF(ISNUMBER(SEARCH("CH",H363)),IFNA(VLOOKUP("CH",Pitch_Coef!$A:$B,2,FALSE),0),0)+IF(ISNUMBER(SEARCH("FK",H363)),IFNA(VLOOKUP("FK",Pitch_Coef!$A:$B,2,FALSE),0),0)+IF(ISNUMBER(SEARCH("SB",H363)),IFNA(VLOOKUP("SB",Pitch_Coef!$A:$B,2,FALSE),0),0)+IF(ISNUMBER(SEARCH("SL",H363)),IFNA(VLOOKUP("SL",Pitch_Coef!$A:$B,2,FALSE),0),0),0)</f>
        <v/>
      </c>
      <c r="AA363">
        <f>IF(Q363="P",16.5944849573+0.2529999141*N363+0.2665900378*O363+0.2632687105*P363+0.0427586837*I363+0.0534777057*J363+0.009015832*K363+0.0204898106*(O363*P363/100)+1.0091022427*U363+1.0968542297*IF(D363="L",1,0)+0.3771555045*IF(D363="S",1,0)-0.2226159177*IF(E363="L",1,0)+1.21385024*R363-1.1652812274*S363+W363+X363+Z363,10.5965166711+0.2825983581*I363+0.2806503532*J363+0.2027213083*K363+0.1147824982*L363+0.0915305332*M363-0.0088454122*(I363*J363/100)-0.0336045706*(K363*L363/100)+2.8497389733*IF(D363="L",1,0)+4.5116226727*IF(D363="S",1,0)-0.6571546448*IF(E363="L",1,0)+0.0850728147*T363+0.0129488446*(T363*T363)+0.1909373936*IF(OR(F363="Utility",G363="Utility"),T363,0)+0.9656824071*R363-1.7517683256*S363+W363+X363+Y363)</f>
        <v/>
      </c>
      <c r="AB363">
        <f>LOOKUP(AA363,Grade_Scale!$A$2:$A$18,Grade_Scale!$B$2:$B$18)</f>
        <v/>
      </c>
      <c r="AC363">
        <f>LOOKUP(AA363,Grade_Scale!$A$2:$A$18,Grade_Scale!$C$2:$C$18)</f>
        <v/>
      </c>
      <c r="AE363">
        <f>IF(AD363="","",AB363-VLOOKUP(AD363,Grade_Scale!$C$2:$E$18,3,FALSE))</f>
        <v/>
      </c>
    </row>
    <row r="364">
      <c r="Q364">
        <f>IF(OR(B364="SP",B364="RP",B364="CP",B364="SP/RP"),"P","H")</f>
        <v/>
      </c>
      <c r="R364">
        <f>IF(F364="",0,IFNA(VLOOKUP(F364,Trait_Polarity!$A:$C,2,FALSE),0))+IF(G364="",0,IFNA(VLOOKUP(G364,Trait_Polarity!$A:$C,2,FALSE),0))</f>
        <v/>
      </c>
      <c r="S364">
        <f>IF(F364="",0,IFNA(VLOOKUP(F364,Trait_Polarity!$A:$C,3,FALSE),0))+IF(G364="",0,IFNA(VLOOKUP(G364,Trait_Polarity!$A:$C,3,FALSE),0))</f>
        <v/>
      </c>
      <c r="T364">
        <f>IF(Q364="P",0,IFNA(VLOOKUP(IF(C364="","(none)",C364),Secondary_Versatility!$A:$B,2,FALSE),0))</f>
        <v/>
      </c>
      <c r="U364">
        <f>IF(H364="",0,LEN(H364)-LEN(SUBSTITUTE(H364,"|",""))+1)</f>
        <v/>
      </c>
      <c r="V364">
        <f>IF(Q364="P",(N364+O364+P364)/3,0.3*I364+0.3*J364+0.2*K364+0.1*L364+0.1*M364)</f>
        <v/>
      </c>
      <c r="W364">
        <f>IF(Q364="P",IF(F364="",0,IFNA(VLOOKUP(F364,Pitcher_Trait_Coef!$A:$B,2,FALSE),0))+IF(G364="",0,IFNA(VLOOKUP(G364,Pitcher_Trait_Coef!$A:$B,2,FALSE),0)),IF(F364="",0,IFNA(VLOOKUP(F364,Hitter_Trait_Coef!$A:$B,2,FALSE),0))+IF(G364="",0,IFNA(VLOOKUP(G364,Hitter_Trait_Coef!$A:$B,2,FALSE),0)))</f>
        <v/>
      </c>
      <c r="X364">
        <f>IF(Q364="P",IFNA(VLOOKUP(B364,Pitcher_Primary_Coef!$A:$B,2,FALSE),0),IFNA(VLOOKUP(B364,Hitter_Primary_Coef!$A:$B,2,FALSE),0))</f>
        <v/>
      </c>
      <c r="Y364">
        <f>IF(Q364="P",0,IFNA(VLOOKUP(IF(C364="","(none)",C364),Hitter_Secondary_Coef!$A:$B,2,FALSE),0))</f>
        <v/>
      </c>
      <c r="Z364">
        <f>IF(Q364="P",IF(ISNUMBER(SEARCH("2F",H364)),IFNA(VLOOKUP("2F",Pitch_Coef!$A:$B,2,FALSE),0),0)+IF(ISNUMBER(SEARCH("4F",H364)),IFNA(VLOOKUP("4F",Pitch_Coef!$A:$B,2,FALSE),0),0)+IF(ISNUMBER(SEARCH("CB",H364)),IFNA(VLOOKUP("CB",Pitch_Coef!$A:$B,2,FALSE),0),0)+IF(ISNUMBER(SEARCH("CF",H364)),IFNA(VLOOKUP("CF",Pitch_Coef!$A:$B,2,FALSE),0),0)+IF(ISNUMBER(SEARCH("CH",H364)),IFNA(VLOOKUP("CH",Pitch_Coef!$A:$B,2,FALSE),0),0)+IF(ISNUMBER(SEARCH("FK",H364)),IFNA(VLOOKUP("FK",Pitch_Coef!$A:$B,2,FALSE),0),0)+IF(ISNUMBER(SEARCH("SB",H364)),IFNA(VLOOKUP("SB",Pitch_Coef!$A:$B,2,FALSE),0),0)+IF(ISNUMBER(SEARCH("SL",H364)),IFNA(VLOOKUP("SL",Pitch_Coef!$A:$B,2,FALSE),0),0),0)</f>
        <v/>
      </c>
      <c r="AA364">
        <f>IF(Q364="P",16.5944849573+0.2529999141*N364+0.2665900378*O364+0.2632687105*P364+0.0427586837*I364+0.0534777057*J364+0.009015832*K364+0.0204898106*(O364*P364/100)+1.0091022427*U364+1.0968542297*IF(D364="L",1,0)+0.3771555045*IF(D364="S",1,0)-0.2226159177*IF(E364="L",1,0)+1.21385024*R364-1.1652812274*S364+W364+X364+Z364,10.5965166711+0.2825983581*I364+0.2806503532*J364+0.2027213083*K364+0.1147824982*L364+0.0915305332*M364-0.0088454122*(I364*J364/100)-0.0336045706*(K364*L364/100)+2.8497389733*IF(D364="L",1,0)+4.5116226727*IF(D364="S",1,0)-0.6571546448*IF(E364="L",1,0)+0.0850728147*T364+0.0129488446*(T364*T364)+0.1909373936*IF(OR(F364="Utility",G364="Utility"),T364,0)+0.9656824071*R364-1.7517683256*S364+W364+X364+Y364)</f>
        <v/>
      </c>
      <c r="AB364">
        <f>LOOKUP(AA364,Grade_Scale!$A$2:$A$18,Grade_Scale!$B$2:$B$18)</f>
        <v/>
      </c>
      <c r="AC364">
        <f>LOOKUP(AA364,Grade_Scale!$A$2:$A$18,Grade_Scale!$C$2:$C$18)</f>
        <v/>
      </c>
      <c r="AE364">
        <f>IF(AD364="","",AB364-VLOOKUP(AD364,Grade_Scale!$C$2:$E$18,3,FALSE))</f>
        <v/>
      </c>
    </row>
    <row r="365">
      <c r="Q365">
        <f>IF(OR(B365="SP",B365="RP",B365="CP",B365="SP/RP"),"P","H")</f>
        <v/>
      </c>
      <c r="R365">
        <f>IF(F365="",0,IFNA(VLOOKUP(F365,Trait_Polarity!$A:$C,2,FALSE),0))+IF(G365="",0,IFNA(VLOOKUP(G365,Trait_Polarity!$A:$C,2,FALSE),0))</f>
        <v/>
      </c>
      <c r="S365">
        <f>IF(F365="",0,IFNA(VLOOKUP(F365,Trait_Polarity!$A:$C,3,FALSE),0))+IF(G365="",0,IFNA(VLOOKUP(G365,Trait_Polarity!$A:$C,3,FALSE),0))</f>
        <v/>
      </c>
      <c r="T365">
        <f>IF(Q365="P",0,IFNA(VLOOKUP(IF(C365="","(none)",C365),Secondary_Versatility!$A:$B,2,FALSE),0))</f>
        <v/>
      </c>
      <c r="U365">
        <f>IF(H365="",0,LEN(H365)-LEN(SUBSTITUTE(H365,"|",""))+1)</f>
        <v/>
      </c>
      <c r="V365">
        <f>IF(Q365="P",(N365+O365+P365)/3,0.3*I365+0.3*J365+0.2*K365+0.1*L365+0.1*M365)</f>
        <v/>
      </c>
      <c r="W365">
        <f>IF(Q365="P",IF(F365="",0,IFNA(VLOOKUP(F365,Pitcher_Trait_Coef!$A:$B,2,FALSE),0))+IF(G365="",0,IFNA(VLOOKUP(G365,Pitcher_Trait_Coef!$A:$B,2,FALSE),0)),IF(F365="",0,IFNA(VLOOKUP(F365,Hitter_Trait_Coef!$A:$B,2,FALSE),0))+IF(G365="",0,IFNA(VLOOKUP(G365,Hitter_Trait_Coef!$A:$B,2,FALSE),0)))</f>
        <v/>
      </c>
      <c r="X365">
        <f>IF(Q365="P",IFNA(VLOOKUP(B365,Pitcher_Primary_Coef!$A:$B,2,FALSE),0),IFNA(VLOOKUP(B365,Hitter_Primary_Coef!$A:$B,2,FALSE),0))</f>
        <v/>
      </c>
      <c r="Y365">
        <f>IF(Q365="P",0,IFNA(VLOOKUP(IF(C365="","(none)",C365),Hitter_Secondary_Coef!$A:$B,2,FALSE),0))</f>
        <v/>
      </c>
      <c r="Z365">
        <f>IF(Q365="P",IF(ISNUMBER(SEARCH("2F",H365)),IFNA(VLOOKUP("2F",Pitch_Coef!$A:$B,2,FALSE),0),0)+IF(ISNUMBER(SEARCH("4F",H365)),IFNA(VLOOKUP("4F",Pitch_Coef!$A:$B,2,FALSE),0),0)+IF(ISNUMBER(SEARCH("CB",H365)),IFNA(VLOOKUP("CB",Pitch_Coef!$A:$B,2,FALSE),0),0)+IF(ISNUMBER(SEARCH("CF",H365)),IFNA(VLOOKUP("CF",Pitch_Coef!$A:$B,2,FALSE),0),0)+IF(ISNUMBER(SEARCH("CH",H365)),IFNA(VLOOKUP("CH",Pitch_Coef!$A:$B,2,FALSE),0),0)+IF(ISNUMBER(SEARCH("FK",H365)),IFNA(VLOOKUP("FK",Pitch_Coef!$A:$B,2,FALSE),0),0)+IF(ISNUMBER(SEARCH("SB",H365)),IFNA(VLOOKUP("SB",Pitch_Coef!$A:$B,2,FALSE),0),0)+IF(ISNUMBER(SEARCH("SL",H365)),IFNA(VLOOKUP("SL",Pitch_Coef!$A:$B,2,FALSE),0),0),0)</f>
        <v/>
      </c>
      <c r="AA365">
        <f>IF(Q365="P",16.5944849573+0.2529999141*N365+0.2665900378*O365+0.2632687105*P365+0.0427586837*I365+0.0534777057*J365+0.009015832*K365+0.0204898106*(O365*P365/100)+1.0091022427*U365+1.0968542297*IF(D365="L",1,0)+0.3771555045*IF(D365="S",1,0)-0.2226159177*IF(E365="L",1,0)+1.21385024*R365-1.1652812274*S365+W365+X365+Z365,10.5965166711+0.2825983581*I365+0.2806503532*J365+0.2027213083*K365+0.1147824982*L365+0.0915305332*M365-0.0088454122*(I365*J365/100)-0.0336045706*(K365*L365/100)+2.8497389733*IF(D365="L",1,0)+4.5116226727*IF(D365="S",1,0)-0.6571546448*IF(E365="L",1,0)+0.0850728147*T365+0.0129488446*(T365*T365)+0.1909373936*IF(OR(F365="Utility",G365="Utility"),T365,0)+0.9656824071*R365-1.7517683256*S365+W365+X365+Y365)</f>
        <v/>
      </c>
      <c r="AB365">
        <f>LOOKUP(AA365,Grade_Scale!$A$2:$A$18,Grade_Scale!$B$2:$B$18)</f>
        <v/>
      </c>
      <c r="AC365">
        <f>LOOKUP(AA365,Grade_Scale!$A$2:$A$18,Grade_Scale!$C$2:$C$18)</f>
        <v/>
      </c>
      <c r="AE365">
        <f>IF(AD365="","",AB365-VLOOKUP(AD365,Grade_Scale!$C$2:$E$18,3,FALSE))</f>
        <v/>
      </c>
    </row>
    <row r="366">
      <c r="Q366">
        <f>IF(OR(B366="SP",B366="RP",B366="CP",B366="SP/RP"),"P","H")</f>
        <v/>
      </c>
      <c r="R366">
        <f>IF(F366="",0,IFNA(VLOOKUP(F366,Trait_Polarity!$A:$C,2,FALSE),0))+IF(G366="",0,IFNA(VLOOKUP(G366,Trait_Polarity!$A:$C,2,FALSE),0))</f>
        <v/>
      </c>
      <c r="S366">
        <f>IF(F366="",0,IFNA(VLOOKUP(F366,Trait_Polarity!$A:$C,3,FALSE),0))+IF(G366="",0,IFNA(VLOOKUP(G366,Trait_Polarity!$A:$C,3,FALSE),0))</f>
        <v/>
      </c>
      <c r="T366">
        <f>IF(Q366="P",0,IFNA(VLOOKUP(IF(C366="","(none)",C366),Secondary_Versatility!$A:$B,2,FALSE),0))</f>
        <v/>
      </c>
      <c r="U366">
        <f>IF(H366="",0,LEN(H366)-LEN(SUBSTITUTE(H366,"|",""))+1)</f>
        <v/>
      </c>
      <c r="V366">
        <f>IF(Q366="P",(N366+O366+P366)/3,0.3*I366+0.3*J366+0.2*K366+0.1*L366+0.1*M366)</f>
        <v/>
      </c>
      <c r="W366">
        <f>IF(Q366="P",IF(F366="",0,IFNA(VLOOKUP(F366,Pitcher_Trait_Coef!$A:$B,2,FALSE),0))+IF(G366="",0,IFNA(VLOOKUP(G366,Pitcher_Trait_Coef!$A:$B,2,FALSE),0)),IF(F366="",0,IFNA(VLOOKUP(F366,Hitter_Trait_Coef!$A:$B,2,FALSE),0))+IF(G366="",0,IFNA(VLOOKUP(G366,Hitter_Trait_Coef!$A:$B,2,FALSE),0)))</f>
        <v/>
      </c>
      <c r="X366">
        <f>IF(Q366="P",IFNA(VLOOKUP(B366,Pitcher_Primary_Coef!$A:$B,2,FALSE),0),IFNA(VLOOKUP(B366,Hitter_Primary_Coef!$A:$B,2,FALSE),0))</f>
        <v/>
      </c>
      <c r="Y366">
        <f>IF(Q366="P",0,IFNA(VLOOKUP(IF(C366="","(none)",C366),Hitter_Secondary_Coef!$A:$B,2,FALSE),0))</f>
        <v/>
      </c>
      <c r="Z366">
        <f>IF(Q366="P",IF(ISNUMBER(SEARCH("2F",H366)),IFNA(VLOOKUP("2F",Pitch_Coef!$A:$B,2,FALSE),0),0)+IF(ISNUMBER(SEARCH("4F",H366)),IFNA(VLOOKUP("4F",Pitch_Coef!$A:$B,2,FALSE),0),0)+IF(ISNUMBER(SEARCH("CB",H366)),IFNA(VLOOKUP("CB",Pitch_Coef!$A:$B,2,FALSE),0),0)+IF(ISNUMBER(SEARCH("CF",H366)),IFNA(VLOOKUP("CF",Pitch_Coef!$A:$B,2,FALSE),0),0)+IF(ISNUMBER(SEARCH("CH",H366)),IFNA(VLOOKUP("CH",Pitch_Coef!$A:$B,2,FALSE),0),0)+IF(ISNUMBER(SEARCH("FK",H366)),IFNA(VLOOKUP("FK",Pitch_Coef!$A:$B,2,FALSE),0),0)+IF(ISNUMBER(SEARCH("SB",H366)),IFNA(VLOOKUP("SB",Pitch_Coef!$A:$B,2,FALSE),0),0)+IF(ISNUMBER(SEARCH("SL",H366)),IFNA(VLOOKUP("SL",Pitch_Coef!$A:$B,2,FALSE),0),0),0)</f>
        <v/>
      </c>
      <c r="AA366">
        <f>IF(Q366="P",16.5944849573+0.2529999141*N366+0.2665900378*O366+0.2632687105*P366+0.0427586837*I366+0.0534777057*J366+0.009015832*K366+0.0204898106*(O366*P366/100)+1.0091022427*U366+1.0968542297*IF(D366="L",1,0)+0.3771555045*IF(D366="S",1,0)-0.2226159177*IF(E366="L",1,0)+1.21385024*R366-1.1652812274*S366+W366+X366+Z366,10.5965166711+0.2825983581*I366+0.2806503532*J366+0.2027213083*K366+0.1147824982*L366+0.0915305332*M366-0.0088454122*(I366*J366/100)-0.0336045706*(K366*L366/100)+2.8497389733*IF(D366="L",1,0)+4.5116226727*IF(D366="S",1,0)-0.6571546448*IF(E366="L",1,0)+0.0850728147*T366+0.0129488446*(T366*T366)+0.1909373936*IF(OR(F366="Utility",G366="Utility"),T366,0)+0.9656824071*R366-1.7517683256*S366+W366+X366+Y366)</f>
        <v/>
      </c>
      <c r="AB366">
        <f>LOOKUP(AA366,Grade_Scale!$A$2:$A$18,Grade_Scale!$B$2:$B$18)</f>
        <v/>
      </c>
      <c r="AC366">
        <f>LOOKUP(AA366,Grade_Scale!$A$2:$A$18,Grade_Scale!$C$2:$C$18)</f>
        <v/>
      </c>
      <c r="AE366">
        <f>IF(AD366="","",AB366-VLOOKUP(AD366,Grade_Scale!$C$2:$E$18,3,FALSE))</f>
        <v/>
      </c>
    </row>
    <row r="367">
      <c r="Q367">
        <f>IF(OR(B367="SP",B367="RP",B367="CP",B367="SP/RP"),"P","H")</f>
        <v/>
      </c>
      <c r="R367">
        <f>IF(F367="",0,IFNA(VLOOKUP(F367,Trait_Polarity!$A:$C,2,FALSE),0))+IF(G367="",0,IFNA(VLOOKUP(G367,Trait_Polarity!$A:$C,2,FALSE),0))</f>
        <v/>
      </c>
      <c r="S367">
        <f>IF(F367="",0,IFNA(VLOOKUP(F367,Trait_Polarity!$A:$C,3,FALSE),0))+IF(G367="",0,IFNA(VLOOKUP(G367,Trait_Polarity!$A:$C,3,FALSE),0))</f>
        <v/>
      </c>
      <c r="T367">
        <f>IF(Q367="P",0,IFNA(VLOOKUP(IF(C367="","(none)",C367),Secondary_Versatility!$A:$B,2,FALSE),0))</f>
        <v/>
      </c>
      <c r="U367">
        <f>IF(H367="",0,LEN(H367)-LEN(SUBSTITUTE(H367,"|",""))+1)</f>
        <v/>
      </c>
      <c r="V367">
        <f>IF(Q367="P",(N367+O367+P367)/3,0.3*I367+0.3*J367+0.2*K367+0.1*L367+0.1*M367)</f>
        <v/>
      </c>
      <c r="W367">
        <f>IF(Q367="P",IF(F367="",0,IFNA(VLOOKUP(F367,Pitcher_Trait_Coef!$A:$B,2,FALSE),0))+IF(G367="",0,IFNA(VLOOKUP(G367,Pitcher_Trait_Coef!$A:$B,2,FALSE),0)),IF(F367="",0,IFNA(VLOOKUP(F367,Hitter_Trait_Coef!$A:$B,2,FALSE),0))+IF(G367="",0,IFNA(VLOOKUP(G367,Hitter_Trait_Coef!$A:$B,2,FALSE),0)))</f>
        <v/>
      </c>
      <c r="X367">
        <f>IF(Q367="P",IFNA(VLOOKUP(B367,Pitcher_Primary_Coef!$A:$B,2,FALSE),0),IFNA(VLOOKUP(B367,Hitter_Primary_Coef!$A:$B,2,FALSE),0))</f>
        <v/>
      </c>
      <c r="Y367">
        <f>IF(Q367="P",0,IFNA(VLOOKUP(IF(C367="","(none)",C367),Hitter_Secondary_Coef!$A:$B,2,FALSE),0))</f>
        <v/>
      </c>
      <c r="Z367">
        <f>IF(Q367="P",IF(ISNUMBER(SEARCH("2F",H367)),IFNA(VLOOKUP("2F",Pitch_Coef!$A:$B,2,FALSE),0),0)+IF(ISNUMBER(SEARCH("4F",H367)),IFNA(VLOOKUP("4F",Pitch_Coef!$A:$B,2,FALSE),0),0)+IF(ISNUMBER(SEARCH("CB",H367)),IFNA(VLOOKUP("CB",Pitch_Coef!$A:$B,2,FALSE),0),0)+IF(ISNUMBER(SEARCH("CF",H367)),IFNA(VLOOKUP("CF",Pitch_Coef!$A:$B,2,FALSE),0),0)+IF(ISNUMBER(SEARCH("CH",H367)),IFNA(VLOOKUP("CH",Pitch_Coef!$A:$B,2,FALSE),0),0)+IF(ISNUMBER(SEARCH("FK",H367)),IFNA(VLOOKUP("FK",Pitch_Coef!$A:$B,2,FALSE),0),0)+IF(ISNUMBER(SEARCH("SB",H367)),IFNA(VLOOKUP("SB",Pitch_Coef!$A:$B,2,FALSE),0),0)+IF(ISNUMBER(SEARCH("SL",H367)),IFNA(VLOOKUP("SL",Pitch_Coef!$A:$B,2,FALSE),0),0),0)</f>
        <v/>
      </c>
      <c r="AA367">
        <f>IF(Q367="P",16.5944849573+0.2529999141*N367+0.2665900378*O367+0.2632687105*P367+0.0427586837*I367+0.0534777057*J367+0.009015832*K367+0.0204898106*(O367*P367/100)+1.0091022427*U367+1.0968542297*IF(D367="L",1,0)+0.3771555045*IF(D367="S",1,0)-0.2226159177*IF(E367="L",1,0)+1.21385024*R367-1.1652812274*S367+W367+X367+Z367,10.5965166711+0.2825983581*I367+0.2806503532*J367+0.2027213083*K367+0.1147824982*L367+0.0915305332*M367-0.0088454122*(I367*J367/100)-0.0336045706*(K367*L367/100)+2.8497389733*IF(D367="L",1,0)+4.5116226727*IF(D367="S",1,0)-0.6571546448*IF(E367="L",1,0)+0.0850728147*T367+0.0129488446*(T367*T367)+0.1909373936*IF(OR(F367="Utility",G367="Utility"),T367,0)+0.9656824071*R367-1.7517683256*S367+W367+X367+Y367)</f>
        <v/>
      </c>
      <c r="AB367">
        <f>LOOKUP(AA367,Grade_Scale!$A$2:$A$18,Grade_Scale!$B$2:$B$18)</f>
        <v/>
      </c>
      <c r="AC367">
        <f>LOOKUP(AA367,Grade_Scale!$A$2:$A$18,Grade_Scale!$C$2:$C$18)</f>
        <v/>
      </c>
      <c r="AE367">
        <f>IF(AD367="","",AB367-VLOOKUP(AD367,Grade_Scale!$C$2:$E$18,3,FALSE))</f>
        <v/>
      </c>
    </row>
    <row r="368">
      <c r="Q368">
        <f>IF(OR(B368="SP",B368="RP",B368="CP",B368="SP/RP"),"P","H")</f>
        <v/>
      </c>
      <c r="R368">
        <f>IF(F368="",0,IFNA(VLOOKUP(F368,Trait_Polarity!$A:$C,2,FALSE),0))+IF(G368="",0,IFNA(VLOOKUP(G368,Trait_Polarity!$A:$C,2,FALSE),0))</f>
        <v/>
      </c>
      <c r="S368">
        <f>IF(F368="",0,IFNA(VLOOKUP(F368,Trait_Polarity!$A:$C,3,FALSE),0))+IF(G368="",0,IFNA(VLOOKUP(G368,Trait_Polarity!$A:$C,3,FALSE),0))</f>
        <v/>
      </c>
      <c r="T368">
        <f>IF(Q368="P",0,IFNA(VLOOKUP(IF(C368="","(none)",C368),Secondary_Versatility!$A:$B,2,FALSE),0))</f>
        <v/>
      </c>
      <c r="U368">
        <f>IF(H368="",0,LEN(H368)-LEN(SUBSTITUTE(H368,"|",""))+1)</f>
        <v/>
      </c>
      <c r="V368">
        <f>IF(Q368="P",(N368+O368+P368)/3,0.3*I368+0.3*J368+0.2*K368+0.1*L368+0.1*M368)</f>
        <v/>
      </c>
      <c r="W368">
        <f>IF(Q368="P",IF(F368="",0,IFNA(VLOOKUP(F368,Pitcher_Trait_Coef!$A:$B,2,FALSE),0))+IF(G368="",0,IFNA(VLOOKUP(G368,Pitcher_Trait_Coef!$A:$B,2,FALSE),0)),IF(F368="",0,IFNA(VLOOKUP(F368,Hitter_Trait_Coef!$A:$B,2,FALSE),0))+IF(G368="",0,IFNA(VLOOKUP(G368,Hitter_Trait_Coef!$A:$B,2,FALSE),0)))</f>
        <v/>
      </c>
      <c r="X368">
        <f>IF(Q368="P",IFNA(VLOOKUP(B368,Pitcher_Primary_Coef!$A:$B,2,FALSE),0),IFNA(VLOOKUP(B368,Hitter_Primary_Coef!$A:$B,2,FALSE),0))</f>
        <v/>
      </c>
      <c r="Y368">
        <f>IF(Q368="P",0,IFNA(VLOOKUP(IF(C368="","(none)",C368),Hitter_Secondary_Coef!$A:$B,2,FALSE),0))</f>
        <v/>
      </c>
      <c r="Z368">
        <f>IF(Q368="P",IF(ISNUMBER(SEARCH("2F",H368)),IFNA(VLOOKUP("2F",Pitch_Coef!$A:$B,2,FALSE),0),0)+IF(ISNUMBER(SEARCH("4F",H368)),IFNA(VLOOKUP("4F",Pitch_Coef!$A:$B,2,FALSE),0),0)+IF(ISNUMBER(SEARCH("CB",H368)),IFNA(VLOOKUP("CB",Pitch_Coef!$A:$B,2,FALSE),0),0)+IF(ISNUMBER(SEARCH("CF",H368)),IFNA(VLOOKUP("CF",Pitch_Coef!$A:$B,2,FALSE),0),0)+IF(ISNUMBER(SEARCH("CH",H368)),IFNA(VLOOKUP("CH",Pitch_Coef!$A:$B,2,FALSE),0),0)+IF(ISNUMBER(SEARCH("FK",H368)),IFNA(VLOOKUP("FK",Pitch_Coef!$A:$B,2,FALSE),0),0)+IF(ISNUMBER(SEARCH("SB",H368)),IFNA(VLOOKUP("SB",Pitch_Coef!$A:$B,2,FALSE),0),0)+IF(ISNUMBER(SEARCH("SL",H368)),IFNA(VLOOKUP("SL",Pitch_Coef!$A:$B,2,FALSE),0),0),0)</f>
        <v/>
      </c>
      <c r="AA368">
        <f>IF(Q368="P",16.5944849573+0.2529999141*N368+0.2665900378*O368+0.2632687105*P368+0.0427586837*I368+0.0534777057*J368+0.009015832*K368+0.0204898106*(O368*P368/100)+1.0091022427*U368+1.0968542297*IF(D368="L",1,0)+0.3771555045*IF(D368="S",1,0)-0.2226159177*IF(E368="L",1,0)+1.21385024*R368-1.1652812274*S368+W368+X368+Z368,10.5965166711+0.2825983581*I368+0.2806503532*J368+0.2027213083*K368+0.1147824982*L368+0.0915305332*M368-0.0088454122*(I368*J368/100)-0.0336045706*(K368*L368/100)+2.8497389733*IF(D368="L",1,0)+4.5116226727*IF(D368="S",1,0)-0.6571546448*IF(E368="L",1,0)+0.0850728147*T368+0.0129488446*(T368*T368)+0.1909373936*IF(OR(F368="Utility",G368="Utility"),T368,0)+0.9656824071*R368-1.7517683256*S368+W368+X368+Y368)</f>
        <v/>
      </c>
      <c r="AB368">
        <f>LOOKUP(AA368,Grade_Scale!$A$2:$A$18,Grade_Scale!$B$2:$B$18)</f>
        <v/>
      </c>
      <c r="AC368">
        <f>LOOKUP(AA368,Grade_Scale!$A$2:$A$18,Grade_Scale!$C$2:$C$18)</f>
        <v/>
      </c>
      <c r="AE368">
        <f>IF(AD368="","",AB368-VLOOKUP(AD368,Grade_Scale!$C$2:$E$18,3,FALSE))</f>
        <v/>
      </c>
    </row>
    <row r="369">
      <c r="Q369">
        <f>IF(OR(B369="SP",B369="RP",B369="CP",B369="SP/RP"),"P","H")</f>
        <v/>
      </c>
      <c r="R369">
        <f>IF(F369="",0,IFNA(VLOOKUP(F369,Trait_Polarity!$A:$C,2,FALSE),0))+IF(G369="",0,IFNA(VLOOKUP(G369,Trait_Polarity!$A:$C,2,FALSE),0))</f>
        <v/>
      </c>
      <c r="S369">
        <f>IF(F369="",0,IFNA(VLOOKUP(F369,Trait_Polarity!$A:$C,3,FALSE),0))+IF(G369="",0,IFNA(VLOOKUP(G369,Trait_Polarity!$A:$C,3,FALSE),0))</f>
        <v/>
      </c>
      <c r="T369">
        <f>IF(Q369="P",0,IFNA(VLOOKUP(IF(C369="","(none)",C369),Secondary_Versatility!$A:$B,2,FALSE),0))</f>
        <v/>
      </c>
      <c r="U369">
        <f>IF(H369="",0,LEN(H369)-LEN(SUBSTITUTE(H369,"|",""))+1)</f>
        <v/>
      </c>
      <c r="V369">
        <f>IF(Q369="P",(N369+O369+P369)/3,0.3*I369+0.3*J369+0.2*K369+0.1*L369+0.1*M369)</f>
        <v/>
      </c>
      <c r="W369">
        <f>IF(Q369="P",IF(F369="",0,IFNA(VLOOKUP(F369,Pitcher_Trait_Coef!$A:$B,2,FALSE),0))+IF(G369="",0,IFNA(VLOOKUP(G369,Pitcher_Trait_Coef!$A:$B,2,FALSE),0)),IF(F369="",0,IFNA(VLOOKUP(F369,Hitter_Trait_Coef!$A:$B,2,FALSE),0))+IF(G369="",0,IFNA(VLOOKUP(G369,Hitter_Trait_Coef!$A:$B,2,FALSE),0)))</f>
        <v/>
      </c>
      <c r="X369">
        <f>IF(Q369="P",IFNA(VLOOKUP(B369,Pitcher_Primary_Coef!$A:$B,2,FALSE),0),IFNA(VLOOKUP(B369,Hitter_Primary_Coef!$A:$B,2,FALSE),0))</f>
        <v/>
      </c>
      <c r="Y369">
        <f>IF(Q369="P",0,IFNA(VLOOKUP(IF(C369="","(none)",C369),Hitter_Secondary_Coef!$A:$B,2,FALSE),0))</f>
        <v/>
      </c>
      <c r="Z369">
        <f>IF(Q369="P",IF(ISNUMBER(SEARCH("2F",H369)),IFNA(VLOOKUP("2F",Pitch_Coef!$A:$B,2,FALSE),0),0)+IF(ISNUMBER(SEARCH("4F",H369)),IFNA(VLOOKUP("4F",Pitch_Coef!$A:$B,2,FALSE),0),0)+IF(ISNUMBER(SEARCH("CB",H369)),IFNA(VLOOKUP("CB",Pitch_Coef!$A:$B,2,FALSE),0),0)+IF(ISNUMBER(SEARCH("CF",H369)),IFNA(VLOOKUP("CF",Pitch_Coef!$A:$B,2,FALSE),0),0)+IF(ISNUMBER(SEARCH("CH",H369)),IFNA(VLOOKUP("CH",Pitch_Coef!$A:$B,2,FALSE),0),0)+IF(ISNUMBER(SEARCH("FK",H369)),IFNA(VLOOKUP("FK",Pitch_Coef!$A:$B,2,FALSE),0),0)+IF(ISNUMBER(SEARCH("SB",H369)),IFNA(VLOOKUP("SB",Pitch_Coef!$A:$B,2,FALSE),0),0)+IF(ISNUMBER(SEARCH("SL",H369)),IFNA(VLOOKUP("SL",Pitch_Coef!$A:$B,2,FALSE),0),0),0)</f>
        <v/>
      </c>
      <c r="AA369">
        <f>IF(Q369="P",16.5944849573+0.2529999141*N369+0.2665900378*O369+0.2632687105*P369+0.0427586837*I369+0.0534777057*J369+0.009015832*K369+0.0204898106*(O369*P369/100)+1.0091022427*U369+1.0968542297*IF(D369="L",1,0)+0.3771555045*IF(D369="S",1,0)-0.2226159177*IF(E369="L",1,0)+1.21385024*R369-1.1652812274*S369+W369+X369+Z369,10.5965166711+0.2825983581*I369+0.2806503532*J369+0.2027213083*K369+0.1147824982*L369+0.0915305332*M369-0.0088454122*(I369*J369/100)-0.0336045706*(K369*L369/100)+2.8497389733*IF(D369="L",1,0)+4.5116226727*IF(D369="S",1,0)-0.6571546448*IF(E369="L",1,0)+0.0850728147*T369+0.0129488446*(T369*T369)+0.1909373936*IF(OR(F369="Utility",G369="Utility"),T369,0)+0.9656824071*R369-1.7517683256*S369+W369+X369+Y369)</f>
        <v/>
      </c>
      <c r="AB369">
        <f>LOOKUP(AA369,Grade_Scale!$A$2:$A$18,Grade_Scale!$B$2:$B$18)</f>
        <v/>
      </c>
      <c r="AC369">
        <f>LOOKUP(AA369,Grade_Scale!$A$2:$A$18,Grade_Scale!$C$2:$C$18)</f>
        <v/>
      </c>
      <c r="AE369">
        <f>IF(AD369="","",AB369-VLOOKUP(AD369,Grade_Scale!$C$2:$E$18,3,FALSE))</f>
        <v/>
      </c>
    </row>
    <row r="370">
      <c r="Q370">
        <f>IF(OR(B370="SP",B370="RP",B370="CP",B370="SP/RP"),"P","H")</f>
        <v/>
      </c>
      <c r="R370">
        <f>IF(F370="",0,IFNA(VLOOKUP(F370,Trait_Polarity!$A:$C,2,FALSE),0))+IF(G370="",0,IFNA(VLOOKUP(G370,Trait_Polarity!$A:$C,2,FALSE),0))</f>
        <v/>
      </c>
      <c r="S370">
        <f>IF(F370="",0,IFNA(VLOOKUP(F370,Trait_Polarity!$A:$C,3,FALSE),0))+IF(G370="",0,IFNA(VLOOKUP(G370,Trait_Polarity!$A:$C,3,FALSE),0))</f>
        <v/>
      </c>
      <c r="T370">
        <f>IF(Q370="P",0,IFNA(VLOOKUP(IF(C370="","(none)",C370),Secondary_Versatility!$A:$B,2,FALSE),0))</f>
        <v/>
      </c>
      <c r="U370">
        <f>IF(H370="",0,LEN(H370)-LEN(SUBSTITUTE(H370,"|",""))+1)</f>
        <v/>
      </c>
      <c r="V370">
        <f>IF(Q370="P",(N370+O370+P370)/3,0.3*I370+0.3*J370+0.2*K370+0.1*L370+0.1*M370)</f>
        <v/>
      </c>
      <c r="W370">
        <f>IF(Q370="P",IF(F370="",0,IFNA(VLOOKUP(F370,Pitcher_Trait_Coef!$A:$B,2,FALSE),0))+IF(G370="",0,IFNA(VLOOKUP(G370,Pitcher_Trait_Coef!$A:$B,2,FALSE),0)),IF(F370="",0,IFNA(VLOOKUP(F370,Hitter_Trait_Coef!$A:$B,2,FALSE),0))+IF(G370="",0,IFNA(VLOOKUP(G370,Hitter_Trait_Coef!$A:$B,2,FALSE),0)))</f>
        <v/>
      </c>
      <c r="X370">
        <f>IF(Q370="P",IFNA(VLOOKUP(B370,Pitcher_Primary_Coef!$A:$B,2,FALSE),0),IFNA(VLOOKUP(B370,Hitter_Primary_Coef!$A:$B,2,FALSE),0))</f>
        <v/>
      </c>
      <c r="Y370">
        <f>IF(Q370="P",0,IFNA(VLOOKUP(IF(C370="","(none)",C370),Hitter_Secondary_Coef!$A:$B,2,FALSE),0))</f>
        <v/>
      </c>
      <c r="Z370">
        <f>IF(Q370="P",IF(ISNUMBER(SEARCH("2F",H370)),IFNA(VLOOKUP("2F",Pitch_Coef!$A:$B,2,FALSE),0),0)+IF(ISNUMBER(SEARCH("4F",H370)),IFNA(VLOOKUP("4F",Pitch_Coef!$A:$B,2,FALSE),0),0)+IF(ISNUMBER(SEARCH("CB",H370)),IFNA(VLOOKUP("CB",Pitch_Coef!$A:$B,2,FALSE),0),0)+IF(ISNUMBER(SEARCH("CF",H370)),IFNA(VLOOKUP("CF",Pitch_Coef!$A:$B,2,FALSE),0),0)+IF(ISNUMBER(SEARCH("CH",H370)),IFNA(VLOOKUP("CH",Pitch_Coef!$A:$B,2,FALSE),0),0)+IF(ISNUMBER(SEARCH("FK",H370)),IFNA(VLOOKUP("FK",Pitch_Coef!$A:$B,2,FALSE),0),0)+IF(ISNUMBER(SEARCH("SB",H370)),IFNA(VLOOKUP("SB",Pitch_Coef!$A:$B,2,FALSE),0),0)+IF(ISNUMBER(SEARCH("SL",H370)),IFNA(VLOOKUP("SL",Pitch_Coef!$A:$B,2,FALSE),0),0),0)</f>
        <v/>
      </c>
      <c r="AA370">
        <f>IF(Q370="P",16.5944849573+0.2529999141*N370+0.2665900378*O370+0.2632687105*P370+0.0427586837*I370+0.0534777057*J370+0.009015832*K370+0.0204898106*(O370*P370/100)+1.0091022427*U370+1.0968542297*IF(D370="L",1,0)+0.3771555045*IF(D370="S",1,0)-0.2226159177*IF(E370="L",1,0)+1.21385024*R370-1.1652812274*S370+W370+X370+Z370,10.5965166711+0.2825983581*I370+0.2806503532*J370+0.2027213083*K370+0.1147824982*L370+0.0915305332*M370-0.0088454122*(I370*J370/100)-0.0336045706*(K370*L370/100)+2.8497389733*IF(D370="L",1,0)+4.5116226727*IF(D370="S",1,0)-0.6571546448*IF(E370="L",1,0)+0.0850728147*T370+0.0129488446*(T370*T370)+0.1909373936*IF(OR(F370="Utility",G370="Utility"),T370,0)+0.9656824071*R370-1.7517683256*S370+W370+X370+Y370)</f>
        <v/>
      </c>
      <c r="AB370">
        <f>LOOKUP(AA370,Grade_Scale!$A$2:$A$18,Grade_Scale!$B$2:$B$18)</f>
        <v/>
      </c>
      <c r="AC370">
        <f>LOOKUP(AA370,Grade_Scale!$A$2:$A$18,Grade_Scale!$C$2:$C$18)</f>
        <v/>
      </c>
      <c r="AE370">
        <f>IF(AD370="","",AB370-VLOOKUP(AD370,Grade_Scale!$C$2:$E$18,3,FALSE))</f>
        <v/>
      </c>
    </row>
    <row r="371">
      <c r="Q371">
        <f>IF(OR(B371="SP",B371="RP",B371="CP",B371="SP/RP"),"P","H")</f>
        <v/>
      </c>
      <c r="R371">
        <f>IF(F371="",0,IFNA(VLOOKUP(F371,Trait_Polarity!$A:$C,2,FALSE),0))+IF(G371="",0,IFNA(VLOOKUP(G371,Trait_Polarity!$A:$C,2,FALSE),0))</f>
        <v/>
      </c>
      <c r="S371">
        <f>IF(F371="",0,IFNA(VLOOKUP(F371,Trait_Polarity!$A:$C,3,FALSE),0))+IF(G371="",0,IFNA(VLOOKUP(G371,Trait_Polarity!$A:$C,3,FALSE),0))</f>
        <v/>
      </c>
      <c r="T371">
        <f>IF(Q371="P",0,IFNA(VLOOKUP(IF(C371="","(none)",C371),Secondary_Versatility!$A:$B,2,FALSE),0))</f>
        <v/>
      </c>
      <c r="U371">
        <f>IF(H371="",0,LEN(H371)-LEN(SUBSTITUTE(H371,"|",""))+1)</f>
        <v/>
      </c>
      <c r="V371">
        <f>IF(Q371="P",(N371+O371+P371)/3,0.3*I371+0.3*J371+0.2*K371+0.1*L371+0.1*M371)</f>
        <v/>
      </c>
      <c r="W371">
        <f>IF(Q371="P",IF(F371="",0,IFNA(VLOOKUP(F371,Pitcher_Trait_Coef!$A:$B,2,FALSE),0))+IF(G371="",0,IFNA(VLOOKUP(G371,Pitcher_Trait_Coef!$A:$B,2,FALSE),0)),IF(F371="",0,IFNA(VLOOKUP(F371,Hitter_Trait_Coef!$A:$B,2,FALSE),0))+IF(G371="",0,IFNA(VLOOKUP(G371,Hitter_Trait_Coef!$A:$B,2,FALSE),0)))</f>
        <v/>
      </c>
      <c r="X371">
        <f>IF(Q371="P",IFNA(VLOOKUP(B371,Pitcher_Primary_Coef!$A:$B,2,FALSE),0),IFNA(VLOOKUP(B371,Hitter_Primary_Coef!$A:$B,2,FALSE),0))</f>
        <v/>
      </c>
      <c r="Y371">
        <f>IF(Q371="P",0,IFNA(VLOOKUP(IF(C371="","(none)",C371),Hitter_Secondary_Coef!$A:$B,2,FALSE),0))</f>
        <v/>
      </c>
      <c r="Z371">
        <f>IF(Q371="P",IF(ISNUMBER(SEARCH("2F",H371)),IFNA(VLOOKUP("2F",Pitch_Coef!$A:$B,2,FALSE),0),0)+IF(ISNUMBER(SEARCH("4F",H371)),IFNA(VLOOKUP("4F",Pitch_Coef!$A:$B,2,FALSE),0),0)+IF(ISNUMBER(SEARCH("CB",H371)),IFNA(VLOOKUP("CB",Pitch_Coef!$A:$B,2,FALSE),0),0)+IF(ISNUMBER(SEARCH("CF",H371)),IFNA(VLOOKUP("CF",Pitch_Coef!$A:$B,2,FALSE),0),0)+IF(ISNUMBER(SEARCH("CH",H371)),IFNA(VLOOKUP("CH",Pitch_Coef!$A:$B,2,FALSE),0),0)+IF(ISNUMBER(SEARCH("FK",H371)),IFNA(VLOOKUP("FK",Pitch_Coef!$A:$B,2,FALSE),0),0)+IF(ISNUMBER(SEARCH("SB",H371)),IFNA(VLOOKUP("SB",Pitch_Coef!$A:$B,2,FALSE),0),0)+IF(ISNUMBER(SEARCH("SL",H371)),IFNA(VLOOKUP("SL",Pitch_Coef!$A:$B,2,FALSE),0),0),0)</f>
        <v/>
      </c>
      <c r="AA371">
        <f>IF(Q371="P",16.5944849573+0.2529999141*N371+0.2665900378*O371+0.2632687105*P371+0.0427586837*I371+0.0534777057*J371+0.009015832*K371+0.0204898106*(O371*P371/100)+1.0091022427*U371+1.0968542297*IF(D371="L",1,0)+0.3771555045*IF(D371="S",1,0)-0.2226159177*IF(E371="L",1,0)+1.21385024*R371-1.1652812274*S371+W371+X371+Z371,10.5965166711+0.2825983581*I371+0.2806503532*J371+0.2027213083*K371+0.1147824982*L371+0.0915305332*M371-0.0088454122*(I371*J371/100)-0.0336045706*(K371*L371/100)+2.8497389733*IF(D371="L",1,0)+4.5116226727*IF(D371="S",1,0)-0.6571546448*IF(E371="L",1,0)+0.0850728147*T371+0.0129488446*(T371*T371)+0.1909373936*IF(OR(F371="Utility",G371="Utility"),T371,0)+0.9656824071*R371-1.7517683256*S371+W371+X371+Y371)</f>
        <v/>
      </c>
      <c r="AB371">
        <f>LOOKUP(AA371,Grade_Scale!$A$2:$A$18,Grade_Scale!$B$2:$B$18)</f>
        <v/>
      </c>
      <c r="AC371">
        <f>LOOKUP(AA371,Grade_Scale!$A$2:$A$18,Grade_Scale!$C$2:$C$18)</f>
        <v/>
      </c>
      <c r="AE371">
        <f>IF(AD371="","",AB371-VLOOKUP(AD371,Grade_Scale!$C$2:$E$18,3,FALSE))</f>
        <v/>
      </c>
    </row>
    <row r="372">
      <c r="Q372">
        <f>IF(OR(B372="SP",B372="RP",B372="CP",B372="SP/RP"),"P","H")</f>
        <v/>
      </c>
      <c r="R372">
        <f>IF(F372="",0,IFNA(VLOOKUP(F372,Trait_Polarity!$A:$C,2,FALSE),0))+IF(G372="",0,IFNA(VLOOKUP(G372,Trait_Polarity!$A:$C,2,FALSE),0))</f>
        <v/>
      </c>
      <c r="S372">
        <f>IF(F372="",0,IFNA(VLOOKUP(F372,Trait_Polarity!$A:$C,3,FALSE),0))+IF(G372="",0,IFNA(VLOOKUP(G372,Trait_Polarity!$A:$C,3,FALSE),0))</f>
        <v/>
      </c>
      <c r="T372">
        <f>IF(Q372="P",0,IFNA(VLOOKUP(IF(C372="","(none)",C372),Secondary_Versatility!$A:$B,2,FALSE),0))</f>
        <v/>
      </c>
      <c r="U372">
        <f>IF(H372="",0,LEN(H372)-LEN(SUBSTITUTE(H372,"|",""))+1)</f>
        <v/>
      </c>
      <c r="V372">
        <f>IF(Q372="P",(N372+O372+P372)/3,0.3*I372+0.3*J372+0.2*K372+0.1*L372+0.1*M372)</f>
        <v/>
      </c>
      <c r="W372">
        <f>IF(Q372="P",IF(F372="",0,IFNA(VLOOKUP(F372,Pitcher_Trait_Coef!$A:$B,2,FALSE),0))+IF(G372="",0,IFNA(VLOOKUP(G372,Pitcher_Trait_Coef!$A:$B,2,FALSE),0)),IF(F372="",0,IFNA(VLOOKUP(F372,Hitter_Trait_Coef!$A:$B,2,FALSE),0))+IF(G372="",0,IFNA(VLOOKUP(G372,Hitter_Trait_Coef!$A:$B,2,FALSE),0)))</f>
        <v/>
      </c>
      <c r="X372">
        <f>IF(Q372="P",IFNA(VLOOKUP(B372,Pitcher_Primary_Coef!$A:$B,2,FALSE),0),IFNA(VLOOKUP(B372,Hitter_Primary_Coef!$A:$B,2,FALSE),0))</f>
        <v/>
      </c>
      <c r="Y372">
        <f>IF(Q372="P",0,IFNA(VLOOKUP(IF(C372="","(none)",C372),Hitter_Secondary_Coef!$A:$B,2,FALSE),0))</f>
        <v/>
      </c>
      <c r="Z372">
        <f>IF(Q372="P",IF(ISNUMBER(SEARCH("2F",H372)),IFNA(VLOOKUP("2F",Pitch_Coef!$A:$B,2,FALSE),0),0)+IF(ISNUMBER(SEARCH("4F",H372)),IFNA(VLOOKUP("4F",Pitch_Coef!$A:$B,2,FALSE),0),0)+IF(ISNUMBER(SEARCH("CB",H372)),IFNA(VLOOKUP("CB",Pitch_Coef!$A:$B,2,FALSE),0),0)+IF(ISNUMBER(SEARCH("CF",H372)),IFNA(VLOOKUP("CF",Pitch_Coef!$A:$B,2,FALSE),0),0)+IF(ISNUMBER(SEARCH("CH",H372)),IFNA(VLOOKUP("CH",Pitch_Coef!$A:$B,2,FALSE),0),0)+IF(ISNUMBER(SEARCH("FK",H372)),IFNA(VLOOKUP("FK",Pitch_Coef!$A:$B,2,FALSE),0),0)+IF(ISNUMBER(SEARCH("SB",H372)),IFNA(VLOOKUP("SB",Pitch_Coef!$A:$B,2,FALSE),0),0)+IF(ISNUMBER(SEARCH("SL",H372)),IFNA(VLOOKUP("SL",Pitch_Coef!$A:$B,2,FALSE),0),0),0)</f>
        <v/>
      </c>
      <c r="AA372">
        <f>IF(Q372="P",16.5944849573+0.2529999141*N372+0.2665900378*O372+0.2632687105*P372+0.0427586837*I372+0.0534777057*J372+0.009015832*K372+0.0204898106*(O372*P372/100)+1.0091022427*U372+1.0968542297*IF(D372="L",1,0)+0.3771555045*IF(D372="S",1,0)-0.2226159177*IF(E372="L",1,0)+1.21385024*R372-1.1652812274*S372+W372+X372+Z372,10.5965166711+0.2825983581*I372+0.2806503532*J372+0.2027213083*K372+0.1147824982*L372+0.0915305332*M372-0.0088454122*(I372*J372/100)-0.0336045706*(K372*L372/100)+2.8497389733*IF(D372="L",1,0)+4.5116226727*IF(D372="S",1,0)-0.6571546448*IF(E372="L",1,0)+0.0850728147*T372+0.0129488446*(T372*T372)+0.1909373936*IF(OR(F372="Utility",G372="Utility"),T372,0)+0.9656824071*R372-1.7517683256*S372+W372+X372+Y372)</f>
        <v/>
      </c>
      <c r="AB372">
        <f>LOOKUP(AA372,Grade_Scale!$A$2:$A$18,Grade_Scale!$B$2:$B$18)</f>
        <v/>
      </c>
      <c r="AC372">
        <f>LOOKUP(AA372,Grade_Scale!$A$2:$A$18,Grade_Scale!$C$2:$C$18)</f>
        <v/>
      </c>
      <c r="AE372">
        <f>IF(AD372="","",AB372-VLOOKUP(AD372,Grade_Scale!$C$2:$E$18,3,FALSE))</f>
        <v/>
      </c>
    </row>
    <row r="373">
      <c r="Q373">
        <f>IF(OR(B373="SP",B373="RP",B373="CP",B373="SP/RP"),"P","H")</f>
        <v/>
      </c>
      <c r="R373">
        <f>IF(F373="",0,IFNA(VLOOKUP(F373,Trait_Polarity!$A:$C,2,FALSE),0))+IF(G373="",0,IFNA(VLOOKUP(G373,Trait_Polarity!$A:$C,2,FALSE),0))</f>
        <v/>
      </c>
      <c r="S373">
        <f>IF(F373="",0,IFNA(VLOOKUP(F373,Trait_Polarity!$A:$C,3,FALSE),0))+IF(G373="",0,IFNA(VLOOKUP(G373,Trait_Polarity!$A:$C,3,FALSE),0))</f>
        <v/>
      </c>
      <c r="T373">
        <f>IF(Q373="P",0,IFNA(VLOOKUP(IF(C373="","(none)",C373),Secondary_Versatility!$A:$B,2,FALSE),0))</f>
        <v/>
      </c>
      <c r="U373">
        <f>IF(H373="",0,LEN(H373)-LEN(SUBSTITUTE(H373,"|",""))+1)</f>
        <v/>
      </c>
      <c r="V373">
        <f>IF(Q373="P",(N373+O373+P373)/3,0.3*I373+0.3*J373+0.2*K373+0.1*L373+0.1*M373)</f>
        <v/>
      </c>
      <c r="W373">
        <f>IF(Q373="P",IF(F373="",0,IFNA(VLOOKUP(F373,Pitcher_Trait_Coef!$A:$B,2,FALSE),0))+IF(G373="",0,IFNA(VLOOKUP(G373,Pitcher_Trait_Coef!$A:$B,2,FALSE),0)),IF(F373="",0,IFNA(VLOOKUP(F373,Hitter_Trait_Coef!$A:$B,2,FALSE),0))+IF(G373="",0,IFNA(VLOOKUP(G373,Hitter_Trait_Coef!$A:$B,2,FALSE),0)))</f>
        <v/>
      </c>
      <c r="X373">
        <f>IF(Q373="P",IFNA(VLOOKUP(B373,Pitcher_Primary_Coef!$A:$B,2,FALSE),0),IFNA(VLOOKUP(B373,Hitter_Primary_Coef!$A:$B,2,FALSE),0))</f>
        <v/>
      </c>
      <c r="Y373">
        <f>IF(Q373="P",0,IFNA(VLOOKUP(IF(C373="","(none)",C373),Hitter_Secondary_Coef!$A:$B,2,FALSE),0))</f>
        <v/>
      </c>
      <c r="Z373">
        <f>IF(Q373="P",IF(ISNUMBER(SEARCH("2F",H373)),IFNA(VLOOKUP("2F",Pitch_Coef!$A:$B,2,FALSE),0),0)+IF(ISNUMBER(SEARCH("4F",H373)),IFNA(VLOOKUP("4F",Pitch_Coef!$A:$B,2,FALSE),0),0)+IF(ISNUMBER(SEARCH("CB",H373)),IFNA(VLOOKUP("CB",Pitch_Coef!$A:$B,2,FALSE),0),0)+IF(ISNUMBER(SEARCH("CF",H373)),IFNA(VLOOKUP("CF",Pitch_Coef!$A:$B,2,FALSE),0),0)+IF(ISNUMBER(SEARCH("CH",H373)),IFNA(VLOOKUP("CH",Pitch_Coef!$A:$B,2,FALSE),0),0)+IF(ISNUMBER(SEARCH("FK",H373)),IFNA(VLOOKUP("FK",Pitch_Coef!$A:$B,2,FALSE),0),0)+IF(ISNUMBER(SEARCH("SB",H373)),IFNA(VLOOKUP("SB",Pitch_Coef!$A:$B,2,FALSE),0),0)+IF(ISNUMBER(SEARCH("SL",H373)),IFNA(VLOOKUP("SL",Pitch_Coef!$A:$B,2,FALSE),0),0),0)</f>
        <v/>
      </c>
      <c r="AA373">
        <f>IF(Q373="P",16.5944849573+0.2529999141*N373+0.2665900378*O373+0.2632687105*P373+0.0427586837*I373+0.0534777057*J373+0.009015832*K373+0.0204898106*(O373*P373/100)+1.0091022427*U373+1.0968542297*IF(D373="L",1,0)+0.3771555045*IF(D373="S",1,0)-0.2226159177*IF(E373="L",1,0)+1.21385024*R373-1.1652812274*S373+W373+X373+Z373,10.5965166711+0.2825983581*I373+0.2806503532*J373+0.2027213083*K373+0.1147824982*L373+0.0915305332*M373-0.0088454122*(I373*J373/100)-0.0336045706*(K373*L373/100)+2.8497389733*IF(D373="L",1,0)+4.5116226727*IF(D373="S",1,0)-0.6571546448*IF(E373="L",1,0)+0.0850728147*T373+0.0129488446*(T373*T373)+0.1909373936*IF(OR(F373="Utility",G373="Utility"),T373,0)+0.9656824071*R373-1.7517683256*S373+W373+X373+Y373)</f>
        <v/>
      </c>
      <c r="AB373">
        <f>LOOKUP(AA373,Grade_Scale!$A$2:$A$18,Grade_Scale!$B$2:$B$18)</f>
        <v/>
      </c>
      <c r="AC373">
        <f>LOOKUP(AA373,Grade_Scale!$A$2:$A$18,Grade_Scale!$C$2:$C$18)</f>
        <v/>
      </c>
      <c r="AE373">
        <f>IF(AD373="","",AB373-VLOOKUP(AD373,Grade_Scale!$C$2:$E$18,3,FALSE))</f>
        <v/>
      </c>
    </row>
    <row r="374">
      <c r="Q374">
        <f>IF(OR(B374="SP",B374="RP",B374="CP",B374="SP/RP"),"P","H")</f>
        <v/>
      </c>
      <c r="R374">
        <f>IF(F374="",0,IFNA(VLOOKUP(F374,Trait_Polarity!$A:$C,2,FALSE),0))+IF(G374="",0,IFNA(VLOOKUP(G374,Trait_Polarity!$A:$C,2,FALSE),0))</f>
        <v/>
      </c>
      <c r="S374">
        <f>IF(F374="",0,IFNA(VLOOKUP(F374,Trait_Polarity!$A:$C,3,FALSE),0))+IF(G374="",0,IFNA(VLOOKUP(G374,Trait_Polarity!$A:$C,3,FALSE),0))</f>
        <v/>
      </c>
      <c r="T374">
        <f>IF(Q374="P",0,IFNA(VLOOKUP(IF(C374="","(none)",C374),Secondary_Versatility!$A:$B,2,FALSE),0))</f>
        <v/>
      </c>
      <c r="U374">
        <f>IF(H374="",0,LEN(H374)-LEN(SUBSTITUTE(H374,"|",""))+1)</f>
        <v/>
      </c>
      <c r="V374">
        <f>IF(Q374="P",(N374+O374+P374)/3,0.3*I374+0.3*J374+0.2*K374+0.1*L374+0.1*M374)</f>
        <v/>
      </c>
      <c r="W374">
        <f>IF(Q374="P",IF(F374="",0,IFNA(VLOOKUP(F374,Pitcher_Trait_Coef!$A:$B,2,FALSE),0))+IF(G374="",0,IFNA(VLOOKUP(G374,Pitcher_Trait_Coef!$A:$B,2,FALSE),0)),IF(F374="",0,IFNA(VLOOKUP(F374,Hitter_Trait_Coef!$A:$B,2,FALSE),0))+IF(G374="",0,IFNA(VLOOKUP(G374,Hitter_Trait_Coef!$A:$B,2,FALSE),0)))</f>
        <v/>
      </c>
      <c r="X374">
        <f>IF(Q374="P",IFNA(VLOOKUP(B374,Pitcher_Primary_Coef!$A:$B,2,FALSE),0),IFNA(VLOOKUP(B374,Hitter_Primary_Coef!$A:$B,2,FALSE),0))</f>
        <v/>
      </c>
      <c r="Y374">
        <f>IF(Q374="P",0,IFNA(VLOOKUP(IF(C374="","(none)",C374),Hitter_Secondary_Coef!$A:$B,2,FALSE),0))</f>
        <v/>
      </c>
      <c r="Z374">
        <f>IF(Q374="P",IF(ISNUMBER(SEARCH("2F",H374)),IFNA(VLOOKUP("2F",Pitch_Coef!$A:$B,2,FALSE),0),0)+IF(ISNUMBER(SEARCH("4F",H374)),IFNA(VLOOKUP("4F",Pitch_Coef!$A:$B,2,FALSE),0),0)+IF(ISNUMBER(SEARCH("CB",H374)),IFNA(VLOOKUP("CB",Pitch_Coef!$A:$B,2,FALSE),0),0)+IF(ISNUMBER(SEARCH("CF",H374)),IFNA(VLOOKUP("CF",Pitch_Coef!$A:$B,2,FALSE),0),0)+IF(ISNUMBER(SEARCH("CH",H374)),IFNA(VLOOKUP("CH",Pitch_Coef!$A:$B,2,FALSE),0),0)+IF(ISNUMBER(SEARCH("FK",H374)),IFNA(VLOOKUP("FK",Pitch_Coef!$A:$B,2,FALSE),0),0)+IF(ISNUMBER(SEARCH("SB",H374)),IFNA(VLOOKUP("SB",Pitch_Coef!$A:$B,2,FALSE),0),0)+IF(ISNUMBER(SEARCH("SL",H374)),IFNA(VLOOKUP("SL",Pitch_Coef!$A:$B,2,FALSE),0),0),0)</f>
        <v/>
      </c>
      <c r="AA374">
        <f>IF(Q374="P",16.5944849573+0.2529999141*N374+0.2665900378*O374+0.2632687105*P374+0.0427586837*I374+0.0534777057*J374+0.009015832*K374+0.0204898106*(O374*P374/100)+1.0091022427*U374+1.0968542297*IF(D374="L",1,0)+0.3771555045*IF(D374="S",1,0)-0.2226159177*IF(E374="L",1,0)+1.21385024*R374-1.1652812274*S374+W374+X374+Z374,10.5965166711+0.2825983581*I374+0.2806503532*J374+0.2027213083*K374+0.1147824982*L374+0.0915305332*M374-0.0088454122*(I374*J374/100)-0.0336045706*(K374*L374/100)+2.8497389733*IF(D374="L",1,0)+4.5116226727*IF(D374="S",1,0)-0.6571546448*IF(E374="L",1,0)+0.0850728147*T374+0.0129488446*(T374*T374)+0.1909373936*IF(OR(F374="Utility",G374="Utility"),T374,0)+0.9656824071*R374-1.7517683256*S374+W374+X374+Y374)</f>
        <v/>
      </c>
      <c r="AB374">
        <f>LOOKUP(AA374,Grade_Scale!$A$2:$A$18,Grade_Scale!$B$2:$B$18)</f>
        <v/>
      </c>
      <c r="AC374">
        <f>LOOKUP(AA374,Grade_Scale!$A$2:$A$18,Grade_Scale!$C$2:$C$18)</f>
        <v/>
      </c>
      <c r="AE374">
        <f>IF(AD374="","",AB374-VLOOKUP(AD374,Grade_Scale!$C$2:$E$18,3,FALSE))</f>
        <v/>
      </c>
    </row>
    <row r="375">
      <c r="Q375">
        <f>IF(OR(B375="SP",B375="RP",B375="CP",B375="SP/RP"),"P","H")</f>
        <v/>
      </c>
      <c r="R375">
        <f>IF(F375="",0,IFNA(VLOOKUP(F375,Trait_Polarity!$A:$C,2,FALSE),0))+IF(G375="",0,IFNA(VLOOKUP(G375,Trait_Polarity!$A:$C,2,FALSE),0))</f>
        <v/>
      </c>
      <c r="S375">
        <f>IF(F375="",0,IFNA(VLOOKUP(F375,Trait_Polarity!$A:$C,3,FALSE),0))+IF(G375="",0,IFNA(VLOOKUP(G375,Trait_Polarity!$A:$C,3,FALSE),0))</f>
        <v/>
      </c>
      <c r="T375">
        <f>IF(Q375="P",0,IFNA(VLOOKUP(IF(C375="","(none)",C375),Secondary_Versatility!$A:$B,2,FALSE),0))</f>
        <v/>
      </c>
      <c r="U375">
        <f>IF(H375="",0,LEN(H375)-LEN(SUBSTITUTE(H375,"|",""))+1)</f>
        <v/>
      </c>
      <c r="V375">
        <f>IF(Q375="P",(N375+O375+P375)/3,0.3*I375+0.3*J375+0.2*K375+0.1*L375+0.1*M375)</f>
        <v/>
      </c>
      <c r="W375">
        <f>IF(Q375="P",IF(F375="",0,IFNA(VLOOKUP(F375,Pitcher_Trait_Coef!$A:$B,2,FALSE),0))+IF(G375="",0,IFNA(VLOOKUP(G375,Pitcher_Trait_Coef!$A:$B,2,FALSE),0)),IF(F375="",0,IFNA(VLOOKUP(F375,Hitter_Trait_Coef!$A:$B,2,FALSE),0))+IF(G375="",0,IFNA(VLOOKUP(G375,Hitter_Trait_Coef!$A:$B,2,FALSE),0)))</f>
        <v/>
      </c>
      <c r="X375">
        <f>IF(Q375="P",IFNA(VLOOKUP(B375,Pitcher_Primary_Coef!$A:$B,2,FALSE),0),IFNA(VLOOKUP(B375,Hitter_Primary_Coef!$A:$B,2,FALSE),0))</f>
        <v/>
      </c>
      <c r="Y375">
        <f>IF(Q375="P",0,IFNA(VLOOKUP(IF(C375="","(none)",C375),Hitter_Secondary_Coef!$A:$B,2,FALSE),0))</f>
        <v/>
      </c>
      <c r="Z375">
        <f>IF(Q375="P",IF(ISNUMBER(SEARCH("2F",H375)),IFNA(VLOOKUP("2F",Pitch_Coef!$A:$B,2,FALSE),0),0)+IF(ISNUMBER(SEARCH("4F",H375)),IFNA(VLOOKUP("4F",Pitch_Coef!$A:$B,2,FALSE),0),0)+IF(ISNUMBER(SEARCH("CB",H375)),IFNA(VLOOKUP("CB",Pitch_Coef!$A:$B,2,FALSE),0),0)+IF(ISNUMBER(SEARCH("CF",H375)),IFNA(VLOOKUP("CF",Pitch_Coef!$A:$B,2,FALSE),0),0)+IF(ISNUMBER(SEARCH("CH",H375)),IFNA(VLOOKUP("CH",Pitch_Coef!$A:$B,2,FALSE),0),0)+IF(ISNUMBER(SEARCH("FK",H375)),IFNA(VLOOKUP("FK",Pitch_Coef!$A:$B,2,FALSE),0),0)+IF(ISNUMBER(SEARCH("SB",H375)),IFNA(VLOOKUP("SB",Pitch_Coef!$A:$B,2,FALSE),0),0)+IF(ISNUMBER(SEARCH("SL",H375)),IFNA(VLOOKUP("SL",Pitch_Coef!$A:$B,2,FALSE),0),0),0)</f>
        <v/>
      </c>
      <c r="AA375">
        <f>IF(Q375="P",16.5944849573+0.2529999141*N375+0.2665900378*O375+0.2632687105*P375+0.0427586837*I375+0.0534777057*J375+0.009015832*K375+0.0204898106*(O375*P375/100)+1.0091022427*U375+1.0968542297*IF(D375="L",1,0)+0.3771555045*IF(D375="S",1,0)-0.2226159177*IF(E375="L",1,0)+1.21385024*R375-1.1652812274*S375+W375+X375+Z375,10.5965166711+0.2825983581*I375+0.2806503532*J375+0.2027213083*K375+0.1147824982*L375+0.0915305332*M375-0.0088454122*(I375*J375/100)-0.0336045706*(K375*L375/100)+2.8497389733*IF(D375="L",1,0)+4.5116226727*IF(D375="S",1,0)-0.6571546448*IF(E375="L",1,0)+0.0850728147*T375+0.0129488446*(T375*T375)+0.1909373936*IF(OR(F375="Utility",G375="Utility"),T375,0)+0.9656824071*R375-1.7517683256*S375+W375+X375+Y375)</f>
        <v/>
      </c>
      <c r="AB375">
        <f>LOOKUP(AA375,Grade_Scale!$A$2:$A$18,Grade_Scale!$B$2:$B$18)</f>
        <v/>
      </c>
      <c r="AC375">
        <f>LOOKUP(AA375,Grade_Scale!$A$2:$A$18,Grade_Scale!$C$2:$C$18)</f>
        <v/>
      </c>
      <c r="AE375">
        <f>IF(AD375="","",AB375-VLOOKUP(AD375,Grade_Scale!$C$2:$E$18,3,FALSE))</f>
        <v/>
      </c>
    </row>
    <row r="376">
      <c r="Q376">
        <f>IF(OR(B376="SP",B376="RP",B376="CP",B376="SP/RP"),"P","H")</f>
        <v/>
      </c>
      <c r="R376">
        <f>IF(F376="",0,IFNA(VLOOKUP(F376,Trait_Polarity!$A:$C,2,FALSE),0))+IF(G376="",0,IFNA(VLOOKUP(G376,Trait_Polarity!$A:$C,2,FALSE),0))</f>
        <v/>
      </c>
      <c r="S376">
        <f>IF(F376="",0,IFNA(VLOOKUP(F376,Trait_Polarity!$A:$C,3,FALSE),0))+IF(G376="",0,IFNA(VLOOKUP(G376,Trait_Polarity!$A:$C,3,FALSE),0))</f>
        <v/>
      </c>
      <c r="T376">
        <f>IF(Q376="P",0,IFNA(VLOOKUP(IF(C376="","(none)",C376),Secondary_Versatility!$A:$B,2,FALSE),0))</f>
        <v/>
      </c>
      <c r="U376">
        <f>IF(H376="",0,LEN(H376)-LEN(SUBSTITUTE(H376,"|",""))+1)</f>
        <v/>
      </c>
      <c r="V376">
        <f>IF(Q376="P",(N376+O376+P376)/3,0.3*I376+0.3*J376+0.2*K376+0.1*L376+0.1*M376)</f>
        <v/>
      </c>
      <c r="W376">
        <f>IF(Q376="P",IF(F376="",0,IFNA(VLOOKUP(F376,Pitcher_Trait_Coef!$A:$B,2,FALSE),0))+IF(G376="",0,IFNA(VLOOKUP(G376,Pitcher_Trait_Coef!$A:$B,2,FALSE),0)),IF(F376="",0,IFNA(VLOOKUP(F376,Hitter_Trait_Coef!$A:$B,2,FALSE),0))+IF(G376="",0,IFNA(VLOOKUP(G376,Hitter_Trait_Coef!$A:$B,2,FALSE),0)))</f>
        <v/>
      </c>
      <c r="X376">
        <f>IF(Q376="P",IFNA(VLOOKUP(B376,Pitcher_Primary_Coef!$A:$B,2,FALSE),0),IFNA(VLOOKUP(B376,Hitter_Primary_Coef!$A:$B,2,FALSE),0))</f>
        <v/>
      </c>
      <c r="Y376">
        <f>IF(Q376="P",0,IFNA(VLOOKUP(IF(C376="","(none)",C376),Hitter_Secondary_Coef!$A:$B,2,FALSE),0))</f>
        <v/>
      </c>
      <c r="Z376">
        <f>IF(Q376="P",IF(ISNUMBER(SEARCH("2F",H376)),IFNA(VLOOKUP("2F",Pitch_Coef!$A:$B,2,FALSE),0),0)+IF(ISNUMBER(SEARCH("4F",H376)),IFNA(VLOOKUP("4F",Pitch_Coef!$A:$B,2,FALSE),0),0)+IF(ISNUMBER(SEARCH("CB",H376)),IFNA(VLOOKUP("CB",Pitch_Coef!$A:$B,2,FALSE),0),0)+IF(ISNUMBER(SEARCH("CF",H376)),IFNA(VLOOKUP("CF",Pitch_Coef!$A:$B,2,FALSE),0),0)+IF(ISNUMBER(SEARCH("CH",H376)),IFNA(VLOOKUP("CH",Pitch_Coef!$A:$B,2,FALSE),0),0)+IF(ISNUMBER(SEARCH("FK",H376)),IFNA(VLOOKUP("FK",Pitch_Coef!$A:$B,2,FALSE),0),0)+IF(ISNUMBER(SEARCH("SB",H376)),IFNA(VLOOKUP("SB",Pitch_Coef!$A:$B,2,FALSE),0),0)+IF(ISNUMBER(SEARCH("SL",H376)),IFNA(VLOOKUP("SL",Pitch_Coef!$A:$B,2,FALSE),0),0),0)</f>
        <v/>
      </c>
      <c r="AA376">
        <f>IF(Q376="P",16.5944849573+0.2529999141*N376+0.2665900378*O376+0.2632687105*P376+0.0427586837*I376+0.0534777057*J376+0.009015832*K376+0.0204898106*(O376*P376/100)+1.0091022427*U376+1.0968542297*IF(D376="L",1,0)+0.3771555045*IF(D376="S",1,0)-0.2226159177*IF(E376="L",1,0)+1.21385024*R376-1.1652812274*S376+W376+X376+Z376,10.5965166711+0.2825983581*I376+0.2806503532*J376+0.2027213083*K376+0.1147824982*L376+0.0915305332*M376-0.0088454122*(I376*J376/100)-0.0336045706*(K376*L376/100)+2.8497389733*IF(D376="L",1,0)+4.5116226727*IF(D376="S",1,0)-0.6571546448*IF(E376="L",1,0)+0.0850728147*T376+0.0129488446*(T376*T376)+0.1909373936*IF(OR(F376="Utility",G376="Utility"),T376,0)+0.9656824071*R376-1.7517683256*S376+W376+X376+Y376)</f>
        <v/>
      </c>
      <c r="AB376">
        <f>LOOKUP(AA376,Grade_Scale!$A$2:$A$18,Grade_Scale!$B$2:$B$18)</f>
        <v/>
      </c>
      <c r="AC376">
        <f>LOOKUP(AA376,Grade_Scale!$A$2:$A$18,Grade_Scale!$C$2:$C$18)</f>
        <v/>
      </c>
      <c r="AE376">
        <f>IF(AD376="","",AB376-VLOOKUP(AD376,Grade_Scale!$C$2:$E$18,3,FALSE))</f>
        <v/>
      </c>
    </row>
    <row r="377">
      <c r="Q377">
        <f>IF(OR(B377="SP",B377="RP",B377="CP",B377="SP/RP"),"P","H")</f>
        <v/>
      </c>
      <c r="R377">
        <f>IF(F377="",0,IFNA(VLOOKUP(F377,Trait_Polarity!$A:$C,2,FALSE),0))+IF(G377="",0,IFNA(VLOOKUP(G377,Trait_Polarity!$A:$C,2,FALSE),0))</f>
        <v/>
      </c>
      <c r="S377">
        <f>IF(F377="",0,IFNA(VLOOKUP(F377,Trait_Polarity!$A:$C,3,FALSE),0))+IF(G377="",0,IFNA(VLOOKUP(G377,Trait_Polarity!$A:$C,3,FALSE),0))</f>
        <v/>
      </c>
      <c r="T377">
        <f>IF(Q377="P",0,IFNA(VLOOKUP(IF(C377="","(none)",C377),Secondary_Versatility!$A:$B,2,FALSE),0))</f>
        <v/>
      </c>
      <c r="U377">
        <f>IF(H377="",0,LEN(H377)-LEN(SUBSTITUTE(H377,"|",""))+1)</f>
        <v/>
      </c>
      <c r="V377">
        <f>IF(Q377="P",(N377+O377+P377)/3,0.3*I377+0.3*J377+0.2*K377+0.1*L377+0.1*M377)</f>
        <v/>
      </c>
      <c r="W377">
        <f>IF(Q377="P",IF(F377="",0,IFNA(VLOOKUP(F377,Pitcher_Trait_Coef!$A:$B,2,FALSE),0))+IF(G377="",0,IFNA(VLOOKUP(G377,Pitcher_Trait_Coef!$A:$B,2,FALSE),0)),IF(F377="",0,IFNA(VLOOKUP(F377,Hitter_Trait_Coef!$A:$B,2,FALSE),0))+IF(G377="",0,IFNA(VLOOKUP(G377,Hitter_Trait_Coef!$A:$B,2,FALSE),0)))</f>
        <v/>
      </c>
      <c r="X377">
        <f>IF(Q377="P",IFNA(VLOOKUP(B377,Pitcher_Primary_Coef!$A:$B,2,FALSE),0),IFNA(VLOOKUP(B377,Hitter_Primary_Coef!$A:$B,2,FALSE),0))</f>
        <v/>
      </c>
      <c r="Y377">
        <f>IF(Q377="P",0,IFNA(VLOOKUP(IF(C377="","(none)",C377),Hitter_Secondary_Coef!$A:$B,2,FALSE),0))</f>
        <v/>
      </c>
      <c r="Z377">
        <f>IF(Q377="P",IF(ISNUMBER(SEARCH("2F",H377)),IFNA(VLOOKUP("2F",Pitch_Coef!$A:$B,2,FALSE),0),0)+IF(ISNUMBER(SEARCH("4F",H377)),IFNA(VLOOKUP("4F",Pitch_Coef!$A:$B,2,FALSE),0),0)+IF(ISNUMBER(SEARCH("CB",H377)),IFNA(VLOOKUP("CB",Pitch_Coef!$A:$B,2,FALSE),0),0)+IF(ISNUMBER(SEARCH("CF",H377)),IFNA(VLOOKUP("CF",Pitch_Coef!$A:$B,2,FALSE),0),0)+IF(ISNUMBER(SEARCH("CH",H377)),IFNA(VLOOKUP("CH",Pitch_Coef!$A:$B,2,FALSE),0),0)+IF(ISNUMBER(SEARCH("FK",H377)),IFNA(VLOOKUP("FK",Pitch_Coef!$A:$B,2,FALSE),0),0)+IF(ISNUMBER(SEARCH("SB",H377)),IFNA(VLOOKUP("SB",Pitch_Coef!$A:$B,2,FALSE),0),0)+IF(ISNUMBER(SEARCH("SL",H377)),IFNA(VLOOKUP("SL",Pitch_Coef!$A:$B,2,FALSE),0),0),0)</f>
        <v/>
      </c>
      <c r="AA377">
        <f>IF(Q377="P",16.5944849573+0.2529999141*N377+0.2665900378*O377+0.2632687105*P377+0.0427586837*I377+0.0534777057*J377+0.009015832*K377+0.0204898106*(O377*P377/100)+1.0091022427*U377+1.0968542297*IF(D377="L",1,0)+0.3771555045*IF(D377="S",1,0)-0.2226159177*IF(E377="L",1,0)+1.21385024*R377-1.1652812274*S377+W377+X377+Z377,10.5965166711+0.2825983581*I377+0.2806503532*J377+0.2027213083*K377+0.1147824982*L377+0.0915305332*M377-0.0088454122*(I377*J377/100)-0.0336045706*(K377*L377/100)+2.8497389733*IF(D377="L",1,0)+4.5116226727*IF(D377="S",1,0)-0.6571546448*IF(E377="L",1,0)+0.0850728147*T377+0.0129488446*(T377*T377)+0.1909373936*IF(OR(F377="Utility",G377="Utility"),T377,0)+0.9656824071*R377-1.7517683256*S377+W377+X377+Y377)</f>
        <v/>
      </c>
      <c r="AB377">
        <f>LOOKUP(AA377,Grade_Scale!$A$2:$A$18,Grade_Scale!$B$2:$B$18)</f>
        <v/>
      </c>
      <c r="AC377">
        <f>LOOKUP(AA377,Grade_Scale!$A$2:$A$18,Grade_Scale!$C$2:$C$18)</f>
        <v/>
      </c>
      <c r="AE377">
        <f>IF(AD377="","",AB377-VLOOKUP(AD377,Grade_Scale!$C$2:$E$18,3,FALSE))</f>
        <v/>
      </c>
    </row>
    <row r="378">
      <c r="Q378">
        <f>IF(OR(B378="SP",B378="RP",B378="CP",B378="SP/RP"),"P","H")</f>
        <v/>
      </c>
      <c r="R378">
        <f>IF(F378="",0,IFNA(VLOOKUP(F378,Trait_Polarity!$A:$C,2,FALSE),0))+IF(G378="",0,IFNA(VLOOKUP(G378,Trait_Polarity!$A:$C,2,FALSE),0))</f>
        <v/>
      </c>
      <c r="S378">
        <f>IF(F378="",0,IFNA(VLOOKUP(F378,Trait_Polarity!$A:$C,3,FALSE),0))+IF(G378="",0,IFNA(VLOOKUP(G378,Trait_Polarity!$A:$C,3,FALSE),0))</f>
        <v/>
      </c>
      <c r="T378">
        <f>IF(Q378="P",0,IFNA(VLOOKUP(IF(C378="","(none)",C378),Secondary_Versatility!$A:$B,2,FALSE),0))</f>
        <v/>
      </c>
      <c r="U378">
        <f>IF(H378="",0,LEN(H378)-LEN(SUBSTITUTE(H378,"|",""))+1)</f>
        <v/>
      </c>
      <c r="V378">
        <f>IF(Q378="P",(N378+O378+P378)/3,0.3*I378+0.3*J378+0.2*K378+0.1*L378+0.1*M378)</f>
        <v/>
      </c>
      <c r="W378">
        <f>IF(Q378="P",IF(F378="",0,IFNA(VLOOKUP(F378,Pitcher_Trait_Coef!$A:$B,2,FALSE),0))+IF(G378="",0,IFNA(VLOOKUP(G378,Pitcher_Trait_Coef!$A:$B,2,FALSE),0)),IF(F378="",0,IFNA(VLOOKUP(F378,Hitter_Trait_Coef!$A:$B,2,FALSE),0))+IF(G378="",0,IFNA(VLOOKUP(G378,Hitter_Trait_Coef!$A:$B,2,FALSE),0)))</f>
        <v/>
      </c>
      <c r="X378">
        <f>IF(Q378="P",IFNA(VLOOKUP(B378,Pitcher_Primary_Coef!$A:$B,2,FALSE),0),IFNA(VLOOKUP(B378,Hitter_Primary_Coef!$A:$B,2,FALSE),0))</f>
        <v/>
      </c>
      <c r="Y378">
        <f>IF(Q378="P",0,IFNA(VLOOKUP(IF(C378="","(none)",C378),Hitter_Secondary_Coef!$A:$B,2,FALSE),0))</f>
        <v/>
      </c>
      <c r="Z378">
        <f>IF(Q378="P",IF(ISNUMBER(SEARCH("2F",H378)),IFNA(VLOOKUP("2F",Pitch_Coef!$A:$B,2,FALSE),0),0)+IF(ISNUMBER(SEARCH("4F",H378)),IFNA(VLOOKUP("4F",Pitch_Coef!$A:$B,2,FALSE),0),0)+IF(ISNUMBER(SEARCH("CB",H378)),IFNA(VLOOKUP("CB",Pitch_Coef!$A:$B,2,FALSE),0),0)+IF(ISNUMBER(SEARCH("CF",H378)),IFNA(VLOOKUP("CF",Pitch_Coef!$A:$B,2,FALSE),0),0)+IF(ISNUMBER(SEARCH("CH",H378)),IFNA(VLOOKUP("CH",Pitch_Coef!$A:$B,2,FALSE),0),0)+IF(ISNUMBER(SEARCH("FK",H378)),IFNA(VLOOKUP("FK",Pitch_Coef!$A:$B,2,FALSE),0),0)+IF(ISNUMBER(SEARCH("SB",H378)),IFNA(VLOOKUP("SB",Pitch_Coef!$A:$B,2,FALSE),0),0)+IF(ISNUMBER(SEARCH("SL",H378)),IFNA(VLOOKUP("SL",Pitch_Coef!$A:$B,2,FALSE),0),0),0)</f>
        <v/>
      </c>
      <c r="AA378">
        <f>IF(Q378="P",16.5944849573+0.2529999141*N378+0.2665900378*O378+0.2632687105*P378+0.0427586837*I378+0.0534777057*J378+0.009015832*K378+0.0204898106*(O378*P378/100)+1.0091022427*U378+1.0968542297*IF(D378="L",1,0)+0.3771555045*IF(D378="S",1,0)-0.2226159177*IF(E378="L",1,0)+1.21385024*R378-1.1652812274*S378+W378+X378+Z378,10.5965166711+0.2825983581*I378+0.2806503532*J378+0.2027213083*K378+0.1147824982*L378+0.0915305332*M378-0.0088454122*(I378*J378/100)-0.0336045706*(K378*L378/100)+2.8497389733*IF(D378="L",1,0)+4.5116226727*IF(D378="S",1,0)-0.6571546448*IF(E378="L",1,0)+0.0850728147*T378+0.0129488446*(T378*T378)+0.1909373936*IF(OR(F378="Utility",G378="Utility"),T378,0)+0.9656824071*R378-1.7517683256*S378+W378+X378+Y378)</f>
        <v/>
      </c>
      <c r="AB378">
        <f>LOOKUP(AA378,Grade_Scale!$A$2:$A$18,Grade_Scale!$B$2:$B$18)</f>
        <v/>
      </c>
      <c r="AC378">
        <f>LOOKUP(AA378,Grade_Scale!$A$2:$A$18,Grade_Scale!$C$2:$C$18)</f>
        <v/>
      </c>
      <c r="AE378">
        <f>IF(AD378="","",AB378-VLOOKUP(AD378,Grade_Scale!$C$2:$E$18,3,FALSE))</f>
        <v/>
      </c>
    </row>
    <row r="379">
      <c r="Q379">
        <f>IF(OR(B379="SP",B379="RP",B379="CP",B379="SP/RP"),"P","H")</f>
        <v/>
      </c>
      <c r="R379">
        <f>IF(F379="",0,IFNA(VLOOKUP(F379,Trait_Polarity!$A:$C,2,FALSE),0))+IF(G379="",0,IFNA(VLOOKUP(G379,Trait_Polarity!$A:$C,2,FALSE),0))</f>
        <v/>
      </c>
      <c r="S379">
        <f>IF(F379="",0,IFNA(VLOOKUP(F379,Trait_Polarity!$A:$C,3,FALSE),0))+IF(G379="",0,IFNA(VLOOKUP(G379,Trait_Polarity!$A:$C,3,FALSE),0))</f>
        <v/>
      </c>
      <c r="T379">
        <f>IF(Q379="P",0,IFNA(VLOOKUP(IF(C379="","(none)",C379),Secondary_Versatility!$A:$B,2,FALSE),0))</f>
        <v/>
      </c>
      <c r="U379">
        <f>IF(H379="",0,LEN(H379)-LEN(SUBSTITUTE(H379,"|",""))+1)</f>
        <v/>
      </c>
      <c r="V379">
        <f>IF(Q379="P",(N379+O379+P379)/3,0.3*I379+0.3*J379+0.2*K379+0.1*L379+0.1*M379)</f>
        <v/>
      </c>
      <c r="W379">
        <f>IF(Q379="P",IF(F379="",0,IFNA(VLOOKUP(F379,Pitcher_Trait_Coef!$A:$B,2,FALSE),0))+IF(G379="",0,IFNA(VLOOKUP(G379,Pitcher_Trait_Coef!$A:$B,2,FALSE),0)),IF(F379="",0,IFNA(VLOOKUP(F379,Hitter_Trait_Coef!$A:$B,2,FALSE),0))+IF(G379="",0,IFNA(VLOOKUP(G379,Hitter_Trait_Coef!$A:$B,2,FALSE),0)))</f>
        <v/>
      </c>
      <c r="X379">
        <f>IF(Q379="P",IFNA(VLOOKUP(B379,Pitcher_Primary_Coef!$A:$B,2,FALSE),0),IFNA(VLOOKUP(B379,Hitter_Primary_Coef!$A:$B,2,FALSE),0))</f>
        <v/>
      </c>
      <c r="Y379">
        <f>IF(Q379="P",0,IFNA(VLOOKUP(IF(C379="","(none)",C379),Hitter_Secondary_Coef!$A:$B,2,FALSE),0))</f>
        <v/>
      </c>
      <c r="Z379">
        <f>IF(Q379="P",IF(ISNUMBER(SEARCH("2F",H379)),IFNA(VLOOKUP("2F",Pitch_Coef!$A:$B,2,FALSE),0),0)+IF(ISNUMBER(SEARCH("4F",H379)),IFNA(VLOOKUP("4F",Pitch_Coef!$A:$B,2,FALSE),0),0)+IF(ISNUMBER(SEARCH("CB",H379)),IFNA(VLOOKUP("CB",Pitch_Coef!$A:$B,2,FALSE),0),0)+IF(ISNUMBER(SEARCH("CF",H379)),IFNA(VLOOKUP("CF",Pitch_Coef!$A:$B,2,FALSE),0),0)+IF(ISNUMBER(SEARCH("CH",H379)),IFNA(VLOOKUP("CH",Pitch_Coef!$A:$B,2,FALSE),0),0)+IF(ISNUMBER(SEARCH("FK",H379)),IFNA(VLOOKUP("FK",Pitch_Coef!$A:$B,2,FALSE),0),0)+IF(ISNUMBER(SEARCH("SB",H379)),IFNA(VLOOKUP("SB",Pitch_Coef!$A:$B,2,FALSE),0),0)+IF(ISNUMBER(SEARCH("SL",H379)),IFNA(VLOOKUP("SL",Pitch_Coef!$A:$B,2,FALSE),0),0),0)</f>
        <v/>
      </c>
      <c r="AA379">
        <f>IF(Q379="P",16.5944849573+0.2529999141*N379+0.2665900378*O379+0.2632687105*P379+0.0427586837*I379+0.0534777057*J379+0.009015832*K379+0.0204898106*(O379*P379/100)+1.0091022427*U379+1.0968542297*IF(D379="L",1,0)+0.3771555045*IF(D379="S",1,0)-0.2226159177*IF(E379="L",1,0)+1.21385024*R379-1.1652812274*S379+W379+X379+Z379,10.5965166711+0.2825983581*I379+0.2806503532*J379+0.2027213083*K379+0.1147824982*L379+0.0915305332*M379-0.0088454122*(I379*J379/100)-0.0336045706*(K379*L379/100)+2.8497389733*IF(D379="L",1,0)+4.5116226727*IF(D379="S",1,0)-0.6571546448*IF(E379="L",1,0)+0.0850728147*T379+0.0129488446*(T379*T379)+0.1909373936*IF(OR(F379="Utility",G379="Utility"),T379,0)+0.9656824071*R379-1.7517683256*S379+W379+X379+Y379)</f>
        <v/>
      </c>
      <c r="AB379">
        <f>LOOKUP(AA379,Grade_Scale!$A$2:$A$18,Grade_Scale!$B$2:$B$18)</f>
        <v/>
      </c>
      <c r="AC379">
        <f>LOOKUP(AA379,Grade_Scale!$A$2:$A$18,Grade_Scale!$C$2:$C$18)</f>
        <v/>
      </c>
      <c r="AE379">
        <f>IF(AD379="","",AB379-VLOOKUP(AD379,Grade_Scale!$C$2:$E$18,3,FALSE))</f>
        <v/>
      </c>
    </row>
    <row r="380">
      <c r="Q380">
        <f>IF(OR(B380="SP",B380="RP",B380="CP",B380="SP/RP"),"P","H")</f>
        <v/>
      </c>
      <c r="R380">
        <f>IF(F380="",0,IFNA(VLOOKUP(F380,Trait_Polarity!$A:$C,2,FALSE),0))+IF(G380="",0,IFNA(VLOOKUP(G380,Trait_Polarity!$A:$C,2,FALSE),0))</f>
        <v/>
      </c>
      <c r="S380">
        <f>IF(F380="",0,IFNA(VLOOKUP(F380,Trait_Polarity!$A:$C,3,FALSE),0))+IF(G380="",0,IFNA(VLOOKUP(G380,Trait_Polarity!$A:$C,3,FALSE),0))</f>
        <v/>
      </c>
      <c r="T380">
        <f>IF(Q380="P",0,IFNA(VLOOKUP(IF(C380="","(none)",C380),Secondary_Versatility!$A:$B,2,FALSE),0))</f>
        <v/>
      </c>
      <c r="U380">
        <f>IF(H380="",0,LEN(H380)-LEN(SUBSTITUTE(H380,"|",""))+1)</f>
        <v/>
      </c>
      <c r="V380">
        <f>IF(Q380="P",(N380+O380+P380)/3,0.3*I380+0.3*J380+0.2*K380+0.1*L380+0.1*M380)</f>
        <v/>
      </c>
      <c r="W380">
        <f>IF(Q380="P",IF(F380="",0,IFNA(VLOOKUP(F380,Pitcher_Trait_Coef!$A:$B,2,FALSE),0))+IF(G380="",0,IFNA(VLOOKUP(G380,Pitcher_Trait_Coef!$A:$B,2,FALSE),0)),IF(F380="",0,IFNA(VLOOKUP(F380,Hitter_Trait_Coef!$A:$B,2,FALSE),0))+IF(G380="",0,IFNA(VLOOKUP(G380,Hitter_Trait_Coef!$A:$B,2,FALSE),0)))</f>
        <v/>
      </c>
      <c r="X380">
        <f>IF(Q380="P",IFNA(VLOOKUP(B380,Pitcher_Primary_Coef!$A:$B,2,FALSE),0),IFNA(VLOOKUP(B380,Hitter_Primary_Coef!$A:$B,2,FALSE),0))</f>
        <v/>
      </c>
      <c r="Y380">
        <f>IF(Q380="P",0,IFNA(VLOOKUP(IF(C380="","(none)",C380),Hitter_Secondary_Coef!$A:$B,2,FALSE),0))</f>
        <v/>
      </c>
      <c r="Z380">
        <f>IF(Q380="P",IF(ISNUMBER(SEARCH("2F",H380)),IFNA(VLOOKUP("2F",Pitch_Coef!$A:$B,2,FALSE),0),0)+IF(ISNUMBER(SEARCH("4F",H380)),IFNA(VLOOKUP("4F",Pitch_Coef!$A:$B,2,FALSE),0),0)+IF(ISNUMBER(SEARCH("CB",H380)),IFNA(VLOOKUP("CB",Pitch_Coef!$A:$B,2,FALSE),0),0)+IF(ISNUMBER(SEARCH("CF",H380)),IFNA(VLOOKUP("CF",Pitch_Coef!$A:$B,2,FALSE),0),0)+IF(ISNUMBER(SEARCH("CH",H380)),IFNA(VLOOKUP("CH",Pitch_Coef!$A:$B,2,FALSE),0),0)+IF(ISNUMBER(SEARCH("FK",H380)),IFNA(VLOOKUP("FK",Pitch_Coef!$A:$B,2,FALSE),0),0)+IF(ISNUMBER(SEARCH("SB",H380)),IFNA(VLOOKUP("SB",Pitch_Coef!$A:$B,2,FALSE),0),0)+IF(ISNUMBER(SEARCH("SL",H380)),IFNA(VLOOKUP("SL",Pitch_Coef!$A:$B,2,FALSE),0),0),0)</f>
        <v/>
      </c>
      <c r="AA380">
        <f>IF(Q380="P",16.5944849573+0.2529999141*N380+0.2665900378*O380+0.2632687105*P380+0.0427586837*I380+0.0534777057*J380+0.009015832*K380+0.0204898106*(O380*P380/100)+1.0091022427*U380+1.0968542297*IF(D380="L",1,0)+0.3771555045*IF(D380="S",1,0)-0.2226159177*IF(E380="L",1,0)+1.21385024*R380-1.1652812274*S380+W380+X380+Z380,10.5965166711+0.2825983581*I380+0.2806503532*J380+0.2027213083*K380+0.1147824982*L380+0.0915305332*M380-0.0088454122*(I380*J380/100)-0.0336045706*(K380*L380/100)+2.8497389733*IF(D380="L",1,0)+4.5116226727*IF(D380="S",1,0)-0.6571546448*IF(E380="L",1,0)+0.0850728147*T380+0.0129488446*(T380*T380)+0.1909373936*IF(OR(F380="Utility",G380="Utility"),T380,0)+0.9656824071*R380-1.7517683256*S380+W380+X380+Y380)</f>
        <v/>
      </c>
      <c r="AB380">
        <f>LOOKUP(AA380,Grade_Scale!$A$2:$A$18,Grade_Scale!$B$2:$B$18)</f>
        <v/>
      </c>
      <c r="AC380">
        <f>LOOKUP(AA380,Grade_Scale!$A$2:$A$18,Grade_Scale!$C$2:$C$18)</f>
        <v/>
      </c>
      <c r="AE380">
        <f>IF(AD380="","",AB380-VLOOKUP(AD380,Grade_Scale!$C$2:$E$18,3,FALSE))</f>
        <v/>
      </c>
    </row>
    <row r="381">
      <c r="Q381">
        <f>IF(OR(B381="SP",B381="RP",B381="CP",B381="SP/RP"),"P","H")</f>
        <v/>
      </c>
      <c r="R381">
        <f>IF(F381="",0,IFNA(VLOOKUP(F381,Trait_Polarity!$A:$C,2,FALSE),0))+IF(G381="",0,IFNA(VLOOKUP(G381,Trait_Polarity!$A:$C,2,FALSE),0))</f>
        <v/>
      </c>
      <c r="S381">
        <f>IF(F381="",0,IFNA(VLOOKUP(F381,Trait_Polarity!$A:$C,3,FALSE),0))+IF(G381="",0,IFNA(VLOOKUP(G381,Trait_Polarity!$A:$C,3,FALSE),0))</f>
        <v/>
      </c>
      <c r="T381">
        <f>IF(Q381="P",0,IFNA(VLOOKUP(IF(C381="","(none)",C381),Secondary_Versatility!$A:$B,2,FALSE),0))</f>
        <v/>
      </c>
      <c r="U381">
        <f>IF(H381="",0,LEN(H381)-LEN(SUBSTITUTE(H381,"|",""))+1)</f>
        <v/>
      </c>
      <c r="V381">
        <f>IF(Q381="P",(N381+O381+P381)/3,0.3*I381+0.3*J381+0.2*K381+0.1*L381+0.1*M381)</f>
        <v/>
      </c>
      <c r="W381">
        <f>IF(Q381="P",IF(F381="",0,IFNA(VLOOKUP(F381,Pitcher_Trait_Coef!$A:$B,2,FALSE),0))+IF(G381="",0,IFNA(VLOOKUP(G381,Pitcher_Trait_Coef!$A:$B,2,FALSE),0)),IF(F381="",0,IFNA(VLOOKUP(F381,Hitter_Trait_Coef!$A:$B,2,FALSE),0))+IF(G381="",0,IFNA(VLOOKUP(G381,Hitter_Trait_Coef!$A:$B,2,FALSE),0)))</f>
        <v/>
      </c>
      <c r="X381">
        <f>IF(Q381="P",IFNA(VLOOKUP(B381,Pitcher_Primary_Coef!$A:$B,2,FALSE),0),IFNA(VLOOKUP(B381,Hitter_Primary_Coef!$A:$B,2,FALSE),0))</f>
        <v/>
      </c>
      <c r="Y381">
        <f>IF(Q381="P",0,IFNA(VLOOKUP(IF(C381="","(none)",C381),Hitter_Secondary_Coef!$A:$B,2,FALSE),0))</f>
        <v/>
      </c>
      <c r="Z381">
        <f>IF(Q381="P",IF(ISNUMBER(SEARCH("2F",H381)),IFNA(VLOOKUP("2F",Pitch_Coef!$A:$B,2,FALSE),0),0)+IF(ISNUMBER(SEARCH("4F",H381)),IFNA(VLOOKUP("4F",Pitch_Coef!$A:$B,2,FALSE),0),0)+IF(ISNUMBER(SEARCH("CB",H381)),IFNA(VLOOKUP("CB",Pitch_Coef!$A:$B,2,FALSE),0),0)+IF(ISNUMBER(SEARCH("CF",H381)),IFNA(VLOOKUP("CF",Pitch_Coef!$A:$B,2,FALSE),0),0)+IF(ISNUMBER(SEARCH("CH",H381)),IFNA(VLOOKUP("CH",Pitch_Coef!$A:$B,2,FALSE),0),0)+IF(ISNUMBER(SEARCH("FK",H381)),IFNA(VLOOKUP("FK",Pitch_Coef!$A:$B,2,FALSE),0),0)+IF(ISNUMBER(SEARCH("SB",H381)),IFNA(VLOOKUP("SB",Pitch_Coef!$A:$B,2,FALSE),0),0)+IF(ISNUMBER(SEARCH("SL",H381)),IFNA(VLOOKUP("SL",Pitch_Coef!$A:$B,2,FALSE),0),0),0)</f>
        <v/>
      </c>
      <c r="AA381">
        <f>IF(Q381="P",16.5944849573+0.2529999141*N381+0.2665900378*O381+0.2632687105*P381+0.0427586837*I381+0.0534777057*J381+0.009015832*K381+0.0204898106*(O381*P381/100)+1.0091022427*U381+1.0968542297*IF(D381="L",1,0)+0.3771555045*IF(D381="S",1,0)-0.2226159177*IF(E381="L",1,0)+1.21385024*R381-1.1652812274*S381+W381+X381+Z381,10.5965166711+0.2825983581*I381+0.2806503532*J381+0.2027213083*K381+0.1147824982*L381+0.0915305332*M381-0.0088454122*(I381*J381/100)-0.0336045706*(K381*L381/100)+2.8497389733*IF(D381="L",1,0)+4.5116226727*IF(D381="S",1,0)-0.6571546448*IF(E381="L",1,0)+0.0850728147*T381+0.0129488446*(T381*T381)+0.1909373936*IF(OR(F381="Utility",G381="Utility"),T381,0)+0.9656824071*R381-1.7517683256*S381+W381+X381+Y381)</f>
        <v/>
      </c>
      <c r="AB381">
        <f>LOOKUP(AA381,Grade_Scale!$A$2:$A$18,Grade_Scale!$B$2:$B$18)</f>
        <v/>
      </c>
      <c r="AC381">
        <f>LOOKUP(AA381,Grade_Scale!$A$2:$A$18,Grade_Scale!$C$2:$C$18)</f>
        <v/>
      </c>
      <c r="AE381">
        <f>IF(AD381="","",AB381-VLOOKUP(AD381,Grade_Scale!$C$2:$E$18,3,FALSE))</f>
        <v/>
      </c>
    </row>
    <row r="382">
      <c r="Q382">
        <f>IF(OR(B382="SP",B382="RP",B382="CP",B382="SP/RP"),"P","H")</f>
        <v/>
      </c>
      <c r="R382">
        <f>IF(F382="",0,IFNA(VLOOKUP(F382,Trait_Polarity!$A:$C,2,FALSE),0))+IF(G382="",0,IFNA(VLOOKUP(G382,Trait_Polarity!$A:$C,2,FALSE),0))</f>
        <v/>
      </c>
      <c r="S382">
        <f>IF(F382="",0,IFNA(VLOOKUP(F382,Trait_Polarity!$A:$C,3,FALSE),0))+IF(G382="",0,IFNA(VLOOKUP(G382,Trait_Polarity!$A:$C,3,FALSE),0))</f>
        <v/>
      </c>
      <c r="T382">
        <f>IF(Q382="P",0,IFNA(VLOOKUP(IF(C382="","(none)",C382),Secondary_Versatility!$A:$B,2,FALSE),0))</f>
        <v/>
      </c>
      <c r="U382">
        <f>IF(H382="",0,LEN(H382)-LEN(SUBSTITUTE(H382,"|",""))+1)</f>
        <v/>
      </c>
      <c r="V382">
        <f>IF(Q382="P",(N382+O382+P382)/3,0.3*I382+0.3*J382+0.2*K382+0.1*L382+0.1*M382)</f>
        <v/>
      </c>
      <c r="W382">
        <f>IF(Q382="P",IF(F382="",0,IFNA(VLOOKUP(F382,Pitcher_Trait_Coef!$A:$B,2,FALSE),0))+IF(G382="",0,IFNA(VLOOKUP(G382,Pitcher_Trait_Coef!$A:$B,2,FALSE),0)),IF(F382="",0,IFNA(VLOOKUP(F382,Hitter_Trait_Coef!$A:$B,2,FALSE),0))+IF(G382="",0,IFNA(VLOOKUP(G382,Hitter_Trait_Coef!$A:$B,2,FALSE),0)))</f>
        <v/>
      </c>
      <c r="X382">
        <f>IF(Q382="P",IFNA(VLOOKUP(B382,Pitcher_Primary_Coef!$A:$B,2,FALSE),0),IFNA(VLOOKUP(B382,Hitter_Primary_Coef!$A:$B,2,FALSE),0))</f>
        <v/>
      </c>
      <c r="Y382">
        <f>IF(Q382="P",0,IFNA(VLOOKUP(IF(C382="","(none)",C382),Hitter_Secondary_Coef!$A:$B,2,FALSE),0))</f>
        <v/>
      </c>
      <c r="Z382">
        <f>IF(Q382="P",IF(ISNUMBER(SEARCH("2F",H382)),IFNA(VLOOKUP("2F",Pitch_Coef!$A:$B,2,FALSE),0),0)+IF(ISNUMBER(SEARCH("4F",H382)),IFNA(VLOOKUP("4F",Pitch_Coef!$A:$B,2,FALSE),0),0)+IF(ISNUMBER(SEARCH("CB",H382)),IFNA(VLOOKUP("CB",Pitch_Coef!$A:$B,2,FALSE),0),0)+IF(ISNUMBER(SEARCH("CF",H382)),IFNA(VLOOKUP("CF",Pitch_Coef!$A:$B,2,FALSE),0),0)+IF(ISNUMBER(SEARCH("CH",H382)),IFNA(VLOOKUP("CH",Pitch_Coef!$A:$B,2,FALSE),0),0)+IF(ISNUMBER(SEARCH("FK",H382)),IFNA(VLOOKUP("FK",Pitch_Coef!$A:$B,2,FALSE),0),0)+IF(ISNUMBER(SEARCH("SB",H382)),IFNA(VLOOKUP("SB",Pitch_Coef!$A:$B,2,FALSE),0),0)+IF(ISNUMBER(SEARCH("SL",H382)),IFNA(VLOOKUP("SL",Pitch_Coef!$A:$B,2,FALSE),0),0),0)</f>
        <v/>
      </c>
      <c r="AA382">
        <f>IF(Q382="P",16.5944849573+0.2529999141*N382+0.2665900378*O382+0.2632687105*P382+0.0427586837*I382+0.0534777057*J382+0.009015832*K382+0.0204898106*(O382*P382/100)+1.0091022427*U382+1.0968542297*IF(D382="L",1,0)+0.3771555045*IF(D382="S",1,0)-0.2226159177*IF(E382="L",1,0)+1.21385024*R382-1.1652812274*S382+W382+X382+Z382,10.5965166711+0.2825983581*I382+0.2806503532*J382+0.2027213083*K382+0.1147824982*L382+0.0915305332*M382-0.0088454122*(I382*J382/100)-0.0336045706*(K382*L382/100)+2.8497389733*IF(D382="L",1,0)+4.5116226727*IF(D382="S",1,0)-0.6571546448*IF(E382="L",1,0)+0.0850728147*T382+0.0129488446*(T382*T382)+0.1909373936*IF(OR(F382="Utility",G382="Utility"),T382,0)+0.9656824071*R382-1.7517683256*S382+W382+X382+Y382)</f>
        <v/>
      </c>
      <c r="AB382">
        <f>LOOKUP(AA382,Grade_Scale!$A$2:$A$18,Grade_Scale!$B$2:$B$18)</f>
        <v/>
      </c>
      <c r="AC382">
        <f>LOOKUP(AA382,Grade_Scale!$A$2:$A$18,Grade_Scale!$C$2:$C$18)</f>
        <v/>
      </c>
      <c r="AE382">
        <f>IF(AD382="","",AB382-VLOOKUP(AD382,Grade_Scale!$C$2:$E$18,3,FALSE))</f>
        <v/>
      </c>
    </row>
    <row r="383">
      <c r="Q383">
        <f>IF(OR(B383="SP",B383="RP",B383="CP",B383="SP/RP"),"P","H")</f>
        <v/>
      </c>
      <c r="R383">
        <f>IF(F383="",0,IFNA(VLOOKUP(F383,Trait_Polarity!$A:$C,2,FALSE),0))+IF(G383="",0,IFNA(VLOOKUP(G383,Trait_Polarity!$A:$C,2,FALSE),0))</f>
        <v/>
      </c>
      <c r="S383">
        <f>IF(F383="",0,IFNA(VLOOKUP(F383,Trait_Polarity!$A:$C,3,FALSE),0))+IF(G383="",0,IFNA(VLOOKUP(G383,Trait_Polarity!$A:$C,3,FALSE),0))</f>
        <v/>
      </c>
      <c r="T383">
        <f>IF(Q383="P",0,IFNA(VLOOKUP(IF(C383="","(none)",C383),Secondary_Versatility!$A:$B,2,FALSE),0))</f>
        <v/>
      </c>
      <c r="U383">
        <f>IF(H383="",0,LEN(H383)-LEN(SUBSTITUTE(H383,"|",""))+1)</f>
        <v/>
      </c>
      <c r="V383">
        <f>IF(Q383="P",(N383+O383+P383)/3,0.3*I383+0.3*J383+0.2*K383+0.1*L383+0.1*M383)</f>
        <v/>
      </c>
      <c r="W383">
        <f>IF(Q383="P",IF(F383="",0,IFNA(VLOOKUP(F383,Pitcher_Trait_Coef!$A:$B,2,FALSE),0))+IF(G383="",0,IFNA(VLOOKUP(G383,Pitcher_Trait_Coef!$A:$B,2,FALSE),0)),IF(F383="",0,IFNA(VLOOKUP(F383,Hitter_Trait_Coef!$A:$B,2,FALSE),0))+IF(G383="",0,IFNA(VLOOKUP(G383,Hitter_Trait_Coef!$A:$B,2,FALSE),0)))</f>
        <v/>
      </c>
      <c r="X383">
        <f>IF(Q383="P",IFNA(VLOOKUP(B383,Pitcher_Primary_Coef!$A:$B,2,FALSE),0),IFNA(VLOOKUP(B383,Hitter_Primary_Coef!$A:$B,2,FALSE),0))</f>
        <v/>
      </c>
      <c r="Y383">
        <f>IF(Q383="P",0,IFNA(VLOOKUP(IF(C383="","(none)",C383),Hitter_Secondary_Coef!$A:$B,2,FALSE),0))</f>
        <v/>
      </c>
      <c r="Z383">
        <f>IF(Q383="P",IF(ISNUMBER(SEARCH("2F",H383)),IFNA(VLOOKUP("2F",Pitch_Coef!$A:$B,2,FALSE),0),0)+IF(ISNUMBER(SEARCH("4F",H383)),IFNA(VLOOKUP("4F",Pitch_Coef!$A:$B,2,FALSE),0),0)+IF(ISNUMBER(SEARCH("CB",H383)),IFNA(VLOOKUP("CB",Pitch_Coef!$A:$B,2,FALSE),0),0)+IF(ISNUMBER(SEARCH("CF",H383)),IFNA(VLOOKUP("CF",Pitch_Coef!$A:$B,2,FALSE),0),0)+IF(ISNUMBER(SEARCH("CH",H383)),IFNA(VLOOKUP("CH",Pitch_Coef!$A:$B,2,FALSE),0),0)+IF(ISNUMBER(SEARCH("FK",H383)),IFNA(VLOOKUP("FK",Pitch_Coef!$A:$B,2,FALSE),0),0)+IF(ISNUMBER(SEARCH("SB",H383)),IFNA(VLOOKUP("SB",Pitch_Coef!$A:$B,2,FALSE),0),0)+IF(ISNUMBER(SEARCH("SL",H383)),IFNA(VLOOKUP("SL",Pitch_Coef!$A:$B,2,FALSE),0),0),0)</f>
        <v/>
      </c>
      <c r="AA383">
        <f>IF(Q383="P",16.5944849573+0.2529999141*N383+0.2665900378*O383+0.2632687105*P383+0.0427586837*I383+0.0534777057*J383+0.009015832*K383+0.0204898106*(O383*P383/100)+1.0091022427*U383+1.0968542297*IF(D383="L",1,0)+0.3771555045*IF(D383="S",1,0)-0.2226159177*IF(E383="L",1,0)+1.21385024*R383-1.1652812274*S383+W383+X383+Z383,10.5965166711+0.2825983581*I383+0.2806503532*J383+0.2027213083*K383+0.1147824982*L383+0.0915305332*M383-0.0088454122*(I383*J383/100)-0.0336045706*(K383*L383/100)+2.8497389733*IF(D383="L",1,0)+4.5116226727*IF(D383="S",1,0)-0.6571546448*IF(E383="L",1,0)+0.0850728147*T383+0.0129488446*(T383*T383)+0.1909373936*IF(OR(F383="Utility",G383="Utility"),T383,0)+0.9656824071*R383-1.7517683256*S383+W383+X383+Y383)</f>
        <v/>
      </c>
      <c r="AB383">
        <f>LOOKUP(AA383,Grade_Scale!$A$2:$A$18,Grade_Scale!$B$2:$B$18)</f>
        <v/>
      </c>
      <c r="AC383">
        <f>LOOKUP(AA383,Grade_Scale!$A$2:$A$18,Grade_Scale!$C$2:$C$18)</f>
        <v/>
      </c>
      <c r="AE383">
        <f>IF(AD383="","",AB383-VLOOKUP(AD383,Grade_Scale!$C$2:$E$18,3,FALSE))</f>
        <v/>
      </c>
    </row>
    <row r="384">
      <c r="Q384">
        <f>IF(OR(B384="SP",B384="RP",B384="CP",B384="SP/RP"),"P","H")</f>
        <v/>
      </c>
      <c r="R384">
        <f>IF(F384="",0,IFNA(VLOOKUP(F384,Trait_Polarity!$A:$C,2,FALSE),0))+IF(G384="",0,IFNA(VLOOKUP(G384,Trait_Polarity!$A:$C,2,FALSE),0))</f>
        <v/>
      </c>
      <c r="S384">
        <f>IF(F384="",0,IFNA(VLOOKUP(F384,Trait_Polarity!$A:$C,3,FALSE),0))+IF(G384="",0,IFNA(VLOOKUP(G384,Trait_Polarity!$A:$C,3,FALSE),0))</f>
        <v/>
      </c>
      <c r="T384">
        <f>IF(Q384="P",0,IFNA(VLOOKUP(IF(C384="","(none)",C384),Secondary_Versatility!$A:$B,2,FALSE),0))</f>
        <v/>
      </c>
      <c r="U384">
        <f>IF(H384="",0,LEN(H384)-LEN(SUBSTITUTE(H384,"|",""))+1)</f>
        <v/>
      </c>
      <c r="V384">
        <f>IF(Q384="P",(N384+O384+P384)/3,0.3*I384+0.3*J384+0.2*K384+0.1*L384+0.1*M384)</f>
        <v/>
      </c>
      <c r="W384">
        <f>IF(Q384="P",IF(F384="",0,IFNA(VLOOKUP(F384,Pitcher_Trait_Coef!$A:$B,2,FALSE),0))+IF(G384="",0,IFNA(VLOOKUP(G384,Pitcher_Trait_Coef!$A:$B,2,FALSE),0)),IF(F384="",0,IFNA(VLOOKUP(F384,Hitter_Trait_Coef!$A:$B,2,FALSE),0))+IF(G384="",0,IFNA(VLOOKUP(G384,Hitter_Trait_Coef!$A:$B,2,FALSE),0)))</f>
        <v/>
      </c>
      <c r="X384">
        <f>IF(Q384="P",IFNA(VLOOKUP(B384,Pitcher_Primary_Coef!$A:$B,2,FALSE),0),IFNA(VLOOKUP(B384,Hitter_Primary_Coef!$A:$B,2,FALSE),0))</f>
        <v/>
      </c>
      <c r="Y384">
        <f>IF(Q384="P",0,IFNA(VLOOKUP(IF(C384="","(none)",C384),Hitter_Secondary_Coef!$A:$B,2,FALSE),0))</f>
        <v/>
      </c>
      <c r="Z384">
        <f>IF(Q384="P",IF(ISNUMBER(SEARCH("2F",H384)),IFNA(VLOOKUP("2F",Pitch_Coef!$A:$B,2,FALSE),0),0)+IF(ISNUMBER(SEARCH("4F",H384)),IFNA(VLOOKUP("4F",Pitch_Coef!$A:$B,2,FALSE),0),0)+IF(ISNUMBER(SEARCH("CB",H384)),IFNA(VLOOKUP("CB",Pitch_Coef!$A:$B,2,FALSE),0),0)+IF(ISNUMBER(SEARCH("CF",H384)),IFNA(VLOOKUP("CF",Pitch_Coef!$A:$B,2,FALSE),0),0)+IF(ISNUMBER(SEARCH("CH",H384)),IFNA(VLOOKUP("CH",Pitch_Coef!$A:$B,2,FALSE),0),0)+IF(ISNUMBER(SEARCH("FK",H384)),IFNA(VLOOKUP("FK",Pitch_Coef!$A:$B,2,FALSE),0),0)+IF(ISNUMBER(SEARCH("SB",H384)),IFNA(VLOOKUP("SB",Pitch_Coef!$A:$B,2,FALSE),0),0)+IF(ISNUMBER(SEARCH("SL",H384)),IFNA(VLOOKUP("SL",Pitch_Coef!$A:$B,2,FALSE),0),0),0)</f>
        <v/>
      </c>
      <c r="AA384">
        <f>IF(Q384="P",16.5944849573+0.2529999141*N384+0.2665900378*O384+0.2632687105*P384+0.0427586837*I384+0.0534777057*J384+0.009015832*K384+0.0204898106*(O384*P384/100)+1.0091022427*U384+1.0968542297*IF(D384="L",1,0)+0.3771555045*IF(D384="S",1,0)-0.2226159177*IF(E384="L",1,0)+1.21385024*R384-1.1652812274*S384+W384+X384+Z384,10.5965166711+0.2825983581*I384+0.2806503532*J384+0.2027213083*K384+0.1147824982*L384+0.0915305332*M384-0.0088454122*(I384*J384/100)-0.0336045706*(K384*L384/100)+2.8497389733*IF(D384="L",1,0)+4.5116226727*IF(D384="S",1,0)-0.6571546448*IF(E384="L",1,0)+0.0850728147*T384+0.0129488446*(T384*T384)+0.1909373936*IF(OR(F384="Utility",G384="Utility"),T384,0)+0.9656824071*R384-1.7517683256*S384+W384+X384+Y384)</f>
        <v/>
      </c>
      <c r="AB384">
        <f>LOOKUP(AA384,Grade_Scale!$A$2:$A$18,Grade_Scale!$B$2:$B$18)</f>
        <v/>
      </c>
      <c r="AC384">
        <f>LOOKUP(AA384,Grade_Scale!$A$2:$A$18,Grade_Scale!$C$2:$C$18)</f>
        <v/>
      </c>
      <c r="AE384">
        <f>IF(AD384="","",AB384-VLOOKUP(AD384,Grade_Scale!$C$2:$E$18,3,FALSE))</f>
        <v/>
      </c>
    </row>
    <row r="385">
      <c r="Q385">
        <f>IF(OR(B385="SP",B385="RP",B385="CP",B385="SP/RP"),"P","H")</f>
        <v/>
      </c>
      <c r="R385">
        <f>IF(F385="",0,IFNA(VLOOKUP(F385,Trait_Polarity!$A:$C,2,FALSE),0))+IF(G385="",0,IFNA(VLOOKUP(G385,Trait_Polarity!$A:$C,2,FALSE),0))</f>
        <v/>
      </c>
      <c r="S385">
        <f>IF(F385="",0,IFNA(VLOOKUP(F385,Trait_Polarity!$A:$C,3,FALSE),0))+IF(G385="",0,IFNA(VLOOKUP(G385,Trait_Polarity!$A:$C,3,FALSE),0))</f>
        <v/>
      </c>
      <c r="T385">
        <f>IF(Q385="P",0,IFNA(VLOOKUP(IF(C385="","(none)",C385),Secondary_Versatility!$A:$B,2,FALSE),0))</f>
        <v/>
      </c>
      <c r="U385">
        <f>IF(H385="",0,LEN(H385)-LEN(SUBSTITUTE(H385,"|",""))+1)</f>
        <v/>
      </c>
      <c r="V385">
        <f>IF(Q385="P",(N385+O385+P385)/3,0.3*I385+0.3*J385+0.2*K385+0.1*L385+0.1*M385)</f>
        <v/>
      </c>
      <c r="W385">
        <f>IF(Q385="P",IF(F385="",0,IFNA(VLOOKUP(F385,Pitcher_Trait_Coef!$A:$B,2,FALSE),0))+IF(G385="",0,IFNA(VLOOKUP(G385,Pitcher_Trait_Coef!$A:$B,2,FALSE),0)),IF(F385="",0,IFNA(VLOOKUP(F385,Hitter_Trait_Coef!$A:$B,2,FALSE),0))+IF(G385="",0,IFNA(VLOOKUP(G385,Hitter_Trait_Coef!$A:$B,2,FALSE),0)))</f>
        <v/>
      </c>
      <c r="X385">
        <f>IF(Q385="P",IFNA(VLOOKUP(B385,Pitcher_Primary_Coef!$A:$B,2,FALSE),0),IFNA(VLOOKUP(B385,Hitter_Primary_Coef!$A:$B,2,FALSE),0))</f>
        <v/>
      </c>
      <c r="Y385">
        <f>IF(Q385="P",0,IFNA(VLOOKUP(IF(C385="","(none)",C385),Hitter_Secondary_Coef!$A:$B,2,FALSE),0))</f>
        <v/>
      </c>
      <c r="Z385">
        <f>IF(Q385="P",IF(ISNUMBER(SEARCH("2F",H385)),IFNA(VLOOKUP("2F",Pitch_Coef!$A:$B,2,FALSE),0),0)+IF(ISNUMBER(SEARCH("4F",H385)),IFNA(VLOOKUP("4F",Pitch_Coef!$A:$B,2,FALSE),0),0)+IF(ISNUMBER(SEARCH("CB",H385)),IFNA(VLOOKUP("CB",Pitch_Coef!$A:$B,2,FALSE),0),0)+IF(ISNUMBER(SEARCH("CF",H385)),IFNA(VLOOKUP("CF",Pitch_Coef!$A:$B,2,FALSE),0),0)+IF(ISNUMBER(SEARCH("CH",H385)),IFNA(VLOOKUP("CH",Pitch_Coef!$A:$B,2,FALSE),0),0)+IF(ISNUMBER(SEARCH("FK",H385)),IFNA(VLOOKUP("FK",Pitch_Coef!$A:$B,2,FALSE),0),0)+IF(ISNUMBER(SEARCH("SB",H385)),IFNA(VLOOKUP("SB",Pitch_Coef!$A:$B,2,FALSE),0),0)+IF(ISNUMBER(SEARCH("SL",H385)),IFNA(VLOOKUP("SL",Pitch_Coef!$A:$B,2,FALSE),0),0),0)</f>
        <v/>
      </c>
      <c r="AA385">
        <f>IF(Q385="P",16.5944849573+0.2529999141*N385+0.2665900378*O385+0.2632687105*P385+0.0427586837*I385+0.0534777057*J385+0.009015832*K385+0.0204898106*(O385*P385/100)+1.0091022427*U385+1.0968542297*IF(D385="L",1,0)+0.3771555045*IF(D385="S",1,0)-0.2226159177*IF(E385="L",1,0)+1.21385024*R385-1.1652812274*S385+W385+X385+Z385,10.5965166711+0.2825983581*I385+0.2806503532*J385+0.2027213083*K385+0.1147824982*L385+0.0915305332*M385-0.0088454122*(I385*J385/100)-0.0336045706*(K385*L385/100)+2.8497389733*IF(D385="L",1,0)+4.5116226727*IF(D385="S",1,0)-0.6571546448*IF(E385="L",1,0)+0.0850728147*T385+0.0129488446*(T385*T385)+0.1909373936*IF(OR(F385="Utility",G385="Utility"),T385,0)+0.9656824071*R385-1.7517683256*S385+W385+X385+Y385)</f>
        <v/>
      </c>
      <c r="AB385">
        <f>LOOKUP(AA385,Grade_Scale!$A$2:$A$18,Grade_Scale!$B$2:$B$18)</f>
        <v/>
      </c>
      <c r="AC385">
        <f>LOOKUP(AA385,Grade_Scale!$A$2:$A$18,Grade_Scale!$C$2:$C$18)</f>
        <v/>
      </c>
      <c r="AE385">
        <f>IF(AD385="","",AB385-VLOOKUP(AD385,Grade_Scale!$C$2:$E$18,3,FALSE))</f>
        <v/>
      </c>
    </row>
    <row r="386">
      <c r="Q386">
        <f>IF(OR(B386="SP",B386="RP",B386="CP",B386="SP/RP"),"P","H")</f>
        <v/>
      </c>
      <c r="R386">
        <f>IF(F386="",0,IFNA(VLOOKUP(F386,Trait_Polarity!$A:$C,2,FALSE),0))+IF(G386="",0,IFNA(VLOOKUP(G386,Trait_Polarity!$A:$C,2,FALSE),0))</f>
        <v/>
      </c>
      <c r="S386">
        <f>IF(F386="",0,IFNA(VLOOKUP(F386,Trait_Polarity!$A:$C,3,FALSE),0))+IF(G386="",0,IFNA(VLOOKUP(G386,Trait_Polarity!$A:$C,3,FALSE),0))</f>
        <v/>
      </c>
      <c r="T386">
        <f>IF(Q386="P",0,IFNA(VLOOKUP(IF(C386="","(none)",C386),Secondary_Versatility!$A:$B,2,FALSE),0))</f>
        <v/>
      </c>
      <c r="U386">
        <f>IF(H386="",0,LEN(H386)-LEN(SUBSTITUTE(H386,"|",""))+1)</f>
        <v/>
      </c>
      <c r="V386">
        <f>IF(Q386="P",(N386+O386+P386)/3,0.3*I386+0.3*J386+0.2*K386+0.1*L386+0.1*M386)</f>
        <v/>
      </c>
      <c r="W386">
        <f>IF(Q386="P",IF(F386="",0,IFNA(VLOOKUP(F386,Pitcher_Trait_Coef!$A:$B,2,FALSE),0))+IF(G386="",0,IFNA(VLOOKUP(G386,Pitcher_Trait_Coef!$A:$B,2,FALSE),0)),IF(F386="",0,IFNA(VLOOKUP(F386,Hitter_Trait_Coef!$A:$B,2,FALSE),0))+IF(G386="",0,IFNA(VLOOKUP(G386,Hitter_Trait_Coef!$A:$B,2,FALSE),0)))</f>
        <v/>
      </c>
      <c r="X386">
        <f>IF(Q386="P",IFNA(VLOOKUP(B386,Pitcher_Primary_Coef!$A:$B,2,FALSE),0),IFNA(VLOOKUP(B386,Hitter_Primary_Coef!$A:$B,2,FALSE),0))</f>
        <v/>
      </c>
      <c r="Y386">
        <f>IF(Q386="P",0,IFNA(VLOOKUP(IF(C386="","(none)",C386),Hitter_Secondary_Coef!$A:$B,2,FALSE),0))</f>
        <v/>
      </c>
      <c r="Z386">
        <f>IF(Q386="P",IF(ISNUMBER(SEARCH("2F",H386)),IFNA(VLOOKUP("2F",Pitch_Coef!$A:$B,2,FALSE),0),0)+IF(ISNUMBER(SEARCH("4F",H386)),IFNA(VLOOKUP("4F",Pitch_Coef!$A:$B,2,FALSE),0),0)+IF(ISNUMBER(SEARCH("CB",H386)),IFNA(VLOOKUP("CB",Pitch_Coef!$A:$B,2,FALSE),0),0)+IF(ISNUMBER(SEARCH("CF",H386)),IFNA(VLOOKUP("CF",Pitch_Coef!$A:$B,2,FALSE),0),0)+IF(ISNUMBER(SEARCH("CH",H386)),IFNA(VLOOKUP("CH",Pitch_Coef!$A:$B,2,FALSE),0),0)+IF(ISNUMBER(SEARCH("FK",H386)),IFNA(VLOOKUP("FK",Pitch_Coef!$A:$B,2,FALSE),0),0)+IF(ISNUMBER(SEARCH("SB",H386)),IFNA(VLOOKUP("SB",Pitch_Coef!$A:$B,2,FALSE),0),0)+IF(ISNUMBER(SEARCH("SL",H386)),IFNA(VLOOKUP("SL",Pitch_Coef!$A:$B,2,FALSE),0),0),0)</f>
        <v/>
      </c>
      <c r="AA386">
        <f>IF(Q386="P",16.5944849573+0.2529999141*N386+0.2665900378*O386+0.2632687105*P386+0.0427586837*I386+0.0534777057*J386+0.009015832*K386+0.0204898106*(O386*P386/100)+1.0091022427*U386+1.0968542297*IF(D386="L",1,0)+0.3771555045*IF(D386="S",1,0)-0.2226159177*IF(E386="L",1,0)+1.21385024*R386-1.1652812274*S386+W386+X386+Z386,10.5965166711+0.2825983581*I386+0.2806503532*J386+0.2027213083*K386+0.1147824982*L386+0.0915305332*M386-0.0088454122*(I386*J386/100)-0.0336045706*(K386*L386/100)+2.8497389733*IF(D386="L",1,0)+4.5116226727*IF(D386="S",1,0)-0.6571546448*IF(E386="L",1,0)+0.0850728147*T386+0.0129488446*(T386*T386)+0.1909373936*IF(OR(F386="Utility",G386="Utility"),T386,0)+0.9656824071*R386-1.7517683256*S386+W386+X386+Y386)</f>
        <v/>
      </c>
      <c r="AB386">
        <f>LOOKUP(AA386,Grade_Scale!$A$2:$A$18,Grade_Scale!$B$2:$B$18)</f>
        <v/>
      </c>
      <c r="AC386">
        <f>LOOKUP(AA386,Grade_Scale!$A$2:$A$18,Grade_Scale!$C$2:$C$18)</f>
        <v/>
      </c>
      <c r="AE386">
        <f>IF(AD386="","",AB386-VLOOKUP(AD386,Grade_Scale!$C$2:$E$18,3,FALSE))</f>
        <v/>
      </c>
    </row>
    <row r="387">
      <c r="Q387">
        <f>IF(OR(B387="SP",B387="RP",B387="CP",B387="SP/RP"),"P","H")</f>
        <v/>
      </c>
      <c r="R387">
        <f>IF(F387="",0,IFNA(VLOOKUP(F387,Trait_Polarity!$A:$C,2,FALSE),0))+IF(G387="",0,IFNA(VLOOKUP(G387,Trait_Polarity!$A:$C,2,FALSE),0))</f>
        <v/>
      </c>
      <c r="S387">
        <f>IF(F387="",0,IFNA(VLOOKUP(F387,Trait_Polarity!$A:$C,3,FALSE),0))+IF(G387="",0,IFNA(VLOOKUP(G387,Trait_Polarity!$A:$C,3,FALSE),0))</f>
        <v/>
      </c>
      <c r="T387">
        <f>IF(Q387="P",0,IFNA(VLOOKUP(IF(C387="","(none)",C387),Secondary_Versatility!$A:$B,2,FALSE),0))</f>
        <v/>
      </c>
      <c r="U387">
        <f>IF(H387="",0,LEN(H387)-LEN(SUBSTITUTE(H387,"|",""))+1)</f>
        <v/>
      </c>
      <c r="V387">
        <f>IF(Q387="P",(N387+O387+P387)/3,0.3*I387+0.3*J387+0.2*K387+0.1*L387+0.1*M387)</f>
        <v/>
      </c>
      <c r="W387">
        <f>IF(Q387="P",IF(F387="",0,IFNA(VLOOKUP(F387,Pitcher_Trait_Coef!$A:$B,2,FALSE),0))+IF(G387="",0,IFNA(VLOOKUP(G387,Pitcher_Trait_Coef!$A:$B,2,FALSE),0)),IF(F387="",0,IFNA(VLOOKUP(F387,Hitter_Trait_Coef!$A:$B,2,FALSE),0))+IF(G387="",0,IFNA(VLOOKUP(G387,Hitter_Trait_Coef!$A:$B,2,FALSE),0)))</f>
        <v/>
      </c>
      <c r="X387">
        <f>IF(Q387="P",IFNA(VLOOKUP(B387,Pitcher_Primary_Coef!$A:$B,2,FALSE),0),IFNA(VLOOKUP(B387,Hitter_Primary_Coef!$A:$B,2,FALSE),0))</f>
        <v/>
      </c>
      <c r="Y387">
        <f>IF(Q387="P",0,IFNA(VLOOKUP(IF(C387="","(none)",C387),Hitter_Secondary_Coef!$A:$B,2,FALSE),0))</f>
        <v/>
      </c>
      <c r="Z387">
        <f>IF(Q387="P",IF(ISNUMBER(SEARCH("2F",H387)),IFNA(VLOOKUP("2F",Pitch_Coef!$A:$B,2,FALSE),0),0)+IF(ISNUMBER(SEARCH("4F",H387)),IFNA(VLOOKUP("4F",Pitch_Coef!$A:$B,2,FALSE),0),0)+IF(ISNUMBER(SEARCH("CB",H387)),IFNA(VLOOKUP("CB",Pitch_Coef!$A:$B,2,FALSE),0),0)+IF(ISNUMBER(SEARCH("CF",H387)),IFNA(VLOOKUP("CF",Pitch_Coef!$A:$B,2,FALSE),0),0)+IF(ISNUMBER(SEARCH("CH",H387)),IFNA(VLOOKUP("CH",Pitch_Coef!$A:$B,2,FALSE),0),0)+IF(ISNUMBER(SEARCH("FK",H387)),IFNA(VLOOKUP("FK",Pitch_Coef!$A:$B,2,FALSE),0),0)+IF(ISNUMBER(SEARCH("SB",H387)),IFNA(VLOOKUP("SB",Pitch_Coef!$A:$B,2,FALSE),0),0)+IF(ISNUMBER(SEARCH("SL",H387)),IFNA(VLOOKUP("SL",Pitch_Coef!$A:$B,2,FALSE),0),0),0)</f>
        <v/>
      </c>
      <c r="AA387">
        <f>IF(Q387="P",16.5944849573+0.2529999141*N387+0.2665900378*O387+0.2632687105*P387+0.0427586837*I387+0.0534777057*J387+0.009015832*K387+0.0204898106*(O387*P387/100)+1.0091022427*U387+1.0968542297*IF(D387="L",1,0)+0.3771555045*IF(D387="S",1,0)-0.2226159177*IF(E387="L",1,0)+1.21385024*R387-1.1652812274*S387+W387+X387+Z387,10.5965166711+0.2825983581*I387+0.2806503532*J387+0.2027213083*K387+0.1147824982*L387+0.0915305332*M387-0.0088454122*(I387*J387/100)-0.0336045706*(K387*L387/100)+2.8497389733*IF(D387="L",1,0)+4.5116226727*IF(D387="S",1,0)-0.6571546448*IF(E387="L",1,0)+0.0850728147*T387+0.0129488446*(T387*T387)+0.1909373936*IF(OR(F387="Utility",G387="Utility"),T387,0)+0.9656824071*R387-1.7517683256*S387+W387+X387+Y387)</f>
        <v/>
      </c>
      <c r="AB387">
        <f>LOOKUP(AA387,Grade_Scale!$A$2:$A$18,Grade_Scale!$B$2:$B$18)</f>
        <v/>
      </c>
      <c r="AC387">
        <f>LOOKUP(AA387,Grade_Scale!$A$2:$A$18,Grade_Scale!$C$2:$C$18)</f>
        <v/>
      </c>
      <c r="AE387">
        <f>IF(AD387="","",AB387-VLOOKUP(AD387,Grade_Scale!$C$2:$E$18,3,FALSE))</f>
        <v/>
      </c>
    </row>
    <row r="388">
      <c r="Q388">
        <f>IF(OR(B388="SP",B388="RP",B388="CP",B388="SP/RP"),"P","H")</f>
        <v/>
      </c>
      <c r="R388">
        <f>IF(F388="",0,IFNA(VLOOKUP(F388,Trait_Polarity!$A:$C,2,FALSE),0))+IF(G388="",0,IFNA(VLOOKUP(G388,Trait_Polarity!$A:$C,2,FALSE),0))</f>
        <v/>
      </c>
      <c r="S388">
        <f>IF(F388="",0,IFNA(VLOOKUP(F388,Trait_Polarity!$A:$C,3,FALSE),0))+IF(G388="",0,IFNA(VLOOKUP(G388,Trait_Polarity!$A:$C,3,FALSE),0))</f>
        <v/>
      </c>
      <c r="T388">
        <f>IF(Q388="P",0,IFNA(VLOOKUP(IF(C388="","(none)",C388),Secondary_Versatility!$A:$B,2,FALSE),0))</f>
        <v/>
      </c>
      <c r="U388">
        <f>IF(H388="",0,LEN(H388)-LEN(SUBSTITUTE(H388,"|",""))+1)</f>
        <v/>
      </c>
      <c r="V388">
        <f>IF(Q388="P",(N388+O388+P388)/3,0.3*I388+0.3*J388+0.2*K388+0.1*L388+0.1*M388)</f>
        <v/>
      </c>
      <c r="W388">
        <f>IF(Q388="P",IF(F388="",0,IFNA(VLOOKUP(F388,Pitcher_Trait_Coef!$A:$B,2,FALSE),0))+IF(G388="",0,IFNA(VLOOKUP(G388,Pitcher_Trait_Coef!$A:$B,2,FALSE),0)),IF(F388="",0,IFNA(VLOOKUP(F388,Hitter_Trait_Coef!$A:$B,2,FALSE),0))+IF(G388="",0,IFNA(VLOOKUP(G388,Hitter_Trait_Coef!$A:$B,2,FALSE),0)))</f>
        <v/>
      </c>
      <c r="X388">
        <f>IF(Q388="P",IFNA(VLOOKUP(B388,Pitcher_Primary_Coef!$A:$B,2,FALSE),0),IFNA(VLOOKUP(B388,Hitter_Primary_Coef!$A:$B,2,FALSE),0))</f>
        <v/>
      </c>
      <c r="Y388">
        <f>IF(Q388="P",0,IFNA(VLOOKUP(IF(C388="","(none)",C388),Hitter_Secondary_Coef!$A:$B,2,FALSE),0))</f>
        <v/>
      </c>
      <c r="Z388">
        <f>IF(Q388="P",IF(ISNUMBER(SEARCH("2F",H388)),IFNA(VLOOKUP("2F",Pitch_Coef!$A:$B,2,FALSE),0),0)+IF(ISNUMBER(SEARCH("4F",H388)),IFNA(VLOOKUP("4F",Pitch_Coef!$A:$B,2,FALSE),0),0)+IF(ISNUMBER(SEARCH("CB",H388)),IFNA(VLOOKUP("CB",Pitch_Coef!$A:$B,2,FALSE),0),0)+IF(ISNUMBER(SEARCH("CF",H388)),IFNA(VLOOKUP("CF",Pitch_Coef!$A:$B,2,FALSE),0),0)+IF(ISNUMBER(SEARCH("CH",H388)),IFNA(VLOOKUP("CH",Pitch_Coef!$A:$B,2,FALSE),0),0)+IF(ISNUMBER(SEARCH("FK",H388)),IFNA(VLOOKUP("FK",Pitch_Coef!$A:$B,2,FALSE),0),0)+IF(ISNUMBER(SEARCH("SB",H388)),IFNA(VLOOKUP("SB",Pitch_Coef!$A:$B,2,FALSE),0),0)+IF(ISNUMBER(SEARCH("SL",H388)),IFNA(VLOOKUP("SL",Pitch_Coef!$A:$B,2,FALSE),0),0),0)</f>
        <v/>
      </c>
      <c r="AA388">
        <f>IF(Q388="P",16.5944849573+0.2529999141*N388+0.2665900378*O388+0.2632687105*P388+0.0427586837*I388+0.0534777057*J388+0.009015832*K388+0.0204898106*(O388*P388/100)+1.0091022427*U388+1.0968542297*IF(D388="L",1,0)+0.3771555045*IF(D388="S",1,0)-0.2226159177*IF(E388="L",1,0)+1.21385024*R388-1.1652812274*S388+W388+X388+Z388,10.5965166711+0.2825983581*I388+0.2806503532*J388+0.2027213083*K388+0.1147824982*L388+0.0915305332*M388-0.0088454122*(I388*J388/100)-0.0336045706*(K388*L388/100)+2.8497389733*IF(D388="L",1,0)+4.5116226727*IF(D388="S",1,0)-0.6571546448*IF(E388="L",1,0)+0.0850728147*T388+0.0129488446*(T388*T388)+0.1909373936*IF(OR(F388="Utility",G388="Utility"),T388,0)+0.9656824071*R388-1.7517683256*S388+W388+X388+Y388)</f>
        <v/>
      </c>
      <c r="AB388">
        <f>LOOKUP(AA388,Grade_Scale!$A$2:$A$18,Grade_Scale!$B$2:$B$18)</f>
        <v/>
      </c>
      <c r="AC388">
        <f>LOOKUP(AA388,Grade_Scale!$A$2:$A$18,Grade_Scale!$C$2:$C$18)</f>
        <v/>
      </c>
      <c r="AE388">
        <f>IF(AD388="","",AB388-VLOOKUP(AD388,Grade_Scale!$C$2:$E$18,3,FALSE))</f>
        <v/>
      </c>
    </row>
    <row r="389">
      <c r="Q389">
        <f>IF(OR(B389="SP",B389="RP",B389="CP",B389="SP/RP"),"P","H")</f>
        <v/>
      </c>
      <c r="R389">
        <f>IF(F389="",0,IFNA(VLOOKUP(F389,Trait_Polarity!$A:$C,2,FALSE),0))+IF(G389="",0,IFNA(VLOOKUP(G389,Trait_Polarity!$A:$C,2,FALSE),0))</f>
        <v/>
      </c>
      <c r="S389">
        <f>IF(F389="",0,IFNA(VLOOKUP(F389,Trait_Polarity!$A:$C,3,FALSE),0))+IF(G389="",0,IFNA(VLOOKUP(G389,Trait_Polarity!$A:$C,3,FALSE),0))</f>
        <v/>
      </c>
      <c r="T389">
        <f>IF(Q389="P",0,IFNA(VLOOKUP(IF(C389="","(none)",C389),Secondary_Versatility!$A:$B,2,FALSE),0))</f>
        <v/>
      </c>
      <c r="U389">
        <f>IF(H389="",0,LEN(H389)-LEN(SUBSTITUTE(H389,"|",""))+1)</f>
        <v/>
      </c>
      <c r="V389">
        <f>IF(Q389="P",(N389+O389+P389)/3,0.3*I389+0.3*J389+0.2*K389+0.1*L389+0.1*M389)</f>
        <v/>
      </c>
      <c r="W389">
        <f>IF(Q389="P",IF(F389="",0,IFNA(VLOOKUP(F389,Pitcher_Trait_Coef!$A:$B,2,FALSE),0))+IF(G389="",0,IFNA(VLOOKUP(G389,Pitcher_Trait_Coef!$A:$B,2,FALSE),0)),IF(F389="",0,IFNA(VLOOKUP(F389,Hitter_Trait_Coef!$A:$B,2,FALSE),0))+IF(G389="",0,IFNA(VLOOKUP(G389,Hitter_Trait_Coef!$A:$B,2,FALSE),0)))</f>
        <v/>
      </c>
      <c r="X389">
        <f>IF(Q389="P",IFNA(VLOOKUP(B389,Pitcher_Primary_Coef!$A:$B,2,FALSE),0),IFNA(VLOOKUP(B389,Hitter_Primary_Coef!$A:$B,2,FALSE),0))</f>
        <v/>
      </c>
      <c r="Y389">
        <f>IF(Q389="P",0,IFNA(VLOOKUP(IF(C389="","(none)",C389),Hitter_Secondary_Coef!$A:$B,2,FALSE),0))</f>
        <v/>
      </c>
      <c r="Z389">
        <f>IF(Q389="P",IF(ISNUMBER(SEARCH("2F",H389)),IFNA(VLOOKUP("2F",Pitch_Coef!$A:$B,2,FALSE),0),0)+IF(ISNUMBER(SEARCH("4F",H389)),IFNA(VLOOKUP("4F",Pitch_Coef!$A:$B,2,FALSE),0),0)+IF(ISNUMBER(SEARCH("CB",H389)),IFNA(VLOOKUP("CB",Pitch_Coef!$A:$B,2,FALSE),0),0)+IF(ISNUMBER(SEARCH("CF",H389)),IFNA(VLOOKUP("CF",Pitch_Coef!$A:$B,2,FALSE),0),0)+IF(ISNUMBER(SEARCH("CH",H389)),IFNA(VLOOKUP("CH",Pitch_Coef!$A:$B,2,FALSE),0),0)+IF(ISNUMBER(SEARCH("FK",H389)),IFNA(VLOOKUP("FK",Pitch_Coef!$A:$B,2,FALSE),0),0)+IF(ISNUMBER(SEARCH("SB",H389)),IFNA(VLOOKUP("SB",Pitch_Coef!$A:$B,2,FALSE),0),0)+IF(ISNUMBER(SEARCH("SL",H389)),IFNA(VLOOKUP("SL",Pitch_Coef!$A:$B,2,FALSE),0),0),0)</f>
        <v/>
      </c>
      <c r="AA389">
        <f>IF(Q389="P",16.5944849573+0.2529999141*N389+0.2665900378*O389+0.2632687105*P389+0.0427586837*I389+0.0534777057*J389+0.009015832*K389+0.0204898106*(O389*P389/100)+1.0091022427*U389+1.0968542297*IF(D389="L",1,0)+0.3771555045*IF(D389="S",1,0)-0.2226159177*IF(E389="L",1,0)+1.21385024*R389-1.1652812274*S389+W389+X389+Z389,10.5965166711+0.2825983581*I389+0.2806503532*J389+0.2027213083*K389+0.1147824982*L389+0.0915305332*M389-0.0088454122*(I389*J389/100)-0.0336045706*(K389*L389/100)+2.8497389733*IF(D389="L",1,0)+4.5116226727*IF(D389="S",1,0)-0.6571546448*IF(E389="L",1,0)+0.0850728147*T389+0.0129488446*(T389*T389)+0.1909373936*IF(OR(F389="Utility",G389="Utility"),T389,0)+0.9656824071*R389-1.7517683256*S389+W389+X389+Y389)</f>
        <v/>
      </c>
      <c r="AB389">
        <f>LOOKUP(AA389,Grade_Scale!$A$2:$A$18,Grade_Scale!$B$2:$B$18)</f>
        <v/>
      </c>
      <c r="AC389">
        <f>LOOKUP(AA389,Grade_Scale!$A$2:$A$18,Grade_Scale!$C$2:$C$18)</f>
        <v/>
      </c>
      <c r="AE389">
        <f>IF(AD389="","",AB389-VLOOKUP(AD389,Grade_Scale!$C$2:$E$18,3,FALSE))</f>
        <v/>
      </c>
    </row>
    <row r="390">
      <c r="Q390">
        <f>IF(OR(B390="SP",B390="RP",B390="CP",B390="SP/RP"),"P","H")</f>
        <v/>
      </c>
      <c r="R390">
        <f>IF(F390="",0,IFNA(VLOOKUP(F390,Trait_Polarity!$A:$C,2,FALSE),0))+IF(G390="",0,IFNA(VLOOKUP(G390,Trait_Polarity!$A:$C,2,FALSE),0))</f>
        <v/>
      </c>
      <c r="S390">
        <f>IF(F390="",0,IFNA(VLOOKUP(F390,Trait_Polarity!$A:$C,3,FALSE),0))+IF(G390="",0,IFNA(VLOOKUP(G390,Trait_Polarity!$A:$C,3,FALSE),0))</f>
        <v/>
      </c>
      <c r="T390">
        <f>IF(Q390="P",0,IFNA(VLOOKUP(IF(C390="","(none)",C390),Secondary_Versatility!$A:$B,2,FALSE),0))</f>
        <v/>
      </c>
      <c r="U390">
        <f>IF(H390="",0,LEN(H390)-LEN(SUBSTITUTE(H390,"|",""))+1)</f>
        <v/>
      </c>
      <c r="V390">
        <f>IF(Q390="P",(N390+O390+P390)/3,0.3*I390+0.3*J390+0.2*K390+0.1*L390+0.1*M390)</f>
        <v/>
      </c>
      <c r="W390">
        <f>IF(Q390="P",IF(F390="",0,IFNA(VLOOKUP(F390,Pitcher_Trait_Coef!$A:$B,2,FALSE),0))+IF(G390="",0,IFNA(VLOOKUP(G390,Pitcher_Trait_Coef!$A:$B,2,FALSE),0)),IF(F390="",0,IFNA(VLOOKUP(F390,Hitter_Trait_Coef!$A:$B,2,FALSE),0))+IF(G390="",0,IFNA(VLOOKUP(G390,Hitter_Trait_Coef!$A:$B,2,FALSE),0)))</f>
        <v/>
      </c>
      <c r="X390">
        <f>IF(Q390="P",IFNA(VLOOKUP(B390,Pitcher_Primary_Coef!$A:$B,2,FALSE),0),IFNA(VLOOKUP(B390,Hitter_Primary_Coef!$A:$B,2,FALSE),0))</f>
        <v/>
      </c>
      <c r="Y390">
        <f>IF(Q390="P",0,IFNA(VLOOKUP(IF(C390="","(none)",C390),Hitter_Secondary_Coef!$A:$B,2,FALSE),0))</f>
        <v/>
      </c>
      <c r="Z390">
        <f>IF(Q390="P",IF(ISNUMBER(SEARCH("2F",H390)),IFNA(VLOOKUP("2F",Pitch_Coef!$A:$B,2,FALSE),0),0)+IF(ISNUMBER(SEARCH("4F",H390)),IFNA(VLOOKUP("4F",Pitch_Coef!$A:$B,2,FALSE),0),0)+IF(ISNUMBER(SEARCH("CB",H390)),IFNA(VLOOKUP("CB",Pitch_Coef!$A:$B,2,FALSE),0),0)+IF(ISNUMBER(SEARCH("CF",H390)),IFNA(VLOOKUP("CF",Pitch_Coef!$A:$B,2,FALSE),0),0)+IF(ISNUMBER(SEARCH("CH",H390)),IFNA(VLOOKUP("CH",Pitch_Coef!$A:$B,2,FALSE),0),0)+IF(ISNUMBER(SEARCH("FK",H390)),IFNA(VLOOKUP("FK",Pitch_Coef!$A:$B,2,FALSE),0),0)+IF(ISNUMBER(SEARCH("SB",H390)),IFNA(VLOOKUP("SB",Pitch_Coef!$A:$B,2,FALSE),0),0)+IF(ISNUMBER(SEARCH("SL",H390)),IFNA(VLOOKUP("SL",Pitch_Coef!$A:$B,2,FALSE),0),0),0)</f>
        <v/>
      </c>
      <c r="AA390">
        <f>IF(Q390="P",16.5944849573+0.2529999141*N390+0.2665900378*O390+0.2632687105*P390+0.0427586837*I390+0.0534777057*J390+0.009015832*K390+0.0204898106*(O390*P390/100)+1.0091022427*U390+1.0968542297*IF(D390="L",1,0)+0.3771555045*IF(D390="S",1,0)-0.2226159177*IF(E390="L",1,0)+1.21385024*R390-1.1652812274*S390+W390+X390+Z390,10.5965166711+0.2825983581*I390+0.2806503532*J390+0.2027213083*K390+0.1147824982*L390+0.0915305332*M390-0.0088454122*(I390*J390/100)-0.0336045706*(K390*L390/100)+2.8497389733*IF(D390="L",1,0)+4.5116226727*IF(D390="S",1,0)-0.6571546448*IF(E390="L",1,0)+0.0850728147*T390+0.0129488446*(T390*T390)+0.1909373936*IF(OR(F390="Utility",G390="Utility"),T390,0)+0.9656824071*R390-1.7517683256*S390+W390+X390+Y390)</f>
        <v/>
      </c>
      <c r="AB390">
        <f>LOOKUP(AA390,Grade_Scale!$A$2:$A$18,Grade_Scale!$B$2:$B$18)</f>
        <v/>
      </c>
      <c r="AC390">
        <f>LOOKUP(AA390,Grade_Scale!$A$2:$A$18,Grade_Scale!$C$2:$C$18)</f>
        <v/>
      </c>
      <c r="AE390">
        <f>IF(AD390="","",AB390-VLOOKUP(AD390,Grade_Scale!$C$2:$E$18,3,FALSE))</f>
        <v/>
      </c>
    </row>
    <row r="391">
      <c r="Q391">
        <f>IF(OR(B391="SP",B391="RP",B391="CP",B391="SP/RP"),"P","H")</f>
        <v/>
      </c>
      <c r="R391">
        <f>IF(F391="",0,IFNA(VLOOKUP(F391,Trait_Polarity!$A:$C,2,FALSE),0))+IF(G391="",0,IFNA(VLOOKUP(G391,Trait_Polarity!$A:$C,2,FALSE),0))</f>
        <v/>
      </c>
      <c r="S391">
        <f>IF(F391="",0,IFNA(VLOOKUP(F391,Trait_Polarity!$A:$C,3,FALSE),0))+IF(G391="",0,IFNA(VLOOKUP(G391,Trait_Polarity!$A:$C,3,FALSE),0))</f>
        <v/>
      </c>
      <c r="T391">
        <f>IF(Q391="P",0,IFNA(VLOOKUP(IF(C391="","(none)",C391),Secondary_Versatility!$A:$B,2,FALSE),0))</f>
        <v/>
      </c>
      <c r="U391">
        <f>IF(H391="",0,LEN(H391)-LEN(SUBSTITUTE(H391,"|",""))+1)</f>
        <v/>
      </c>
      <c r="V391">
        <f>IF(Q391="P",(N391+O391+P391)/3,0.3*I391+0.3*J391+0.2*K391+0.1*L391+0.1*M391)</f>
        <v/>
      </c>
      <c r="W391">
        <f>IF(Q391="P",IF(F391="",0,IFNA(VLOOKUP(F391,Pitcher_Trait_Coef!$A:$B,2,FALSE),0))+IF(G391="",0,IFNA(VLOOKUP(G391,Pitcher_Trait_Coef!$A:$B,2,FALSE),0)),IF(F391="",0,IFNA(VLOOKUP(F391,Hitter_Trait_Coef!$A:$B,2,FALSE),0))+IF(G391="",0,IFNA(VLOOKUP(G391,Hitter_Trait_Coef!$A:$B,2,FALSE),0)))</f>
        <v/>
      </c>
      <c r="X391">
        <f>IF(Q391="P",IFNA(VLOOKUP(B391,Pitcher_Primary_Coef!$A:$B,2,FALSE),0),IFNA(VLOOKUP(B391,Hitter_Primary_Coef!$A:$B,2,FALSE),0))</f>
        <v/>
      </c>
      <c r="Y391">
        <f>IF(Q391="P",0,IFNA(VLOOKUP(IF(C391="","(none)",C391),Hitter_Secondary_Coef!$A:$B,2,FALSE),0))</f>
        <v/>
      </c>
      <c r="Z391">
        <f>IF(Q391="P",IF(ISNUMBER(SEARCH("2F",H391)),IFNA(VLOOKUP("2F",Pitch_Coef!$A:$B,2,FALSE),0),0)+IF(ISNUMBER(SEARCH("4F",H391)),IFNA(VLOOKUP("4F",Pitch_Coef!$A:$B,2,FALSE),0),0)+IF(ISNUMBER(SEARCH("CB",H391)),IFNA(VLOOKUP("CB",Pitch_Coef!$A:$B,2,FALSE),0),0)+IF(ISNUMBER(SEARCH("CF",H391)),IFNA(VLOOKUP("CF",Pitch_Coef!$A:$B,2,FALSE),0),0)+IF(ISNUMBER(SEARCH("CH",H391)),IFNA(VLOOKUP("CH",Pitch_Coef!$A:$B,2,FALSE),0),0)+IF(ISNUMBER(SEARCH("FK",H391)),IFNA(VLOOKUP("FK",Pitch_Coef!$A:$B,2,FALSE),0),0)+IF(ISNUMBER(SEARCH("SB",H391)),IFNA(VLOOKUP("SB",Pitch_Coef!$A:$B,2,FALSE),0),0)+IF(ISNUMBER(SEARCH("SL",H391)),IFNA(VLOOKUP("SL",Pitch_Coef!$A:$B,2,FALSE),0),0),0)</f>
        <v/>
      </c>
      <c r="AA391">
        <f>IF(Q391="P",16.5944849573+0.2529999141*N391+0.2665900378*O391+0.2632687105*P391+0.0427586837*I391+0.0534777057*J391+0.009015832*K391+0.0204898106*(O391*P391/100)+1.0091022427*U391+1.0968542297*IF(D391="L",1,0)+0.3771555045*IF(D391="S",1,0)-0.2226159177*IF(E391="L",1,0)+1.21385024*R391-1.1652812274*S391+W391+X391+Z391,10.5965166711+0.2825983581*I391+0.2806503532*J391+0.2027213083*K391+0.1147824982*L391+0.0915305332*M391-0.0088454122*(I391*J391/100)-0.0336045706*(K391*L391/100)+2.8497389733*IF(D391="L",1,0)+4.5116226727*IF(D391="S",1,0)-0.6571546448*IF(E391="L",1,0)+0.0850728147*T391+0.0129488446*(T391*T391)+0.1909373936*IF(OR(F391="Utility",G391="Utility"),T391,0)+0.9656824071*R391-1.7517683256*S391+W391+X391+Y391)</f>
        <v/>
      </c>
      <c r="AB391">
        <f>LOOKUP(AA391,Grade_Scale!$A$2:$A$18,Grade_Scale!$B$2:$B$18)</f>
        <v/>
      </c>
      <c r="AC391">
        <f>LOOKUP(AA391,Grade_Scale!$A$2:$A$18,Grade_Scale!$C$2:$C$18)</f>
        <v/>
      </c>
      <c r="AE391">
        <f>IF(AD391="","",AB391-VLOOKUP(AD391,Grade_Scale!$C$2:$E$18,3,FALSE))</f>
        <v/>
      </c>
    </row>
    <row r="392">
      <c r="Q392">
        <f>IF(OR(B392="SP",B392="RP",B392="CP",B392="SP/RP"),"P","H")</f>
        <v/>
      </c>
      <c r="R392">
        <f>IF(F392="",0,IFNA(VLOOKUP(F392,Trait_Polarity!$A:$C,2,FALSE),0))+IF(G392="",0,IFNA(VLOOKUP(G392,Trait_Polarity!$A:$C,2,FALSE),0))</f>
        <v/>
      </c>
      <c r="S392">
        <f>IF(F392="",0,IFNA(VLOOKUP(F392,Trait_Polarity!$A:$C,3,FALSE),0))+IF(G392="",0,IFNA(VLOOKUP(G392,Trait_Polarity!$A:$C,3,FALSE),0))</f>
        <v/>
      </c>
      <c r="T392">
        <f>IF(Q392="P",0,IFNA(VLOOKUP(IF(C392="","(none)",C392),Secondary_Versatility!$A:$B,2,FALSE),0))</f>
        <v/>
      </c>
      <c r="U392">
        <f>IF(H392="",0,LEN(H392)-LEN(SUBSTITUTE(H392,"|",""))+1)</f>
        <v/>
      </c>
      <c r="V392">
        <f>IF(Q392="P",(N392+O392+P392)/3,0.3*I392+0.3*J392+0.2*K392+0.1*L392+0.1*M392)</f>
        <v/>
      </c>
      <c r="W392">
        <f>IF(Q392="P",IF(F392="",0,IFNA(VLOOKUP(F392,Pitcher_Trait_Coef!$A:$B,2,FALSE),0))+IF(G392="",0,IFNA(VLOOKUP(G392,Pitcher_Trait_Coef!$A:$B,2,FALSE),0)),IF(F392="",0,IFNA(VLOOKUP(F392,Hitter_Trait_Coef!$A:$B,2,FALSE),0))+IF(G392="",0,IFNA(VLOOKUP(G392,Hitter_Trait_Coef!$A:$B,2,FALSE),0)))</f>
        <v/>
      </c>
      <c r="X392">
        <f>IF(Q392="P",IFNA(VLOOKUP(B392,Pitcher_Primary_Coef!$A:$B,2,FALSE),0),IFNA(VLOOKUP(B392,Hitter_Primary_Coef!$A:$B,2,FALSE),0))</f>
        <v/>
      </c>
      <c r="Y392">
        <f>IF(Q392="P",0,IFNA(VLOOKUP(IF(C392="","(none)",C392),Hitter_Secondary_Coef!$A:$B,2,FALSE),0))</f>
        <v/>
      </c>
      <c r="Z392">
        <f>IF(Q392="P",IF(ISNUMBER(SEARCH("2F",H392)),IFNA(VLOOKUP("2F",Pitch_Coef!$A:$B,2,FALSE),0),0)+IF(ISNUMBER(SEARCH("4F",H392)),IFNA(VLOOKUP("4F",Pitch_Coef!$A:$B,2,FALSE),0),0)+IF(ISNUMBER(SEARCH("CB",H392)),IFNA(VLOOKUP("CB",Pitch_Coef!$A:$B,2,FALSE),0),0)+IF(ISNUMBER(SEARCH("CF",H392)),IFNA(VLOOKUP("CF",Pitch_Coef!$A:$B,2,FALSE),0),0)+IF(ISNUMBER(SEARCH("CH",H392)),IFNA(VLOOKUP("CH",Pitch_Coef!$A:$B,2,FALSE),0),0)+IF(ISNUMBER(SEARCH("FK",H392)),IFNA(VLOOKUP("FK",Pitch_Coef!$A:$B,2,FALSE),0),0)+IF(ISNUMBER(SEARCH("SB",H392)),IFNA(VLOOKUP("SB",Pitch_Coef!$A:$B,2,FALSE),0),0)+IF(ISNUMBER(SEARCH("SL",H392)),IFNA(VLOOKUP("SL",Pitch_Coef!$A:$B,2,FALSE),0),0),0)</f>
        <v/>
      </c>
      <c r="AA392">
        <f>IF(Q392="P",16.5944849573+0.2529999141*N392+0.2665900378*O392+0.2632687105*P392+0.0427586837*I392+0.0534777057*J392+0.009015832*K392+0.0204898106*(O392*P392/100)+1.0091022427*U392+1.0968542297*IF(D392="L",1,0)+0.3771555045*IF(D392="S",1,0)-0.2226159177*IF(E392="L",1,0)+1.21385024*R392-1.1652812274*S392+W392+X392+Z392,10.5965166711+0.2825983581*I392+0.2806503532*J392+0.2027213083*K392+0.1147824982*L392+0.0915305332*M392-0.0088454122*(I392*J392/100)-0.0336045706*(K392*L392/100)+2.8497389733*IF(D392="L",1,0)+4.5116226727*IF(D392="S",1,0)-0.6571546448*IF(E392="L",1,0)+0.0850728147*T392+0.0129488446*(T392*T392)+0.1909373936*IF(OR(F392="Utility",G392="Utility"),T392,0)+0.9656824071*R392-1.7517683256*S392+W392+X392+Y392)</f>
        <v/>
      </c>
      <c r="AB392">
        <f>LOOKUP(AA392,Grade_Scale!$A$2:$A$18,Grade_Scale!$B$2:$B$18)</f>
        <v/>
      </c>
      <c r="AC392">
        <f>LOOKUP(AA392,Grade_Scale!$A$2:$A$18,Grade_Scale!$C$2:$C$18)</f>
        <v/>
      </c>
      <c r="AE392">
        <f>IF(AD392="","",AB392-VLOOKUP(AD392,Grade_Scale!$C$2:$E$18,3,FALSE))</f>
        <v/>
      </c>
    </row>
    <row r="393">
      <c r="Q393">
        <f>IF(OR(B393="SP",B393="RP",B393="CP",B393="SP/RP"),"P","H")</f>
        <v/>
      </c>
      <c r="R393">
        <f>IF(F393="",0,IFNA(VLOOKUP(F393,Trait_Polarity!$A:$C,2,FALSE),0))+IF(G393="",0,IFNA(VLOOKUP(G393,Trait_Polarity!$A:$C,2,FALSE),0))</f>
        <v/>
      </c>
      <c r="S393">
        <f>IF(F393="",0,IFNA(VLOOKUP(F393,Trait_Polarity!$A:$C,3,FALSE),0))+IF(G393="",0,IFNA(VLOOKUP(G393,Trait_Polarity!$A:$C,3,FALSE),0))</f>
        <v/>
      </c>
      <c r="T393">
        <f>IF(Q393="P",0,IFNA(VLOOKUP(IF(C393="","(none)",C393),Secondary_Versatility!$A:$B,2,FALSE),0))</f>
        <v/>
      </c>
      <c r="U393">
        <f>IF(H393="",0,LEN(H393)-LEN(SUBSTITUTE(H393,"|",""))+1)</f>
        <v/>
      </c>
      <c r="V393">
        <f>IF(Q393="P",(N393+O393+P393)/3,0.3*I393+0.3*J393+0.2*K393+0.1*L393+0.1*M393)</f>
        <v/>
      </c>
      <c r="W393">
        <f>IF(Q393="P",IF(F393="",0,IFNA(VLOOKUP(F393,Pitcher_Trait_Coef!$A:$B,2,FALSE),0))+IF(G393="",0,IFNA(VLOOKUP(G393,Pitcher_Trait_Coef!$A:$B,2,FALSE),0)),IF(F393="",0,IFNA(VLOOKUP(F393,Hitter_Trait_Coef!$A:$B,2,FALSE),0))+IF(G393="",0,IFNA(VLOOKUP(G393,Hitter_Trait_Coef!$A:$B,2,FALSE),0)))</f>
        <v/>
      </c>
      <c r="X393">
        <f>IF(Q393="P",IFNA(VLOOKUP(B393,Pitcher_Primary_Coef!$A:$B,2,FALSE),0),IFNA(VLOOKUP(B393,Hitter_Primary_Coef!$A:$B,2,FALSE),0))</f>
        <v/>
      </c>
      <c r="Y393">
        <f>IF(Q393="P",0,IFNA(VLOOKUP(IF(C393="","(none)",C393),Hitter_Secondary_Coef!$A:$B,2,FALSE),0))</f>
        <v/>
      </c>
      <c r="Z393">
        <f>IF(Q393="P",IF(ISNUMBER(SEARCH("2F",H393)),IFNA(VLOOKUP("2F",Pitch_Coef!$A:$B,2,FALSE),0),0)+IF(ISNUMBER(SEARCH("4F",H393)),IFNA(VLOOKUP("4F",Pitch_Coef!$A:$B,2,FALSE),0),0)+IF(ISNUMBER(SEARCH("CB",H393)),IFNA(VLOOKUP("CB",Pitch_Coef!$A:$B,2,FALSE),0),0)+IF(ISNUMBER(SEARCH("CF",H393)),IFNA(VLOOKUP("CF",Pitch_Coef!$A:$B,2,FALSE),0),0)+IF(ISNUMBER(SEARCH("CH",H393)),IFNA(VLOOKUP("CH",Pitch_Coef!$A:$B,2,FALSE),0),0)+IF(ISNUMBER(SEARCH("FK",H393)),IFNA(VLOOKUP("FK",Pitch_Coef!$A:$B,2,FALSE),0),0)+IF(ISNUMBER(SEARCH("SB",H393)),IFNA(VLOOKUP("SB",Pitch_Coef!$A:$B,2,FALSE),0),0)+IF(ISNUMBER(SEARCH("SL",H393)),IFNA(VLOOKUP("SL",Pitch_Coef!$A:$B,2,FALSE),0),0),0)</f>
        <v/>
      </c>
      <c r="AA393">
        <f>IF(Q393="P",16.5944849573+0.2529999141*N393+0.2665900378*O393+0.2632687105*P393+0.0427586837*I393+0.0534777057*J393+0.009015832*K393+0.0204898106*(O393*P393/100)+1.0091022427*U393+1.0968542297*IF(D393="L",1,0)+0.3771555045*IF(D393="S",1,0)-0.2226159177*IF(E393="L",1,0)+1.21385024*R393-1.1652812274*S393+W393+X393+Z393,10.5965166711+0.2825983581*I393+0.2806503532*J393+0.2027213083*K393+0.1147824982*L393+0.0915305332*M393-0.0088454122*(I393*J393/100)-0.0336045706*(K393*L393/100)+2.8497389733*IF(D393="L",1,0)+4.5116226727*IF(D393="S",1,0)-0.6571546448*IF(E393="L",1,0)+0.0850728147*T393+0.0129488446*(T393*T393)+0.1909373936*IF(OR(F393="Utility",G393="Utility"),T393,0)+0.9656824071*R393-1.7517683256*S393+W393+X393+Y393)</f>
        <v/>
      </c>
      <c r="AB393">
        <f>LOOKUP(AA393,Grade_Scale!$A$2:$A$18,Grade_Scale!$B$2:$B$18)</f>
        <v/>
      </c>
      <c r="AC393">
        <f>LOOKUP(AA393,Grade_Scale!$A$2:$A$18,Grade_Scale!$C$2:$C$18)</f>
        <v/>
      </c>
      <c r="AE393">
        <f>IF(AD393="","",AB393-VLOOKUP(AD393,Grade_Scale!$C$2:$E$18,3,FALSE))</f>
        <v/>
      </c>
    </row>
    <row r="394">
      <c r="Q394">
        <f>IF(OR(B394="SP",B394="RP",B394="CP",B394="SP/RP"),"P","H")</f>
        <v/>
      </c>
      <c r="R394">
        <f>IF(F394="",0,IFNA(VLOOKUP(F394,Trait_Polarity!$A:$C,2,FALSE),0))+IF(G394="",0,IFNA(VLOOKUP(G394,Trait_Polarity!$A:$C,2,FALSE),0))</f>
        <v/>
      </c>
      <c r="S394">
        <f>IF(F394="",0,IFNA(VLOOKUP(F394,Trait_Polarity!$A:$C,3,FALSE),0))+IF(G394="",0,IFNA(VLOOKUP(G394,Trait_Polarity!$A:$C,3,FALSE),0))</f>
        <v/>
      </c>
      <c r="T394">
        <f>IF(Q394="P",0,IFNA(VLOOKUP(IF(C394="","(none)",C394),Secondary_Versatility!$A:$B,2,FALSE),0))</f>
        <v/>
      </c>
      <c r="U394">
        <f>IF(H394="",0,LEN(H394)-LEN(SUBSTITUTE(H394,"|",""))+1)</f>
        <v/>
      </c>
      <c r="V394">
        <f>IF(Q394="P",(N394+O394+P394)/3,0.3*I394+0.3*J394+0.2*K394+0.1*L394+0.1*M394)</f>
        <v/>
      </c>
      <c r="W394">
        <f>IF(Q394="P",IF(F394="",0,IFNA(VLOOKUP(F394,Pitcher_Trait_Coef!$A:$B,2,FALSE),0))+IF(G394="",0,IFNA(VLOOKUP(G394,Pitcher_Trait_Coef!$A:$B,2,FALSE),0)),IF(F394="",0,IFNA(VLOOKUP(F394,Hitter_Trait_Coef!$A:$B,2,FALSE),0))+IF(G394="",0,IFNA(VLOOKUP(G394,Hitter_Trait_Coef!$A:$B,2,FALSE),0)))</f>
        <v/>
      </c>
      <c r="X394">
        <f>IF(Q394="P",IFNA(VLOOKUP(B394,Pitcher_Primary_Coef!$A:$B,2,FALSE),0),IFNA(VLOOKUP(B394,Hitter_Primary_Coef!$A:$B,2,FALSE),0))</f>
        <v/>
      </c>
      <c r="Y394">
        <f>IF(Q394="P",0,IFNA(VLOOKUP(IF(C394="","(none)",C394),Hitter_Secondary_Coef!$A:$B,2,FALSE),0))</f>
        <v/>
      </c>
      <c r="Z394">
        <f>IF(Q394="P",IF(ISNUMBER(SEARCH("2F",H394)),IFNA(VLOOKUP("2F",Pitch_Coef!$A:$B,2,FALSE),0),0)+IF(ISNUMBER(SEARCH("4F",H394)),IFNA(VLOOKUP("4F",Pitch_Coef!$A:$B,2,FALSE),0),0)+IF(ISNUMBER(SEARCH("CB",H394)),IFNA(VLOOKUP("CB",Pitch_Coef!$A:$B,2,FALSE),0),0)+IF(ISNUMBER(SEARCH("CF",H394)),IFNA(VLOOKUP("CF",Pitch_Coef!$A:$B,2,FALSE),0),0)+IF(ISNUMBER(SEARCH("CH",H394)),IFNA(VLOOKUP("CH",Pitch_Coef!$A:$B,2,FALSE),0),0)+IF(ISNUMBER(SEARCH("FK",H394)),IFNA(VLOOKUP("FK",Pitch_Coef!$A:$B,2,FALSE),0),0)+IF(ISNUMBER(SEARCH("SB",H394)),IFNA(VLOOKUP("SB",Pitch_Coef!$A:$B,2,FALSE),0),0)+IF(ISNUMBER(SEARCH("SL",H394)),IFNA(VLOOKUP("SL",Pitch_Coef!$A:$B,2,FALSE),0),0),0)</f>
        <v/>
      </c>
      <c r="AA394">
        <f>IF(Q394="P",16.5944849573+0.2529999141*N394+0.2665900378*O394+0.2632687105*P394+0.0427586837*I394+0.0534777057*J394+0.009015832*K394+0.0204898106*(O394*P394/100)+1.0091022427*U394+1.0968542297*IF(D394="L",1,0)+0.3771555045*IF(D394="S",1,0)-0.2226159177*IF(E394="L",1,0)+1.21385024*R394-1.1652812274*S394+W394+X394+Z394,10.5965166711+0.2825983581*I394+0.2806503532*J394+0.2027213083*K394+0.1147824982*L394+0.0915305332*M394-0.0088454122*(I394*J394/100)-0.0336045706*(K394*L394/100)+2.8497389733*IF(D394="L",1,0)+4.5116226727*IF(D394="S",1,0)-0.6571546448*IF(E394="L",1,0)+0.0850728147*T394+0.0129488446*(T394*T394)+0.1909373936*IF(OR(F394="Utility",G394="Utility"),T394,0)+0.9656824071*R394-1.7517683256*S394+W394+X394+Y394)</f>
        <v/>
      </c>
      <c r="AB394">
        <f>LOOKUP(AA394,Grade_Scale!$A$2:$A$18,Grade_Scale!$B$2:$B$18)</f>
        <v/>
      </c>
      <c r="AC394">
        <f>LOOKUP(AA394,Grade_Scale!$A$2:$A$18,Grade_Scale!$C$2:$C$18)</f>
        <v/>
      </c>
      <c r="AE394">
        <f>IF(AD394="","",AB394-VLOOKUP(AD394,Grade_Scale!$C$2:$E$18,3,FALSE))</f>
        <v/>
      </c>
    </row>
    <row r="395">
      <c r="Q395">
        <f>IF(OR(B395="SP",B395="RP",B395="CP",B395="SP/RP"),"P","H")</f>
        <v/>
      </c>
      <c r="R395">
        <f>IF(F395="",0,IFNA(VLOOKUP(F395,Trait_Polarity!$A:$C,2,FALSE),0))+IF(G395="",0,IFNA(VLOOKUP(G395,Trait_Polarity!$A:$C,2,FALSE),0))</f>
        <v/>
      </c>
      <c r="S395">
        <f>IF(F395="",0,IFNA(VLOOKUP(F395,Trait_Polarity!$A:$C,3,FALSE),0))+IF(G395="",0,IFNA(VLOOKUP(G395,Trait_Polarity!$A:$C,3,FALSE),0))</f>
        <v/>
      </c>
      <c r="T395">
        <f>IF(Q395="P",0,IFNA(VLOOKUP(IF(C395="","(none)",C395),Secondary_Versatility!$A:$B,2,FALSE),0))</f>
        <v/>
      </c>
      <c r="U395">
        <f>IF(H395="",0,LEN(H395)-LEN(SUBSTITUTE(H395,"|",""))+1)</f>
        <v/>
      </c>
      <c r="V395">
        <f>IF(Q395="P",(N395+O395+P395)/3,0.3*I395+0.3*J395+0.2*K395+0.1*L395+0.1*M395)</f>
        <v/>
      </c>
      <c r="W395">
        <f>IF(Q395="P",IF(F395="",0,IFNA(VLOOKUP(F395,Pitcher_Trait_Coef!$A:$B,2,FALSE),0))+IF(G395="",0,IFNA(VLOOKUP(G395,Pitcher_Trait_Coef!$A:$B,2,FALSE),0)),IF(F395="",0,IFNA(VLOOKUP(F395,Hitter_Trait_Coef!$A:$B,2,FALSE),0))+IF(G395="",0,IFNA(VLOOKUP(G395,Hitter_Trait_Coef!$A:$B,2,FALSE),0)))</f>
        <v/>
      </c>
      <c r="X395">
        <f>IF(Q395="P",IFNA(VLOOKUP(B395,Pitcher_Primary_Coef!$A:$B,2,FALSE),0),IFNA(VLOOKUP(B395,Hitter_Primary_Coef!$A:$B,2,FALSE),0))</f>
        <v/>
      </c>
      <c r="Y395">
        <f>IF(Q395="P",0,IFNA(VLOOKUP(IF(C395="","(none)",C395),Hitter_Secondary_Coef!$A:$B,2,FALSE),0))</f>
        <v/>
      </c>
      <c r="Z395">
        <f>IF(Q395="P",IF(ISNUMBER(SEARCH("2F",H395)),IFNA(VLOOKUP("2F",Pitch_Coef!$A:$B,2,FALSE),0),0)+IF(ISNUMBER(SEARCH("4F",H395)),IFNA(VLOOKUP("4F",Pitch_Coef!$A:$B,2,FALSE),0),0)+IF(ISNUMBER(SEARCH("CB",H395)),IFNA(VLOOKUP("CB",Pitch_Coef!$A:$B,2,FALSE),0),0)+IF(ISNUMBER(SEARCH("CF",H395)),IFNA(VLOOKUP("CF",Pitch_Coef!$A:$B,2,FALSE),0),0)+IF(ISNUMBER(SEARCH("CH",H395)),IFNA(VLOOKUP("CH",Pitch_Coef!$A:$B,2,FALSE),0),0)+IF(ISNUMBER(SEARCH("FK",H395)),IFNA(VLOOKUP("FK",Pitch_Coef!$A:$B,2,FALSE),0),0)+IF(ISNUMBER(SEARCH("SB",H395)),IFNA(VLOOKUP("SB",Pitch_Coef!$A:$B,2,FALSE),0),0)+IF(ISNUMBER(SEARCH("SL",H395)),IFNA(VLOOKUP("SL",Pitch_Coef!$A:$B,2,FALSE),0),0),0)</f>
        <v/>
      </c>
      <c r="AA395">
        <f>IF(Q395="P",16.5944849573+0.2529999141*N395+0.2665900378*O395+0.2632687105*P395+0.0427586837*I395+0.0534777057*J395+0.009015832*K395+0.0204898106*(O395*P395/100)+1.0091022427*U395+1.0968542297*IF(D395="L",1,0)+0.3771555045*IF(D395="S",1,0)-0.2226159177*IF(E395="L",1,0)+1.21385024*R395-1.1652812274*S395+W395+X395+Z395,10.5965166711+0.2825983581*I395+0.2806503532*J395+0.2027213083*K395+0.1147824982*L395+0.0915305332*M395-0.0088454122*(I395*J395/100)-0.0336045706*(K395*L395/100)+2.8497389733*IF(D395="L",1,0)+4.5116226727*IF(D395="S",1,0)-0.6571546448*IF(E395="L",1,0)+0.0850728147*T395+0.0129488446*(T395*T395)+0.1909373936*IF(OR(F395="Utility",G395="Utility"),T395,0)+0.9656824071*R395-1.7517683256*S395+W395+X395+Y395)</f>
        <v/>
      </c>
      <c r="AB395">
        <f>LOOKUP(AA395,Grade_Scale!$A$2:$A$18,Grade_Scale!$B$2:$B$18)</f>
        <v/>
      </c>
      <c r="AC395">
        <f>LOOKUP(AA395,Grade_Scale!$A$2:$A$18,Grade_Scale!$C$2:$C$18)</f>
        <v/>
      </c>
      <c r="AE395">
        <f>IF(AD395="","",AB395-VLOOKUP(AD395,Grade_Scale!$C$2:$E$18,3,FALSE))</f>
        <v/>
      </c>
    </row>
    <row r="396">
      <c r="Q396">
        <f>IF(OR(B396="SP",B396="RP",B396="CP",B396="SP/RP"),"P","H")</f>
        <v/>
      </c>
      <c r="R396">
        <f>IF(F396="",0,IFNA(VLOOKUP(F396,Trait_Polarity!$A:$C,2,FALSE),0))+IF(G396="",0,IFNA(VLOOKUP(G396,Trait_Polarity!$A:$C,2,FALSE),0))</f>
        <v/>
      </c>
      <c r="S396">
        <f>IF(F396="",0,IFNA(VLOOKUP(F396,Trait_Polarity!$A:$C,3,FALSE),0))+IF(G396="",0,IFNA(VLOOKUP(G396,Trait_Polarity!$A:$C,3,FALSE),0))</f>
        <v/>
      </c>
      <c r="T396">
        <f>IF(Q396="P",0,IFNA(VLOOKUP(IF(C396="","(none)",C396),Secondary_Versatility!$A:$B,2,FALSE),0))</f>
        <v/>
      </c>
      <c r="U396">
        <f>IF(H396="",0,LEN(H396)-LEN(SUBSTITUTE(H396,"|",""))+1)</f>
        <v/>
      </c>
      <c r="V396">
        <f>IF(Q396="P",(N396+O396+P396)/3,0.3*I396+0.3*J396+0.2*K396+0.1*L396+0.1*M396)</f>
        <v/>
      </c>
      <c r="W396">
        <f>IF(Q396="P",IF(F396="",0,IFNA(VLOOKUP(F396,Pitcher_Trait_Coef!$A:$B,2,FALSE),0))+IF(G396="",0,IFNA(VLOOKUP(G396,Pitcher_Trait_Coef!$A:$B,2,FALSE),0)),IF(F396="",0,IFNA(VLOOKUP(F396,Hitter_Trait_Coef!$A:$B,2,FALSE),0))+IF(G396="",0,IFNA(VLOOKUP(G396,Hitter_Trait_Coef!$A:$B,2,FALSE),0)))</f>
        <v/>
      </c>
      <c r="X396">
        <f>IF(Q396="P",IFNA(VLOOKUP(B396,Pitcher_Primary_Coef!$A:$B,2,FALSE),0),IFNA(VLOOKUP(B396,Hitter_Primary_Coef!$A:$B,2,FALSE),0))</f>
        <v/>
      </c>
      <c r="Y396">
        <f>IF(Q396="P",0,IFNA(VLOOKUP(IF(C396="","(none)",C396),Hitter_Secondary_Coef!$A:$B,2,FALSE),0))</f>
        <v/>
      </c>
      <c r="Z396">
        <f>IF(Q396="P",IF(ISNUMBER(SEARCH("2F",H396)),IFNA(VLOOKUP("2F",Pitch_Coef!$A:$B,2,FALSE),0),0)+IF(ISNUMBER(SEARCH("4F",H396)),IFNA(VLOOKUP("4F",Pitch_Coef!$A:$B,2,FALSE),0),0)+IF(ISNUMBER(SEARCH("CB",H396)),IFNA(VLOOKUP("CB",Pitch_Coef!$A:$B,2,FALSE),0),0)+IF(ISNUMBER(SEARCH("CF",H396)),IFNA(VLOOKUP("CF",Pitch_Coef!$A:$B,2,FALSE),0),0)+IF(ISNUMBER(SEARCH("CH",H396)),IFNA(VLOOKUP("CH",Pitch_Coef!$A:$B,2,FALSE),0),0)+IF(ISNUMBER(SEARCH("FK",H396)),IFNA(VLOOKUP("FK",Pitch_Coef!$A:$B,2,FALSE),0),0)+IF(ISNUMBER(SEARCH("SB",H396)),IFNA(VLOOKUP("SB",Pitch_Coef!$A:$B,2,FALSE),0),0)+IF(ISNUMBER(SEARCH("SL",H396)),IFNA(VLOOKUP("SL",Pitch_Coef!$A:$B,2,FALSE),0),0),0)</f>
        <v/>
      </c>
      <c r="AA396">
        <f>IF(Q396="P",16.5944849573+0.2529999141*N396+0.2665900378*O396+0.2632687105*P396+0.0427586837*I396+0.0534777057*J396+0.009015832*K396+0.0204898106*(O396*P396/100)+1.0091022427*U396+1.0968542297*IF(D396="L",1,0)+0.3771555045*IF(D396="S",1,0)-0.2226159177*IF(E396="L",1,0)+1.21385024*R396-1.1652812274*S396+W396+X396+Z396,10.5965166711+0.2825983581*I396+0.2806503532*J396+0.2027213083*K396+0.1147824982*L396+0.0915305332*M396-0.0088454122*(I396*J396/100)-0.0336045706*(K396*L396/100)+2.8497389733*IF(D396="L",1,0)+4.5116226727*IF(D396="S",1,0)-0.6571546448*IF(E396="L",1,0)+0.0850728147*T396+0.0129488446*(T396*T396)+0.1909373936*IF(OR(F396="Utility",G396="Utility"),T396,0)+0.9656824071*R396-1.7517683256*S396+W396+X396+Y396)</f>
        <v/>
      </c>
      <c r="AB396">
        <f>LOOKUP(AA396,Grade_Scale!$A$2:$A$18,Grade_Scale!$B$2:$B$18)</f>
        <v/>
      </c>
      <c r="AC396">
        <f>LOOKUP(AA396,Grade_Scale!$A$2:$A$18,Grade_Scale!$C$2:$C$18)</f>
        <v/>
      </c>
      <c r="AE396">
        <f>IF(AD396="","",AB396-VLOOKUP(AD396,Grade_Scale!$C$2:$E$18,3,FALSE))</f>
        <v/>
      </c>
    </row>
    <row r="397">
      <c r="Q397">
        <f>IF(OR(B397="SP",B397="RP",B397="CP",B397="SP/RP"),"P","H")</f>
        <v/>
      </c>
      <c r="R397">
        <f>IF(F397="",0,IFNA(VLOOKUP(F397,Trait_Polarity!$A:$C,2,FALSE),0))+IF(G397="",0,IFNA(VLOOKUP(G397,Trait_Polarity!$A:$C,2,FALSE),0))</f>
        <v/>
      </c>
      <c r="S397">
        <f>IF(F397="",0,IFNA(VLOOKUP(F397,Trait_Polarity!$A:$C,3,FALSE),0))+IF(G397="",0,IFNA(VLOOKUP(G397,Trait_Polarity!$A:$C,3,FALSE),0))</f>
        <v/>
      </c>
      <c r="T397">
        <f>IF(Q397="P",0,IFNA(VLOOKUP(IF(C397="","(none)",C397),Secondary_Versatility!$A:$B,2,FALSE),0))</f>
        <v/>
      </c>
      <c r="U397">
        <f>IF(H397="",0,LEN(H397)-LEN(SUBSTITUTE(H397,"|",""))+1)</f>
        <v/>
      </c>
      <c r="V397">
        <f>IF(Q397="P",(N397+O397+P397)/3,0.3*I397+0.3*J397+0.2*K397+0.1*L397+0.1*M397)</f>
        <v/>
      </c>
      <c r="W397">
        <f>IF(Q397="P",IF(F397="",0,IFNA(VLOOKUP(F397,Pitcher_Trait_Coef!$A:$B,2,FALSE),0))+IF(G397="",0,IFNA(VLOOKUP(G397,Pitcher_Trait_Coef!$A:$B,2,FALSE),0)),IF(F397="",0,IFNA(VLOOKUP(F397,Hitter_Trait_Coef!$A:$B,2,FALSE),0))+IF(G397="",0,IFNA(VLOOKUP(G397,Hitter_Trait_Coef!$A:$B,2,FALSE),0)))</f>
        <v/>
      </c>
      <c r="X397">
        <f>IF(Q397="P",IFNA(VLOOKUP(B397,Pitcher_Primary_Coef!$A:$B,2,FALSE),0),IFNA(VLOOKUP(B397,Hitter_Primary_Coef!$A:$B,2,FALSE),0))</f>
        <v/>
      </c>
      <c r="Y397">
        <f>IF(Q397="P",0,IFNA(VLOOKUP(IF(C397="","(none)",C397),Hitter_Secondary_Coef!$A:$B,2,FALSE),0))</f>
        <v/>
      </c>
      <c r="Z397">
        <f>IF(Q397="P",IF(ISNUMBER(SEARCH("2F",H397)),IFNA(VLOOKUP("2F",Pitch_Coef!$A:$B,2,FALSE),0),0)+IF(ISNUMBER(SEARCH("4F",H397)),IFNA(VLOOKUP("4F",Pitch_Coef!$A:$B,2,FALSE),0),0)+IF(ISNUMBER(SEARCH("CB",H397)),IFNA(VLOOKUP("CB",Pitch_Coef!$A:$B,2,FALSE),0),0)+IF(ISNUMBER(SEARCH("CF",H397)),IFNA(VLOOKUP("CF",Pitch_Coef!$A:$B,2,FALSE),0),0)+IF(ISNUMBER(SEARCH("CH",H397)),IFNA(VLOOKUP("CH",Pitch_Coef!$A:$B,2,FALSE),0),0)+IF(ISNUMBER(SEARCH("FK",H397)),IFNA(VLOOKUP("FK",Pitch_Coef!$A:$B,2,FALSE),0),0)+IF(ISNUMBER(SEARCH("SB",H397)),IFNA(VLOOKUP("SB",Pitch_Coef!$A:$B,2,FALSE),0),0)+IF(ISNUMBER(SEARCH("SL",H397)),IFNA(VLOOKUP("SL",Pitch_Coef!$A:$B,2,FALSE),0),0),0)</f>
        <v/>
      </c>
      <c r="AA397">
        <f>IF(Q397="P",16.5944849573+0.2529999141*N397+0.2665900378*O397+0.2632687105*P397+0.0427586837*I397+0.0534777057*J397+0.009015832*K397+0.0204898106*(O397*P397/100)+1.0091022427*U397+1.0968542297*IF(D397="L",1,0)+0.3771555045*IF(D397="S",1,0)-0.2226159177*IF(E397="L",1,0)+1.21385024*R397-1.1652812274*S397+W397+X397+Z397,10.5965166711+0.2825983581*I397+0.2806503532*J397+0.2027213083*K397+0.1147824982*L397+0.0915305332*M397-0.0088454122*(I397*J397/100)-0.0336045706*(K397*L397/100)+2.8497389733*IF(D397="L",1,0)+4.5116226727*IF(D397="S",1,0)-0.6571546448*IF(E397="L",1,0)+0.0850728147*T397+0.0129488446*(T397*T397)+0.1909373936*IF(OR(F397="Utility",G397="Utility"),T397,0)+0.9656824071*R397-1.7517683256*S397+W397+X397+Y397)</f>
        <v/>
      </c>
      <c r="AB397">
        <f>LOOKUP(AA397,Grade_Scale!$A$2:$A$18,Grade_Scale!$B$2:$B$18)</f>
        <v/>
      </c>
      <c r="AC397">
        <f>LOOKUP(AA397,Grade_Scale!$A$2:$A$18,Grade_Scale!$C$2:$C$18)</f>
        <v/>
      </c>
      <c r="AE397">
        <f>IF(AD397="","",AB397-VLOOKUP(AD397,Grade_Scale!$C$2:$E$18,3,FALSE))</f>
        <v/>
      </c>
    </row>
    <row r="398">
      <c r="Q398">
        <f>IF(OR(B398="SP",B398="RP",B398="CP",B398="SP/RP"),"P","H")</f>
        <v/>
      </c>
      <c r="R398">
        <f>IF(F398="",0,IFNA(VLOOKUP(F398,Trait_Polarity!$A:$C,2,FALSE),0))+IF(G398="",0,IFNA(VLOOKUP(G398,Trait_Polarity!$A:$C,2,FALSE),0))</f>
        <v/>
      </c>
      <c r="S398">
        <f>IF(F398="",0,IFNA(VLOOKUP(F398,Trait_Polarity!$A:$C,3,FALSE),0))+IF(G398="",0,IFNA(VLOOKUP(G398,Trait_Polarity!$A:$C,3,FALSE),0))</f>
        <v/>
      </c>
      <c r="T398">
        <f>IF(Q398="P",0,IFNA(VLOOKUP(IF(C398="","(none)",C398),Secondary_Versatility!$A:$B,2,FALSE),0))</f>
        <v/>
      </c>
      <c r="U398">
        <f>IF(H398="",0,LEN(H398)-LEN(SUBSTITUTE(H398,"|",""))+1)</f>
        <v/>
      </c>
      <c r="V398">
        <f>IF(Q398="P",(N398+O398+P398)/3,0.3*I398+0.3*J398+0.2*K398+0.1*L398+0.1*M398)</f>
        <v/>
      </c>
      <c r="W398">
        <f>IF(Q398="P",IF(F398="",0,IFNA(VLOOKUP(F398,Pitcher_Trait_Coef!$A:$B,2,FALSE),0))+IF(G398="",0,IFNA(VLOOKUP(G398,Pitcher_Trait_Coef!$A:$B,2,FALSE),0)),IF(F398="",0,IFNA(VLOOKUP(F398,Hitter_Trait_Coef!$A:$B,2,FALSE),0))+IF(G398="",0,IFNA(VLOOKUP(G398,Hitter_Trait_Coef!$A:$B,2,FALSE),0)))</f>
        <v/>
      </c>
      <c r="X398">
        <f>IF(Q398="P",IFNA(VLOOKUP(B398,Pitcher_Primary_Coef!$A:$B,2,FALSE),0),IFNA(VLOOKUP(B398,Hitter_Primary_Coef!$A:$B,2,FALSE),0))</f>
        <v/>
      </c>
      <c r="Y398">
        <f>IF(Q398="P",0,IFNA(VLOOKUP(IF(C398="","(none)",C398),Hitter_Secondary_Coef!$A:$B,2,FALSE),0))</f>
        <v/>
      </c>
      <c r="Z398">
        <f>IF(Q398="P",IF(ISNUMBER(SEARCH("2F",H398)),IFNA(VLOOKUP("2F",Pitch_Coef!$A:$B,2,FALSE),0),0)+IF(ISNUMBER(SEARCH("4F",H398)),IFNA(VLOOKUP("4F",Pitch_Coef!$A:$B,2,FALSE),0),0)+IF(ISNUMBER(SEARCH("CB",H398)),IFNA(VLOOKUP("CB",Pitch_Coef!$A:$B,2,FALSE),0),0)+IF(ISNUMBER(SEARCH("CF",H398)),IFNA(VLOOKUP("CF",Pitch_Coef!$A:$B,2,FALSE),0),0)+IF(ISNUMBER(SEARCH("CH",H398)),IFNA(VLOOKUP("CH",Pitch_Coef!$A:$B,2,FALSE),0),0)+IF(ISNUMBER(SEARCH("FK",H398)),IFNA(VLOOKUP("FK",Pitch_Coef!$A:$B,2,FALSE),0),0)+IF(ISNUMBER(SEARCH("SB",H398)),IFNA(VLOOKUP("SB",Pitch_Coef!$A:$B,2,FALSE),0),0)+IF(ISNUMBER(SEARCH("SL",H398)),IFNA(VLOOKUP("SL",Pitch_Coef!$A:$B,2,FALSE),0),0),0)</f>
        <v/>
      </c>
      <c r="AA398">
        <f>IF(Q398="P",16.5944849573+0.2529999141*N398+0.2665900378*O398+0.2632687105*P398+0.0427586837*I398+0.0534777057*J398+0.009015832*K398+0.0204898106*(O398*P398/100)+1.0091022427*U398+1.0968542297*IF(D398="L",1,0)+0.3771555045*IF(D398="S",1,0)-0.2226159177*IF(E398="L",1,0)+1.21385024*R398-1.1652812274*S398+W398+X398+Z398,10.5965166711+0.2825983581*I398+0.2806503532*J398+0.2027213083*K398+0.1147824982*L398+0.0915305332*M398-0.0088454122*(I398*J398/100)-0.0336045706*(K398*L398/100)+2.8497389733*IF(D398="L",1,0)+4.5116226727*IF(D398="S",1,0)-0.6571546448*IF(E398="L",1,0)+0.0850728147*T398+0.0129488446*(T398*T398)+0.1909373936*IF(OR(F398="Utility",G398="Utility"),T398,0)+0.9656824071*R398-1.7517683256*S398+W398+X398+Y398)</f>
        <v/>
      </c>
      <c r="AB398">
        <f>LOOKUP(AA398,Grade_Scale!$A$2:$A$18,Grade_Scale!$B$2:$B$18)</f>
        <v/>
      </c>
      <c r="AC398">
        <f>LOOKUP(AA398,Grade_Scale!$A$2:$A$18,Grade_Scale!$C$2:$C$18)</f>
        <v/>
      </c>
      <c r="AE398">
        <f>IF(AD398="","",AB398-VLOOKUP(AD398,Grade_Scale!$C$2:$E$18,3,FALSE))</f>
        <v/>
      </c>
    </row>
    <row r="399">
      <c r="Q399">
        <f>IF(OR(B399="SP",B399="RP",B399="CP",B399="SP/RP"),"P","H")</f>
        <v/>
      </c>
      <c r="R399">
        <f>IF(F399="",0,IFNA(VLOOKUP(F399,Trait_Polarity!$A:$C,2,FALSE),0))+IF(G399="",0,IFNA(VLOOKUP(G399,Trait_Polarity!$A:$C,2,FALSE),0))</f>
        <v/>
      </c>
      <c r="S399">
        <f>IF(F399="",0,IFNA(VLOOKUP(F399,Trait_Polarity!$A:$C,3,FALSE),0))+IF(G399="",0,IFNA(VLOOKUP(G399,Trait_Polarity!$A:$C,3,FALSE),0))</f>
        <v/>
      </c>
      <c r="T399">
        <f>IF(Q399="P",0,IFNA(VLOOKUP(IF(C399="","(none)",C399),Secondary_Versatility!$A:$B,2,FALSE),0))</f>
        <v/>
      </c>
      <c r="U399">
        <f>IF(H399="",0,LEN(H399)-LEN(SUBSTITUTE(H399,"|",""))+1)</f>
        <v/>
      </c>
      <c r="V399">
        <f>IF(Q399="P",(N399+O399+P399)/3,0.3*I399+0.3*J399+0.2*K399+0.1*L399+0.1*M399)</f>
        <v/>
      </c>
      <c r="W399">
        <f>IF(Q399="P",IF(F399="",0,IFNA(VLOOKUP(F399,Pitcher_Trait_Coef!$A:$B,2,FALSE),0))+IF(G399="",0,IFNA(VLOOKUP(G399,Pitcher_Trait_Coef!$A:$B,2,FALSE),0)),IF(F399="",0,IFNA(VLOOKUP(F399,Hitter_Trait_Coef!$A:$B,2,FALSE),0))+IF(G399="",0,IFNA(VLOOKUP(G399,Hitter_Trait_Coef!$A:$B,2,FALSE),0)))</f>
        <v/>
      </c>
      <c r="X399">
        <f>IF(Q399="P",IFNA(VLOOKUP(B399,Pitcher_Primary_Coef!$A:$B,2,FALSE),0),IFNA(VLOOKUP(B399,Hitter_Primary_Coef!$A:$B,2,FALSE),0))</f>
        <v/>
      </c>
      <c r="Y399">
        <f>IF(Q399="P",0,IFNA(VLOOKUP(IF(C399="","(none)",C399),Hitter_Secondary_Coef!$A:$B,2,FALSE),0))</f>
        <v/>
      </c>
      <c r="Z399">
        <f>IF(Q399="P",IF(ISNUMBER(SEARCH("2F",H399)),IFNA(VLOOKUP("2F",Pitch_Coef!$A:$B,2,FALSE),0),0)+IF(ISNUMBER(SEARCH("4F",H399)),IFNA(VLOOKUP("4F",Pitch_Coef!$A:$B,2,FALSE),0),0)+IF(ISNUMBER(SEARCH("CB",H399)),IFNA(VLOOKUP("CB",Pitch_Coef!$A:$B,2,FALSE),0),0)+IF(ISNUMBER(SEARCH("CF",H399)),IFNA(VLOOKUP("CF",Pitch_Coef!$A:$B,2,FALSE),0),0)+IF(ISNUMBER(SEARCH("CH",H399)),IFNA(VLOOKUP("CH",Pitch_Coef!$A:$B,2,FALSE),0),0)+IF(ISNUMBER(SEARCH("FK",H399)),IFNA(VLOOKUP("FK",Pitch_Coef!$A:$B,2,FALSE),0),0)+IF(ISNUMBER(SEARCH("SB",H399)),IFNA(VLOOKUP("SB",Pitch_Coef!$A:$B,2,FALSE),0),0)+IF(ISNUMBER(SEARCH("SL",H399)),IFNA(VLOOKUP("SL",Pitch_Coef!$A:$B,2,FALSE),0),0),0)</f>
        <v/>
      </c>
      <c r="AA399">
        <f>IF(Q399="P",16.5944849573+0.2529999141*N399+0.2665900378*O399+0.2632687105*P399+0.0427586837*I399+0.0534777057*J399+0.009015832*K399+0.0204898106*(O399*P399/100)+1.0091022427*U399+1.0968542297*IF(D399="L",1,0)+0.3771555045*IF(D399="S",1,0)-0.2226159177*IF(E399="L",1,0)+1.21385024*R399-1.1652812274*S399+W399+X399+Z399,10.5965166711+0.2825983581*I399+0.2806503532*J399+0.2027213083*K399+0.1147824982*L399+0.0915305332*M399-0.0088454122*(I399*J399/100)-0.0336045706*(K399*L399/100)+2.8497389733*IF(D399="L",1,0)+4.5116226727*IF(D399="S",1,0)-0.6571546448*IF(E399="L",1,0)+0.0850728147*T399+0.0129488446*(T399*T399)+0.1909373936*IF(OR(F399="Utility",G399="Utility"),T399,0)+0.9656824071*R399-1.7517683256*S399+W399+X399+Y399)</f>
        <v/>
      </c>
      <c r="AB399">
        <f>LOOKUP(AA399,Grade_Scale!$A$2:$A$18,Grade_Scale!$B$2:$B$18)</f>
        <v/>
      </c>
      <c r="AC399">
        <f>LOOKUP(AA399,Grade_Scale!$A$2:$A$18,Grade_Scale!$C$2:$C$18)</f>
        <v/>
      </c>
      <c r="AE399">
        <f>IF(AD399="","",AB399-VLOOKUP(AD399,Grade_Scale!$C$2:$E$18,3,FALSE))</f>
        <v/>
      </c>
    </row>
    <row r="400">
      <c r="Q400">
        <f>IF(OR(B400="SP",B400="RP",B400="CP",B400="SP/RP"),"P","H")</f>
        <v/>
      </c>
      <c r="R400">
        <f>IF(F400="",0,IFNA(VLOOKUP(F400,Trait_Polarity!$A:$C,2,FALSE),0))+IF(G400="",0,IFNA(VLOOKUP(G400,Trait_Polarity!$A:$C,2,FALSE),0))</f>
        <v/>
      </c>
      <c r="S400">
        <f>IF(F400="",0,IFNA(VLOOKUP(F400,Trait_Polarity!$A:$C,3,FALSE),0))+IF(G400="",0,IFNA(VLOOKUP(G400,Trait_Polarity!$A:$C,3,FALSE),0))</f>
        <v/>
      </c>
      <c r="T400">
        <f>IF(Q400="P",0,IFNA(VLOOKUP(IF(C400="","(none)",C400),Secondary_Versatility!$A:$B,2,FALSE),0))</f>
        <v/>
      </c>
      <c r="U400">
        <f>IF(H400="",0,LEN(H400)-LEN(SUBSTITUTE(H400,"|",""))+1)</f>
        <v/>
      </c>
      <c r="V400">
        <f>IF(Q400="P",(N400+O400+P400)/3,0.3*I400+0.3*J400+0.2*K400+0.1*L400+0.1*M400)</f>
        <v/>
      </c>
      <c r="W400">
        <f>IF(Q400="P",IF(F400="",0,IFNA(VLOOKUP(F400,Pitcher_Trait_Coef!$A:$B,2,FALSE),0))+IF(G400="",0,IFNA(VLOOKUP(G400,Pitcher_Trait_Coef!$A:$B,2,FALSE),0)),IF(F400="",0,IFNA(VLOOKUP(F400,Hitter_Trait_Coef!$A:$B,2,FALSE),0))+IF(G400="",0,IFNA(VLOOKUP(G400,Hitter_Trait_Coef!$A:$B,2,FALSE),0)))</f>
        <v/>
      </c>
      <c r="X400">
        <f>IF(Q400="P",IFNA(VLOOKUP(B400,Pitcher_Primary_Coef!$A:$B,2,FALSE),0),IFNA(VLOOKUP(B400,Hitter_Primary_Coef!$A:$B,2,FALSE),0))</f>
        <v/>
      </c>
      <c r="Y400">
        <f>IF(Q400="P",0,IFNA(VLOOKUP(IF(C400="","(none)",C400),Hitter_Secondary_Coef!$A:$B,2,FALSE),0))</f>
        <v/>
      </c>
      <c r="Z400">
        <f>IF(Q400="P",IF(ISNUMBER(SEARCH("2F",H400)),IFNA(VLOOKUP("2F",Pitch_Coef!$A:$B,2,FALSE),0),0)+IF(ISNUMBER(SEARCH("4F",H400)),IFNA(VLOOKUP("4F",Pitch_Coef!$A:$B,2,FALSE),0),0)+IF(ISNUMBER(SEARCH("CB",H400)),IFNA(VLOOKUP("CB",Pitch_Coef!$A:$B,2,FALSE),0),0)+IF(ISNUMBER(SEARCH("CF",H400)),IFNA(VLOOKUP("CF",Pitch_Coef!$A:$B,2,FALSE),0),0)+IF(ISNUMBER(SEARCH("CH",H400)),IFNA(VLOOKUP("CH",Pitch_Coef!$A:$B,2,FALSE),0),0)+IF(ISNUMBER(SEARCH("FK",H400)),IFNA(VLOOKUP("FK",Pitch_Coef!$A:$B,2,FALSE),0),0)+IF(ISNUMBER(SEARCH("SB",H400)),IFNA(VLOOKUP("SB",Pitch_Coef!$A:$B,2,FALSE),0),0)+IF(ISNUMBER(SEARCH("SL",H400)),IFNA(VLOOKUP("SL",Pitch_Coef!$A:$B,2,FALSE),0),0),0)</f>
        <v/>
      </c>
      <c r="AA400">
        <f>IF(Q400="P",16.5944849573+0.2529999141*N400+0.2665900378*O400+0.2632687105*P400+0.0427586837*I400+0.0534777057*J400+0.009015832*K400+0.0204898106*(O400*P400/100)+1.0091022427*U400+1.0968542297*IF(D400="L",1,0)+0.3771555045*IF(D400="S",1,0)-0.2226159177*IF(E400="L",1,0)+1.21385024*R400-1.1652812274*S400+W400+X400+Z400,10.5965166711+0.2825983581*I400+0.2806503532*J400+0.2027213083*K400+0.1147824982*L400+0.0915305332*M400-0.0088454122*(I400*J400/100)-0.0336045706*(K400*L400/100)+2.8497389733*IF(D400="L",1,0)+4.5116226727*IF(D400="S",1,0)-0.6571546448*IF(E400="L",1,0)+0.0850728147*T400+0.0129488446*(T400*T400)+0.1909373936*IF(OR(F400="Utility",G400="Utility"),T400,0)+0.9656824071*R400-1.7517683256*S400+W400+X400+Y400)</f>
        <v/>
      </c>
      <c r="AB400">
        <f>LOOKUP(AA400,Grade_Scale!$A$2:$A$18,Grade_Scale!$B$2:$B$18)</f>
        <v/>
      </c>
      <c r="AC400">
        <f>LOOKUP(AA400,Grade_Scale!$A$2:$A$18,Grade_Scale!$C$2:$C$18)</f>
        <v/>
      </c>
      <c r="AE400">
        <f>IF(AD400="","",AB400-VLOOKUP(AD400,Grade_Scale!$C$2:$E$18,3,FALSE))</f>
        <v/>
      </c>
    </row>
    <row r="401">
      <c r="Q401">
        <f>IF(OR(B401="SP",B401="RP",B401="CP",B401="SP/RP"),"P","H")</f>
        <v/>
      </c>
      <c r="R401">
        <f>IF(F401="",0,IFNA(VLOOKUP(F401,Trait_Polarity!$A:$C,2,FALSE),0))+IF(G401="",0,IFNA(VLOOKUP(G401,Trait_Polarity!$A:$C,2,FALSE),0))</f>
        <v/>
      </c>
      <c r="S401">
        <f>IF(F401="",0,IFNA(VLOOKUP(F401,Trait_Polarity!$A:$C,3,FALSE),0))+IF(G401="",0,IFNA(VLOOKUP(G401,Trait_Polarity!$A:$C,3,FALSE),0))</f>
        <v/>
      </c>
      <c r="T401">
        <f>IF(Q401="P",0,IFNA(VLOOKUP(IF(C401="","(none)",C401),Secondary_Versatility!$A:$B,2,FALSE),0))</f>
        <v/>
      </c>
      <c r="U401">
        <f>IF(H401="",0,LEN(H401)-LEN(SUBSTITUTE(H401,"|",""))+1)</f>
        <v/>
      </c>
      <c r="V401">
        <f>IF(Q401="P",(N401+O401+P401)/3,0.3*I401+0.3*J401+0.2*K401+0.1*L401+0.1*M401)</f>
        <v/>
      </c>
      <c r="W401">
        <f>IF(Q401="P",IF(F401="",0,IFNA(VLOOKUP(F401,Pitcher_Trait_Coef!$A:$B,2,FALSE),0))+IF(G401="",0,IFNA(VLOOKUP(G401,Pitcher_Trait_Coef!$A:$B,2,FALSE),0)),IF(F401="",0,IFNA(VLOOKUP(F401,Hitter_Trait_Coef!$A:$B,2,FALSE),0))+IF(G401="",0,IFNA(VLOOKUP(G401,Hitter_Trait_Coef!$A:$B,2,FALSE),0)))</f>
        <v/>
      </c>
      <c r="X401">
        <f>IF(Q401="P",IFNA(VLOOKUP(B401,Pitcher_Primary_Coef!$A:$B,2,FALSE),0),IFNA(VLOOKUP(B401,Hitter_Primary_Coef!$A:$B,2,FALSE),0))</f>
        <v/>
      </c>
      <c r="Y401">
        <f>IF(Q401="P",0,IFNA(VLOOKUP(IF(C401="","(none)",C401),Hitter_Secondary_Coef!$A:$B,2,FALSE),0))</f>
        <v/>
      </c>
      <c r="Z401">
        <f>IF(Q401="P",IF(ISNUMBER(SEARCH("2F",H401)),IFNA(VLOOKUP("2F",Pitch_Coef!$A:$B,2,FALSE),0),0)+IF(ISNUMBER(SEARCH("4F",H401)),IFNA(VLOOKUP("4F",Pitch_Coef!$A:$B,2,FALSE),0),0)+IF(ISNUMBER(SEARCH("CB",H401)),IFNA(VLOOKUP("CB",Pitch_Coef!$A:$B,2,FALSE),0),0)+IF(ISNUMBER(SEARCH("CF",H401)),IFNA(VLOOKUP("CF",Pitch_Coef!$A:$B,2,FALSE),0),0)+IF(ISNUMBER(SEARCH("CH",H401)),IFNA(VLOOKUP("CH",Pitch_Coef!$A:$B,2,FALSE),0),0)+IF(ISNUMBER(SEARCH("FK",H401)),IFNA(VLOOKUP("FK",Pitch_Coef!$A:$B,2,FALSE),0),0)+IF(ISNUMBER(SEARCH("SB",H401)),IFNA(VLOOKUP("SB",Pitch_Coef!$A:$B,2,FALSE),0),0)+IF(ISNUMBER(SEARCH("SL",H401)),IFNA(VLOOKUP("SL",Pitch_Coef!$A:$B,2,FALSE),0),0),0)</f>
        <v/>
      </c>
      <c r="AA401">
        <f>IF(Q401="P",16.5944849573+0.2529999141*N401+0.2665900378*O401+0.2632687105*P401+0.0427586837*I401+0.0534777057*J401+0.009015832*K401+0.0204898106*(O401*P401/100)+1.0091022427*U401+1.0968542297*IF(D401="L",1,0)+0.3771555045*IF(D401="S",1,0)-0.2226159177*IF(E401="L",1,0)+1.21385024*R401-1.1652812274*S401+W401+X401+Z401,10.5965166711+0.2825983581*I401+0.2806503532*J401+0.2027213083*K401+0.1147824982*L401+0.0915305332*M401-0.0088454122*(I401*J401/100)-0.0336045706*(K401*L401/100)+2.8497389733*IF(D401="L",1,0)+4.5116226727*IF(D401="S",1,0)-0.6571546448*IF(E401="L",1,0)+0.0850728147*T401+0.0129488446*(T401*T401)+0.1909373936*IF(OR(F401="Utility",G401="Utility"),T401,0)+0.9656824071*R401-1.7517683256*S401+W401+X401+Y401)</f>
        <v/>
      </c>
      <c r="AB401">
        <f>LOOKUP(AA401,Grade_Scale!$A$2:$A$18,Grade_Scale!$B$2:$B$18)</f>
        <v/>
      </c>
      <c r="AC401">
        <f>LOOKUP(AA401,Grade_Scale!$A$2:$A$18,Grade_Scale!$C$2:$C$18)</f>
        <v/>
      </c>
      <c r="AE401">
        <f>IF(AD401="","",AB401-VLOOKUP(AD401,Grade_Scale!$C$2:$E$18,3,FALSE))</f>
        <v/>
      </c>
    </row>
    <row r="402">
      <c r="Q402">
        <f>IF(OR(B402="SP",B402="RP",B402="CP",B402="SP/RP"),"P","H")</f>
        <v/>
      </c>
      <c r="R402">
        <f>IF(F402="",0,IFNA(VLOOKUP(F402,Trait_Polarity!$A:$C,2,FALSE),0))+IF(G402="",0,IFNA(VLOOKUP(G402,Trait_Polarity!$A:$C,2,FALSE),0))</f>
        <v/>
      </c>
      <c r="S402">
        <f>IF(F402="",0,IFNA(VLOOKUP(F402,Trait_Polarity!$A:$C,3,FALSE),0))+IF(G402="",0,IFNA(VLOOKUP(G402,Trait_Polarity!$A:$C,3,FALSE),0))</f>
        <v/>
      </c>
      <c r="T402">
        <f>IF(Q402="P",0,IFNA(VLOOKUP(IF(C402="","(none)",C402),Secondary_Versatility!$A:$B,2,FALSE),0))</f>
        <v/>
      </c>
      <c r="U402">
        <f>IF(H402="",0,LEN(H402)-LEN(SUBSTITUTE(H402,"|",""))+1)</f>
        <v/>
      </c>
      <c r="V402">
        <f>IF(Q402="P",(N402+O402+P402)/3,0.3*I402+0.3*J402+0.2*K402+0.1*L402+0.1*M402)</f>
        <v/>
      </c>
      <c r="W402">
        <f>IF(Q402="P",IF(F402="",0,IFNA(VLOOKUP(F402,Pitcher_Trait_Coef!$A:$B,2,FALSE),0))+IF(G402="",0,IFNA(VLOOKUP(G402,Pitcher_Trait_Coef!$A:$B,2,FALSE),0)),IF(F402="",0,IFNA(VLOOKUP(F402,Hitter_Trait_Coef!$A:$B,2,FALSE),0))+IF(G402="",0,IFNA(VLOOKUP(G402,Hitter_Trait_Coef!$A:$B,2,FALSE),0)))</f>
        <v/>
      </c>
      <c r="X402">
        <f>IF(Q402="P",IFNA(VLOOKUP(B402,Pitcher_Primary_Coef!$A:$B,2,FALSE),0),IFNA(VLOOKUP(B402,Hitter_Primary_Coef!$A:$B,2,FALSE),0))</f>
        <v/>
      </c>
      <c r="Y402">
        <f>IF(Q402="P",0,IFNA(VLOOKUP(IF(C402="","(none)",C402),Hitter_Secondary_Coef!$A:$B,2,FALSE),0))</f>
        <v/>
      </c>
      <c r="Z402">
        <f>IF(Q402="P",IF(ISNUMBER(SEARCH("2F",H402)),IFNA(VLOOKUP("2F",Pitch_Coef!$A:$B,2,FALSE),0),0)+IF(ISNUMBER(SEARCH("4F",H402)),IFNA(VLOOKUP("4F",Pitch_Coef!$A:$B,2,FALSE),0),0)+IF(ISNUMBER(SEARCH("CB",H402)),IFNA(VLOOKUP("CB",Pitch_Coef!$A:$B,2,FALSE),0),0)+IF(ISNUMBER(SEARCH("CF",H402)),IFNA(VLOOKUP("CF",Pitch_Coef!$A:$B,2,FALSE),0),0)+IF(ISNUMBER(SEARCH("CH",H402)),IFNA(VLOOKUP("CH",Pitch_Coef!$A:$B,2,FALSE),0),0)+IF(ISNUMBER(SEARCH("FK",H402)),IFNA(VLOOKUP("FK",Pitch_Coef!$A:$B,2,FALSE),0),0)+IF(ISNUMBER(SEARCH("SB",H402)),IFNA(VLOOKUP("SB",Pitch_Coef!$A:$B,2,FALSE),0),0)+IF(ISNUMBER(SEARCH("SL",H402)),IFNA(VLOOKUP("SL",Pitch_Coef!$A:$B,2,FALSE),0),0),0)</f>
        <v/>
      </c>
      <c r="AA402">
        <f>IF(Q402="P",16.5944849573+0.2529999141*N402+0.2665900378*O402+0.2632687105*P402+0.0427586837*I402+0.0534777057*J402+0.009015832*K402+0.0204898106*(O402*P402/100)+1.0091022427*U402+1.0968542297*IF(D402="L",1,0)+0.3771555045*IF(D402="S",1,0)-0.2226159177*IF(E402="L",1,0)+1.21385024*R402-1.1652812274*S402+W402+X402+Z402,10.5965166711+0.2825983581*I402+0.2806503532*J402+0.2027213083*K402+0.1147824982*L402+0.0915305332*M402-0.0088454122*(I402*J402/100)-0.0336045706*(K402*L402/100)+2.8497389733*IF(D402="L",1,0)+4.5116226727*IF(D402="S",1,0)-0.6571546448*IF(E402="L",1,0)+0.0850728147*T402+0.0129488446*(T402*T402)+0.1909373936*IF(OR(F402="Utility",G402="Utility"),T402,0)+0.9656824071*R402-1.7517683256*S402+W402+X402+Y402)</f>
        <v/>
      </c>
      <c r="AB402">
        <f>LOOKUP(AA402,Grade_Scale!$A$2:$A$18,Grade_Scale!$B$2:$B$18)</f>
        <v/>
      </c>
      <c r="AC402">
        <f>LOOKUP(AA402,Grade_Scale!$A$2:$A$18,Grade_Scale!$C$2:$C$18)</f>
        <v/>
      </c>
      <c r="AE402">
        <f>IF(AD402="","",AB402-VLOOKUP(AD402,Grade_Scale!$C$2:$E$18,3,FALSE))</f>
        <v/>
      </c>
    </row>
    <row r="403">
      <c r="Q403">
        <f>IF(OR(B403="SP",B403="RP",B403="CP",B403="SP/RP"),"P","H")</f>
        <v/>
      </c>
      <c r="R403">
        <f>IF(F403="",0,IFNA(VLOOKUP(F403,Trait_Polarity!$A:$C,2,FALSE),0))+IF(G403="",0,IFNA(VLOOKUP(G403,Trait_Polarity!$A:$C,2,FALSE),0))</f>
        <v/>
      </c>
      <c r="S403">
        <f>IF(F403="",0,IFNA(VLOOKUP(F403,Trait_Polarity!$A:$C,3,FALSE),0))+IF(G403="",0,IFNA(VLOOKUP(G403,Trait_Polarity!$A:$C,3,FALSE),0))</f>
        <v/>
      </c>
      <c r="T403">
        <f>IF(Q403="P",0,IFNA(VLOOKUP(IF(C403="","(none)",C403),Secondary_Versatility!$A:$B,2,FALSE),0))</f>
        <v/>
      </c>
      <c r="U403">
        <f>IF(H403="",0,LEN(H403)-LEN(SUBSTITUTE(H403,"|",""))+1)</f>
        <v/>
      </c>
      <c r="V403">
        <f>IF(Q403="P",(N403+O403+P403)/3,0.3*I403+0.3*J403+0.2*K403+0.1*L403+0.1*M403)</f>
        <v/>
      </c>
      <c r="W403">
        <f>IF(Q403="P",IF(F403="",0,IFNA(VLOOKUP(F403,Pitcher_Trait_Coef!$A:$B,2,FALSE),0))+IF(G403="",0,IFNA(VLOOKUP(G403,Pitcher_Trait_Coef!$A:$B,2,FALSE),0)),IF(F403="",0,IFNA(VLOOKUP(F403,Hitter_Trait_Coef!$A:$B,2,FALSE),0))+IF(G403="",0,IFNA(VLOOKUP(G403,Hitter_Trait_Coef!$A:$B,2,FALSE),0)))</f>
        <v/>
      </c>
      <c r="X403">
        <f>IF(Q403="P",IFNA(VLOOKUP(B403,Pitcher_Primary_Coef!$A:$B,2,FALSE),0),IFNA(VLOOKUP(B403,Hitter_Primary_Coef!$A:$B,2,FALSE),0))</f>
        <v/>
      </c>
      <c r="Y403">
        <f>IF(Q403="P",0,IFNA(VLOOKUP(IF(C403="","(none)",C403),Hitter_Secondary_Coef!$A:$B,2,FALSE),0))</f>
        <v/>
      </c>
      <c r="Z403">
        <f>IF(Q403="P",IF(ISNUMBER(SEARCH("2F",H403)),IFNA(VLOOKUP("2F",Pitch_Coef!$A:$B,2,FALSE),0),0)+IF(ISNUMBER(SEARCH("4F",H403)),IFNA(VLOOKUP("4F",Pitch_Coef!$A:$B,2,FALSE),0),0)+IF(ISNUMBER(SEARCH("CB",H403)),IFNA(VLOOKUP("CB",Pitch_Coef!$A:$B,2,FALSE),0),0)+IF(ISNUMBER(SEARCH("CF",H403)),IFNA(VLOOKUP("CF",Pitch_Coef!$A:$B,2,FALSE),0),0)+IF(ISNUMBER(SEARCH("CH",H403)),IFNA(VLOOKUP("CH",Pitch_Coef!$A:$B,2,FALSE),0),0)+IF(ISNUMBER(SEARCH("FK",H403)),IFNA(VLOOKUP("FK",Pitch_Coef!$A:$B,2,FALSE),0),0)+IF(ISNUMBER(SEARCH("SB",H403)),IFNA(VLOOKUP("SB",Pitch_Coef!$A:$B,2,FALSE),0),0)+IF(ISNUMBER(SEARCH("SL",H403)),IFNA(VLOOKUP("SL",Pitch_Coef!$A:$B,2,FALSE),0),0),0)</f>
        <v/>
      </c>
      <c r="AA403">
        <f>IF(Q403="P",16.5944849573+0.2529999141*N403+0.2665900378*O403+0.2632687105*P403+0.0427586837*I403+0.0534777057*J403+0.009015832*K403+0.0204898106*(O403*P403/100)+1.0091022427*U403+1.0968542297*IF(D403="L",1,0)+0.3771555045*IF(D403="S",1,0)-0.2226159177*IF(E403="L",1,0)+1.21385024*R403-1.1652812274*S403+W403+X403+Z403,10.5965166711+0.2825983581*I403+0.2806503532*J403+0.2027213083*K403+0.1147824982*L403+0.0915305332*M403-0.0088454122*(I403*J403/100)-0.0336045706*(K403*L403/100)+2.8497389733*IF(D403="L",1,0)+4.5116226727*IF(D403="S",1,0)-0.6571546448*IF(E403="L",1,0)+0.0850728147*T403+0.0129488446*(T403*T403)+0.1909373936*IF(OR(F403="Utility",G403="Utility"),T403,0)+0.9656824071*R403-1.7517683256*S403+W403+X403+Y403)</f>
        <v/>
      </c>
      <c r="AB403">
        <f>LOOKUP(AA403,Grade_Scale!$A$2:$A$18,Grade_Scale!$B$2:$B$18)</f>
        <v/>
      </c>
      <c r="AC403">
        <f>LOOKUP(AA403,Grade_Scale!$A$2:$A$18,Grade_Scale!$C$2:$C$18)</f>
        <v/>
      </c>
      <c r="AE403">
        <f>IF(AD403="","",AB403-VLOOKUP(AD403,Grade_Scale!$C$2:$E$18,3,FALSE))</f>
        <v/>
      </c>
    </row>
    <row r="404">
      <c r="Q404">
        <f>IF(OR(B404="SP",B404="RP",B404="CP",B404="SP/RP"),"P","H")</f>
        <v/>
      </c>
      <c r="R404">
        <f>IF(F404="",0,IFNA(VLOOKUP(F404,Trait_Polarity!$A:$C,2,FALSE),0))+IF(G404="",0,IFNA(VLOOKUP(G404,Trait_Polarity!$A:$C,2,FALSE),0))</f>
        <v/>
      </c>
      <c r="S404">
        <f>IF(F404="",0,IFNA(VLOOKUP(F404,Trait_Polarity!$A:$C,3,FALSE),0))+IF(G404="",0,IFNA(VLOOKUP(G404,Trait_Polarity!$A:$C,3,FALSE),0))</f>
        <v/>
      </c>
      <c r="T404">
        <f>IF(Q404="P",0,IFNA(VLOOKUP(IF(C404="","(none)",C404),Secondary_Versatility!$A:$B,2,FALSE),0))</f>
        <v/>
      </c>
      <c r="U404">
        <f>IF(H404="",0,LEN(H404)-LEN(SUBSTITUTE(H404,"|",""))+1)</f>
        <v/>
      </c>
      <c r="V404">
        <f>IF(Q404="P",(N404+O404+P404)/3,0.3*I404+0.3*J404+0.2*K404+0.1*L404+0.1*M404)</f>
        <v/>
      </c>
      <c r="W404">
        <f>IF(Q404="P",IF(F404="",0,IFNA(VLOOKUP(F404,Pitcher_Trait_Coef!$A:$B,2,FALSE),0))+IF(G404="",0,IFNA(VLOOKUP(G404,Pitcher_Trait_Coef!$A:$B,2,FALSE),0)),IF(F404="",0,IFNA(VLOOKUP(F404,Hitter_Trait_Coef!$A:$B,2,FALSE),0))+IF(G404="",0,IFNA(VLOOKUP(G404,Hitter_Trait_Coef!$A:$B,2,FALSE),0)))</f>
        <v/>
      </c>
      <c r="X404">
        <f>IF(Q404="P",IFNA(VLOOKUP(B404,Pitcher_Primary_Coef!$A:$B,2,FALSE),0),IFNA(VLOOKUP(B404,Hitter_Primary_Coef!$A:$B,2,FALSE),0))</f>
        <v/>
      </c>
      <c r="Y404">
        <f>IF(Q404="P",0,IFNA(VLOOKUP(IF(C404="","(none)",C404),Hitter_Secondary_Coef!$A:$B,2,FALSE),0))</f>
        <v/>
      </c>
      <c r="Z404">
        <f>IF(Q404="P",IF(ISNUMBER(SEARCH("2F",H404)),IFNA(VLOOKUP("2F",Pitch_Coef!$A:$B,2,FALSE),0),0)+IF(ISNUMBER(SEARCH("4F",H404)),IFNA(VLOOKUP("4F",Pitch_Coef!$A:$B,2,FALSE),0),0)+IF(ISNUMBER(SEARCH("CB",H404)),IFNA(VLOOKUP("CB",Pitch_Coef!$A:$B,2,FALSE),0),0)+IF(ISNUMBER(SEARCH("CF",H404)),IFNA(VLOOKUP("CF",Pitch_Coef!$A:$B,2,FALSE),0),0)+IF(ISNUMBER(SEARCH("CH",H404)),IFNA(VLOOKUP("CH",Pitch_Coef!$A:$B,2,FALSE),0),0)+IF(ISNUMBER(SEARCH("FK",H404)),IFNA(VLOOKUP("FK",Pitch_Coef!$A:$B,2,FALSE),0),0)+IF(ISNUMBER(SEARCH("SB",H404)),IFNA(VLOOKUP("SB",Pitch_Coef!$A:$B,2,FALSE),0),0)+IF(ISNUMBER(SEARCH("SL",H404)),IFNA(VLOOKUP("SL",Pitch_Coef!$A:$B,2,FALSE),0),0),0)</f>
        <v/>
      </c>
      <c r="AA404">
        <f>IF(Q404="P",16.5944849573+0.2529999141*N404+0.2665900378*O404+0.2632687105*P404+0.0427586837*I404+0.0534777057*J404+0.009015832*K404+0.0204898106*(O404*P404/100)+1.0091022427*U404+1.0968542297*IF(D404="L",1,0)+0.3771555045*IF(D404="S",1,0)-0.2226159177*IF(E404="L",1,0)+1.21385024*R404-1.1652812274*S404+W404+X404+Z404,10.5965166711+0.2825983581*I404+0.2806503532*J404+0.2027213083*K404+0.1147824982*L404+0.0915305332*M404-0.0088454122*(I404*J404/100)-0.0336045706*(K404*L404/100)+2.8497389733*IF(D404="L",1,0)+4.5116226727*IF(D404="S",1,0)-0.6571546448*IF(E404="L",1,0)+0.0850728147*T404+0.0129488446*(T404*T404)+0.1909373936*IF(OR(F404="Utility",G404="Utility"),T404,0)+0.9656824071*R404-1.7517683256*S404+W404+X404+Y404)</f>
        <v/>
      </c>
      <c r="AB404">
        <f>LOOKUP(AA404,Grade_Scale!$A$2:$A$18,Grade_Scale!$B$2:$B$18)</f>
        <v/>
      </c>
      <c r="AC404">
        <f>LOOKUP(AA404,Grade_Scale!$A$2:$A$18,Grade_Scale!$C$2:$C$18)</f>
        <v/>
      </c>
      <c r="AE404">
        <f>IF(AD404="","",AB404-VLOOKUP(AD404,Grade_Scale!$C$2:$E$18,3,FALSE))</f>
        <v/>
      </c>
    </row>
    <row r="405">
      <c r="Q405">
        <f>IF(OR(B405="SP",B405="RP",B405="CP",B405="SP/RP"),"P","H")</f>
        <v/>
      </c>
      <c r="R405">
        <f>IF(F405="",0,IFNA(VLOOKUP(F405,Trait_Polarity!$A:$C,2,FALSE),0))+IF(G405="",0,IFNA(VLOOKUP(G405,Trait_Polarity!$A:$C,2,FALSE),0))</f>
        <v/>
      </c>
      <c r="S405">
        <f>IF(F405="",0,IFNA(VLOOKUP(F405,Trait_Polarity!$A:$C,3,FALSE),0))+IF(G405="",0,IFNA(VLOOKUP(G405,Trait_Polarity!$A:$C,3,FALSE),0))</f>
        <v/>
      </c>
      <c r="T405">
        <f>IF(Q405="P",0,IFNA(VLOOKUP(IF(C405="","(none)",C405),Secondary_Versatility!$A:$B,2,FALSE),0))</f>
        <v/>
      </c>
      <c r="U405">
        <f>IF(H405="",0,LEN(H405)-LEN(SUBSTITUTE(H405,"|",""))+1)</f>
        <v/>
      </c>
      <c r="V405">
        <f>IF(Q405="P",(N405+O405+P405)/3,0.3*I405+0.3*J405+0.2*K405+0.1*L405+0.1*M405)</f>
        <v/>
      </c>
      <c r="W405">
        <f>IF(Q405="P",IF(F405="",0,IFNA(VLOOKUP(F405,Pitcher_Trait_Coef!$A:$B,2,FALSE),0))+IF(G405="",0,IFNA(VLOOKUP(G405,Pitcher_Trait_Coef!$A:$B,2,FALSE),0)),IF(F405="",0,IFNA(VLOOKUP(F405,Hitter_Trait_Coef!$A:$B,2,FALSE),0))+IF(G405="",0,IFNA(VLOOKUP(G405,Hitter_Trait_Coef!$A:$B,2,FALSE),0)))</f>
        <v/>
      </c>
      <c r="X405">
        <f>IF(Q405="P",IFNA(VLOOKUP(B405,Pitcher_Primary_Coef!$A:$B,2,FALSE),0),IFNA(VLOOKUP(B405,Hitter_Primary_Coef!$A:$B,2,FALSE),0))</f>
        <v/>
      </c>
      <c r="Y405">
        <f>IF(Q405="P",0,IFNA(VLOOKUP(IF(C405="","(none)",C405),Hitter_Secondary_Coef!$A:$B,2,FALSE),0))</f>
        <v/>
      </c>
      <c r="Z405">
        <f>IF(Q405="P",IF(ISNUMBER(SEARCH("2F",H405)),IFNA(VLOOKUP("2F",Pitch_Coef!$A:$B,2,FALSE),0),0)+IF(ISNUMBER(SEARCH("4F",H405)),IFNA(VLOOKUP("4F",Pitch_Coef!$A:$B,2,FALSE),0),0)+IF(ISNUMBER(SEARCH("CB",H405)),IFNA(VLOOKUP("CB",Pitch_Coef!$A:$B,2,FALSE),0),0)+IF(ISNUMBER(SEARCH("CF",H405)),IFNA(VLOOKUP("CF",Pitch_Coef!$A:$B,2,FALSE),0),0)+IF(ISNUMBER(SEARCH("CH",H405)),IFNA(VLOOKUP("CH",Pitch_Coef!$A:$B,2,FALSE),0),0)+IF(ISNUMBER(SEARCH("FK",H405)),IFNA(VLOOKUP("FK",Pitch_Coef!$A:$B,2,FALSE),0),0)+IF(ISNUMBER(SEARCH("SB",H405)),IFNA(VLOOKUP("SB",Pitch_Coef!$A:$B,2,FALSE),0),0)+IF(ISNUMBER(SEARCH("SL",H405)),IFNA(VLOOKUP("SL",Pitch_Coef!$A:$B,2,FALSE),0),0),0)</f>
        <v/>
      </c>
      <c r="AA405">
        <f>IF(Q405="P",16.5944849573+0.2529999141*N405+0.2665900378*O405+0.2632687105*P405+0.0427586837*I405+0.0534777057*J405+0.009015832*K405+0.0204898106*(O405*P405/100)+1.0091022427*U405+1.0968542297*IF(D405="L",1,0)+0.3771555045*IF(D405="S",1,0)-0.2226159177*IF(E405="L",1,0)+1.21385024*R405-1.1652812274*S405+W405+X405+Z405,10.5965166711+0.2825983581*I405+0.2806503532*J405+0.2027213083*K405+0.1147824982*L405+0.0915305332*M405-0.0088454122*(I405*J405/100)-0.0336045706*(K405*L405/100)+2.8497389733*IF(D405="L",1,0)+4.5116226727*IF(D405="S",1,0)-0.6571546448*IF(E405="L",1,0)+0.0850728147*T405+0.0129488446*(T405*T405)+0.1909373936*IF(OR(F405="Utility",G405="Utility"),T405,0)+0.9656824071*R405-1.7517683256*S405+W405+X405+Y405)</f>
        <v/>
      </c>
      <c r="AB405">
        <f>LOOKUP(AA405,Grade_Scale!$A$2:$A$18,Grade_Scale!$B$2:$B$18)</f>
        <v/>
      </c>
      <c r="AC405">
        <f>LOOKUP(AA405,Grade_Scale!$A$2:$A$18,Grade_Scale!$C$2:$C$18)</f>
        <v/>
      </c>
      <c r="AE405">
        <f>IF(AD405="","",AB405-VLOOKUP(AD405,Grade_Scale!$C$2:$E$18,3,FALSE))</f>
        <v/>
      </c>
    </row>
    <row r="406">
      <c r="Q406">
        <f>IF(OR(B406="SP",B406="RP",B406="CP",B406="SP/RP"),"P","H")</f>
        <v/>
      </c>
      <c r="R406">
        <f>IF(F406="",0,IFNA(VLOOKUP(F406,Trait_Polarity!$A:$C,2,FALSE),0))+IF(G406="",0,IFNA(VLOOKUP(G406,Trait_Polarity!$A:$C,2,FALSE),0))</f>
        <v/>
      </c>
      <c r="S406">
        <f>IF(F406="",0,IFNA(VLOOKUP(F406,Trait_Polarity!$A:$C,3,FALSE),0))+IF(G406="",0,IFNA(VLOOKUP(G406,Trait_Polarity!$A:$C,3,FALSE),0))</f>
        <v/>
      </c>
      <c r="T406">
        <f>IF(Q406="P",0,IFNA(VLOOKUP(IF(C406="","(none)",C406),Secondary_Versatility!$A:$B,2,FALSE),0))</f>
        <v/>
      </c>
      <c r="U406">
        <f>IF(H406="",0,LEN(H406)-LEN(SUBSTITUTE(H406,"|",""))+1)</f>
        <v/>
      </c>
      <c r="V406">
        <f>IF(Q406="P",(N406+O406+P406)/3,0.3*I406+0.3*J406+0.2*K406+0.1*L406+0.1*M406)</f>
        <v/>
      </c>
      <c r="W406">
        <f>IF(Q406="P",IF(F406="",0,IFNA(VLOOKUP(F406,Pitcher_Trait_Coef!$A:$B,2,FALSE),0))+IF(G406="",0,IFNA(VLOOKUP(G406,Pitcher_Trait_Coef!$A:$B,2,FALSE),0)),IF(F406="",0,IFNA(VLOOKUP(F406,Hitter_Trait_Coef!$A:$B,2,FALSE),0))+IF(G406="",0,IFNA(VLOOKUP(G406,Hitter_Trait_Coef!$A:$B,2,FALSE),0)))</f>
        <v/>
      </c>
      <c r="X406">
        <f>IF(Q406="P",IFNA(VLOOKUP(B406,Pitcher_Primary_Coef!$A:$B,2,FALSE),0),IFNA(VLOOKUP(B406,Hitter_Primary_Coef!$A:$B,2,FALSE),0))</f>
        <v/>
      </c>
      <c r="Y406">
        <f>IF(Q406="P",0,IFNA(VLOOKUP(IF(C406="","(none)",C406),Hitter_Secondary_Coef!$A:$B,2,FALSE),0))</f>
        <v/>
      </c>
      <c r="Z406">
        <f>IF(Q406="P",IF(ISNUMBER(SEARCH("2F",H406)),IFNA(VLOOKUP("2F",Pitch_Coef!$A:$B,2,FALSE),0),0)+IF(ISNUMBER(SEARCH("4F",H406)),IFNA(VLOOKUP("4F",Pitch_Coef!$A:$B,2,FALSE),0),0)+IF(ISNUMBER(SEARCH("CB",H406)),IFNA(VLOOKUP("CB",Pitch_Coef!$A:$B,2,FALSE),0),0)+IF(ISNUMBER(SEARCH("CF",H406)),IFNA(VLOOKUP("CF",Pitch_Coef!$A:$B,2,FALSE),0),0)+IF(ISNUMBER(SEARCH("CH",H406)),IFNA(VLOOKUP("CH",Pitch_Coef!$A:$B,2,FALSE),0),0)+IF(ISNUMBER(SEARCH("FK",H406)),IFNA(VLOOKUP("FK",Pitch_Coef!$A:$B,2,FALSE),0),0)+IF(ISNUMBER(SEARCH("SB",H406)),IFNA(VLOOKUP("SB",Pitch_Coef!$A:$B,2,FALSE),0),0)+IF(ISNUMBER(SEARCH("SL",H406)),IFNA(VLOOKUP("SL",Pitch_Coef!$A:$B,2,FALSE),0),0),0)</f>
        <v/>
      </c>
      <c r="AA406">
        <f>IF(Q406="P",16.5944849573+0.2529999141*N406+0.2665900378*O406+0.2632687105*P406+0.0427586837*I406+0.0534777057*J406+0.009015832*K406+0.0204898106*(O406*P406/100)+1.0091022427*U406+1.0968542297*IF(D406="L",1,0)+0.3771555045*IF(D406="S",1,0)-0.2226159177*IF(E406="L",1,0)+1.21385024*R406-1.1652812274*S406+W406+X406+Z406,10.5965166711+0.2825983581*I406+0.2806503532*J406+0.2027213083*K406+0.1147824982*L406+0.0915305332*M406-0.0088454122*(I406*J406/100)-0.0336045706*(K406*L406/100)+2.8497389733*IF(D406="L",1,0)+4.5116226727*IF(D406="S",1,0)-0.6571546448*IF(E406="L",1,0)+0.0850728147*T406+0.0129488446*(T406*T406)+0.1909373936*IF(OR(F406="Utility",G406="Utility"),T406,0)+0.9656824071*R406-1.7517683256*S406+W406+X406+Y406)</f>
        <v/>
      </c>
      <c r="AB406">
        <f>LOOKUP(AA406,Grade_Scale!$A$2:$A$18,Grade_Scale!$B$2:$B$18)</f>
        <v/>
      </c>
      <c r="AC406">
        <f>LOOKUP(AA406,Grade_Scale!$A$2:$A$18,Grade_Scale!$C$2:$C$18)</f>
        <v/>
      </c>
      <c r="AE406">
        <f>IF(AD406="","",AB406-VLOOKUP(AD406,Grade_Scale!$C$2:$E$18,3,FALSE))</f>
        <v/>
      </c>
    </row>
    <row r="407">
      <c r="Q407">
        <f>IF(OR(B407="SP",B407="RP",B407="CP",B407="SP/RP"),"P","H")</f>
        <v/>
      </c>
      <c r="R407">
        <f>IF(F407="",0,IFNA(VLOOKUP(F407,Trait_Polarity!$A:$C,2,FALSE),0))+IF(G407="",0,IFNA(VLOOKUP(G407,Trait_Polarity!$A:$C,2,FALSE),0))</f>
        <v/>
      </c>
      <c r="S407">
        <f>IF(F407="",0,IFNA(VLOOKUP(F407,Trait_Polarity!$A:$C,3,FALSE),0))+IF(G407="",0,IFNA(VLOOKUP(G407,Trait_Polarity!$A:$C,3,FALSE),0))</f>
        <v/>
      </c>
      <c r="T407">
        <f>IF(Q407="P",0,IFNA(VLOOKUP(IF(C407="","(none)",C407),Secondary_Versatility!$A:$B,2,FALSE),0))</f>
        <v/>
      </c>
      <c r="U407">
        <f>IF(H407="",0,LEN(H407)-LEN(SUBSTITUTE(H407,"|",""))+1)</f>
        <v/>
      </c>
      <c r="V407">
        <f>IF(Q407="P",(N407+O407+P407)/3,0.3*I407+0.3*J407+0.2*K407+0.1*L407+0.1*M407)</f>
        <v/>
      </c>
      <c r="W407">
        <f>IF(Q407="P",IF(F407="",0,IFNA(VLOOKUP(F407,Pitcher_Trait_Coef!$A:$B,2,FALSE),0))+IF(G407="",0,IFNA(VLOOKUP(G407,Pitcher_Trait_Coef!$A:$B,2,FALSE),0)),IF(F407="",0,IFNA(VLOOKUP(F407,Hitter_Trait_Coef!$A:$B,2,FALSE),0))+IF(G407="",0,IFNA(VLOOKUP(G407,Hitter_Trait_Coef!$A:$B,2,FALSE),0)))</f>
        <v/>
      </c>
      <c r="X407">
        <f>IF(Q407="P",IFNA(VLOOKUP(B407,Pitcher_Primary_Coef!$A:$B,2,FALSE),0),IFNA(VLOOKUP(B407,Hitter_Primary_Coef!$A:$B,2,FALSE),0))</f>
        <v/>
      </c>
      <c r="Y407">
        <f>IF(Q407="P",0,IFNA(VLOOKUP(IF(C407="","(none)",C407),Hitter_Secondary_Coef!$A:$B,2,FALSE),0))</f>
        <v/>
      </c>
      <c r="Z407">
        <f>IF(Q407="P",IF(ISNUMBER(SEARCH("2F",H407)),IFNA(VLOOKUP("2F",Pitch_Coef!$A:$B,2,FALSE),0),0)+IF(ISNUMBER(SEARCH("4F",H407)),IFNA(VLOOKUP("4F",Pitch_Coef!$A:$B,2,FALSE),0),0)+IF(ISNUMBER(SEARCH("CB",H407)),IFNA(VLOOKUP("CB",Pitch_Coef!$A:$B,2,FALSE),0),0)+IF(ISNUMBER(SEARCH("CF",H407)),IFNA(VLOOKUP("CF",Pitch_Coef!$A:$B,2,FALSE),0),0)+IF(ISNUMBER(SEARCH("CH",H407)),IFNA(VLOOKUP("CH",Pitch_Coef!$A:$B,2,FALSE),0),0)+IF(ISNUMBER(SEARCH("FK",H407)),IFNA(VLOOKUP("FK",Pitch_Coef!$A:$B,2,FALSE),0),0)+IF(ISNUMBER(SEARCH("SB",H407)),IFNA(VLOOKUP("SB",Pitch_Coef!$A:$B,2,FALSE),0),0)+IF(ISNUMBER(SEARCH("SL",H407)),IFNA(VLOOKUP("SL",Pitch_Coef!$A:$B,2,FALSE),0),0),0)</f>
        <v/>
      </c>
      <c r="AA407">
        <f>IF(Q407="P",16.5944849573+0.2529999141*N407+0.2665900378*O407+0.2632687105*P407+0.0427586837*I407+0.0534777057*J407+0.009015832*K407+0.0204898106*(O407*P407/100)+1.0091022427*U407+1.0968542297*IF(D407="L",1,0)+0.3771555045*IF(D407="S",1,0)-0.2226159177*IF(E407="L",1,0)+1.21385024*R407-1.1652812274*S407+W407+X407+Z407,10.5965166711+0.2825983581*I407+0.2806503532*J407+0.2027213083*K407+0.1147824982*L407+0.0915305332*M407-0.0088454122*(I407*J407/100)-0.0336045706*(K407*L407/100)+2.8497389733*IF(D407="L",1,0)+4.5116226727*IF(D407="S",1,0)-0.6571546448*IF(E407="L",1,0)+0.0850728147*T407+0.0129488446*(T407*T407)+0.1909373936*IF(OR(F407="Utility",G407="Utility"),T407,0)+0.9656824071*R407-1.7517683256*S407+W407+X407+Y407)</f>
        <v/>
      </c>
      <c r="AB407">
        <f>LOOKUP(AA407,Grade_Scale!$A$2:$A$18,Grade_Scale!$B$2:$B$18)</f>
        <v/>
      </c>
      <c r="AC407">
        <f>LOOKUP(AA407,Grade_Scale!$A$2:$A$18,Grade_Scale!$C$2:$C$18)</f>
        <v/>
      </c>
      <c r="AE407">
        <f>IF(AD407="","",AB407-VLOOKUP(AD407,Grade_Scale!$C$2:$E$18,3,FALSE))</f>
        <v/>
      </c>
    </row>
    <row r="408">
      <c r="Q408">
        <f>IF(OR(B408="SP",B408="RP",B408="CP",B408="SP/RP"),"P","H")</f>
        <v/>
      </c>
      <c r="R408">
        <f>IF(F408="",0,IFNA(VLOOKUP(F408,Trait_Polarity!$A:$C,2,FALSE),0))+IF(G408="",0,IFNA(VLOOKUP(G408,Trait_Polarity!$A:$C,2,FALSE),0))</f>
        <v/>
      </c>
      <c r="S408">
        <f>IF(F408="",0,IFNA(VLOOKUP(F408,Trait_Polarity!$A:$C,3,FALSE),0))+IF(G408="",0,IFNA(VLOOKUP(G408,Trait_Polarity!$A:$C,3,FALSE),0))</f>
        <v/>
      </c>
      <c r="T408">
        <f>IF(Q408="P",0,IFNA(VLOOKUP(IF(C408="","(none)",C408),Secondary_Versatility!$A:$B,2,FALSE),0))</f>
        <v/>
      </c>
      <c r="U408">
        <f>IF(H408="",0,LEN(H408)-LEN(SUBSTITUTE(H408,"|",""))+1)</f>
        <v/>
      </c>
      <c r="V408">
        <f>IF(Q408="P",(N408+O408+P408)/3,0.3*I408+0.3*J408+0.2*K408+0.1*L408+0.1*M408)</f>
        <v/>
      </c>
      <c r="W408">
        <f>IF(Q408="P",IF(F408="",0,IFNA(VLOOKUP(F408,Pitcher_Trait_Coef!$A:$B,2,FALSE),0))+IF(G408="",0,IFNA(VLOOKUP(G408,Pitcher_Trait_Coef!$A:$B,2,FALSE),0)),IF(F408="",0,IFNA(VLOOKUP(F408,Hitter_Trait_Coef!$A:$B,2,FALSE),0))+IF(G408="",0,IFNA(VLOOKUP(G408,Hitter_Trait_Coef!$A:$B,2,FALSE),0)))</f>
        <v/>
      </c>
      <c r="X408">
        <f>IF(Q408="P",IFNA(VLOOKUP(B408,Pitcher_Primary_Coef!$A:$B,2,FALSE),0),IFNA(VLOOKUP(B408,Hitter_Primary_Coef!$A:$B,2,FALSE),0))</f>
        <v/>
      </c>
      <c r="Y408">
        <f>IF(Q408="P",0,IFNA(VLOOKUP(IF(C408="","(none)",C408),Hitter_Secondary_Coef!$A:$B,2,FALSE),0))</f>
        <v/>
      </c>
      <c r="Z408">
        <f>IF(Q408="P",IF(ISNUMBER(SEARCH("2F",H408)),IFNA(VLOOKUP("2F",Pitch_Coef!$A:$B,2,FALSE),0),0)+IF(ISNUMBER(SEARCH("4F",H408)),IFNA(VLOOKUP("4F",Pitch_Coef!$A:$B,2,FALSE),0),0)+IF(ISNUMBER(SEARCH("CB",H408)),IFNA(VLOOKUP("CB",Pitch_Coef!$A:$B,2,FALSE),0),0)+IF(ISNUMBER(SEARCH("CF",H408)),IFNA(VLOOKUP("CF",Pitch_Coef!$A:$B,2,FALSE),0),0)+IF(ISNUMBER(SEARCH("CH",H408)),IFNA(VLOOKUP("CH",Pitch_Coef!$A:$B,2,FALSE),0),0)+IF(ISNUMBER(SEARCH("FK",H408)),IFNA(VLOOKUP("FK",Pitch_Coef!$A:$B,2,FALSE),0),0)+IF(ISNUMBER(SEARCH("SB",H408)),IFNA(VLOOKUP("SB",Pitch_Coef!$A:$B,2,FALSE),0),0)+IF(ISNUMBER(SEARCH("SL",H408)),IFNA(VLOOKUP("SL",Pitch_Coef!$A:$B,2,FALSE),0),0),0)</f>
        <v/>
      </c>
      <c r="AA408">
        <f>IF(Q408="P",16.5944849573+0.2529999141*N408+0.2665900378*O408+0.2632687105*P408+0.0427586837*I408+0.0534777057*J408+0.009015832*K408+0.0204898106*(O408*P408/100)+1.0091022427*U408+1.0968542297*IF(D408="L",1,0)+0.3771555045*IF(D408="S",1,0)-0.2226159177*IF(E408="L",1,0)+1.21385024*R408-1.1652812274*S408+W408+X408+Z408,10.5965166711+0.2825983581*I408+0.2806503532*J408+0.2027213083*K408+0.1147824982*L408+0.0915305332*M408-0.0088454122*(I408*J408/100)-0.0336045706*(K408*L408/100)+2.8497389733*IF(D408="L",1,0)+4.5116226727*IF(D408="S",1,0)-0.6571546448*IF(E408="L",1,0)+0.0850728147*T408+0.0129488446*(T408*T408)+0.1909373936*IF(OR(F408="Utility",G408="Utility"),T408,0)+0.9656824071*R408-1.7517683256*S408+W408+X408+Y408)</f>
        <v/>
      </c>
      <c r="AB408">
        <f>LOOKUP(AA408,Grade_Scale!$A$2:$A$18,Grade_Scale!$B$2:$B$18)</f>
        <v/>
      </c>
      <c r="AC408">
        <f>LOOKUP(AA408,Grade_Scale!$A$2:$A$18,Grade_Scale!$C$2:$C$18)</f>
        <v/>
      </c>
      <c r="AE408">
        <f>IF(AD408="","",AB408-VLOOKUP(AD408,Grade_Scale!$C$2:$E$18,3,FALSE))</f>
        <v/>
      </c>
    </row>
    <row r="409">
      <c r="Q409">
        <f>IF(OR(B409="SP",B409="RP",B409="CP",B409="SP/RP"),"P","H")</f>
        <v/>
      </c>
      <c r="R409">
        <f>IF(F409="",0,IFNA(VLOOKUP(F409,Trait_Polarity!$A:$C,2,FALSE),0))+IF(G409="",0,IFNA(VLOOKUP(G409,Trait_Polarity!$A:$C,2,FALSE),0))</f>
        <v/>
      </c>
      <c r="S409">
        <f>IF(F409="",0,IFNA(VLOOKUP(F409,Trait_Polarity!$A:$C,3,FALSE),0))+IF(G409="",0,IFNA(VLOOKUP(G409,Trait_Polarity!$A:$C,3,FALSE),0))</f>
        <v/>
      </c>
      <c r="T409">
        <f>IF(Q409="P",0,IFNA(VLOOKUP(IF(C409="","(none)",C409),Secondary_Versatility!$A:$B,2,FALSE),0))</f>
        <v/>
      </c>
      <c r="U409">
        <f>IF(H409="",0,LEN(H409)-LEN(SUBSTITUTE(H409,"|",""))+1)</f>
        <v/>
      </c>
      <c r="V409">
        <f>IF(Q409="P",(N409+O409+P409)/3,0.3*I409+0.3*J409+0.2*K409+0.1*L409+0.1*M409)</f>
        <v/>
      </c>
      <c r="W409">
        <f>IF(Q409="P",IF(F409="",0,IFNA(VLOOKUP(F409,Pitcher_Trait_Coef!$A:$B,2,FALSE),0))+IF(G409="",0,IFNA(VLOOKUP(G409,Pitcher_Trait_Coef!$A:$B,2,FALSE),0)),IF(F409="",0,IFNA(VLOOKUP(F409,Hitter_Trait_Coef!$A:$B,2,FALSE),0))+IF(G409="",0,IFNA(VLOOKUP(G409,Hitter_Trait_Coef!$A:$B,2,FALSE),0)))</f>
        <v/>
      </c>
      <c r="X409">
        <f>IF(Q409="P",IFNA(VLOOKUP(B409,Pitcher_Primary_Coef!$A:$B,2,FALSE),0),IFNA(VLOOKUP(B409,Hitter_Primary_Coef!$A:$B,2,FALSE),0))</f>
        <v/>
      </c>
      <c r="Y409">
        <f>IF(Q409="P",0,IFNA(VLOOKUP(IF(C409="","(none)",C409),Hitter_Secondary_Coef!$A:$B,2,FALSE),0))</f>
        <v/>
      </c>
      <c r="Z409">
        <f>IF(Q409="P",IF(ISNUMBER(SEARCH("2F",H409)),IFNA(VLOOKUP("2F",Pitch_Coef!$A:$B,2,FALSE),0),0)+IF(ISNUMBER(SEARCH("4F",H409)),IFNA(VLOOKUP("4F",Pitch_Coef!$A:$B,2,FALSE),0),0)+IF(ISNUMBER(SEARCH("CB",H409)),IFNA(VLOOKUP("CB",Pitch_Coef!$A:$B,2,FALSE),0),0)+IF(ISNUMBER(SEARCH("CF",H409)),IFNA(VLOOKUP("CF",Pitch_Coef!$A:$B,2,FALSE),0),0)+IF(ISNUMBER(SEARCH("CH",H409)),IFNA(VLOOKUP("CH",Pitch_Coef!$A:$B,2,FALSE),0),0)+IF(ISNUMBER(SEARCH("FK",H409)),IFNA(VLOOKUP("FK",Pitch_Coef!$A:$B,2,FALSE),0),0)+IF(ISNUMBER(SEARCH("SB",H409)),IFNA(VLOOKUP("SB",Pitch_Coef!$A:$B,2,FALSE),0),0)+IF(ISNUMBER(SEARCH("SL",H409)),IFNA(VLOOKUP("SL",Pitch_Coef!$A:$B,2,FALSE),0),0),0)</f>
        <v/>
      </c>
      <c r="AA409">
        <f>IF(Q409="P",16.5944849573+0.2529999141*N409+0.2665900378*O409+0.2632687105*P409+0.0427586837*I409+0.0534777057*J409+0.009015832*K409+0.0204898106*(O409*P409/100)+1.0091022427*U409+1.0968542297*IF(D409="L",1,0)+0.3771555045*IF(D409="S",1,0)-0.2226159177*IF(E409="L",1,0)+1.21385024*R409-1.1652812274*S409+W409+X409+Z409,10.5965166711+0.2825983581*I409+0.2806503532*J409+0.2027213083*K409+0.1147824982*L409+0.0915305332*M409-0.0088454122*(I409*J409/100)-0.0336045706*(K409*L409/100)+2.8497389733*IF(D409="L",1,0)+4.5116226727*IF(D409="S",1,0)-0.6571546448*IF(E409="L",1,0)+0.0850728147*T409+0.0129488446*(T409*T409)+0.1909373936*IF(OR(F409="Utility",G409="Utility"),T409,0)+0.9656824071*R409-1.7517683256*S409+W409+X409+Y409)</f>
        <v/>
      </c>
      <c r="AB409">
        <f>LOOKUP(AA409,Grade_Scale!$A$2:$A$18,Grade_Scale!$B$2:$B$18)</f>
        <v/>
      </c>
      <c r="AC409">
        <f>LOOKUP(AA409,Grade_Scale!$A$2:$A$18,Grade_Scale!$C$2:$C$18)</f>
        <v/>
      </c>
      <c r="AE409">
        <f>IF(AD409="","",AB409-VLOOKUP(AD409,Grade_Scale!$C$2:$E$18,3,FALSE))</f>
        <v/>
      </c>
    </row>
    <row r="410">
      <c r="Q410">
        <f>IF(OR(B410="SP",B410="RP",B410="CP",B410="SP/RP"),"P","H")</f>
        <v/>
      </c>
      <c r="R410">
        <f>IF(F410="",0,IFNA(VLOOKUP(F410,Trait_Polarity!$A:$C,2,FALSE),0))+IF(G410="",0,IFNA(VLOOKUP(G410,Trait_Polarity!$A:$C,2,FALSE),0))</f>
        <v/>
      </c>
      <c r="S410">
        <f>IF(F410="",0,IFNA(VLOOKUP(F410,Trait_Polarity!$A:$C,3,FALSE),0))+IF(G410="",0,IFNA(VLOOKUP(G410,Trait_Polarity!$A:$C,3,FALSE),0))</f>
        <v/>
      </c>
      <c r="T410">
        <f>IF(Q410="P",0,IFNA(VLOOKUP(IF(C410="","(none)",C410),Secondary_Versatility!$A:$B,2,FALSE),0))</f>
        <v/>
      </c>
      <c r="U410">
        <f>IF(H410="",0,LEN(H410)-LEN(SUBSTITUTE(H410,"|",""))+1)</f>
        <v/>
      </c>
      <c r="V410">
        <f>IF(Q410="P",(N410+O410+P410)/3,0.3*I410+0.3*J410+0.2*K410+0.1*L410+0.1*M410)</f>
        <v/>
      </c>
      <c r="W410">
        <f>IF(Q410="P",IF(F410="",0,IFNA(VLOOKUP(F410,Pitcher_Trait_Coef!$A:$B,2,FALSE),0))+IF(G410="",0,IFNA(VLOOKUP(G410,Pitcher_Trait_Coef!$A:$B,2,FALSE),0)),IF(F410="",0,IFNA(VLOOKUP(F410,Hitter_Trait_Coef!$A:$B,2,FALSE),0))+IF(G410="",0,IFNA(VLOOKUP(G410,Hitter_Trait_Coef!$A:$B,2,FALSE),0)))</f>
        <v/>
      </c>
      <c r="X410">
        <f>IF(Q410="P",IFNA(VLOOKUP(B410,Pitcher_Primary_Coef!$A:$B,2,FALSE),0),IFNA(VLOOKUP(B410,Hitter_Primary_Coef!$A:$B,2,FALSE),0))</f>
        <v/>
      </c>
      <c r="Y410">
        <f>IF(Q410="P",0,IFNA(VLOOKUP(IF(C410="","(none)",C410),Hitter_Secondary_Coef!$A:$B,2,FALSE),0))</f>
        <v/>
      </c>
      <c r="Z410">
        <f>IF(Q410="P",IF(ISNUMBER(SEARCH("2F",H410)),IFNA(VLOOKUP("2F",Pitch_Coef!$A:$B,2,FALSE),0),0)+IF(ISNUMBER(SEARCH("4F",H410)),IFNA(VLOOKUP("4F",Pitch_Coef!$A:$B,2,FALSE),0),0)+IF(ISNUMBER(SEARCH("CB",H410)),IFNA(VLOOKUP("CB",Pitch_Coef!$A:$B,2,FALSE),0),0)+IF(ISNUMBER(SEARCH("CF",H410)),IFNA(VLOOKUP("CF",Pitch_Coef!$A:$B,2,FALSE),0),0)+IF(ISNUMBER(SEARCH("CH",H410)),IFNA(VLOOKUP("CH",Pitch_Coef!$A:$B,2,FALSE),0),0)+IF(ISNUMBER(SEARCH("FK",H410)),IFNA(VLOOKUP("FK",Pitch_Coef!$A:$B,2,FALSE),0),0)+IF(ISNUMBER(SEARCH("SB",H410)),IFNA(VLOOKUP("SB",Pitch_Coef!$A:$B,2,FALSE),0),0)+IF(ISNUMBER(SEARCH("SL",H410)),IFNA(VLOOKUP("SL",Pitch_Coef!$A:$B,2,FALSE),0),0),0)</f>
        <v/>
      </c>
      <c r="AA410">
        <f>IF(Q410="P",16.5944849573+0.2529999141*N410+0.2665900378*O410+0.2632687105*P410+0.0427586837*I410+0.0534777057*J410+0.009015832*K410+0.0204898106*(O410*P410/100)+1.0091022427*U410+1.0968542297*IF(D410="L",1,0)+0.3771555045*IF(D410="S",1,0)-0.2226159177*IF(E410="L",1,0)+1.21385024*R410-1.1652812274*S410+W410+X410+Z410,10.5965166711+0.2825983581*I410+0.2806503532*J410+0.2027213083*K410+0.1147824982*L410+0.0915305332*M410-0.0088454122*(I410*J410/100)-0.0336045706*(K410*L410/100)+2.8497389733*IF(D410="L",1,0)+4.5116226727*IF(D410="S",1,0)-0.6571546448*IF(E410="L",1,0)+0.0850728147*T410+0.0129488446*(T410*T410)+0.1909373936*IF(OR(F410="Utility",G410="Utility"),T410,0)+0.9656824071*R410-1.7517683256*S410+W410+X410+Y410)</f>
        <v/>
      </c>
      <c r="AB410">
        <f>LOOKUP(AA410,Grade_Scale!$A$2:$A$18,Grade_Scale!$B$2:$B$18)</f>
        <v/>
      </c>
      <c r="AC410">
        <f>LOOKUP(AA410,Grade_Scale!$A$2:$A$18,Grade_Scale!$C$2:$C$18)</f>
        <v/>
      </c>
      <c r="AE410">
        <f>IF(AD410="","",AB410-VLOOKUP(AD410,Grade_Scale!$C$2:$E$18,3,FALSE))</f>
        <v/>
      </c>
    </row>
    <row r="411">
      <c r="Q411">
        <f>IF(OR(B411="SP",B411="RP",B411="CP",B411="SP/RP"),"P","H")</f>
        <v/>
      </c>
      <c r="R411">
        <f>IF(F411="",0,IFNA(VLOOKUP(F411,Trait_Polarity!$A:$C,2,FALSE),0))+IF(G411="",0,IFNA(VLOOKUP(G411,Trait_Polarity!$A:$C,2,FALSE),0))</f>
        <v/>
      </c>
      <c r="S411">
        <f>IF(F411="",0,IFNA(VLOOKUP(F411,Trait_Polarity!$A:$C,3,FALSE),0))+IF(G411="",0,IFNA(VLOOKUP(G411,Trait_Polarity!$A:$C,3,FALSE),0))</f>
        <v/>
      </c>
      <c r="T411">
        <f>IF(Q411="P",0,IFNA(VLOOKUP(IF(C411="","(none)",C411),Secondary_Versatility!$A:$B,2,FALSE),0))</f>
        <v/>
      </c>
      <c r="U411">
        <f>IF(H411="",0,LEN(H411)-LEN(SUBSTITUTE(H411,"|",""))+1)</f>
        <v/>
      </c>
      <c r="V411">
        <f>IF(Q411="P",(N411+O411+P411)/3,0.3*I411+0.3*J411+0.2*K411+0.1*L411+0.1*M411)</f>
        <v/>
      </c>
      <c r="W411">
        <f>IF(Q411="P",IF(F411="",0,IFNA(VLOOKUP(F411,Pitcher_Trait_Coef!$A:$B,2,FALSE),0))+IF(G411="",0,IFNA(VLOOKUP(G411,Pitcher_Trait_Coef!$A:$B,2,FALSE),0)),IF(F411="",0,IFNA(VLOOKUP(F411,Hitter_Trait_Coef!$A:$B,2,FALSE),0))+IF(G411="",0,IFNA(VLOOKUP(G411,Hitter_Trait_Coef!$A:$B,2,FALSE),0)))</f>
        <v/>
      </c>
      <c r="X411">
        <f>IF(Q411="P",IFNA(VLOOKUP(B411,Pitcher_Primary_Coef!$A:$B,2,FALSE),0),IFNA(VLOOKUP(B411,Hitter_Primary_Coef!$A:$B,2,FALSE),0))</f>
        <v/>
      </c>
      <c r="Y411">
        <f>IF(Q411="P",0,IFNA(VLOOKUP(IF(C411="","(none)",C411),Hitter_Secondary_Coef!$A:$B,2,FALSE),0))</f>
        <v/>
      </c>
      <c r="Z411">
        <f>IF(Q411="P",IF(ISNUMBER(SEARCH("2F",H411)),IFNA(VLOOKUP("2F",Pitch_Coef!$A:$B,2,FALSE),0),0)+IF(ISNUMBER(SEARCH("4F",H411)),IFNA(VLOOKUP("4F",Pitch_Coef!$A:$B,2,FALSE),0),0)+IF(ISNUMBER(SEARCH("CB",H411)),IFNA(VLOOKUP("CB",Pitch_Coef!$A:$B,2,FALSE),0),0)+IF(ISNUMBER(SEARCH("CF",H411)),IFNA(VLOOKUP("CF",Pitch_Coef!$A:$B,2,FALSE),0),0)+IF(ISNUMBER(SEARCH("CH",H411)),IFNA(VLOOKUP("CH",Pitch_Coef!$A:$B,2,FALSE),0),0)+IF(ISNUMBER(SEARCH("FK",H411)),IFNA(VLOOKUP("FK",Pitch_Coef!$A:$B,2,FALSE),0),0)+IF(ISNUMBER(SEARCH("SB",H411)),IFNA(VLOOKUP("SB",Pitch_Coef!$A:$B,2,FALSE),0),0)+IF(ISNUMBER(SEARCH("SL",H411)),IFNA(VLOOKUP("SL",Pitch_Coef!$A:$B,2,FALSE),0),0),0)</f>
        <v/>
      </c>
      <c r="AA411">
        <f>IF(Q411="P",16.5944849573+0.2529999141*N411+0.2665900378*O411+0.2632687105*P411+0.0427586837*I411+0.0534777057*J411+0.009015832*K411+0.0204898106*(O411*P411/100)+1.0091022427*U411+1.0968542297*IF(D411="L",1,0)+0.3771555045*IF(D411="S",1,0)-0.2226159177*IF(E411="L",1,0)+1.21385024*R411-1.1652812274*S411+W411+X411+Z411,10.5965166711+0.2825983581*I411+0.2806503532*J411+0.2027213083*K411+0.1147824982*L411+0.0915305332*M411-0.0088454122*(I411*J411/100)-0.0336045706*(K411*L411/100)+2.8497389733*IF(D411="L",1,0)+4.5116226727*IF(D411="S",1,0)-0.6571546448*IF(E411="L",1,0)+0.0850728147*T411+0.0129488446*(T411*T411)+0.1909373936*IF(OR(F411="Utility",G411="Utility"),T411,0)+0.9656824071*R411-1.7517683256*S411+W411+X411+Y411)</f>
        <v/>
      </c>
      <c r="AB411">
        <f>LOOKUP(AA411,Grade_Scale!$A$2:$A$18,Grade_Scale!$B$2:$B$18)</f>
        <v/>
      </c>
      <c r="AC411">
        <f>LOOKUP(AA411,Grade_Scale!$A$2:$A$18,Grade_Scale!$C$2:$C$18)</f>
        <v/>
      </c>
      <c r="AE411">
        <f>IF(AD411="","",AB411-VLOOKUP(AD411,Grade_Scale!$C$2:$E$18,3,FALSE))</f>
        <v/>
      </c>
    </row>
    <row r="412">
      <c r="Q412">
        <f>IF(OR(B412="SP",B412="RP",B412="CP",B412="SP/RP"),"P","H")</f>
        <v/>
      </c>
      <c r="R412">
        <f>IF(F412="",0,IFNA(VLOOKUP(F412,Trait_Polarity!$A:$C,2,FALSE),0))+IF(G412="",0,IFNA(VLOOKUP(G412,Trait_Polarity!$A:$C,2,FALSE),0))</f>
        <v/>
      </c>
      <c r="S412">
        <f>IF(F412="",0,IFNA(VLOOKUP(F412,Trait_Polarity!$A:$C,3,FALSE),0))+IF(G412="",0,IFNA(VLOOKUP(G412,Trait_Polarity!$A:$C,3,FALSE),0))</f>
        <v/>
      </c>
      <c r="T412">
        <f>IF(Q412="P",0,IFNA(VLOOKUP(IF(C412="","(none)",C412),Secondary_Versatility!$A:$B,2,FALSE),0))</f>
        <v/>
      </c>
      <c r="U412">
        <f>IF(H412="",0,LEN(H412)-LEN(SUBSTITUTE(H412,"|",""))+1)</f>
        <v/>
      </c>
      <c r="V412">
        <f>IF(Q412="P",(N412+O412+P412)/3,0.3*I412+0.3*J412+0.2*K412+0.1*L412+0.1*M412)</f>
        <v/>
      </c>
      <c r="W412">
        <f>IF(Q412="P",IF(F412="",0,IFNA(VLOOKUP(F412,Pitcher_Trait_Coef!$A:$B,2,FALSE),0))+IF(G412="",0,IFNA(VLOOKUP(G412,Pitcher_Trait_Coef!$A:$B,2,FALSE),0)),IF(F412="",0,IFNA(VLOOKUP(F412,Hitter_Trait_Coef!$A:$B,2,FALSE),0))+IF(G412="",0,IFNA(VLOOKUP(G412,Hitter_Trait_Coef!$A:$B,2,FALSE),0)))</f>
        <v/>
      </c>
      <c r="X412">
        <f>IF(Q412="P",IFNA(VLOOKUP(B412,Pitcher_Primary_Coef!$A:$B,2,FALSE),0),IFNA(VLOOKUP(B412,Hitter_Primary_Coef!$A:$B,2,FALSE),0))</f>
        <v/>
      </c>
      <c r="Y412">
        <f>IF(Q412="P",0,IFNA(VLOOKUP(IF(C412="","(none)",C412),Hitter_Secondary_Coef!$A:$B,2,FALSE),0))</f>
        <v/>
      </c>
      <c r="Z412">
        <f>IF(Q412="P",IF(ISNUMBER(SEARCH("2F",H412)),IFNA(VLOOKUP("2F",Pitch_Coef!$A:$B,2,FALSE),0),0)+IF(ISNUMBER(SEARCH("4F",H412)),IFNA(VLOOKUP("4F",Pitch_Coef!$A:$B,2,FALSE),0),0)+IF(ISNUMBER(SEARCH("CB",H412)),IFNA(VLOOKUP("CB",Pitch_Coef!$A:$B,2,FALSE),0),0)+IF(ISNUMBER(SEARCH("CF",H412)),IFNA(VLOOKUP("CF",Pitch_Coef!$A:$B,2,FALSE),0),0)+IF(ISNUMBER(SEARCH("CH",H412)),IFNA(VLOOKUP("CH",Pitch_Coef!$A:$B,2,FALSE),0),0)+IF(ISNUMBER(SEARCH("FK",H412)),IFNA(VLOOKUP("FK",Pitch_Coef!$A:$B,2,FALSE),0),0)+IF(ISNUMBER(SEARCH("SB",H412)),IFNA(VLOOKUP("SB",Pitch_Coef!$A:$B,2,FALSE),0),0)+IF(ISNUMBER(SEARCH("SL",H412)),IFNA(VLOOKUP("SL",Pitch_Coef!$A:$B,2,FALSE),0),0),0)</f>
        <v/>
      </c>
      <c r="AA412">
        <f>IF(Q412="P",16.5944849573+0.2529999141*N412+0.2665900378*O412+0.2632687105*P412+0.0427586837*I412+0.0534777057*J412+0.009015832*K412+0.0204898106*(O412*P412/100)+1.0091022427*U412+1.0968542297*IF(D412="L",1,0)+0.3771555045*IF(D412="S",1,0)-0.2226159177*IF(E412="L",1,0)+1.21385024*R412-1.1652812274*S412+W412+X412+Z412,10.5965166711+0.2825983581*I412+0.2806503532*J412+0.2027213083*K412+0.1147824982*L412+0.0915305332*M412-0.0088454122*(I412*J412/100)-0.0336045706*(K412*L412/100)+2.8497389733*IF(D412="L",1,0)+4.5116226727*IF(D412="S",1,0)-0.6571546448*IF(E412="L",1,0)+0.0850728147*T412+0.0129488446*(T412*T412)+0.1909373936*IF(OR(F412="Utility",G412="Utility"),T412,0)+0.9656824071*R412-1.7517683256*S412+W412+X412+Y412)</f>
        <v/>
      </c>
      <c r="AB412">
        <f>LOOKUP(AA412,Grade_Scale!$A$2:$A$18,Grade_Scale!$B$2:$B$18)</f>
        <v/>
      </c>
      <c r="AC412">
        <f>LOOKUP(AA412,Grade_Scale!$A$2:$A$18,Grade_Scale!$C$2:$C$18)</f>
        <v/>
      </c>
      <c r="AE412">
        <f>IF(AD412="","",AB412-VLOOKUP(AD412,Grade_Scale!$C$2:$E$18,3,FALSE))</f>
        <v/>
      </c>
    </row>
    <row r="413">
      <c r="Q413">
        <f>IF(OR(B413="SP",B413="RP",B413="CP",B413="SP/RP"),"P","H")</f>
        <v/>
      </c>
      <c r="R413">
        <f>IF(F413="",0,IFNA(VLOOKUP(F413,Trait_Polarity!$A:$C,2,FALSE),0))+IF(G413="",0,IFNA(VLOOKUP(G413,Trait_Polarity!$A:$C,2,FALSE),0))</f>
        <v/>
      </c>
      <c r="S413">
        <f>IF(F413="",0,IFNA(VLOOKUP(F413,Trait_Polarity!$A:$C,3,FALSE),0))+IF(G413="",0,IFNA(VLOOKUP(G413,Trait_Polarity!$A:$C,3,FALSE),0))</f>
        <v/>
      </c>
      <c r="T413">
        <f>IF(Q413="P",0,IFNA(VLOOKUP(IF(C413="","(none)",C413),Secondary_Versatility!$A:$B,2,FALSE),0))</f>
        <v/>
      </c>
      <c r="U413">
        <f>IF(H413="",0,LEN(H413)-LEN(SUBSTITUTE(H413,"|",""))+1)</f>
        <v/>
      </c>
      <c r="V413">
        <f>IF(Q413="P",(N413+O413+P413)/3,0.3*I413+0.3*J413+0.2*K413+0.1*L413+0.1*M413)</f>
        <v/>
      </c>
      <c r="W413">
        <f>IF(Q413="P",IF(F413="",0,IFNA(VLOOKUP(F413,Pitcher_Trait_Coef!$A:$B,2,FALSE),0))+IF(G413="",0,IFNA(VLOOKUP(G413,Pitcher_Trait_Coef!$A:$B,2,FALSE),0)),IF(F413="",0,IFNA(VLOOKUP(F413,Hitter_Trait_Coef!$A:$B,2,FALSE),0))+IF(G413="",0,IFNA(VLOOKUP(G413,Hitter_Trait_Coef!$A:$B,2,FALSE),0)))</f>
        <v/>
      </c>
      <c r="X413">
        <f>IF(Q413="P",IFNA(VLOOKUP(B413,Pitcher_Primary_Coef!$A:$B,2,FALSE),0),IFNA(VLOOKUP(B413,Hitter_Primary_Coef!$A:$B,2,FALSE),0))</f>
        <v/>
      </c>
      <c r="Y413">
        <f>IF(Q413="P",0,IFNA(VLOOKUP(IF(C413="","(none)",C413),Hitter_Secondary_Coef!$A:$B,2,FALSE),0))</f>
        <v/>
      </c>
      <c r="Z413">
        <f>IF(Q413="P",IF(ISNUMBER(SEARCH("2F",H413)),IFNA(VLOOKUP("2F",Pitch_Coef!$A:$B,2,FALSE),0),0)+IF(ISNUMBER(SEARCH("4F",H413)),IFNA(VLOOKUP("4F",Pitch_Coef!$A:$B,2,FALSE),0),0)+IF(ISNUMBER(SEARCH("CB",H413)),IFNA(VLOOKUP("CB",Pitch_Coef!$A:$B,2,FALSE),0),0)+IF(ISNUMBER(SEARCH("CF",H413)),IFNA(VLOOKUP("CF",Pitch_Coef!$A:$B,2,FALSE),0),0)+IF(ISNUMBER(SEARCH("CH",H413)),IFNA(VLOOKUP("CH",Pitch_Coef!$A:$B,2,FALSE),0),0)+IF(ISNUMBER(SEARCH("FK",H413)),IFNA(VLOOKUP("FK",Pitch_Coef!$A:$B,2,FALSE),0),0)+IF(ISNUMBER(SEARCH("SB",H413)),IFNA(VLOOKUP("SB",Pitch_Coef!$A:$B,2,FALSE),0),0)+IF(ISNUMBER(SEARCH("SL",H413)),IFNA(VLOOKUP("SL",Pitch_Coef!$A:$B,2,FALSE),0),0),0)</f>
        <v/>
      </c>
      <c r="AA413">
        <f>IF(Q413="P",16.5944849573+0.2529999141*N413+0.2665900378*O413+0.2632687105*P413+0.0427586837*I413+0.0534777057*J413+0.009015832*K413+0.0204898106*(O413*P413/100)+1.0091022427*U413+1.0968542297*IF(D413="L",1,0)+0.3771555045*IF(D413="S",1,0)-0.2226159177*IF(E413="L",1,0)+1.21385024*R413-1.1652812274*S413+W413+X413+Z413,10.5965166711+0.2825983581*I413+0.2806503532*J413+0.2027213083*K413+0.1147824982*L413+0.0915305332*M413-0.0088454122*(I413*J413/100)-0.0336045706*(K413*L413/100)+2.8497389733*IF(D413="L",1,0)+4.5116226727*IF(D413="S",1,0)-0.6571546448*IF(E413="L",1,0)+0.0850728147*T413+0.0129488446*(T413*T413)+0.1909373936*IF(OR(F413="Utility",G413="Utility"),T413,0)+0.9656824071*R413-1.7517683256*S413+W413+X413+Y413)</f>
        <v/>
      </c>
      <c r="AB413">
        <f>LOOKUP(AA413,Grade_Scale!$A$2:$A$18,Grade_Scale!$B$2:$B$18)</f>
        <v/>
      </c>
      <c r="AC413">
        <f>LOOKUP(AA413,Grade_Scale!$A$2:$A$18,Grade_Scale!$C$2:$C$18)</f>
        <v/>
      </c>
      <c r="AE413">
        <f>IF(AD413="","",AB413-VLOOKUP(AD413,Grade_Scale!$C$2:$E$18,3,FALSE))</f>
        <v/>
      </c>
    </row>
    <row r="414">
      <c r="Q414">
        <f>IF(OR(B414="SP",B414="RP",B414="CP",B414="SP/RP"),"P","H")</f>
        <v/>
      </c>
      <c r="R414">
        <f>IF(F414="",0,IFNA(VLOOKUP(F414,Trait_Polarity!$A:$C,2,FALSE),0))+IF(G414="",0,IFNA(VLOOKUP(G414,Trait_Polarity!$A:$C,2,FALSE),0))</f>
        <v/>
      </c>
      <c r="S414">
        <f>IF(F414="",0,IFNA(VLOOKUP(F414,Trait_Polarity!$A:$C,3,FALSE),0))+IF(G414="",0,IFNA(VLOOKUP(G414,Trait_Polarity!$A:$C,3,FALSE),0))</f>
        <v/>
      </c>
      <c r="T414">
        <f>IF(Q414="P",0,IFNA(VLOOKUP(IF(C414="","(none)",C414),Secondary_Versatility!$A:$B,2,FALSE),0))</f>
        <v/>
      </c>
      <c r="U414">
        <f>IF(H414="",0,LEN(H414)-LEN(SUBSTITUTE(H414,"|",""))+1)</f>
        <v/>
      </c>
      <c r="V414">
        <f>IF(Q414="P",(N414+O414+P414)/3,0.3*I414+0.3*J414+0.2*K414+0.1*L414+0.1*M414)</f>
        <v/>
      </c>
      <c r="W414">
        <f>IF(Q414="P",IF(F414="",0,IFNA(VLOOKUP(F414,Pitcher_Trait_Coef!$A:$B,2,FALSE),0))+IF(G414="",0,IFNA(VLOOKUP(G414,Pitcher_Trait_Coef!$A:$B,2,FALSE),0)),IF(F414="",0,IFNA(VLOOKUP(F414,Hitter_Trait_Coef!$A:$B,2,FALSE),0))+IF(G414="",0,IFNA(VLOOKUP(G414,Hitter_Trait_Coef!$A:$B,2,FALSE),0)))</f>
        <v/>
      </c>
      <c r="X414">
        <f>IF(Q414="P",IFNA(VLOOKUP(B414,Pitcher_Primary_Coef!$A:$B,2,FALSE),0),IFNA(VLOOKUP(B414,Hitter_Primary_Coef!$A:$B,2,FALSE),0))</f>
        <v/>
      </c>
      <c r="Y414">
        <f>IF(Q414="P",0,IFNA(VLOOKUP(IF(C414="","(none)",C414),Hitter_Secondary_Coef!$A:$B,2,FALSE),0))</f>
        <v/>
      </c>
      <c r="Z414">
        <f>IF(Q414="P",IF(ISNUMBER(SEARCH("2F",H414)),IFNA(VLOOKUP("2F",Pitch_Coef!$A:$B,2,FALSE),0),0)+IF(ISNUMBER(SEARCH("4F",H414)),IFNA(VLOOKUP("4F",Pitch_Coef!$A:$B,2,FALSE),0),0)+IF(ISNUMBER(SEARCH("CB",H414)),IFNA(VLOOKUP("CB",Pitch_Coef!$A:$B,2,FALSE),0),0)+IF(ISNUMBER(SEARCH("CF",H414)),IFNA(VLOOKUP("CF",Pitch_Coef!$A:$B,2,FALSE),0),0)+IF(ISNUMBER(SEARCH("CH",H414)),IFNA(VLOOKUP("CH",Pitch_Coef!$A:$B,2,FALSE),0),0)+IF(ISNUMBER(SEARCH("FK",H414)),IFNA(VLOOKUP("FK",Pitch_Coef!$A:$B,2,FALSE),0),0)+IF(ISNUMBER(SEARCH("SB",H414)),IFNA(VLOOKUP("SB",Pitch_Coef!$A:$B,2,FALSE),0),0)+IF(ISNUMBER(SEARCH("SL",H414)),IFNA(VLOOKUP("SL",Pitch_Coef!$A:$B,2,FALSE),0),0),0)</f>
        <v/>
      </c>
      <c r="AA414">
        <f>IF(Q414="P",16.5944849573+0.2529999141*N414+0.2665900378*O414+0.2632687105*P414+0.0427586837*I414+0.0534777057*J414+0.009015832*K414+0.0204898106*(O414*P414/100)+1.0091022427*U414+1.0968542297*IF(D414="L",1,0)+0.3771555045*IF(D414="S",1,0)-0.2226159177*IF(E414="L",1,0)+1.21385024*R414-1.1652812274*S414+W414+X414+Z414,10.5965166711+0.2825983581*I414+0.2806503532*J414+0.2027213083*K414+0.1147824982*L414+0.0915305332*M414-0.0088454122*(I414*J414/100)-0.0336045706*(K414*L414/100)+2.8497389733*IF(D414="L",1,0)+4.5116226727*IF(D414="S",1,0)-0.6571546448*IF(E414="L",1,0)+0.0850728147*T414+0.0129488446*(T414*T414)+0.1909373936*IF(OR(F414="Utility",G414="Utility"),T414,0)+0.9656824071*R414-1.7517683256*S414+W414+X414+Y414)</f>
        <v/>
      </c>
      <c r="AB414">
        <f>LOOKUP(AA414,Grade_Scale!$A$2:$A$18,Grade_Scale!$B$2:$B$18)</f>
        <v/>
      </c>
      <c r="AC414">
        <f>LOOKUP(AA414,Grade_Scale!$A$2:$A$18,Grade_Scale!$C$2:$C$18)</f>
        <v/>
      </c>
      <c r="AE414">
        <f>IF(AD414="","",AB414-VLOOKUP(AD414,Grade_Scale!$C$2:$E$18,3,FALSE))</f>
        <v/>
      </c>
    </row>
    <row r="415">
      <c r="Q415">
        <f>IF(OR(B415="SP",B415="RP",B415="CP",B415="SP/RP"),"P","H")</f>
        <v/>
      </c>
      <c r="R415">
        <f>IF(F415="",0,IFNA(VLOOKUP(F415,Trait_Polarity!$A:$C,2,FALSE),0))+IF(G415="",0,IFNA(VLOOKUP(G415,Trait_Polarity!$A:$C,2,FALSE),0))</f>
        <v/>
      </c>
      <c r="S415">
        <f>IF(F415="",0,IFNA(VLOOKUP(F415,Trait_Polarity!$A:$C,3,FALSE),0))+IF(G415="",0,IFNA(VLOOKUP(G415,Trait_Polarity!$A:$C,3,FALSE),0))</f>
        <v/>
      </c>
      <c r="T415">
        <f>IF(Q415="P",0,IFNA(VLOOKUP(IF(C415="","(none)",C415),Secondary_Versatility!$A:$B,2,FALSE),0))</f>
        <v/>
      </c>
      <c r="U415">
        <f>IF(H415="",0,LEN(H415)-LEN(SUBSTITUTE(H415,"|",""))+1)</f>
        <v/>
      </c>
      <c r="V415">
        <f>IF(Q415="P",(N415+O415+P415)/3,0.3*I415+0.3*J415+0.2*K415+0.1*L415+0.1*M415)</f>
        <v/>
      </c>
      <c r="W415">
        <f>IF(Q415="P",IF(F415="",0,IFNA(VLOOKUP(F415,Pitcher_Trait_Coef!$A:$B,2,FALSE),0))+IF(G415="",0,IFNA(VLOOKUP(G415,Pitcher_Trait_Coef!$A:$B,2,FALSE),0)),IF(F415="",0,IFNA(VLOOKUP(F415,Hitter_Trait_Coef!$A:$B,2,FALSE),0))+IF(G415="",0,IFNA(VLOOKUP(G415,Hitter_Trait_Coef!$A:$B,2,FALSE),0)))</f>
        <v/>
      </c>
      <c r="X415">
        <f>IF(Q415="P",IFNA(VLOOKUP(B415,Pitcher_Primary_Coef!$A:$B,2,FALSE),0),IFNA(VLOOKUP(B415,Hitter_Primary_Coef!$A:$B,2,FALSE),0))</f>
        <v/>
      </c>
      <c r="Y415">
        <f>IF(Q415="P",0,IFNA(VLOOKUP(IF(C415="","(none)",C415),Hitter_Secondary_Coef!$A:$B,2,FALSE),0))</f>
        <v/>
      </c>
      <c r="Z415">
        <f>IF(Q415="P",IF(ISNUMBER(SEARCH("2F",H415)),IFNA(VLOOKUP("2F",Pitch_Coef!$A:$B,2,FALSE),0),0)+IF(ISNUMBER(SEARCH("4F",H415)),IFNA(VLOOKUP("4F",Pitch_Coef!$A:$B,2,FALSE),0),0)+IF(ISNUMBER(SEARCH("CB",H415)),IFNA(VLOOKUP("CB",Pitch_Coef!$A:$B,2,FALSE),0),0)+IF(ISNUMBER(SEARCH("CF",H415)),IFNA(VLOOKUP("CF",Pitch_Coef!$A:$B,2,FALSE),0),0)+IF(ISNUMBER(SEARCH("CH",H415)),IFNA(VLOOKUP("CH",Pitch_Coef!$A:$B,2,FALSE),0),0)+IF(ISNUMBER(SEARCH("FK",H415)),IFNA(VLOOKUP("FK",Pitch_Coef!$A:$B,2,FALSE),0),0)+IF(ISNUMBER(SEARCH("SB",H415)),IFNA(VLOOKUP("SB",Pitch_Coef!$A:$B,2,FALSE),0),0)+IF(ISNUMBER(SEARCH("SL",H415)),IFNA(VLOOKUP("SL",Pitch_Coef!$A:$B,2,FALSE),0),0),0)</f>
        <v/>
      </c>
      <c r="AA415">
        <f>IF(Q415="P",16.5944849573+0.2529999141*N415+0.2665900378*O415+0.2632687105*P415+0.0427586837*I415+0.0534777057*J415+0.009015832*K415+0.0204898106*(O415*P415/100)+1.0091022427*U415+1.0968542297*IF(D415="L",1,0)+0.3771555045*IF(D415="S",1,0)-0.2226159177*IF(E415="L",1,0)+1.21385024*R415-1.1652812274*S415+W415+X415+Z415,10.5965166711+0.2825983581*I415+0.2806503532*J415+0.2027213083*K415+0.1147824982*L415+0.0915305332*M415-0.0088454122*(I415*J415/100)-0.0336045706*(K415*L415/100)+2.8497389733*IF(D415="L",1,0)+4.5116226727*IF(D415="S",1,0)-0.6571546448*IF(E415="L",1,0)+0.0850728147*T415+0.0129488446*(T415*T415)+0.1909373936*IF(OR(F415="Utility",G415="Utility"),T415,0)+0.9656824071*R415-1.7517683256*S415+W415+X415+Y415)</f>
        <v/>
      </c>
      <c r="AB415">
        <f>LOOKUP(AA415,Grade_Scale!$A$2:$A$18,Grade_Scale!$B$2:$B$18)</f>
        <v/>
      </c>
      <c r="AC415">
        <f>LOOKUP(AA415,Grade_Scale!$A$2:$A$18,Grade_Scale!$C$2:$C$18)</f>
        <v/>
      </c>
      <c r="AE415">
        <f>IF(AD415="","",AB415-VLOOKUP(AD415,Grade_Scale!$C$2:$E$18,3,FALSE))</f>
        <v/>
      </c>
    </row>
    <row r="416">
      <c r="Q416">
        <f>IF(OR(B416="SP",B416="RP",B416="CP",B416="SP/RP"),"P","H")</f>
        <v/>
      </c>
      <c r="R416">
        <f>IF(F416="",0,IFNA(VLOOKUP(F416,Trait_Polarity!$A:$C,2,FALSE),0))+IF(G416="",0,IFNA(VLOOKUP(G416,Trait_Polarity!$A:$C,2,FALSE),0))</f>
        <v/>
      </c>
      <c r="S416">
        <f>IF(F416="",0,IFNA(VLOOKUP(F416,Trait_Polarity!$A:$C,3,FALSE),0))+IF(G416="",0,IFNA(VLOOKUP(G416,Trait_Polarity!$A:$C,3,FALSE),0))</f>
        <v/>
      </c>
      <c r="T416">
        <f>IF(Q416="P",0,IFNA(VLOOKUP(IF(C416="","(none)",C416),Secondary_Versatility!$A:$B,2,FALSE),0))</f>
        <v/>
      </c>
      <c r="U416">
        <f>IF(H416="",0,LEN(H416)-LEN(SUBSTITUTE(H416,"|",""))+1)</f>
        <v/>
      </c>
      <c r="V416">
        <f>IF(Q416="P",(N416+O416+P416)/3,0.3*I416+0.3*J416+0.2*K416+0.1*L416+0.1*M416)</f>
        <v/>
      </c>
      <c r="W416">
        <f>IF(Q416="P",IF(F416="",0,IFNA(VLOOKUP(F416,Pitcher_Trait_Coef!$A:$B,2,FALSE),0))+IF(G416="",0,IFNA(VLOOKUP(G416,Pitcher_Trait_Coef!$A:$B,2,FALSE),0)),IF(F416="",0,IFNA(VLOOKUP(F416,Hitter_Trait_Coef!$A:$B,2,FALSE),0))+IF(G416="",0,IFNA(VLOOKUP(G416,Hitter_Trait_Coef!$A:$B,2,FALSE),0)))</f>
        <v/>
      </c>
      <c r="X416">
        <f>IF(Q416="P",IFNA(VLOOKUP(B416,Pitcher_Primary_Coef!$A:$B,2,FALSE),0),IFNA(VLOOKUP(B416,Hitter_Primary_Coef!$A:$B,2,FALSE),0))</f>
        <v/>
      </c>
      <c r="Y416">
        <f>IF(Q416="P",0,IFNA(VLOOKUP(IF(C416="","(none)",C416),Hitter_Secondary_Coef!$A:$B,2,FALSE),0))</f>
        <v/>
      </c>
      <c r="Z416">
        <f>IF(Q416="P",IF(ISNUMBER(SEARCH("2F",H416)),IFNA(VLOOKUP("2F",Pitch_Coef!$A:$B,2,FALSE),0),0)+IF(ISNUMBER(SEARCH("4F",H416)),IFNA(VLOOKUP("4F",Pitch_Coef!$A:$B,2,FALSE),0),0)+IF(ISNUMBER(SEARCH("CB",H416)),IFNA(VLOOKUP("CB",Pitch_Coef!$A:$B,2,FALSE),0),0)+IF(ISNUMBER(SEARCH("CF",H416)),IFNA(VLOOKUP("CF",Pitch_Coef!$A:$B,2,FALSE),0),0)+IF(ISNUMBER(SEARCH("CH",H416)),IFNA(VLOOKUP("CH",Pitch_Coef!$A:$B,2,FALSE),0),0)+IF(ISNUMBER(SEARCH("FK",H416)),IFNA(VLOOKUP("FK",Pitch_Coef!$A:$B,2,FALSE),0),0)+IF(ISNUMBER(SEARCH("SB",H416)),IFNA(VLOOKUP("SB",Pitch_Coef!$A:$B,2,FALSE),0),0)+IF(ISNUMBER(SEARCH("SL",H416)),IFNA(VLOOKUP("SL",Pitch_Coef!$A:$B,2,FALSE),0),0),0)</f>
        <v/>
      </c>
      <c r="AA416">
        <f>IF(Q416="P",16.5944849573+0.2529999141*N416+0.2665900378*O416+0.2632687105*P416+0.0427586837*I416+0.0534777057*J416+0.009015832*K416+0.0204898106*(O416*P416/100)+1.0091022427*U416+1.0968542297*IF(D416="L",1,0)+0.3771555045*IF(D416="S",1,0)-0.2226159177*IF(E416="L",1,0)+1.21385024*R416-1.1652812274*S416+W416+X416+Z416,10.5965166711+0.2825983581*I416+0.2806503532*J416+0.2027213083*K416+0.1147824982*L416+0.0915305332*M416-0.0088454122*(I416*J416/100)-0.0336045706*(K416*L416/100)+2.8497389733*IF(D416="L",1,0)+4.5116226727*IF(D416="S",1,0)-0.6571546448*IF(E416="L",1,0)+0.0850728147*T416+0.0129488446*(T416*T416)+0.1909373936*IF(OR(F416="Utility",G416="Utility"),T416,0)+0.9656824071*R416-1.7517683256*S416+W416+X416+Y416)</f>
        <v/>
      </c>
      <c r="AB416">
        <f>LOOKUP(AA416,Grade_Scale!$A$2:$A$18,Grade_Scale!$B$2:$B$18)</f>
        <v/>
      </c>
      <c r="AC416">
        <f>LOOKUP(AA416,Grade_Scale!$A$2:$A$18,Grade_Scale!$C$2:$C$18)</f>
        <v/>
      </c>
      <c r="AE416">
        <f>IF(AD416="","",AB416-VLOOKUP(AD416,Grade_Scale!$C$2:$E$18,3,FALSE))</f>
        <v/>
      </c>
    </row>
    <row r="417">
      <c r="Q417">
        <f>IF(OR(B417="SP",B417="RP",B417="CP",B417="SP/RP"),"P","H")</f>
        <v/>
      </c>
      <c r="R417">
        <f>IF(F417="",0,IFNA(VLOOKUP(F417,Trait_Polarity!$A:$C,2,FALSE),0))+IF(G417="",0,IFNA(VLOOKUP(G417,Trait_Polarity!$A:$C,2,FALSE),0))</f>
        <v/>
      </c>
      <c r="S417">
        <f>IF(F417="",0,IFNA(VLOOKUP(F417,Trait_Polarity!$A:$C,3,FALSE),0))+IF(G417="",0,IFNA(VLOOKUP(G417,Trait_Polarity!$A:$C,3,FALSE),0))</f>
        <v/>
      </c>
      <c r="T417">
        <f>IF(Q417="P",0,IFNA(VLOOKUP(IF(C417="","(none)",C417),Secondary_Versatility!$A:$B,2,FALSE),0))</f>
        <v/>
      </c>
      <c r="U417">
        <f>IF(H417="",0,LEN(H417)-LEN(SUBSTITUTE(H417,"|",""))+1)</f>
        <v/>
      </c>
      <c r="V417">
        <f>IF(Q417="P",(N417+O417+P417)/3,0.3*I417+0.3*J417+0.2*K417+0.1*L417+0.1*M417)</f>
        <v/>
      </c>
      <c r="W417">
        <f>IF(Q417="P",IF(F417="",0,IFNA(VLOOKUP(F417,Pitcher_Trait_Coef!$A:$B,2,FALSE),0))+IF(G417="",0,IFNA(VLOOKUP(G417,Pitcher_Trait_Coef!$A:$B,2,FALSE),0)),IF(F417="",0,IFNA(VLOOKUP(F417,Hitter_Trait_Coef!$A:$B,2,FALSE),0))+IF(G417="",0,IFNA(VLOOKUP(G417,Hitter_Trait_Coef!$A:$B,2,FALSE),0)))</f>
        <v/>
      </c>
      <c r="X417">
        <f>IF(Q417="P",IFNA(VLOOKUP(B417,Pitcher_Primary_Coef!$A:$B,2,FALSE),0),IFNA(VLOOKUP(B417,Hitter_Primary_Coef!$A:$B,2,FALSE),0))</f>
        <v/>
      </c>
      <c r="Y417">
        <f>IF(Q417="P",0,IFNA(VLOOKUP(IF(C417="","(none)",C417),Hitter_Secondary_Coef!$A:$B,2,FALSE),0))</f>
        <v/>
      </c>
      <c r="Z417">
        <f>IF(Q417="P",IF(ISNUMBER(SEARCH("2F",H417)),IFNA(VLOOKUP("2F",Pitch_Coef!$A:$B,2,FALSE),0),0)+IF(ISNUMBER(SEARCH("4F",H417)),IFNA(VLOOKUP("4F",Pitch_Coef!$A:$B,2,FALSE),0),0)+IF(ISNUMBER(SEARCH("CB",H417)),IFNA(VLOOKUP("CB",Pitch_Coef!$A:$B,2,FALSE),0),0)+IF(ISNUMBER(SEARCH("CF",H417)),IFNA(VLOOKUP("CF",Pitch_Coef!$A:$B,2,FALSE),0),0)+IF(ISNUMBER(SEARCH("CH",H417)),IFNA(VLOOKUP("CH",Pitch_Coef!$A:$B,2,FALSE),0),0)+IF(ISNUMBER(SEARCH("FK",H417)),IFNA(VLOOKUP("FK",Pitch_Coef!$A:$B,2,FALSE),0),0)+IF(ISNUMBER(SEARCH("SB",H417)),IFNA(VLOOKUP("SB",Pitch_Coef!$A:$B,2,FALSE),0),0)+IF(ISNUMBER(SEARCH("SL",H417)),IFNA(VLOOKUP("SL",Pitch_Coef!$A:$B,2,FALSE),0),0),0)</f>
        <v/>
      </c>
      <c r="AA417">
        <f>IF(Q417="P",16.5944849573+0.2529999141*N417+0.2665900378*O417+0.2632687105*P417+0.0427586837*I417+0.0534777057*J417+0.009015832*K417+0.0204898106*(O417*P417/100)+1.0091022427*U417+1.0968542297*IF(D417="L",1,0)+0.3771555045*IF(D417="S",1,0)-0.2226159177*IF(E417="L",1,0)+1.21385024*R417-1.1652812274*S417+W417+X417+Z417,10.5965166711+0.2825983581*I417+0.2806503532*J417+0.2027213083*K417+0.1147824982*L417+0.0915305332*M417-0.0088454122*(I417*J417/100)-0.0336045706*(K417*L417/100)+2.8497389733*IF(D417="L",1,0)+4.5116226727*IF(D417="S",1,0)-0.6571546448*IF(E417="L",1,0)+0.0850728147*T417+0.0129488446*(T417*T417)+0.1909373936*IF(OR(F417="Utility",G417="Utility"),T417,0)+0.9656824071*R417-1.7517683256*S417+W417+X417+Y417)</f>
        <v/>
      </c>
      <c r="AB417">
        <f>LOOKUP(AA417,Grade_Scale!$A$2:$A$18,Grade_Scale!$B$2:$B$18)</f>
        <v/>
      </c>
      <c r="AC417">
        <f>LOOKUP(AA417,Grade_Scale!$A$2:$A$18,Grade_Scale!$C$2:$C$18)</f>
        <v/>
      </c>
      <c r="AE417">
        <f>IF(AD417="","",AB417-VLOOKUP(AD417,Grade_Scale!$C$2:$E$18,3,FALSE))</f>
        <v/>
      </c>
    </row>
    <row r="418">
      <c r="Q418">
        <f>IF(OR(B418="SP",B418="RP",B418="CP",B418="SP/RP"),"P","H")</f>
        <v/>
      </c>
      <c r="R418">
        <f>IF(F418="",0,IFNA(VLOOKUP(F418,Trait_Polarity!$A:$C,2,FALSE),0))+IF(G418="",0,IFNA(VLOOKUP(G418,Trait_Polarity!$A:$C,2,FALSE),0))</f>
        <v/>
      </c>
      <c r="S418">
        <f>IF(F418="",0,IFNA(VLOOKUP(F418,Trait_Polarity!$A:$C,3,FALSE),0))+IF(G418="",0,IFNA(VLOOKUP(G418,Trait_Polarity!$A:$C,3,FALSE),0))</f>
        <v/>
      </c>
      <c r="T418">
        <f>IF(Q418="P",0,IFNA(VLOOKUP(IF(C418="","(none)",C418),Secondary_Versatility!$A:$B,2,FALSE),0))</f>
        <v/>
      </c>
      <c r="U418">
        <f>IF(H418="",0,LEN(H418)-LEN(SUBSTITUTE(H418,"|",""))+1)</f>
        <v/>
      </c>
      <c r="V418">
        <f>IF(Q418="P",(N418+O418+P418)/3,0.3*I418+0.3*J418+0.2*K418+0.1*L418+0.1*M418)</f>
        <v/>
      </c>
      <c r="W418">
        <f>IF(Q418="P",IF(F418="",0,IFNA(VLOOKUP(F418,Pitcher_Trait_Coef!$A:$B,2,FALSE),0))+IF(G418="",0,IFNA(VLOOKUP(G418,Pitcher_Trait_Coef!$A:$B,2,FALSE),0)),IF(F418="",0,IFNA(VLOOKUP(F418,Hitter_Trait_Coef!$A:$B,2,FALSE),0))+IF(G418="",0,IFNA(VLOOKUP(G418,Hitter_Trait_Coef!$A:$B,2,FALSE),0)))</f>
        <v/>
      </c>
      <c r="X418">
        <f>IF(Q418="P",IFNA(VLOOKUP(B418,Pitcher_Primary_Coef!$A:$B,2,FALSE),0),IFNA(VLOOKUP(B418,Hitter_Primary_Coef!$A:$B,2,FALSE),0))</f>
        <v/>
      </c>
      <c r="Y418">
        <f>IF(Q418="P",0,IFNA(VLOOKUP(IF(C418="","(none)",C418),Hitter_Secondary_Coef!$A:$B,2,FALSE),0))</f>
        <v/>
      </c>
      <c r="Z418">
        <f>IF(Q418="P",IF(ISNUMBER(SEARCH("2F",H418)),IFNA(VLOOKUP("2F",Pitch_Coef!$A:$B,2,FALSE),0),0)+IF(ISNUMBER(SEARCH("4F",H418)),IFNA(VLOOKUP("4F",Pitch_Coef!$A:$B,2,FALSE),0),0)+IF(ISNUMBER(SEARCH("CB",H418)),IFNA(VLOOKUP("CB",Pitch_Coef!$A:$B,2,FALSE),0),0)+IF(ISNUMBER(SEARCH("CF",H418)),IFNA(VLOOKUP("CF",Pitch_Coef!$A:$B,2,FALSE),0),0)+IF(ISNUMBER(SEARCH("CH",H418)),IFNA(VLOOKUP("CH",Pitch_Coef!$A:$B,2,FALSE),0),0)+IF(ISNUMBER(SEARCH("FK",H418)),IFNA(VLOOKUP("FK",Pitch_Coef!$A:$B,2,FALSE),0),0)+IF(ISNUMBER(SEARCH("SB",H418)),IFNA(VLOOKUP("SB",Pitch_Coef!$A:$B,2,FALSE),0),0)+IF(ISNUMBER(SEARCH("SL",H418)),IFNA(VLOOKUP("SL",Pitch_Coef!$A:$B,2,FALSE),0),0),0)</f>
        <v/>
      </c>
      <c r="AA418">
        <f>IF(Q418="P",16.5944849573+0.2529999141*N418+0.2665900378*O418+0.2632687105*P418+0.0427586837*I418+0.0534777057*J418+0.009015832*K418+0.0204898106*(O418*P418/100)+1.0091022427*U418+1.0968542297*IF(D418="L",1,0)+0.3771555045*IF(D418="S",1,0)-0.2226159177*IF(E418="L",1,0)+1.21385024*R418-1.1652812274*S418+W418+X418+Z418,10.5965166711+0.2825983581*I418+0.2806503532*J418+0.2027213083*K418+0.1147824982*L418+0.0915305332*M418-0.0088454122*(I418*J418/100)-0.0336045706*(K418*L418/100)+2.8497389733*IF(D418="L",1,0)+4.5116226727*IF(D418="S",1,0)-0.6571546448*IF(E418="L",1,0)+0.0850728147*T418+0.0129488446*(T418*T418)+0.1909373936*IF(OR(F418="Utility",G418="Utility"),T418,0)+0.9656824071*R418-1.7517683256*S418+W418+X418+Y418)</f>
        <v/>
      </c>
      <c r="AB418">
        <f>LOOKUP(AA418,Grade_Scale!$A$2:$A$18,Grade_Scale!$B$2:$B$18)</f>
        <v/>
      </c>
      <c r="AC418">
        <f>LOOKUP(AA418,Grade_Scale!$A$2:$A$18,Grade_Scale!$C$2:$C$18)</f>
        <v/>
      </c>
      <c r="AE418">
        <f>IF(AD418="","",AB418-VLOOKUP(AD418,Grade_Scale!$C$2:$E$18,3,FALSE))</f>
        <v/>
      </c>
    </row>
    <row r="419">
      <c r="Q419">
        <f>IF(OR(B419="SP",B419="RP",B419="CP",B419="SP/RP"),"P","H")</f>
        <v/>
      </c>
      <c r="R419">
        <f>IF(F419="",0,IFNA(VLOOKUP(F419,Trait_Polarity!$A:$C,2,FALSE),0))+IF(G419="",0,IFNA(VLOOKUP(G419,Trait_Polarity!$A:$C,2,FALSE),0))</f>
        <v/>
      </c>
      <c r="S419">
        <f>IF(F419="",0,IFNA(VLOOKUP(F419,Trait_Polarity!$A:$C,3,FALSE),0))+IF(G419="",0,IFNA(VLOOKUP(G419,Trait_Polarity!$A:$C,3,FALSE),0))</f>
        <v/>
      </c>
      <c r="T419">
        <f>IF(Q419="P",0,IFNA(VLOOKUP(IF(C419="","(none)",C419),Secondary_Versatility!$A:$B,2,FALSE),0))</f>
        <v/>
      </c>
      <c r="U419">
        <f>IF(H419="",0,LEN(H419)-LEN(SUBSTITUTE(H419,"|",""))+1)</f>
        <v/>
      </c>
      <c r="V419">
        <f>IF(Q419="P",(N419+O419+P419)/3,0.3*I419+0.3*J419+0.2*K419+0.1*L419+0.1*M419)</f>
        <v/>
      </c>
      <c r="W419">
        <f>IF(Q419="P",IF(F419="",0,IFNA(VLOOKUP(F419,Pitcher_Trait_Coef!$A:$B,2,FALSE),0))+IF(G419="",0,IFNA(VLOOKUP(G419,Pitcher_Trait_Coef!$A:$B,2,FALSE),0)),IF(F419="",0,IFNA(VLOOKUP(F419,Hitter_Trait_Coef!$A:$B,2,FALSE),0))+IF(G419="",0,IFNA(VLOOKUP(G419,Hitter_Trait_Coef!$A:$B,2,FALSE),0)))</f>
        <v/>
      </c>
      <c r="X419">
        <f>IF(Q419="P",IFNA(VLOOKUP(B419,Pitcher_Primary_Coef!$A:$B,2,FALSE),0),IFNA(VLOOKUP(B419,Hitter_Primary_Coef!$A:$B,2,FALSE),0))</f>
        <v/>
      </c>
      <c r="Y419">
        <f>IF(Q419="P",0,IFNA(VLOOKUP(IF(C419="","(none)",C419),Hitter_Secondary_Coef!$A:$B,2,FALSE),0))</f>
        <v/>
      </c>
      <c r="Z419">
        <f>IF(Q419="P",IF(ISNUMBER(SEARCH("2F",H419)),IFNA(VLOOKUP("2F",Pitch_Coef!$A:$B,2,FALSE),0),0)+IF(ISNUMBER(SEARCH("4F",H419)),IFNA(VLOOKUP("4F",Pitch_Coef!$A:$B,2,FALSE),0),0)+IF(ISNUMBER(SEARCH("CB",H419)),IFNA(VLOOKUP("CB",Pitch_Coef!$A:$B,2,FALSE),0),0)+IF(ISNUMBER(SEARCH("CF",H419)),IFNA(VLOOKUP("CF",Pitch_Coef!$A:$B,2,FALSE),0),0)+IF(ISNUMBER(SEARCH("CH",H419)),IFNA(VLOOKUP("CH",Pitch_Coef!$A:$B,2,FALSE),0),0)+IF(ISNUMBER(SEARCH("FK",H419)),IFNA(VLOOKUP("FK",Pitch_Coef!$A:$B,2,FALSE),0),0)+IF(ISNUMBER(SEARCH("SB",H419)),IFNA(VLOOKUP("SB",Pitch_Coef!$A:$B,2,FALSE),0),0)+IF(ISNUMBER(SEARCH("SL",H419)),IFNA(VLOOKUP("SL",Pitch_Coef!$A:$B,2,FALSE),0),0),0)</f>
        <v/>
      </c>
      <c r="AA419">
        <f>IF(Q419="P",16.5944849573+0.2529999141*N419+0.2665900378*O419+0.2632687105*P419+0.0427586837*I419+0.0534777057*J419+0.009015832*K419+0.0204898106*(O419*P419/100)+1.0091022427*U419+1.0968542297*IF(D419="L",1,0)+0.3771555045*IF(D419="S",1,0)-0.2226159177*IF(E419="L",1,0)+1.21385024*R419-1.1652812274*S419+W419+X419+Z419,10.5965166711+0.2825983581*I419+0.2806503532*J419+0.2027213083*K419+0.1147824982*L419+0.0915305332*M419-0.0088454122*(I419*J419/100)-0.0336045706*(K419*L419/100)+2.8497389733*IF(D419="L",1,0)+4.5116226727*IF(D419="S",1,0)-0.6571546448*IF(E419="L",1,0)+0.0850728147*T419+0.0129488446*(T419*T419)+0.1909373936*IF(OR(F419="Utility",G419="Utility"),T419,0)+0.9656824071*R419-1.7517683256*S419+W419+X419+Y419)</f>
        <v/>
      </c>
      <c r="AB419">
        <f>LOOKUP(AA419,Grade_Scale!$A$2:$A$18,Grade_Scale!$B$2:$B$18)</f>
        <v/>
      </c>
      <c r="AC419">
        <f>LOOKUP(AA419,Grade_Scale!$A$2:$A$18,Grade_Scale!$C$2:$C$18)</f>
        <v/>
      </c>
      <c r="AE419">
        <f>IF(AD419="","",AB419-VLOOKUP(AD419,Grade_Scale!$C$2:$E$18,3,FALSE))</f>
        <v/>
      </c>
    </row>
    <row r="420">
      <c r="Q420">
        <f>IF(OR(B420="SP",B420="RP",B420="CP",B420="SP/RP"),"P","H")</f>
        <v/>
      </c>
      <c r="R420">
        <f>IF(F420="",0,IFNA(VLOOKUP(F420,Trait_Polarity!$A:$C,2,FALSE),0))+IF(G420="",0,IFNA(VLOOKUP(G420,Trait_Polarity!$A:$C,2,FALSE),0))</f>
        <v/>
      </c>
      <c r="S420">
        <f>IF(F420="",0,IFNA(VLOOKUP(F420,Trait_Polarity!$A:$C,3,FALSE),0))+IF(G420="",0,IFNA(VLOOKUP(G420,Trait_Polarity!$A:$C,3,FALSE),0))</f>
        <v/>
      </c>
      <c r="T420">
        <f>IF(Q420="P",0,IFNA(VLOOKUP(IF(C420="","(none)",C420),Secondary_Versatility!$A:$B,2,FALSE),0))</f>
        <v/>
      </c>
      <c r="U420">
        <f>IF(H420="",0,LEN(H420)-LEN(SUBSTITUTE(H420,"|",""))+1)</f>
        <v/>
      </c>
      <c r="V420">
        <f>IF(Q420="P",(N420+O420+P420)/3,0.3*I420+0.3*J420+0.2*K420+0.1*L420+0.1*M420)</f>
        <v/>
      </c>
      <c r="W420">
        <f>IF(Q420="P",IF(F420="",0,IFNA(VLOOKUP(F420,Pitcher_Trait_Coef!$A:$B,2,FALSE),0))+IF(G420="",0,IFNA(VLOOKUP(G420,Pitcher_Trait_Coef!$A:$B,2,FALSE),0)),IF(F420="",0,IFNA(VLOOKUP(F420,Hitter_Trait_Coef!$A:$B,2,FALSE),0))+IF(G420="",0,IFNA(VLOOKUP(G420,Hitter_Trait_Coef!$A:$B,2,FALSE),0)))</f>
        <v/>
      </c>
      <c r="X420">
        <f>IF(Q420="P",IFNA(VLOOKUP(B420,Pitcher_Primary_Coef!$A:$B,2,FALSE),0),IFNA(VLOOKUP(B420,Hitter_Primary_Coef!$A:$B,2,FALSE),0))</f>
        <v/>
      </c>
      <c r="Y420">
        <f>IF(Q420="P",0,IFNA(VLOOKUP(IF(C420="","(none)",C420),Hitter_Secondary_Coef!$A:$B,2,FALSE),0))</f>
        <v/>
      </c>
      <c r="Z420">
        <f>IF(Q420="P",IF(ISNUMBER(SEARCH("2F",H420)),IFNA(VLOOKUP("2F",Pitch_Coef!$A:$B,2,FALSE),0),0)+IF(ISNUMBER(SEARCH("4F",H420)),IFNA(VLOOKUP("4F",Pitch_Coef!$A:$B,2,FALSE),0),0)+IF(ISNUMBER(SEARCH("CB",H420)),IFNA(VLOOKUP("CB",Pitch_Coef!$A:$B,2,FALSE),0),0)+IF(ISNUMBER(SEARCH("CF",H420)),IFNA(VLOOKUP("CF",Pitch_Coef!$A:$B,2,FALSE),0),0)+IF(ISNUMBER(SEARCH("CH",H420)),IFNA(VLOOKUP("CH",Pitch_Coef!$A:$B,2,FALSE),0),0)+IF(ISNUMBER(SEARCH("FK",H420)),IFNA(VLOOKUP("FK",Pitch_Coef!$A:$B,2,FALSE),0),0)+IF(ISNUMBER(SEARCH("SB",H420)),IFNA(VLOOKUP("SB",Pitch_Coef!$A:$B,2,FALSE),0),0)+IF(ISNUMBER(SEARCH("SL",H420)),IFNA(VLOOKUP("SL",Pitch_Coef!$A:$B,2,FALSE),0),0),0)</f>
        <v/>
      </c>
      <c r="AA420">
        <f>IF(Q420="P",16.5944849573+0.2529999141*N420+0.2665900378*O420+0.2632687105*P420+0.0427586837*I420+0.0534777057*J420+0.009015832*K420+0.0204898106*(O420*P420/100)+1.0091022427*U420+1.0968542297*IF(D420="L",1,0)+0.3771555045*IF(D420="S",1,0)-0.2226159177*IF(E420="L",1,0)+1.21385024*R420-1.1652812274*S420+W420+X420+Z420,10.5965166711+0.2825983581*I420+0.2806503532*J420+0.2027213083*K420+0.1147824982*L420+0.0915305332*M420-0.0088454122*(I420*J420/100)-0.0336045706*(K420*L420/100)+2.8497389733*IF(D420="L",1,0)+4.5116226727*IF(D420="S",1,0)-0.6571546448*IF(E420="L",1,0)+0.0850728147*T420+0.0129488446*(T420*T420)+0.1909373936*IF(OR(F420="Utility",G420="Utility"),T420,0)+0.9656824071*R420-1.7517683256*S420+W420+X420+Y420)</f>
        <v/>
      </c>
      <c r="AB420">
        <f>LOOKUP(AA420,Grade_Scale!$A$2:$A$18,Grade_Scale!$B$2:$B$18)</f>
        <v/>
      </c>
      <c r="AC420">
        <f>LOOKUP(AA420,Grade_Scale!$A$2:$A$18,Grade_Scale!$C$2:$C$18)</f>
        <v/>
      </c>
      <c r="AE420">
        <f>IF(AD420="","",AB420-VLOOKUP(AD420,Grade_Scale!$C$2:$E$18,3,FALSE))</f>
        <v/>
      </c>
    </row>
    <row r="421">
      <c r="Q421">
        <f>IF(OR(B421="SP",B421="RP",B421="CP",B421="SP/RP"),"P","H")</f>
        <v/>
      </c>
      <c r="R421">
        <f>IF(F421="",0,IFNA(VLOOKUP(F421,Trait_Polarity!$A:$C,2,FALSE),0))+IF(G421="",0,IFNA(VLOOKUP(G421,Trait_Polarity!$A:$C,2,FALSE),0))</f>
        <v/>
      </c>
      <c r="S421">
        <f>IF(F421="",0,IFNA(VLOOKUP(F421,Trait_Polarity!$A:$C,3,FALSE),0))+IF(G421="",0,IFNA(VLOOKUP(G421,Trait_Polarity!$A:$C,3,FALSE),0))</f>
        <v/>
      </c>
      <c r="T421">
        <f>IF(Q421="P",0,IFNA(VLOOKUP(IF(C421="","(none)",C421),Secondary_Versatility!$A:$B,2,FALSE),0))</f>
        <v/>
      </c>
      <c r="U421">
        <f>IF(H421="",0,LEN(H421)-LEN(SUBSTITUTE(H421,"|",""))+1)</f>
        <v/>
      </c>
      <c r="V421">
        <f>IF(Q421="P",(N421+O421+P421)/3,0.3*I421+0.3*J421+0.2*K421+0.1*L421+0.1*M421)</f>
        <v/>
      </c>
      <c r="W421">
        <f>IF(Q421="P",IF(F421="",0,IFNA(VLOOKUP(F421,Pitcher_Trait_Coef!$A:$B,2,FALSE),0))+IF(G421="",0,IFNA(VLOOKUP(G421,Pitcher_Trait_Coef!$A:$B,2,FALSE),0)),IF(F421="",0,IFNA(VLOOKUP(F421,Hitter_Trait_Coef!$A:$B,2,FALSE),0))+IF(G421="",0,IFNA(VLOOKUP(G421,Hitter_Trait_Coef!$A:$B,2,FALSE),0)))</f>
        <v/>
      </c>
      <c r="X421">
        <f>IF(Q421="P",IFNA(VLOOKUP(B421,Pitcher_Primary_Coef!$A:$B,2,FALSE),0),IFNA(VLOOKUP(B421,Hitter_Primary_Coef!$A:$B,2,FALSE),0))</f>
        <v/>
      </c>
      <c r="Y421">
        <f>IF(Q421="P",0,IFNA(VLOOKUP(IF(C421="","(none)",C421),Hitter_Secondary_Coef!$A:$B,2,FALSE),0))</f>
        <v/>
      </c>
      <c r="Z421">
        <f>IF(Q421="P",IF(ISNUMBER(SEARCH("2F",H421)),IFNA(VLOOKUP("2F",Pitch_Coef!$A:$B,2,FALSE),0),0)+IF(ISNUMBER(SEARCH("4F",H421)),IFNA(VLOOKUP("4F",Pitch_Coef!$A:$B,2,FALSE),0),0)+IF(ISNUMBER(SEARCH("CB",H421)),IFNA(VLOOKUP("CB",Pitch_Coef!$A:$B,2,FALSE),0),0)+IF(ISNUMBER(SEARCH("CF",H421)),IFNA(VLOOKUP("CF",Pitch_Coef!$A:$B,2,FALSE),0),0)+IF(ISNUMBER(SEARCH("CH",H421)),IFNA(VLOOKUP("CH",Pitch_Coef!$A:$B,2,FALSE),0),0)+IF(ISNUMBER(SEARCH("FK",H421)),IFNA(VLOOKUP("FK",Pitch_Coef!$A:$B,2,FALSE),0),0)+IF(ISNUMBER(SEARCH("SB",H421)),IFNA(VLOOKUP("SB",Pitch_Coef!$A:$B,2,FALSE),0),0)+IF(ISNUMBER(SEARCH("SL",H421)),IFNA(VLOOKUP("SL",Pitch_Coef!$A:$B,2,FALSE),0),0),0)</f>
        <v/>
      </c>
      <c r="AA421">
        <f>IF(Q421="P",16.5944849573+0.2529999141*N421+0.2665900378*O421+0.2632687105*P421+0.0427586837*I421+0.0534777057*J421+0.009015832*K421+0.0204898106*(O421*P421/100)+1.0091022427*U421+1.0968542297*IF(D421="L",1,0)+0.3771555045*IF(D421="S",1,0)-0.2226159177*IF(E421="L",1,0)+1.21385024*R421-1.1652812274*S421+W421+X421+Z421,10.5965166711+0.2825983581*I421+0.2806503532*J421+0.2027213083*K421+0.1147824982*L421+0.0915305332*M421-0.0088454122*(I421*J421/100)-0.0336045706*(K421*L421/100)+2.8497389733*IF(D421="L",1,0)+4.5116226727*IF(D421="S",1,0)-0.6571546448*IF(E421="L",1,0)+0.0850728147*T421+0.0129488446*(T421*T421)+0.1909373936*IF(OR(F421="Utility",G421="Utility"),T421,0)+0.9656824071*R421-1.7517683256*S421+W421+X421+Y421)</f>
        <v/>
      </c>
      <c r="AB421">
        <f>LOOKUP(AA421,Grade_Scale!$A$2:$A$18,Grade_Scale!$B$2:$B$18)</f>
        <v/>
      </c>
      <c r="AC421">
        <f>LOOKUP(AA421,Grade_Scale!$A$2:$A$18,Grade_Scale!$C$2:$C$18)</f>
        <v/>
      </c>
      <c r="AE421">
        <f>IF(AD421="","",AB421-VLOOKUP(AD421,Grade_Scale!$C$2:$E$18,3,FALSE))</f>
        <v/>
      </c>
    </row>
    <row r="422">
      <c r="Q422">
        <f>IF(OR(B422="SP",B422="RP",B422="CP",B422="SP/RP"),"P","H")</f>
        <v/>
      </c>
      <c r="R422">
        <f>IF(F422="",0,IFNA(VLOOKUP(F422,Trait_Polarity!$A:$C,2,FALSE),0))+IF(G422="",0,IFNA(VLOOKUP(G422,Trait_Polarity!$A:$C,2,FALSE),0))</f>
        <v/>
      </c>
      <c r="S422">
        <f>IF(F422="",0,IFNA(VLOOKUP(F422,Trait_Polarity!$A:$C,3,FALSE),0))+IF(G422="",0,IFNA(VLOOKUP(G422,Trait_Polarity!$A:$C,3,FALSE),0))</f>
        <v/>
      </c>
      <c r="T422">
        <f>IF(Q422="P",0,IFNA(VLOOKUP(IF(C422="","(none)",C422),Secondary_Versatility!$A:$B,2,FALSE),0))</f>
        <v/>
      </c>
      <c r="U422">
        <f>IF(H422="",0,LEN(H422)-LEN(SUBSTITUTE(H422,"|",""))+1)</f>
        <v/>
      </c>
      <c r="V422">
        <f>IF(Q422="P",(N422+O422+P422)/3,0.3*I422+0.3*J422+0.2*K422+0.1*L422+0.1*M422)</f>
        <v/>
      </c>
      <c r="W422">
        <f>IF(Q422="P",IF(F422="",0,IFNA(VLOOKUP(F422,Pitcher_Trait_Coef!$A:$B,2,FALSE),0))+IF(G422="",0,IFNA(VLOOKUP(G422,Pitcher_Trait_Coef!$A:$B,2,FALSE),0)),IF(F422="",0,IFNA(VLOOKUP(F422,Hitter_Trait_Coef!$A:$B,2,FALSE),0))+IF(G422="",0,IFNA(VLOOKUP(G422,Hitter_Trait_Coef!$A:$B,2,FALSE),0)))</f>
        <v/>
      </c>
      <c r="X422">
        <f>IF(Q422="P",IFNA(VLOOKUP(B422,Pitcher_Primary_Coef!$A:$B,2,FALSE),0),IFNA(VLOOKUP(B422,Hitter_Primary_Coef!$A:$B,2,FALSE),0))</f>
        <v/>
      </c>
      <c r="Y422">
        <f>IF(Q422="P",0,IFNA(VLOOKUP(IF(C422="","(none)",C422),Hitter_Secondary_Coef!$A:$B,2,FALSE),0))</f>
        <v/>
      </c>
      <c r="Z422">
        <f>IF(Q422="P",IF(ISNUMBER(SEARCH("2F",H422)),IFNA(VLOOKUP("2F",Pitch_Coef!$A:$B,2,FALSE),0),0)+IF(ISNUMBER(SEARCH("4F",H422)),IFNA(VLOOKUP("4F",Pitch_Coef!$A:$B,2,FALSE),0),0)+IF(ISNUMBER(SEARCH("CB",H422)),IFNA(VLOOKUP("CB",Pitch_Coef!$A:$B,2,FALSE),0),0)+IF(ISNUMBER(SEARCH("CF",H422)),IFNA(VLOOKUP("CF",Pitch_Coef!$A:$B,2,FALSE),0),0)+IF(ISNUMBER(SEARCH("CH",H422)),IFNA(VLOOKUP("CH",Pitch_Coef!$A:$B,2,FALSE),0),0)+IF(ISNUMBER(SEARCH("FK",H422)),IFNA(VLOOKUP("FK",Pitch_Coef!$A:$B,2,FALSE),0),0)+IF(ISNUMBER(SEARCH("SB",H422)),IFNA(VLOOKUP("SB",Pitch_Coef!$A:$B,2,FALSE),0),0)+IF(ISNUMBER(SEARCH("SL",H422)),IFNA(VLOOKUP("SL",Pitch_Coef!$A:$B,2,FALSE),0),0),0)</f>
        <v/>
      </c>
      <c r="AA422">
        <f>IF(Q422="P",16.5944849573+0.2529999141*N422+0.2665900378*O422+0.2632687105*P422+0.0427586837*I422+0.0534777057*J422+0.009015832*K422+0.0204898106*(O422*P422/100)+1.0091022427*U422+1.0968542297*IF(D422="L",1,0)+0.3771555045*IF(D422="S",1,0)-0.2226159177*IF(E422="L",1,0)+1.21385024*R422-1.1652812274*S422+W422+X422+Z422,10.5965166711+0.2825983581*I422+0.2806503532*J422+0.2027213083*K422+0.1147824982*L422+0.0915305332*M422-0.0088454122*(I422*J422/100)-0.0336045706*(K422*L422/100)+2.8497389733*IF(D422="L",1,0)+4.5116226727*IF(D422="S",1,0)-0.6571546448*IF(E422="L",1,0)+0.0850728147*T422+0.0129488446*(T422*T422)+0.1909373936*IF(OR(F422="Utility",G422="Utility"),T422,0)+0.9656824071*R422-1.7517683256*S422+W422+X422+Y422)</f>
        <v/>
      </c>
      <c r="AB422">
        <f>LOOKUP(AA422,Grade_Scale!$A$2:$A$18,Grade_Scale!$B$2:$B$18)</f>
        <v/>
      </c>
      <c r="AC422">
        <f>LOOKUP(AA422,Grade_Scale!$A$2:$A$18,Grade_Scale!$C$2:$C$18)</f>
        <v/>
      </c>
      <c r="AE422">
        <f>IF(AD422="","",AB422-VLOOKUP(AD422,Grade_Scale!$C$2:$E$18,3,FALSE))</f>
        <v/>
      </c>
    </row>
    <row r="423">
      <c r="Q423">
        <f>IF(OR(B423="SP",B423="RP",B423="CP",B423="SP/RP"),"P","H")</f>
        <v/>
      </c>
      <c r="R423">
        <f>IF(F423="",0,IFNA(VLOOKUP(F423,Trait_Polarity!$A:$C,2,FALSE),0))+IF(G423="",0,IFNA(VLOOKUP(G423,Trait_Polarity!$A:$C,2,FALSE),0))</f>
        <v/>
      </c>
      <c r="S423">
        <f>IF(F423="",0,IFNA(VLOOKUP(F423,Trait_Polarity!$A:$C,3,FALSE),0))+IF(G423="",0,IFNA(VLOOKUP(G423,Trait_Polarity!$A:$C,3,FALSE),0))</f>
        <v/>
      </c>
      <c r="T423">
        <f>IF(Q423="P",0,IFNA(VLOOKUP(IF(C423="","(none)",C423),Secondary_Versatility!$A:$B,2,FALSE),0))</f>
        <v/>
      </c>
      <c r="U423">
        <f>IF(H423="",0,LEN(H423)-LEN(SUBSTITUTE(H423,"|",""))+1)</f>
        <v/>
      </c>
      <c r="V423">
        <f>IF(Q423="P",(N423+O423+P423)/3,0.3*I423+0.3*J423+0.2*K423+0.1*L423+0.1*M423)</f>
        <v/>
      </c>
      <c r="W423">
        <f>IF(Q423="P",IF(F423="",0,IFNA(VLOOKUP(F423,Pitcher_Trait_Coef!$A:$B,2,FALSE),0))+IF(G423="",0,IFNA(VLOOKUP(G423,Pitcher_Trait_Coef!$A:$B,2,FALSE),0)),IF(F423="",0,IFNA(VLOOKUP(F423,Hitter_Trait_Coef!$A:$B,2,FALSE),0))+IF(G423="",0,IFNA(VLOOKUP(G423,Hitter_Trait_Coef!$A:$B,2,FALSE),0)))</f>
        <v/>
      </c>
      <c r="X423">
        <f>IF(Q423="P",IFNA(VLOOKUP(B423,Pitcher_Primary_Coef!$A:$B,2,FALSE),0),IFNA(VLOOKUP(B423,Hitter_Primary_Coef!$A:$B,2,FALSE),0))</f>
        <v/>
      </c>
      <c r="Y423">
        <f>IF(Q423="P",0,IFNA(VLOOKUP(IF(C423="","(none)",C423),Hitter_Secondary_Coef!$A:$B,2,FALSE),0))</f>
        <v/>
      </c>
      <c r="Z423">
        <f>IF(Q423="P",IF(ISNUMBER(SEARCH("2F",H423)),IFNA(VLOOKUP("2F",Pitch_Coef!$A:$B,2,FALSE),0),0)+IF(ISNUMBER(SEARCH("4F",H423)),IFNA(VLOOKUP("4F",Pitch_Coef!$A:$B,2,FALSE),0),0)+IF(ISNUMBER(SEARCH("CB",H423)),IFNA(VLOOKUP("CB",Pitch_Coef!$A:$B,2,FALSE),0),0)+IF(ISNUMBER(SEARCH("CF",H423)),IFNA(VLOOKUP("CF",Pitch_Coef!$A:$B,2,FALSE),0),0)+IF(ISNUMBER(SEARCH("CH",H423)),IFNA(VLOOKUP("CH",Pitch_Coef!$A:$B,2,FALSE),0),0)+IF(ISNUMBER(SEARCH("FK",H423)),IFNA(VLOOKUP("FK",Pitch_Coef!$A:$B,2,FALSE),0),0)+IF(ISNUMBER(SEARCH("SB",H423)),IFNA(VLOOKUP("SB",Pitch_Coef!$A:$B,2,FALSE),0),0)+IF(ISNUMBER(SEARCH("SL",H423)),IFNA(VLOOKUP("SL",Pitch_Coef!$A:$B,2,FALSE),0),0),0)</f>
        <v/>
      </c>
      <c r="AA423">
        <f>IF(Q423="P",16.5944849573+0.2529999141*N423+0.2665900378*O423+0.2632687105*P423+0.0427586837*I423+0.0534777057*J423+0.009015832*K423+0.0204898106*(O423*P423/100)+1.0091022427*U423+1.0968542297*IF(D423="L",1,0)+0.3771555045*IF(D423="S",1,0)-0.2226159177*IF(E423="L",1,0)+1.21385024*R423-1.1652812274*S423+W423+X423+Z423,10.5965166711+0.2825983581*I423+0.2806503532*J423+0.2027213083*K423+0.1147824982*L423+0.0915305332*M423-0.0088454122*(I423*J423/100)-0.0336045706*(K423*L423/100)+2.8497389733*IF(D423="L",1,0)+4.5116226727*IF(D423="S",1,0)-0.6571546448*IF(E423="L",1,0)+0.0850728147*T423+0.0129488446*(T423*T423)+0.1909373936*IF(OR(F423="Utility",G423="Utility"),T423,0)+0.9656824071*R423-1.7517683256*S423+W423+X423+Y423)</f>
        <v/>
      </c>
      <c r="AB423">
        <f>LOOKUP(AA423,Grade_Scale!$A$2:$A$18,Grade_Scale!$B$2:$B$18)</f>
        <v/>
      </c>
      <c r="AC423">
        <f>LOOKUP(AA423,Grade_Scale!$A$2:$A$18,Grade_Scale!$C$2:$C$18)</f>
        <v/>
      </c>
      <c r="AE423">
        <f>IF(AD423="","",AB423-VLOOKUP(AD423,Grade_Scale!$C$2:$E$18,3,FALSE))</f>
        <v/>
      </c>
    </row>
    <row r="424">
      <c r="Q424">
        <f>IF(OR(B424="SP",B424="RP",B424="CP",B424="SP/RP"),"P","H")</f>
        <v/>
      </c>
      <c r="R424">
        <f>IF(F424="",0,IFNA(VLOOKUP(F424,Trait_Polarity!$A:$C,2,FALSE),0))+IF(G424="",0,IFNA(VLOOKUP(G424,Trait_Polarity!$A:$C,2,FALSE),0))</f>
        <v/>
      </c>
      <c r="S424">
        <f>IF(F424="",0,IFNA(VLOOKUP(F424,Trait_Polarity!$A:$C,3,FALSE),0))+IF(G424="",0,IFNA(VLOOKUP(G424,Trait_Polarity!$A:$C,3,FALSE),0))</f>
        <v/>
      </c>
      <c r="T424">
        <f>IF(Q424="P",0,IFNA(VLOOKUP(IF(C424="","(none)",C424),Secondary_Versatility!$A:$B,2,FALSE),0))</f>
        <v/>
      </c>
      <c r="U424">
        <f>IF(H424="",0,LEN(H424)-LEN(SUBSTITUTE(H424,"|",""))+1)</f>
        <v/>
      </c>
      <c r="V424">
        <f>IF(Q424="P",(N424+O424+P424)/3,0.3*I424+0.3*J424+0.2*K424+0.1*L424+0.1*M424)</f>
        <v/>
      </c>
      <c r="W424">
        <f>IF(Q424="P",IF(F424="",0,IFNA(VLOOKUP(F424,Pitcher_Trait_Coef!$A:$B,2,FALSE),0))+IF(G424="",0,IFNA(VLOOKUP(G424,Pitcher_Trait_Coef!$A:$B,2,FALSE),0)),IF(F424="",0,IFNA(VLOOKUP(F424,Hitter_Trait_Coef!$A:$B,2,FALSE),0))+IF(G424="",0,IFNA(VLOOKUP(G424,Hitter_Trait_Coef!$A:$B,2,FALSE),0)))</f>
        <v/>
      </c>
      <c r="X424">
        <f>IF(Q424="P",IFNA(VLOOKUP(B424,Pitcher_Primary_Coef!$A:$B,2,FALSE),0),IFNA(VLOOKUP(B424,Hitter_Primary_Coef!$A:$B,2,FALSE),0))</f>
        <v/>
      </c>
      <c r="Y424">
        <f>IF(Q424="P",0,IFNA(VLOOKUP(IF(C424="","(none)",C424),Hitter_Secondary_Coef!$A:$B,2,FALSE),0))</f>
        <v/>
      </c>
      <c r="Z424">
        <f>IF(Q424="P",IF(ISNUMBER(SEARCH("2F",H424)),IFNA(VLOOKUP("2F",Pitch_Coef!$A:$B,2,FALSE),0),0)+IF(ISNUMBER(SEARCH("4F",H424)),IFNA(VLOOKUP("4F",Pitch_Coef!$A:$B,2,FALSE),0),0)+IF(ISNUMBER(SEARCH("CB",H424)),IFNA(VLOOKUP("CB",Pitch_Coef!$A:$B,2,FALSE),0),0)+IF(ISNUMBER(SEARCH("CF",H424)),IFNA(VLOOKUP("CF",Pitch_Coef!$A:$B,2,FALSE),0),0)+IF(ISNUMBER(SEARCH("CH",H424)),IFNA(VLOOKUP("CH",Pitch_Coef!$A:$B,2,FALSE),0),0)+IF(ISNUMBER(SEARCH("FK",H424)),IFNA(VLOOKUP("FK",Pitch_Coef!$A:$B,2,FALSE),0),0)+IF(ISNUMBER(SEARCH("SB",H424)),IFNA(VLOOKUP("SB",Pitch_Coef!$A:$B,2,FALSE),0),0)+IF(ISNUMBER(SEARCH("SL",H424)),IFNA(VLOOKUP("SL",Pitch_Coef!$A:$B,2,FALSE),0),0),0)</f>
        <v/>
      </c>
      <c r="AA424">
        <f>IF(Q424="P",16.5944849573+0.2529999141*N424+0.2665900378*O424+0.2632687105*P424+0.0427586837*I424+0.0534777057*J424+0.009015832*K424+0.0204898106*(O424*P424/100)+1.0091022427*U424+1.0968542297*IF(D424="L",1,0)+0.3771555045*IF(D424="S",1,0)-0.2226159177*IF(E424="L",1,0)+1.21385024*R424-1.1652812274*S424+W424+X424+Z424,10.5965166711+0.2825983581*I424+0.2806503532*J424+0.2027213083*K424+0.1147824982*L424+0.0915305332*M424-0.0088454122*(I424*J424/100)-0.0336045706*(K424*L424/100)+2.8497389733*IF(D424="L",1,0)+4.5116226727*IF(D424="S",1,0)-0.6571546448*IF(E424="L",1,0)+0.0850728147*T424+0.0129488446*(T424*T424)+0.1909373936*IF(OR(F424="Utility",G424="Utility"),T424,0)+0.9656824071*R424-1.7517683256*S424+W424+X424+Y424)</f>
        <v/>
      </c>
      <c r="AB424">
        <f>LOOKUP(AA424,Grade_Scale!$A$2:$A$18,Grade_Scale!$B$2:$B$18)</f>
        <v/>
      </c>
      <c r="AC424">
        <f>LOOKUP(AA424,Grade_Scale!$A$2:$A$18,Grade_Scale!$C$2:$C$18)</f>
        <v/>
      </c>
      <c r="AE424">
        <f>IF(AD424="","",AB424-VLOOKUP(AD424,Grade_Scale!$C$2:$E$18,3,FALSE))</f>
        <v/>
      </c>
    </row>
    <row r="425">
      <c r="Q425">
        <f>IF(OR(B425="SP",B425="RP",B425="CP",B425="SP/RP"),"P","H")</f>
        <v/>
      </c>
      <c r="R425">
        <f>IF(F425="",0,IFNA(VLOOKUP(F425,Trait_Polarity!$A:$C,2,FALSE),0))+IF(G425="",0,IFNA(VLOOKUP(G425,Trait_Polarity!$A:$C,2,FALSE),0))</f>
        <v/>
      </c>
      <c r="S425">
        <f>IF(F425="",0,IFNA(VLOOKUP(F425,Trait_Polarity!$A:$C,3,FALSE),0))+IF(G425="",0,IFNA(VLOOKUP(G425,Trait_Polarity!$A:$C,3,FALSE),0))</f>
        <v/>
      </c>
      <c r="T425">
        <f>IF(Q425="P",0,IFNA(VLOOKUP(IF(C425="","(none)",C425),Secondary_Versatility!$A:$B,2,FALSE),0))</f>
        <v/>
      </c>
      <c r="U425">
        <f>IF(H425="",0,LEN(H425)-LEN(SUBSTITUTE(H425,"|",""))+1)</f>
        <v/>
      </c>
      <c r="V425">
        <f>IF(Q425="P",(N425+O425+P425)/3,0.3*I425+0.3*J425+0.2*K425+0.1*L425+0.1*M425)</f>
        <v/>
      </c>
      <c r="W425">
        <f>IF(Q425="P",IF(F425="",0,IFNA(VLOOKUP(F425,Pitcher_Trait_Coef!$A:$B,2,FALSE),0))+IF(G425="",0,IFNA(VLOOKUP(G425,Pitcher_Trait_Coef!$A:$B,2,FALSE),0)),IF(F425="",0,IFNA(VLOOKUP(F425,Hitter_Trait_Coef!$A:$B,2,FALSE),0))+IF(G425="",0,IFNA(VLOOKUP(G425,Hitter_Trait_Coef!$A:$B,2,FALSE),0)))</f>
        <v/>
      </c>
      <c r="X425">
        <f>IF(Q425="P",IFNA(VLOOKUP(B425,Pitcher_Primary_Coef!$A:$B,2,FALSE),0),IFNA(VLOOKUP(B425,Hitter_Primary_Coef!$A:$B,2,FALSE),0))</f>
        <v/>
      </c>
      <c r="Y425">
        <f>IF(Q425="P",0,IFNA(VLOOKUP(IF(C425="","(none)",C425),Hitter_Secondary_Coef!$A:$B,2,FALSE),0))</f>
        <v/>
      </c>
      <c r="Z425">
        <f>IF(Q425="P",IF(ISNUMBER(SEARCH("2F",H425)),IFNA(VLOOKUP("2F",Pitch_Coef!$A:$B,2,FALSE),0),0)+IF(ISNUMBER(SEARCH("4F",H425)),IFNA(VLOOKUP("4F",Pitch_Coef!$A:$B,2,FALSE),0),0)+IF(ISNUMBER(SEARCH("CB",H425)),IFNA(VLOOKUP("CB",Pitch_Coef!$A:$B,2,FALSE),0),0)+IF(ISNUMBER(SEARCH("CF",H425)),IFNA(VLOOKUP("CF",Pitch_Coef!$A:$B,2,FALSE),0),0)+IF(ISNUMBER(SEARCH("CH",H425)),IFNA(VLOOKUP("CH",Pitch_Coef!$A:$B,2,FALSE),0),0)+IF(ISNUMBER(SEARCH("FK",H425)),IFNA(VLOOKUP("FK",Pitch_Coef!$A:$B,2,FALSE),0),0)+IF(ISNUMBER(SEARCH("SB",H425)),IFNA(VLOOKUP("SB",Pitch_Coef!$A:$B,2,FALSE),0),0)+IF(ISNUMBER(SEARCH("SL",H425)),IFNA(VLOOKUP("SL",Pitch_Coef!$A:$B,2,FALSE),0),0),0)</f>
        <v/>
      </c>
      <c r="AA425">
        <f>IF(Q425="P",16.5944849573+0.2529999141*N425+0.2665900378*O425+0.2632687105*P425+0.0427586837*I425+0.0534777057*J425+0.009015832*K425+0.0204898106*(O425*P425/100)+1.0091022427*U425+1.0968542297*IF(D425="L",1,0)+0.3771555045*IF(D425="S",1,0)-0.2226159177*IF(E425="L",1,0)+1.21385024*R425-1.1652812274*S425+W425+X425+Z425,10.5965166711+0.2825983581*I425+0.2806503532*J425+0.2027213083*K425+0.1147824982*L425+0.0915305332*M425-0.0088454122*(I425*J425/100)-0.0336045706*(K425*L425/100)+2.8497389733*IF(D425="L",1,0)+4.5116226727*IF(D425="S",1,0)-0.6571546448*IF(E425="L",1,0)+0.0850728147*T425+0.0129488446*(T425*T425)+0.1909373936*IF(OR(F425="Utility",G425="Utility"),T425,0)+0.9656824071*R425-1.7517683256*S425+W425+X425+Y425)</f>
        <v/>
      </c>
      <c r="AB425">
        <f>LOOKUP(AA425,Grade_Scale!$A$2:$A$18,Grade_Scale!$B$2:$B$18)</f>
        <v/>
      </c>
      <c r="AC425">
        <f>LOOKUP(AA425,Grade_Scale!$A$2:$A$18,Grade_Scale!$C$2:$C$18)</f>
        <v/>
      </c>
      <c r="AE425">
        <f>IF(AD425="","",AB425-VLOOKUP(AD425,Grade_Scale!$C$2:$E$18,3,FALSE))</f>
        <v/>
      </c>
    </row>
    <row r="426">
      <c r="Q426">
        <f>IF(OR(B426="SP",B426="RP",B426="CP",B426="SP/RP"),"P","H")</f>
        <v/>
      </c>
      <c r="R426">
        <f>IF(F426="",0,IFNA(VLOOKUP(F426,Trait_Polarity!$A:$C,2,FALSE),0))+IF(G426="",0,IFNA(VLOOKUP(G426,Trait_Polarity!$A:$C,2,FALSE),0))</f>
        <v/>
      </c>
      <c r="S426">
        <f>IF(F426="",0,IFNA(VLOOKUP(F426,Trait_Polarity!$A:$C,3,FALSE),0))+IF(G426="",0,IFNA(VLOOKUP(G426,Trait_Polarity!$A:$C,3,FALSE),0))</f>
        <v/>
      </c>
      <c r="T426">
        <f>IF(Q426="P",0,IFNA(VLOOKUP(IF(C426="","(none)",C426),Secondary_Versatility!$A:$B,2,FALSE),0))</f>
        <v/>
      </c>
      <c r="U426">
        <f>IF(H426="",0,LEN(H426)-LEN(SUBSTITUTE(H426,"|",""))+1)</f>
        <v/>
      </c>
      <c r="V426">
        <f>IF(Q426="P",(N426+O426+P426)/3,0.3*I426+0.3*J426+0.2*K426+0.1*L426+0.1*M426)</f>
        <v/>
      </c>
      <c r="W426">
        <f>IF(Q426="P",IF(F426="",0,IFNA(VLOOKUP(F426,Pitcher_Trait_Coef!$A:$B,2,FALSE),0))+IF(G426="",0,IFNA(VLOOKUP(G426,Pitcher_Trait_Coef!$A:$B,2,FALSE),0)),IF(F426="",0,IFNA(VLOOKUP(F426,Hitter_Trait_Coef!$A:$B,2,FALSE),0))+IF(G426="",0,IFNA(VLOOKUP(G426,Hitter_Trait_Coef!$A:$B,2,FALSE),0)))</f>
        <v/>
      </c>
      <c r="X426">
        <f>IF(Q426="P",IFNA(VLOOKUP(B426,Pitcher_Primary_Coef!$A:$B,2,FALSE),0),IFNA(VLOOKUP(B426,Hitter_Primary_Coef!$A:$B,2,FALSE),0))</f>
        <v/>
      </c>
      <c r="Y426">
        <f>IF(Q426="P",0,IFNA(VLOOKUP(IF(C426="","(none)",C426),Hitter_Secondary_Coef!$A:$B,2,FALSE),0))</f>
        <v/>
      </c>
      <c r="Z426">
        <f>IF(Q426="P",IF(ISNUMBER(SEARCH("2F",H426)),IFNA(VLOOKUP("2F",Pitch_Coef!$A:$B,2,FALSE),0),0)+IF(ISNUMBER(SEARCH("4F",H426)),IFNA(VLOOKUP("4F",Pitch_Coef!$A:$B,2,FALSE),0),0)+IF(ISNUMBER(SEARCH("CB",H426)),IFNA(VLOOKUP("CB",Pitch_Coef!$A:$B,2,FALSE),0),0)+IF(ISNUMBER(SEARCH("CF",H426)),IFNA(VLOOKUP("CF",Pitch_Coef!$A:$B,2,FALSE),0),0)+IF(ISNUMBER(SEARCH("CH",H426)),IFNA(VLOOKUP("CH",Pitch_Coef!$A:$B,2,FALSE),0),0)+IF(ISNUMBER(SEARCH("FK",H426)),IFNA(VLOOKUP("FK",Pitch_Coef!$A:$B,2,FALSE),0),0)+IF(ISNUMBER(SEARCH("SB",H426)),IFNA(VLOOKUP("SB",Pitch_Coef!$A:$B,2,FALSE),0),0)+IF(ISNUMBER(SEARCH("SL",H426)),IFNA(VLOOKUP("SL",Pitch_Coef!$A:$B,2,FALSE),0),0),0)</f>
        <v/>
      </c>
      <c r="AA426">
        <f>IF(Q426="P",16.5944849573+0.2529999141*N426+0.2665900378*O426+0.2632687105*P426+0.0427586837*I426+0.0534777057*J426+0.009015832*K426+0.0204898106*(O426*P426/100)+1.0091022427*U426+1.0968542297*IF(D426="L",1,0)+0.3771555045*IF(D426="S",1,0)-0.2226159177*IF(E426="L",1,0)+1.21385024*R426-1.1652812274*S426+W426+X426+Z426,10.5965166711+0.2825983581*I426+0.2806503532*J426+0.2027213083*K426+0.1147824982*L426+0.0915305332*M426-0.0088454122*(I426*J426/100)-0.0336045706*(K426*L426/100)+2.8497389733*IF(D426="L",1,0)+4.5116226727*IF(D426="S",1,0)-0.6571546448*IF(E426="L",1,0)+0.0850728147*T426+0.0129488446*(T426*T426)+0.1909373936*IF(OR(F426="Utility",G426="Utility"),T426,0)+0.9656824071*R426-1.7517683256*S426+W426+X426+Y426)</f>
        <v/>
      </c>
      <c r="AB426">
        <f>LOOKUP(AA426,Grade_Scale!$A$2:$A$18,Grade_Scale!$B$2:$B$18)</f>
        <v/>
      </c>
      <c r="AC426">
        <f>LOOKUP(AA426,Grade_Scale!$A$2:$A$18,Grade_Scale!$C$2:$C$18)</f>
        <v/>
      </c>
      <c r="AE426">
        <f>IF(AD426="","",AB426-VLOOKUP(AD426,Grade_Scale!$C$2:$E$18,3,FALSE))</f>
        <v/>
      </c>
    </row>
    <row r="427">
      <c r="Q427">
        <f>IF(OR(B427="SP",B427="RP",B427="CP",B427="SP/RP"),"P","H")</f>
        <v/>
      </c>
      <c r="R427">
        <f>IF(F427="",0,IFNA(VLOOKUP(F427,Trait_Polarity!$A:$C,2,FALSE),0))+IF(G427="",0,IFNA(VLOOKUP(G427,Trait_Polarity!$A:$C,2,FALSE),0))</f>
        <v/>
      </c>
      <c r="S427">
        <f>IF(F427="",0,IFNA(VLOOKUP(F427,Trait_Polarity!$A:$C,3,FALSE),0))+IF(G427="",0,IFNA(VLOOKUP(G427,Trait_Polarity!$A:$C,3,FALSE),0))</f>
        <v/>
      </c>
      <c r="T427">
        <f>IF(Q427="P",0,IFNA(VLOOKUP(IF(C427="","(none)",C427),Secondary_Versatility!$A:$B,2,FALSE),0))</f>
        <v/>
      </c>
      <c r="U427">
        <f>IF(H427="",0,LEN(H427)-LEN(SUBSTITUTE(H427,"|",""))+1)</f>
        <v/>
      </c>
      <c r="V427">
        <f>IF(Q427="P",(N427+O427+P427)/3,0.3*I427+0.3*J427+0.2*K427+0.1*L427+0.1*M427)</f>
        <v/>
      </c>
      <c r="W427">
        <f>IF(Q427="P",IF(F427="",0,IFNA(VLOOKUP(F427,Pitcher_Trait_Coef!$A:$B,2,FALSE),0))+IF(G427="",0,IFNA(VLOOKUP(G427,Pitcher_Trait_Coef!$A:$B,2,FALSE),0)),IF(F427="",0,IFNA(VLOOKUP(F427,Hitter_Trait_Coef!$A:$B,2,FALSE),0))+IF(G427="",0,IFNA(VLOOKUP(G427,Hitter_Trait_Coef!$A:$B,2,FALSE),0)))</f>
        <v/>
      </c>
      <c r="X427">
        <f>IF(Q427="P",IFNA(VLOOKUP(B427,Pitcher_Primary_Coef!$A:$B,2,FALSE),0),IFNA(VLOOKUP(B427,Hitter_Primary_Coef!$A:$B,2,FALSE),0))</f>
        <v/>
      </c>
      <c r="Y427">
        <f>IF(Q427="P",0,IFNA(VLOOKUP(IF(C427="","(none)",C427),Hitter_Secondary_Coef!$A:$B,2,FALSE),0))</f>
        <v/>
      </c>
      <c r="Z427">
        <f>IF(Q427="P",IF(ISNUMBER(SEARCH("2F",H427)),IFNA(VLOOKUP("2F",Pitch_Coef!$A:$B,2,FALSE),0),0)+IF(ISNUMBER(SEARCH("4F",H427)),IFNA(VLOOKUP("4F",Pitch_Coef!$A:$B,2,FALSE),0),0)+IF(ISNUMBER(SEARCH("CB",H427)),IFNA(VLOOKUP("CB",Pitch_Coef!$A:$B,2,FALSE),0),0)+IF(ISNUMBER(SEARCH("CF",H427)),IFNA(VLOOKUP("CF",Pitch_Coef!$A:$B,2,FALSE),0),0)+IF(ISNUMBER(SEARCH("CH",H427)),IFNA(VLOOKUP("CH",Pitch_Coef!$A:$B,2,FALSE),0),0)+IF(ISNUMBER(SEARCH("FK",H427)),IFNA(VLOOKUP("FK",Pitch_Coef!$A:$B,2,FALSE),0),0)+IF(ISNUMBER(SEARCH("SB",H427)),IFNA(VLOOKUP("SB",Pitch_Coef!$A:$B,2,FALSE),0),0)+IF(ISNUMBER(SEARCH("SL",H427)),IFNA(VLOOKUP("SL",Pitch_Coef!$A:$B,2,FALSE),0),0),0)</f>
        <v/>
      </c>
      <c r="AA427">
        <f>IF(Q427="P",16.5944849573+0.2529999141*N427+0.2665900378*O427+0.2632687105*P427+0.0427586837*I427+0.0534777057*J427+0.009015832*K427+0.0204898106*(O427*P427/100)+1.0091022427*U427+1.0968542297*IF(D427="L",1,0)+0.3771555045*IF(D427="S",1,0)-0.2226159177*IF(E427="L",1,0)+1.21385024*R427-1.1652812274*S427+W427+X427+Z427,10.5965166711+0.2825983581*I427+0.2806503532*J427+0.2027213083*K427+0.1147824982*L427+0.0915305332*M427-0.0088454122*(I427*J427/100)-0.0336045706*(K427*L427/100)+2.8497389733*IF(D427="L",1,0)+4.5116226727*IF(D427="S",1,0)-0.6571546448*IF(E427="L",1,0)+0.0850728147*T427+0.0129488446*(T427*T427)+0.1909373936*IF(OR(F427="Utility",G427="Utility"),T427,0)+0.9656824071*R427-1.7517683256*S427+W427+X427+Y427)</f>
        <v/>
      </c>
      <c r="AB427">
        <f>LOOKUP(AA427,Grade_Scale!$A$2:$A$18,Grade_Scale!$B$2:$B$18)</f>
        <v/>
      </c>
      <c r="AC427">
        <f>LOOKUP(AA427,Grade_Scale!$A$2:$A$18,Grade_Scale!$C$2:$C$18)</f>
        <v/>
      </c>
      <c r="AE427">
        <f>IF(AD427="","",AB427-VLOOKUP(AD427,Grade_Scale!$C$2:$E$18,3,FALSE))</f>
        <v/>
      </c>
    </row>
    <row r="428">
      <c r="Q428">
        <f>IF(OR(B428="SP",B428="RP",B428="CP",B428="SP/RP"),"P","H")</f>
        <v/>
      </c>
      <c r="R428">
        <f>IF(F428="",0,IFNA(VLOOKUP(F428,Trait_Polarity!$A:$C,2,FALSE),0))+IF(G428="",0,IFNA(VLOOKUP(G428,Trait_Polarity!$A:$C,2,FALSE),0))</f>
        <v/>
      </c>
      <c r="S428">
        <f>IF(F428="",0,IFNA(VLOOKUP(F428,Trait_Polarity!$A:$C,3,FALSE),0))+IF(G428="",0,IFNA(VLOOKUP(G428,Trait_Polarity!$A:$C,3,FALSE),0))</f>
        <v/>
      </c>
      <c r="T428">
        <f>IF(Q428="P",0,IFNA(VLOOKUP(IF(C428="","(none)",C428),Secondary_Versatility!$A:$B,2,FALSE),0))</f>
        <v/>
      </c>
      <c r="U428">
        <f>IF(H428="",0,LEN(H428)-LEN(SUBSTITUTE(H428,"|",""))+1)</f>
        <v/>
      </c>
      <c r="V428">
        <f>IF(Q428="P",(N428+O428+P428)/3,0.3*I428+0.3*J428+0.2*K428+0.1*L428+0.1*M428)</f>
        <v/>
      </c>
      <c r="W428">
        <f>IF(Q428="P",IF(F428="",0,IFNA(VLOOKUP(F428,Pitcher_Trait_Coef!$A:$B,2,FALSE),0))+IF(G428="",0,IFNA(VLOOKUP(G428,Pitcher_Trait_Coef!$A:$B,2,FALSE),0)),IF(F428="",0,IFNA(VLOOKUP(F428,Hitter_Trait_Coef!$A:$B,2,FALSE),0))+IF(G428="",0,IFNA(VLOOKUP(G428,Hitter_Trait_Coef!$A:$B,2,FALSE),0)))</f>
        <v/>
      </c>
      <c r="X428">
        <f>IF(Q428="P",IFNA(VLOOKUP(B428,Pitcher_Primary_Coef!$A:$B,2,FALSE),0),IFNA(VLOOKUP(B428,Hitter_Primary_Coef!$A:$B,2,FALSE),0))</f>
        <v/>
      </c>
      <c r="Y428">
        <f>IF(Q428="P",0,IFNA(VLOOKUP(IF(C428="","(none)",C428),Hitter_Secondary_Coef!$A:$B,2,FALSE),0))</f>
        <v/>
      </c>
      <c r="Z428">
        <f>IF(Q428="P",IF(ISNUMBER(SEARCH("2F",H428)),IFNA(VLOOKUP("2F",Pitch_Coef!$A:$B,2,FALSE),0),0)+IF(ISNUMBER(SEARCH("4F",H428)),IFNA(VLOOKUP("4F",Pitch_Coef!$A:$B,2,FALSE),0),0)+IF(ISNUMBER(SEARCH("CB",H428)),IFNA(VLOOKUP("CB",Pitch_Coef!$A:$B,2,FALSE),0),0)+IF(ISNUMBER(SEARCH("CF",H428)),IFNA(VLOOKUP("CF",Pitch_Coef!$A:$B,2,FALSE),0),0)+IF(ISNUMBER(SEARCH("CH",H428)),IFNA(VLOOKUP("CH",Pitch_Coef!$A:$B,2,FALSE),0),0)+IF(ISNUMBER(SEARCH("FK",H428)),IFNA(VLOOKUP("FK",Pitch_Coef!$A:$B,2,FALSE),0),0)+IF(ISNUMBER(SEARCH("SB",H428)),IFNA(VLOOKUP("SB",Pitch_Coef!$A:$B,2,FALSE),0),0)+IF(ISNUMBER(SEARCH("SL",H428)),IFNA(VLOOKUP("SL",Pitch_Coef!$A:$B,2,FALSE),0),0),0)</f>
        <v/>
      </c>
      <c r="AA428">
        <f>IF(Q428="P",16.5944849573+0.2529999141*N428+0.2665900378*O428+0.2632687105*P428+0.0427586837*I428+0.0534777057*J428+0.009015832*K428+0.0204898106*(O428*P428/100)+1.0091022427*U428+1.0968542297*IF(D428="L",1,0)+0.3771555045*IF(D428="S",1,0)-0.2226159177*IF(E428="L",1,0)+1.21385024*R428-1.1652812274*S428+W428+X428+Z428,10.5965166711+0.2825983581*I428+0.2806503532*J428+0.2027213083*K428+0.1147824982*L428+0.0915305332*M428-0.0088454122*(I428*J428/100)-0.0336045706*(K428*L428/100)+2.8497389733*IF(D428="L",1,0)+4.5116226727*IF(D428="S",1,0)-0.6571546448*IF(E428="L",1,0)+0.0850728147*T428+0.0129488446*(T428*T428)+0.1909373936*IF(OR(F428="Utility",G428="Utility"),T428,0)+0.9656824071*R428-1.7517683256*S428+W428+X428+Y428)</f>
        <v/>
      </c>
      <c r="AB428">
        <f>LOOKUP(AA428,Grade_Scale!$A$2:$A$18,Grade_Scale!$B$2:$B$18)</f>
        <v/>
      </c>
      <c r="AC428">
        <f>LOOKUP(AA428,Grade_Scale!$A$2:$A$18,Grade_Scale!$C$2:$C$18)</f>
        <v/>
      </c>
      <c r="AE428">
        <f>IF(AD428="","",AB428-VLOOKUP(AD428,Grade_Scale!$C$2:$E$18,3,FALSE))</f>
        <v/>
      </c>
    </row>
    <row r="429">
      <c r="Q429">
        <f>IF(OR(B429="SP",B429="RP",B429="CP",B429="SP/RP"),"P","H")</f>
        <v/>
      </c>
      <c r="R429">
        <f>IF(F429="",0,IFNA(VLOOKUP(F429,Trait_Polarity!$A:$C,2,FALSE),0))+IF(G429="",0,IFNA(VLOOKUP(G429,Trait_Polarity!$A:$C,2,FALSE),0))</f>
        <v/>
      </c>
      <c r="S429">
        <f>IF(F429="",0,IFNA(VLOOKUP(F429,Trait_Polarity!$A:$C,3,FALSE),0))+IF(G429="",0,IFNA(VLOOKUP(G429,Trait_Polarity!$A:$C,3,FALSE),0))</f>
        <v/>
      </c>
      <c r="T429">
        <f>IF(Q429="P",0,IFNA(VLOOKUP(IF(C429="","(none)",C429),Secondary_Versatility!$A:$B,2,FALSE),0))</f>
        <v/>
      </c>
      <c r="U429">
        <f>IF(H429="",0,LEN(H429)-LEN(SUBSTITUTE(H429,"|",""))+1)</f>
        <v/>
      </c>
      <c r="V429">
        <f>IF(Q429="P",(N429+O429+P429)/3,0.3*I429+0.3*J429+0.2*K429+0.1*L429+0.1*M429)</f>
        <v/>
      </c>
      <c r="W429">
        <f>IF(Q429="P",IF(F429="",0,IFNA(VLOOKUP(F429,Pitcher_Trait_Coef!$A:$B,2,FALSE),0))+IF(G429="",0,IFNA(VLOOKUP(G429,Pitcher_Trait_Coef!$A:$B,2,FALSE),0)),IF(F429="",0,IFNA(VLOOKUP(F429,Hitter_Trait_Coef!$A:$B,2,FALSE),0))+IF(G429="",0,IFNA(VLOOKUP(G429,Hitter_Trait_Coef!$A:$B,2,FALSE),0)))</f>
        <v/>
      </c>
      <c r="X429">
        <f>IF(Q429="P",IFNA(VLOOKUP(B429,Pitcher_Primary_Coef!$A:$B,2,FALSE),0),IFNA(VLOOKUP(B429,Hitter_Primary_Coef!$A:$B,2,FALSE),0))</f>
        <v/>
      </c>
      <c r="Y429">
        <f>IF(Q429="P",0,IFNA(VLOOKUP(IF(C429="","(none)",C429),Hitter_Secondary_Coef!$A:$B,2,FALSE),0))</f>
        <v/>
      </c>
      <c r="Z429">
        <f>IF(Q429="P",IF(ISNUMBER(SEARCH("2F",H429)),IFNA(VLOOKUP("2F",Pitch_Coef!$A:$B,2,FALSE),0),0)+IF(ISNUMBER(SEARCH("4F",H429)),IFNA(VLOOKUP("4F",Pitch_Coef!$A:$B,2,FALSE),0),0)+IF(ISNUMBER(SEARCH("CB",H429)),IFNA(VLOOKUP("CB",Pitch_Coef!$A:$B,2,FALSE),0),0)+IF(ISNUMBER(SEARCH("CF",H429)),IFNA(VLOOKUP("CF",Pitch_Coef!$A:$B,2,FALSE),0),0)+IF(ISNUMBER(SEARCH("CH",H429)),IFNA(VLOOKUP("CH",Pitch_Coef!$A:$B,2,FALSE),0),0)+IF(ISNUMBER(SEARCH("FK",H429)),IFNA(VLOOKUP("FK",Pitch_Coef!$A:$B,2,FALSE),0),0)+IF(ISNUMBER(SEARCH("SB",H429)),IFNA(VLOOKUP("SB",Pitch_Coef!$A:$B,2,FALSE),0),0)+IF(ISNUMBER(SEARCH("SL",H429)),IFNA(VLOOKUP("SL",Pitch_Coef!$A:$B,2,FALSE),0),0),0)</f>
        <v/>
      </c>
      <c r="AA429">
        <f>IF(Q429="P",16.5944849573+0.2529999141*N429+0.2665900378*O429+0.2632687105*P429+0.0427586837*I429+0.0534777057*J429+0.009015832*K429+0.0204898106*(O429*P429/100)+1.0091022427*U429+1.0968542297*IF(D429="L",1,0)+0.3771555045*IF(D429="S",1,0)-0.2226159177*IF(E429="L",1,0)+1.21385024*R429-1.1652812274*S429+W429+X429+Z429,10.5965166711+0.2825983581*I429+0.2806503532*J429+0.2027213083*K429+0.1147824982*L429+0.0915305332*M429-0.0088454122*(I429*J429/100)-0.0336045706*(K429*L429/100)+2.8497389733*IF(D429="L",1,0)+4.5116226727*IF(D429="S",1,0)-0.6571546448*IF(E429="L",1,0)+0.0850728147*T429+0.0129488446*(T429*T429)+0.1909373936*IF(OR(F429="Utility",G429="Utility"),T429,0)+0.9656824071*R429-1.7517683256*S429+W429+X429+Y429)</f>
        <v/>
      </c>
      <c r="AB429">
        <f>LOOKUP(AA429,Grade_Scale!$A$2:$A$18,Grade_Scale!$B$2:$B$18)</f>
        <v/>
      </c>
      <c r="AC429">
        <f>LOOKUP(AA429,Grade_Scale!$A$2:$A$18,Grade_Scale!$C$2:$C$18)</f>
        <v/>
      </c>
      <c r="AE429">
        <f>IF(AD429="","",AB429-VLOOKUP(AD429,Grade_Scale!$C$2:$E$18,3,FALSE))</f>
        <v/>
      </c>
    </row>
    <row r="430">
      <c r="Q430">
        <f>IF(OR(B430="SP",B430="RP",B430="CP",B430="SP/RP"),"P","H")</f>
        <v/>
      </c>
      <c r="R430">
        <f>IF(F430="",0,IFNA(VLOOKUP(F430,Trait_Polarity!$A:$C,2,FALSE),0))+IF(G430="",0,IFNA(VLOOKUP(G430,Trait_Polarity!$A:$C,2,FALSE),0))</f>
        <v/>
      </c>
      <c r="S430">
        <f>IF(F430="",0,IFNA(VLOOKUP(F430,Trait_Polarity!$A:$C,3,FALSE),0))+IF(G430="",0,IFNA(VLOOKUP(G430,Trait_Polarity!$A:$C,3,FALSE),0))</f>
        <v/>
      </c>
      <c r="T430">
        <f>IF(Q430="P",0,IFNA(VLOOKUP(IF(C430="","(none)",C430),Secondary_Versatility!$A:$B,2,FALSE),0))</f>
        <v/>
      </c>
      <c r="U430">
        <f>IF(H430="",0,LEN(H430)-LEN(SUBSTITUTE(H430,"|",""))+1)</f>
        <v/>
      </c>
      <c r="V430">
        <f>IF(Q430="P",(N430+O430+P430)/3,0.3*I430+0.3*J430+0.2*K430+0.1*L430+0.1*M430)</f>
        <v/>
      </c>
      <c r="W430">
        <f>IF(Q430="P",IF(F430="",0,IFNA(VLOOKUP(F430,Pitcher_Trait_Coef!$A:$B,2,FALSE),0))+IF(G430="",0,IFNA(VLOOKUP(G430,Pitcher_Trait_Coef!$A:$B,2,FALSE),0)),IF(F430="",0,IFNA(VLOOKUP(F430,Hitter_Trait_Coef!$A:$B,2,FALSE),0))+IF(G430="",0,IFNA(VLOOKUP(G430,Hitter_Trait_Coef!$A:$B,2,FALSE),0)))</f>
        <v/>
      </c>
      <c r="X430">
        <f>IF(Q430="P",IFNA(VLOOKUP(B430,Pitcher_Primary_Coef!$A:$B,2,FALSE),0),IFNA(VLOOKUP(B430,Hitter_Primary_Coef!$A:$B,2,FALSE),0))</f>
        <v/>
      </c>
      <c r="Y430">
        <f>IF(Q430="P",0,IFNA(VLOOKUP(IF(C430="","(none)",C430),Hitter_Secondary_Coef!$A:$B,2,FALSE),0))</f>
        <v/>
      </c>
      <c r="Z430">
        <f>IF(Q430="P",IF(ISNUMBER(SEARCH("2F",H430)),IFNA(VLOOKUP("2F",Pitch_Coef!$A:$B,2,FALSE),0),0)+IF(ISNUMBER(SEARCH("4F",H430)),IFNA(VLOOKUP("4F",Pitch_Coef!$A:$B,2,FALSE),0),0)+IF(ISNUMBER(SEARCH("CB",H430)),IFNA(VLOOKUP("CB",Pitch_Coef!$A:$B,2,FALSE),0),0)+IF(ISNUMBER(SEARCH("CF",H430)),IFNA(VLOOKUP("CF",Pitch_Coef!$A:$B,2,FALSE),0),0)+IF(ISNUMBER(SEARCH("CH",H430)),IFNA(VLOOKUP("CH",Pitch_Coef!$A:$B,2,FALSE),0),0)+IF(ISNUMBER(SEARCH("FK",H430)),IFNA(VLOOKUP("FK",Pitch_Coef!$A:$B,2,FALSE),0),0)+IF(ISNUMBER(SEARCH("SB",H430)),IFNA(VLOOKUP("SB",Pitch_Coef!$A:$B,2,FALSE),0),0)+IF(ISNUMBER(SEARCH("SL",H430)),IFNA(VLOOKUP("SL",Pitch_Coef!$A:$B,2,FALSE),0),0),0)</f>
        <v/>
      </c>
      <c r="AA430">
        <f>IF(Q430="P",16.5944849573+0.2529999141*N430+0.2665900378*O430+0.2632687105*P430+0.0427586837*I430+0.0534777057*J430+0.009015832*K430+0.0204898106*(O430*P430/100)+1.0091022427*U430+1.0968542297*IF(D430="L",1,0)+0.3771555045*IF(D430="S",1,0)-0.2226159177*IF(E430="L",1,0)+1.21385024*R430-1.1652812274*S430+W430+X430+Z430,10.5965166711+0.2825983581*I430+0.2806503532*J430+0.2027213083*K430+0.1147824982*L430+0.0915305332*M430-0.0088454122*(I430*J430/100)-0.0336045706*(K430*L430/100)+2.8497389733*IF(D430="L",1,0)+4.5116226727*IF(D430="S",1,0)-0.6571546448*IF(E430="L",1,0)+0.0850728147*T430+0.0129488446*(T430*T430)+0.1909373936*IF(OR(F430="Utility",G430="Utility"),T430,0)+0.9656824071*R430-1.7517683256*S430+W430+X430+Y430)</f>
        <v/>
      </c>
      <c r="AB430">
        <f>LOOKUP(AA430,Grade_Scale!$A$2:$A$18,Grade_Scale!$B$2:$B$18)</f>
        <v/>
      </c>
      <c r="AC430">
        <f>LOOKUP(AA430,Grade_Scale!$A$2:$A$18,Grade_Scale!$C$2:$C$18)</f>
        <v/>
      </c>
      <c r="AE430">
        <f>IF(AD430="","",AB430-VLOOKUP(AD430,Grade_Scale!$C$2:$E$18,3,FALSE))</f>
        <v/>
      </c>
    </row>
    <row r="431">
      <c r="Q431">
        <f>IF(OR(B431="SP",B431="RP",B431="CP",B431="SP/RP"),"P","H")</f>
        <v/>
      </c>
      <c r="R431">
        <f>IF(F431="",0,IFNA(VLOOKUP(F431,Trait_Polarity!$A:$C,2,FALSE),0))+IF(G431="",0,IFNA(VLOOKUP(G431,Trait_Polarity!$A:$C,2,FALSE),0))</f>
        <v/>
      </c>
      <c r="S431">
        <f>IF(F431="",0,IFNA(VLOOKUP(F431,Trait_Polarity!$A:$C,3,FALSE),0))+IF(G431="",0,IFNA(VLOOKUP(G431,Trait_Polarity!$A:$C,3,FALSE),0))</f>
        <v/>
      </c>
      <c r="T431">
        <f>IF(Q431="P",0,IFNA(VLOOKUP(IF(C431="","(none)",C431),Secondary_Versatility!$A:$B,2,FALSE),0))</f>
        <v/>
      </c>
      <c r="U431">
        <f>IF(H431="",0,LEN(H431)-LEN(SUBSTITUTE(H431,"|",""))+1)</f>
        <v/>
      </c>
      <c r="V431">
        <f>IF(Q431="P",(N431+O431+P431)/3,0.3*I431+0.3*J431+0.2*K431+0.1*L431+0.1*M431)</f>
        <v/>
      </c>
      <c r="W431">
        <f>IF(Q431="P",IF(F431="",0,IFNA(VLOOKUP(F431,Pitcher_Trait_Coef!$A:$B,2,FALSE),0))+IF(G431="",0,IFNA(VLOOKUP(G431,Pitcher_Trait_Coef!$A:$B,2,FALSE),0)),IF(F431="",0,IFNA(VLOOKUP(F431,Hitter_Trait_Coef!$A:$B,2,FALSE),0))+IF(G431="",0,IFNA(VLOOKUP(G431,Hitter_Trait_Coef!$A:$B,2,FALSE),0)))</f>
        <v/>
      </c>
      <c r="X431">
        <f>IF(Q431="P",IFNA(VLOOKUP(B431,Pitcher_Primary_Coef!$A:$B,2,FALSE),0),IFNA(VLOOKUP(B431,Hitter_Primary_Coef!$A:$B,2,FALSE),0))</f>
        <v/>
      </c>
      <c r="Y431">
        <f>IF(Q431="P",0,IFNA(VLOOKUP(IF(C431="","(none)",C431),Hitter_Secondary_Coef!$A:$B,2,FALSE),0))</f>
        <v/>
      </c>
      <c r="Z431">
        <f>IF(Q431="P",IF(ISNUMBER(SEARCH("2F",H431)),IFNA(VLOOKUP("2F",Pitch_Coef!$A:$B,2,FALSE),0),0)+IF(ISNUMBER(SEARCH("4F",H431)),IFNA(VLOOKUP("4F",Pitch_Coef!$A:$B,2,FALSE),0),0)+IF(ISNUMBER(SEARCH("CB",H431)),IFNA(VLOOKUP("CB",Pitch_Coef!$A:$B,2,FALSE),0),0)+IF(ISNUMBER(SEARCH("CF",H431)),IFNA(VLOOKUP("CF",Pitch_Coef!$A:$B,2,FALSE),0),0)+IF(ISNUMBER(SEARCH("CH",H431)),IFNA(VLOOKUP("CH",Pitch_Coef!$A:$B,2,FALSE),0),0)+IF(ISNUMBER(SEARCH("FK",H431)),IFNA(VLOOKUP("FK",Pitch_Coef!$A:$B,2,FALSE),0),0)+IF(ISNUMBER(SEARCH("SB",H431)),IFNA(VLOOKUP("SB",Pitch_Coef!$A:$B,2,FALSE),0),0)+IF(ISNUMBER(SEARCH("SL",H431)),IFNA(VLOOKUP("SL",Pitch_Coef!$A:$B,2,FALSE),0),0),0)</f>
        <v/>
      </c>
      <c r="AA431">
        <f>IF(Q431="P",16.5944849573+0.2529999141*N431+0.2665900378*O431+0.2632687105*P431+0.0427586837*I431+0.0534777057*J431+0.009015832*K431+0.0204898106*(O431*P431/100)+1.0091022427*U431+1.0968542297*IF(D431="L",1,0)+0.3771555045*IF(D431="S",1,0)-0.2226159177*IF(E431="L",1,0)+1.21385024*R431-1.1652812274*S431+W431+X431+Z431,10.5965166711+0.2825983581*I431+0.2806503532*J431+0.2027213083*K431+0.1147824982*L431+0.0915305332*M431-0.0088454122*(I431*J431/100)-0.0336045706*(K431*L431/100)+2.8497389733*IF(D431="L",1,0)+4.5116226727*IF(D431="S",1,0)-0.6571546448*IF(E431="L",1,0)+0.0850728147*T431+0.0129488446*(T431*T431)+0.1909373936*IF(OR(F431="Utility",G431="Utility"),T431,0)+0.9656824071*R431-1.7517683256*S431+W431+X431+Y431)</f>
        <v/>
      </c>
      <c r="AB431">
        <f>LOOKUP(AA431,Grade_Scale!$A$2:$A$18,Grade_Scale!$B$2:$B$18)</f>
        <v/>
      </c>
      <c r="AC431">
        <f>LOOKUP(AA431,Grade_Scale!$A$2:$A$18,Grade_Scale!$C$2:$C$18)</f>
        <v/>
      </c>
      <c r="AE431">
        <f>IF(AD431="","",AB431-VLOOKUP(AD431,Grade_Scale!$C$2:$E$18,3,FALSE))</f>
        <v/>
      </c>
    </row>
    <row r="432">
      <c r="Q432">
        <f>IF(OR(B432="SP",B432="RP",B432="CP",B432="SP/RP"),"P","H")</f>
        <v/>
      </c>
      <c r="R432">
        <f>IF(F432="",0,IFNA(VLOOKUP(F432,Trait_Polarity!$A:$C,2,FALSE),0))+IF(G432="",0,IFNA(VLOOKUP(G432,Trait_Polarity!$A:$C,2,FALSE),0))</f>
        <v/>
      </c>
      <c r="S432">
        <f>IF(F432="",0,IFNA(VLOOKUP(F432,Trait_Polarity!$A:$C,3,FALSE),0))+IF(G432="",0,IFNA(VLOOKUP(G432,Trait_Polarity!$A:$C,3,FALSE),0))</f>
        <v/>
      </c>
      <c r="T432">
        <f>IF(Q432="P",0,IFNA(VLOOKUP(IF(C432="","(none)",C432),Secondary_Versatility!$A:$B,2,FALSE),0))</f>
        <v/>
      </c>
      <c r="U432">
        <f>IF(H432="",0,LEN(H432)-LEN(SUBSTITUTE(H432,"|",""))+1)</f>
        <v/>
      </c>
      <c r="V432">
        <f>IF(Q432="P",(N432+O432+P432)/3,0.3*I432+0.3*J432+0.2*K432+0.1*L432+0.1*M432)</f>
        <v/>
      </c>
      <c r="W432">
        <f>IF(Q432="P",IF(F432="",0,IFNA(VLOOKUP(F432,Pitcher_Trait_Coef!$A:$B,2,FALSE),0))+IF(G432="",0,IFNA(VLOOKUP(G432,Pitcher_Trait_Coef!$A:$B,2,FALSE),0)),IF(F432="",0,IFNA(VLOOKUP(F432,Hitter_Trait_Coef!$A:$B,2,FALSE),0))+IF(G432="",0,IFNA(VLOOKUP(G432,Hitter_Trait_Coef!$A:$B,2,FALSE),0)))</f>
        <v/>
      </c>
      <c r="X432">
        <f>IF(Q432="P",IFNA(VLOOKUP(B432,Pitcher_Primary_Coef!$A:$B,2,FALSE),0),IFNA(VLOOKUP(B432,Hitter_Primary_Coef!$A:$B,2,FALSE),0))</f>
        <v/>
      </c>
      <c r="Y432">
        <f>IF(Q432="P",0,IFNA(VLOOKUP(IF(C432="","(none)",C432),Hitter_Secondary_Coef!$A:$B,2,FALSE),0))</f>
        <v/>
      </c>
      <c r="Z432">
        <f>IF(Q432="P",IF(ISNUMBER(SEARCH("2F",H432)),IFNA(VLOOKUP("2F",Pitch_Coef!$A:$B,2,FALSE),0),0)+IF(ISNUMBER(SEARCH("4F",H432)),IFNA(VLOOKUP("4F",Pitch_Coef!$A:$B,2,FALSE),0),0)+IF(ISNUMBER(SEARCH("CB",H432)),IFNA(VLOOKUP("CB",Pitch_Coef!$A:$B,2,FALSE),0),0)+IF(ISNUMBER(SEARCH("CF",H432)),IFNA(VLOOKUP("CF",Pitch_Coef!$A:$B,2,FALSE),0),0)+IF(ISNUMBER(SEARCH("CH",H432)),IFNA(VLOOKUP("CH",Pitch_Coef!$A:$B,2,FALSE),0),0)+IF(ISNUMBER(SEARCH("FK",H432)),IFNA(VLOOKUP("FK",Pitch_Coef!$A:$B,2,FALSE),0),0)+IF(ISNUMBER(SEARCH("SB",H432)),IFNA(VLOOKUP("SB",Pitch_Coef!$A:$B,2,FALSE),0),0)+IF(ISNUMBER(SEARCH("SL",H432)),IFNA(VLOOKUP("SL",Pitch_Coef!$A:$B,2,FALSE),0),0),0)</f>
        <v/>
      </c>
      <c r="AA432">
        <f>IF(Q432="P",16.5944849573+0.2529999141*N432+0.2665900378*O432+0.2632687105*P432+0.0427586837*I432+0.0534777057*J432+0.009015832*K432+0.0204898106*(O432*P432/100)+1.0091022427*U432+1.0968542297*IF(D432="L",1,0)+0.3771555045*IF(D432="S",1,0)-0.2226159177*IF(E432="L",1,0)+1.21385024*R432-1.1652812274*S432+W432+X432+Z432,10.5965166711+0.2825983581*I432+0.2806503532*J432+0.2027213083*K432+0.1147824982*L432+0.0915305332*M432-0.0088454122*(I432*J432/100)-0.0336045706*(K432*L432/100)+2.8497389733*IF(D432="L",1,0)+4.5116226727*IF(D432="S",1,0)-0.6571546448*IF(E432="L",1,0)+0.0850728147*T432+0.0129488446*(T432*T432)+0.1909373936*IF(OR(F432="Utility",G432="Utility"),T432,0)+0.9656824071*R432-1.7517683256*S432+W432+X432+Y432)</f>
        <v/>
      </c>
      <c r="AB432">
        <f>LOOKUP(AA432,Grade_Scale!$A$2:$A$18,Grade_Scale!$B$2:$B$18)</f>
        <v/>
      </c>
      <c r="AC432">
        <f>LOOKUP(AA432,Grade_Scale!$A$2:$A$18,Grade_Scale!$C$2:$C$18)</f>
        <v/>
      </c>
      <c r="AE432">
        <f>IF(AD432="","",AB432-VLOOKUP(AD432,Grade_Scale!$C$2:$E$18,3,FALSE))</f>
        <v/>
      </c>
    </row>
    <row r="433">
      <c r="Q433">
        <f>IF(OR(B433="SP",B433="RP",B433="CP",B433="SP/RP"),"P","H")</f>
        <v/>
      </c>
      <c r="R433">
        <f>IF(F433="",0,IFNA(VLOOKUP(F433,Trait_Polarity!$A:$C,2,FALSE),0))+IF(G433="",0,IFNA(VLOOKUP(G433,Trait_Polarity!$A:$C,2,FALSE),0))</f>
        <v/>
      </c>
      <c r="S433">
        <f>IF(F433="",0,IFNA(VLOOKUP(F433,Trait_Polarity!$A:$C,3,FALSE),0))+IF(G433="",0,IFNA(VLOOKUP(G433,Trait_Polarity!$A:$C,3,FALSE),0))</f>
        <v/>
      </c>
      <c r="T433">
        <f>IF(Q433="P",0,IFNA(VLOOKUP(IF(C433="","(none)",C433),Secondary_Versatility!$A:$B,2,FALSE),0))</f>
        <v/>
      </c>
      <c r="U433">
        <f>IF(H433="",0,LEN(H433)-LEN(SUBSTITUTE(H433,"|",""))+1)</f>
        <v/>
      </c>
      <c r="V433">
        <f>IF(Q433="P",(N433+O433+P433)/3,0.3*I433+0.3*J433+0.2*K433+0.1*L433+0.1*M433)</f>
        <v/>
      </c>
      <c r="W433">
        <f>IF(Q433="P",IF(F433="",0,IFNA(VLOOKUP(F433,Pitcher_Trait_Coef!$A:$B,2,FALSE),0))+IF(G433="",0,IFNA(VLOOKUP(G433,Pitcher_Trait_Coef!$A:$B,2,FALSE),0)),IF(F433="",0,IFNA(VLOOKUP(F433,Hitter_Trait_Coef!$A:$B,2,FALSE),0))+IF(G433="",0,IFNA(VLOOKUP(G433,Hitter_Trait_Coef!$A:$B,2,FALSE),0)))</f>
        <v/>
      </c>
      <c r="X433">
        <f>IF(Q433="P",IFNA(VLOOKUP(B433,Pitcher_Primary_Coef!$A:$B,2,FALSE),0),IFNA(VLOOKUP(B433,Hitter_Primary_Coef!$A:$B,2,FALSE),0))</f>
        <v/>
      </c>
      <c r="Y433">
        <f>IF(Q433="P",0,IFNA(VLOOKUP(IF(C433="","(none)",C433),Hitter_Secondary_Coef!$A:$B,2,FALSE),0))</f>
        <v/>
      </c>
      <c r="Z433">
        <f>IF(Q433="P",IF(ISNUMBER(SEARCH("2F",H433)),IFNA(VLOOKUP("2F",Pitch_Coef!$A:$B,2,FALSE),0),0)+IF(ISNUMBER(SEARCH("4F",H433)),IFNA(VLOOKUP("4F",Pitch_Coef!$A:$B,2,FALSE),0),0)+IF(ISNUMBER(SEARCH("CB",H433)),IFNA(VLOOKUP("CB",Pitch_Coef!$A:$B,2,FALSE),0),0)+IF(ISNUMBER(SEARCH("CF",H433)),IFNA(VLOOKUP("CF",Pitch_Coef!$A:$B,2,FALSE),0),0)+IF(ISNUMBER(SEARCH("CH",H433)),IFNA(VLOOKUP("CH",Pitch_Coef!$A:$B,2,FALSE),0),0)+IF(ISNUMBER(SEARCH("FK",H433)),IFNA(VLOOKUP("FK",Pitch_Coef!$A:$B,2,FALSE),0),0)+IF(ISNUMBER(SEARCH("SB",H433)),IFNA(VLOOKUP("SB",Pitch_Coef!$A:$B,2,FALSE),0),0)+IF(ISNUMBER(SEARCH("SL",H433)),IFNA(VLOOKUP("SL",Pitch_Coef!$A:$B,2,FALSE),0),0),0)</f>
        <v/>
      </c>
      <c r="AA433">
        <f>IF(Q433="P",16.5944849573+0.2529999141*N433+0.2665900378*O433+0.2632687105*P433+0.0427586837*I433+0.0534777057*J433+0.009015832*K433+0.0204898106*(O433*P433/100)+1.0091022427*U433+1.0968542297*IF(D433="L",1,0)+0.3771555045*IF(D433="S",1,0)-0.2226159177*IF(E433="L",1,0)+1.21385024*R433-1.1652812274*S433+W433+X433+Z433,10.5965166711+0.2825983581*I433+0.2806503532*J433+0.2027213083*K433+0.1147824982*L433+0.0915305332*M433-0.0088454122*(I433*J433/100)-0.0336045706*(K433*L433/100)+2.8497389733*IF(D433="L",1,0)+4.5116226727*IF(D433="S",1,0)-0.6571546448*IF(E433="L",1,0)+0.0850728147*T433+0.0129488446*(T433*T433)+0.1909373936*IF(OR(F433="Utility",G433="Utility"),T433,0)+0.9656824071*R433-1.7517683256*S433+W433+X433+Y433)</f>
        <v/>
      </c>
      <c r="AB433">
        <f>LOOKUP(AA433,Grade_Scale!$A$2:$A$18,Grade_Scale!$B$2:$B$18)</f>
        <v/>
      </c>
      <c r="AC433">
        <f>LOOKUP(AA433,Grade_Scale!$A$2:$A$18,Grade_Scale!$C$2:$C$18)</f>
        <v/>
      </c>
      <c r="AE433">
        <f>IF(AD433="","",AB433-VLOOKUP(AD433,Grade_Scale!$C$2:$E$18,3,FALSE))</f>
        <v/>
      </c>
    </row>
    <row r="434">
      <c r="Q434">
        <f>IF(OR(B434="SP",B434="RP",B434="CP",B434="SP/RP"),"P","H")</f>
        <v/>
      </c>
      <c r="R434">
        <f>IF(F434="",0,IFNA(VLOOKUP(F434,Trait_Polarity!$A:$C,2,FALSE),0))+IF(G434="",0,IFNA(VLOOKUP(G434,Trait_Polarity!$A:$C,2,FALSE),0))</f>
        <v/>
      </c>
      <c r="S434">
        <f>IF(F434="",0,IFNA(VLOOKUP(F434,Trait_Polarity!$A:$C,3,FALSE),0))+IF(G434="",0,IFNA(VLOOKUP(G434,Trait_Polarity!$A:$C,3,FALSE),0))</f>
        <v/>
      </c>
      <c r="T434">
        <f>IF(Q434="P",0,IFNA(VLOOKUP(IF(C434="","(none)",C434),Secondary_Versatility!$A:$B,2,FALSE),0))</f>
        <v/>
      </c>
      <c r="U434">
        <f>IF(H434="",0,LEN(H434)-LEN(SUBSTITUTE(H434,"|",""))+1)</f>
        <v/>
      </c>
      <c r="V434">
        <f>IF(Q434="P",(N434+O434+P434)/3,0.3*I434+0.3*J434+0.2*K434+0.1*L434+0.1*M434)</f>
        <v/>
      </c>
      <c r="W434">
        <f>IF(Q434="P",IF(F434="",0,IFNA(VLOOKUP(F434,Pitcher_Trait_Coef!$A:$B,2,FALSE),0))+IF(G434="",0,IFNA(VLOOKUP(G434,Pitcher_Trait_Coef!$A:$B,2,FALSE),0)),IF(F434="",0,IFNA(VLOOKUP(F434,Hitter_Trait_Coef!$A:$B,2,FALSE),0))+IF(G434="",0,IFNA(VLOOKUP(G434,Hitter_Trait_Coef!$A:$B,2,FALSE),0)))</f>
        <v/>
      </c>
      <c r="X434">
        <f>IF(Q434="P",IFNA(VLOOKUP(B434,Pitcher_Primary_Coef!$A:$B,2,FALSE),0),IFNA(VLOOKUP(B434,Hitter_Primary_Coef!$A:$B,2,FALSE),0))</f>
        <v/>
      </c>
      <c r="Y434">
        <f>IF(Q434="P",0,IFNA(VLOOKUP(IF(C434="","(none)",C434),Hitter_Secondary_Coef!$A:$B,2,FALSE),0))</f>
        <v/>
      </c>
      <c r="Z434">
        <f>IF(Q434="P",IF(ISNUMBER(SEARCH("2F",H434)),IFNA(VLOOKUP("2F",Pitch_Coef!$A:$B,2,FALSE),0),0)+IF(ISNUMBER(SEARCH("4F",H434)),IFNA(VLOOKUP("4F",Pitch_Coef!$A:$B,2,FALSE),0),0)+IF(ISNUMBER(SEARCH("CB",H434)),IFNA(VLOOKUP("CB",Pitch_Coef!$A:$B,2,FALSE),0),0)+IF(ISNUMBER(SEARCH("CF",H434)),IFNA(VLOOKUP("CF",Pitch_Coef!$A:$B,2,FALSE),0),0)+IF(ISNUMBER(SEARCH("CH",H434)),IFNA(VLOOKUP("CH",Pitch_Coef!$A:$B,2,FALSE),0),0)+IF(ISNUMBER(SEARCH("FK",H434)),IFNA(VLOOKUP("FK",Pitch_Coef!$A:$B,2,FALSE),0),0)+IF(ISNUMBER(SEARCH("SB",H434)),IFNA(VLOOKUP("SB",Pitch_Coef!$A:$B,2,FALSE),0),0)+IF(ISNUMBER(SEARCH("SL",H434)),IFNA(VLOOKUP("SL",Pitch_Coef!$A:$B,2,FALSE),0),0),0)</f>
        <v/>
      </c>
      <c r="AA434">
        <f>IF(Q434="P",16.5944849573+0.2529999141*N434+0.2665900378*O434+0.2632687105*P434+0.0427586837*I434+0.0534777057*J434+0.009015832*K434+0.0204898106*(O434*P434/100)+1.0091022427*U434+1.0968542297*IF(D434="L",1,0)+0.3771555045*IF(D434="S",1,0)-0.2226159177*IF(E434="L",1,0)+1.21385024*R434-1.1652812274*S434+W434+X434+Z434,10.5965166711+0.2825983581*I434+0.2806503532*J434+0.2027213083*K434+0.1147824982*L434+0.0915305332*M434-0.0088454122*(I434*J434/100)-0.0336045706*(K434*L434/100)+2.8497389733*IF(D434="L",1,0)+4.5116226727*IF(D434="S",1,0)-0.6571546448*IF(E434="L",1,0)+0.0850728147*T434+0.0129488446*(T434*T434)+0.1909373936*IF(OR(F434="Utility",G434="Utility"),T434,0)+0.9656824071*R434-1.7517683256*S434+W434+X434+Y434)</f>
        <v/>
      </c>
      <c r="AB434">
        <f>LOOKUP(AA434,Grade_Scale!$A$2:$A$18,Grade_Scale!$B$2:$B$18)</f>
        <v/>
      </c>
      <c r="AC434">
        <f>LOOKUP(AA434,Grade_Scale!$A$2:$A$18,Grade_Scale!$C$2:$C$18)</f>
        <v/>
      </c>
      <c r="AE434">
        <f>IF(AD434="","",AB434-VLOOKUP(AD434,Grade_Scale!$C$2:$E$18,3,FALSE))</f>
        <v/>
      </c>
    </row>
    <row r="435">
      <c r="Q435">
        <f>IF(OR(B435="SP",B435="RP",B435="CP",B435="SP/RP"),"P","H")</f>
        <v/>
      </c>
      <c r="R435">
        <f>IF(F435="",0,IFNA(VLOOKUP(F435,Trait_Polarity!$A:$C,2,FALSE),0))+IF(G435="",0,IFNA(VLOOKUP(G435,Trait_Polarity!$A:$C,2,FALSE),0))</f>
        <v/>
      </c>
      <c r="S435">
        <f>IF(F435="",0,IFNA(VLOOKUP(F435,Trait_Polarity!$A:$C,3,FALSE),0))+IF(G435="",0,IFNA(VLOOKUP(G435,Trait_Polarity!$A:$C,3,FALSE),0))</f>
        <v/>
      </c>
      <c r="T435">
        <f>IF(Q435="P",0,IFNA(VLOOKUP(IF(C435="","(none)",C435),Secondary_Versatility!$A:$B,2,FALSE),0))</f>
        <v/>
      </c>
      <c r="U435">
        <f>IF(H435="",0,LEN(H435)-LEN(SUBSTITUTE(H435,"|",""))+1)</f>
        <v/>
      </c>
      <c r="V435">
        <f>IF(Q435="P",(N435+O435+P435)/3,0.3*I435+0.3*J435+0.2*K435+0.1*L435+0.1*M435)</f>
        <v/>
      </c>
      <c r="W435">
        <f>IF(Q435="P",IF(F435="",0,IFNA(VLOOKUP(F435,Pitcher_Trait_Coef!$A:$B,2,FALSE),0))+IF(G435="",0,IFNA(VLOOKUP(G435,Pitcher_Trait_Coef!$A:$B,2,FALSE),0)),IF(F435="",0,IFNA(VLOOKUP(F435,Hitter_Trait_Coef!$A:$B,2,FALSE),0))+IF(G435="",0,IFNA(VLOOKUP(G435,Hitter_Trait_Coef!$A:$B,2,FALSE),0)))</f>
        <v/>
      </c>
      <c r="X435">
        <f>IF(Q435="P",IFNA(VLOOKUP(B435,Pitcher_Primary_Coef!$A:$B,2,FALSE),0),IFNA(VLOOKUP(B435,Hitter_Primary_Coef!$A:$B,2,FALSE),0))</f>
        <v/>
      </c>
      <c r="Y435">
        <f>IF(Q435="P",0,IFNA(VLOOKUP(IF(C435="","(none)",C435),Hitter_Secondary_Coef!$A:$B,2,FALSE),0))</f>
        <v/>
      </c>
      <c r="Z435">
        <f>IF(Q435="P",IF(ISNUMBER(SEARCH("2F",H435)),IFNA(VLOOKUP("2F",Pitch_Coef!$A:$B,2,FALSE),0),0)+IF(ISNUMBER(SEARCH("4F",H435)),IFNA(VLOOKUP("4F",Pitch_Coef!$A:$B,2,FALSE),0),0)+IF(ISNUMBER(SEARCH("CB",H435)),IFNA(VLOOKUP("CB",Pitch_Coef!$A:$B,2,FALSE),0),0)+IF(ISNUMBER(SEARCH("CF",H435)),IFNA(VLOOKUP("CF",Pitch_Coef!$A:$B,2,FALSE),0),0)+IF(ISNUMBER(SEARCH("CH",H435)),IFNA(VLOOKUP("CH",Pitch_Coef!$A:$B,2,FALSE),0),0)+IF(ISNUMBER(SEARCH("FK",H435)),IFNA(VLOOKUP("FK",Pitch_Coef!$A:$B,2,FALSE),0),0)+IF(ISNUMBER(SEARCH("SB",H435)),IFNA(VLOOKUP("SB",Pitch_Coef!$A:$B,2,FALSE),0),0)+IF(ISNUMBER(SEARCH("SL",H435)),IFNA(VLOOKUP("SL",Pitch_Coef!$A:$B,2,FALSE),0),0),0)</f>
        <v/>
      </c>
      <c r="AA435">
        <f>IF(Q435="P",16.5944849573+0.2529999141*N435+0.2665900378*O435+0.2632687105*P435+0.0427586837*I435+0.0534777057*J435+0.009015832*K435+0.0204898106*(O435*P435/100)+1.0091022427*U435+1.0968542297*IF(D435="L",1,0)+0.3771555045*IF(D435="S",1,0)-0.2226159177*IF(E435="L",1,0)+1.21385024*R435-1.1652812274*S435+W435+X435+Z435,10.5965166711+0.2825983581*I435+0.2806503532*J435+0.2027213083*K435+0.1147824982*L435+0.0915305332*M435-0.0088454122*(I435*J435/100)-0.0336045706*(K435*L435/100)+2.8497389733*IF(D435="L",1,0)+4.5116226727*IF(D435="S",1,0)-0.6571546448*IF(E435="L",1,0)+0.0850728147*T435+0.0129488446*(T435*T435)+0.1909373936*IF(OR(F435="Utility",G435="Utility"),T435,0)+0.9656824071*R435-1.7517683256*S435+W435+X435+Y435)</f>
        <v/>
      </c>
      <c r="AB435">
        <f>LOOKUP(AA435,Grade_Scale!$A$2:$A$18,Grade_Scale!$B$2:$B$18)</f>
        <v/>
      </c>
      <c r="AC435">
        <f>LOOKUP(AA435,Grade_Scale!$A$2:$A$18,Grade_Scale!$C$2:$C$18)</f>
        <v/>
      </c>
      <c r="AE435">
        <f>IF(AD435="","",AB435-VLOOKUP(AD435,Grade_Scale!$C$2:$E$18,3,FALSE))</f>
        <v/>
      </c>
    </row>
    <row r="436">
      <c r="Q436">
        <f>IF(OR(B436="SP",B436="RP",B436="CP",B436="SP/RP"),"P","H")</f>
        <v/>
      </c>
      <c r="R436">
        <f>IF(F436="",0,IFNA(VLOOKUP(F436,Trait_Polarity!$A:$C,2,FALSE),0))+IF(G436="",0,IFNA(VLOOKUP(G436,Trait_Polarity!$A:$C,2,FALSE),0))</f>
        <v/>
      </c>
      <c r="S436">
        <f>IF(F436="",0,IFNA(VLOOKUP(F436,Trait_Polarity!$A:$C,3,FALSE),0))+IF(G436="",0,IFNA(VLOOKUP(G436,Trait_Polarity!$A:$C,3,FALSE),0))</f>
        <v/>
      </c>
      <c r="T436">
        <f>IF(Q436="P",0,IFNA(VLOOKUP(IF(C436="","(none)",C436),Secondary_Versatility!$A:$B,2,FALSE),0))</f>
        <v/>
      </c>
      <c r="U436">
        <f>IF(H436="",0,LEN(H436)-LEN(SUBSTITUTE(H436,"|",""))+1)</f>
        <v/>
      </c>
      <c r="V436">
        <f>IF(Q436="P",(N436+O436+P436)/3,0.3*I436+0.3*J436+0.2*K436+0.1*L436+0.1*M436)</f>
        <v/>
      </c>
      <c r="W436">
        <f>IF(Q436="P",IF(F436="",0,IFNA(VLOOKUP(F436,Pitcher_Trait_Coef!$A:$B,2,FALSE),0))+IF(G436="",0,IFNA(VLOOKUP(G436,Pitcher_Trait_Coef!$A:$B,2,FALSE),0)),IF(F436="",0,IFNA(VLOOKUP(F436,Hitter_Trait_Coef!$A:$B,2,FALSE),0))+IF(G436="",0,IFNA(VLOOKUP(G436,Hitter_Trait_Coef!$A:$B,2,FALSE),0)))</f>
        <v/>
      </c>
      <c r="X436">
        <f>IF(Q436="P",IFNA(VLOOKUP(B436,Pitcher_Primary_Coef!$A:$B,2,FALSE),0),IFNA(VLOOKUP(B436,Hitter_Primary_Coef!$A:$B,2,FALSE),0))</f>
        <v/>
      </c>
      <c r="Y436">
        <f>IF(Q436="P",0,IFNA(VLOOKUP(IF(C436="","(none)",C436),Hitter_Secondary_Coef!$A:$B,2,FALSE),0))</f>
        <v/>
      </c>
      <c r="Z436">
        <f>IF(Q436="P",IF(ISNUMBER(SEARCH("2F",H436)),IFNA(VLOOKUP("2F",Pitch_Coef!$A:$B,2,FALSE),0),0)+IF(ISNUMBER(SEARCH("4F",H436)),IFNA(VLOOKUP("4F",Pitch_Coef!$A:$B,2,FALSE),0),0)+IF(ISNUMBER(SEARCH("CB",H436)),IFNA(VLOOKUP("CB",Pitch_Coef!$A:$B,2,FALSE),0),0)+IF(ISNUMBER(SEARCH("CF",H436)),IFNA(VLOOKUP("CF",Pitch_Coef!$A:$B,2,FALSE),0),0)+IF(ISNUMBER(SEARCH("CH",H436)),IFNA(VLOOKUP("CH",Pitch_Coef!$A:$B,2,FALSE),0),0)+IF(ISNUMBER(SEARCH("FK",H436)),IFNA(VLOOKUP("FK",Pitch_Coef!$A:$B,2,FALSE),0),0)+IF(ISNUMBER(SEARCH("SB",H436)),IFNA(VLOOKUP("SB",Pitch_Coef!$A:$B,2,FALSE),0),0)+IF(ISNUMBER(SEARCH("SL",H436)),IFNA(VLOOKUP("SL",Pitch_Coef!$A:$B,2,FALSE),0),0),0)</f>
        <v/>
      </c>
      <c r="AA436">
        <f>IF(Q436="P",16.5944849573+0.2529999141*N436+0.2665900378*O436+0.2632687105*P436+0.0427586837*I436+0.0534777057*J436+0.009015832*K436+0.0204898106*(O436*P436/100)+1.0091022427*U436+1.0968542297*IF(D436="L",1,0)+0.3771555045*IF(D436="S",1,0)-0.2226159177*IF(E436="L",1,0)+1.21385024*R436-1.1652812274*S436+W436+X436+Z436,10.5965166711+0.2825983581*I436+0.2806503532*J436+0.2027213083*K436+0.1147824982*L436+0.0915305332*M436-0.0088454122*(I436*J436/100)-0.0336045706*(K436*L436/100)+2.8497389733*IF(D436="L",1,0)+4.5116226727*IF(D436="S",1,0)-0.6571546448*IF(E436="L",1,0)+0.0850728147*T436+0.0129488446*(T436*T436)+0.1909373936*IF(OR(F436="Utility",G436="Utility"),T436,0)+0.9656824071*R436-1.7517683256*S436+W436+X436+Y436)</f>
        <v/>
      </c>
      <c r="AB436">
        <f>LOOKUP(AA436,Grade_Scale!$A$2:$A$18,Grade_Scale!$B$2:$B$18)</f>
        <v/>
      </c>
      <c r="AC436">
        <f>LOOKUP(AA436,Grade_Scale!$A$2:$A$18,Grade_Scale!$C$2:$C$18)</f>
        <v/>
      </c>
      <c r="AE436">
        <f>IF(AD436="","",AB436-VLOOKUP(AD436,Grade_Scale!$C$2:$E$18,3,FALSE))</f>
        <v/>
      </c>
    </row>
    <row r="437">
      <c r="Q437">
        <f>IF(OR(B437="SP",B437="RP",B437="CP",B437="SP/RP"),"P","H")</f>
        <v/>
      </c>
      <c r="R437">
        <f>IF(F437="",0,IFNA(VLOOKUP(F437,Trait_Polarity!$A:$C,2,FALSE),0))+IF(G437="",0,IFNA(VLOOKUP(G437,Trait_Polarity!$A:$C,2,FALSE),0))</f>
        <v/>
      </c>
      <c r="S437">
        <f>IF(F437="",0,IFNA(VLOOKUP(F437,Trait_Polarity!$A:$C,3,FALSE),0))+IF(G437="",0,IFNA(VLOOKUP(G437,Trait_Polarity!$A:$C,3,FALSE),0))</f>
        <v/>
      </c>
      <c r="T437">
        <f>IF(Q437="P",0,IFNA(VLOOKUP(IF(C437="","(none)",C437),Secondary_Versatility!$A:$B,2,FALSE),0))</f>
        <v/>
      </c>
      <c r="U437">
        <f>IF(H437="",0,LEN(H437)-LEN(SUBSTITUTE(H437,"|",""))+1)</f>
        <v/>
      </c>
      <c r="V437">
        <f>IF(Q437="P",(N437+O437+P437)/3,0.3*I437+0.3*J437+0.2*K437+0.1*L437+0.1*M437)</f>
        <v/>
      </c>
      <c r="W437">
        <f>IF(Q437="P",IF(F437="",0,IFNA(VLOOKUP(F437,Pitcher_Trait_Coef!$A:$B,2,FALSE),0))+IF(G437="",0,IFNA(VLOOKUP(G437,Pitcher_Trait_Coef!$A:$B,2,FALSE),0)),IF(F437="",0,IFNA(VLOOKUP(F437,Hitter_Trait_Coef!$A:$B,2,FALSE),0))+IF(G437="",0,IFNA(VLOOKUP(G437,Hitter_Trait_Coef!$A:$B,2,FALSE),0)))</f>
        <v/>
      </c>
      <c r="X437">
        <f>IF(Q437="P",IFNA(VLOOKUP(B437,Pitcher_Primary_Coef!$A:$B,2,FALSE),0),IFNA(VLOOKUP(B437,Hitter_Primary_Coef!$A:$B,2,FALSE),0))</f>
        <v/>
      </c>
      <c r="Y437">
        <f>IF(Q437="P",0,IFNA(VLOOKUP(IF(C437="","(none)",C437),Hitter_Secondary_Coef!$A:$B,2,FALSE),0))</f>
        <v/>
      </c>
      <c r="Z437">
        <f>IF(Q437="P",IF(ISNUMBER(SEARCH("2F",H437)),IFNA(VLOOKUP("2F",Pitch_Coef!$A:$B,2,FALSE),0),0)+IF(ISNUMBER(SEARCH("4F",H437)),IFNA(VLOOKUP("4F",Pitch_Coef!$A:$B,2,FALSE),0),0)+IF(ISNUMBER(SEARCH("CB",H437)),IFNA(VLOOKUP("CB",Pitch_Coef!$A:$B,2,FALSE),0),0)+IF(ISNUMBER(SEARCH("CF",H437)),IFNA(VLOOKUP("CF",Pitch_Coef!$A:$B,2,FALSE),0),0)+IF(ISNUMBER(SEARCH("CH",H437)),IFNA(VLOOKUP("CH",Pitch_Coef!$A:$B,2,FALSE),0),0)+IF(ISNUMBER(SEARCH("FK",H437)),IFNA(VLOOKUP("FK",Pitch_Coef!$A:$B,2,FALSE),0),0)+IF(ISNUMBER(SEARCH("SB",H437)),IFNA(VLOOKUP("SB",Pitch_Coef!$A:$B,2,FALSE),0),0)+IF(ISNUMBER(SEARCH("SL",H437)),IFNA(VLOOKUP("SL",Pitch_Coef!$A:$B,2,FALSE),0),0),0)</f>
        <v/>
      </c>
      <c r="AA437">
        <f>IF(Q437="P",16.5944849573+0.2529999141*N437+0.2665900378*O437+0.2632687105*P437+0.0427586837*I437+0.0534777057*J437+0.009015832*K437+0.0204898106*(O437*P437/100)+1.0091022427*U437+1.0968542297*IF(D437="L",1,0)+0.3771555045*IF(D437="S",1,0)-0.2226159177*IF(E437="L",1,0)+1.21385024*R437-1.1652812274*S437+W437+X437+Z437,10.5965166711+0.2825983581*I437+0.2806503532*J437+0.2027213083*K437+0.1147824982*L437+0.0915305332*M437-0.0088454122*(I437*J437/100)-0.0336045706*(K437*L437/100)+2.8497389733*IF(D437="L",1,0)+4.5116226727*IF(D437="S",1,0)-0.6571546448*IF(E437="L",1,0)+0.0850728147*T437+0.0129488446*(T437*T437)+0.1909373936*IF(OR(F437="Utility",G437="Utility"),T437,0)+0.9656824071*R437-1.7517683256*S437+W437+X437+Y437)</f>
        <v/>
      </c>
      <c r="AB437">
        <f>LOOKUP(AA437,Grade_Scale!$A$2:$A$18,Grade_Scale!$B$2:$B$18)</f>
        <v/>
      </c>
      <c r="AC437">
        <f>LOOKUP(AA437,Grade_Scale!$A$2:$A$18,Grade_Scale!$C$2:$C$18)</f>
        <v/>
      </c>
      <c r="AE437">
        <f>IF(AD437="","",AB437-VLOOKUP(AD437,Grade_Scale!$C$2:$E$18,3,FALSE))</f>
        <v/>
      </c>
    </row>
    <row r="438">
      <c r="Q438">
        <f>IF(OR(B438="SP",B438="RP",B438="CP",B438="SP/RP"),"P","H")</f>
        <v/>
      </c>
      <c r="R438">
        <f>IF(F438="",0,IFNA(VLOOKUP(F438,Trait_Polarity!$A:$C,2,FALSE),0))+IF(G438="",0,IFNA(VLOOKUP(G438,Trait_Polarity!$A:$C,2,FALSE),0))</f>
        <v/>
      </c>
      <c r="S438">
        <f>IF(F438="",0,IFNA(VLOOKUP(F438,Trait_Polarity!$A:$C,3,FALSE),0))+IF(G438="",0,IFNA(VLOOKUP(G438,Trait_Polarity!$A:$C,3,FALSE),0))</f>
        <v/>
      </c>
      <c r="T438">
        <f>IF(Q438="P",0,IFNA(VLOOKUP(IF(C438="","(none)",C438),Secondary_Versatility!$A:$B,2,FALSE),0))</f>
        <v/>
      </c>
      <c r="U438">
        <f>IF(H438="",0,LEN(H438)-LEN(SUBSTITUTE(H438,"|",""))+1)</f>
        <v/>
      </c>
      <c r="V438">
        <f>IF(Q438="P",(N438+O438+P438)/3,0.3*I438+0.3*J438+0.2*K438+0.1*L438+0.1*M438)</f>
        <v/>
      </c>
      <c r="W438">
        <f>IF(Q438="P",IF(F438="",0,IFNA(VLOOKUP(F438,Pitcher_Trait_Coef!$A:$B,2,FALSE),0))+IF(G438="",0,IFNA(VLOOKUP(G438,Pitcher_Trait_Coef!$A:$B,2,FALSE),0)),IF(F438="",0,IFNA(VLOOKUP(F438,Hitter_Trait_Coef!$A:$B,2,FALSE),0))+IF(G438="",0,IFNA(VLOOKUP(G438,Hitter_Trait_Coef!$A:$B,2,FALSE),0)))</f>
        <v/>
      </c>
      <c r="X438">
        <f>IF(Q438="P",IFNA(VLOOKUP(B438,Pitcher_Primary_Coef!$A:$B,2,FALSE),0),IFNA(VLOOKUP(B438,Hitter_Primary_Coef!$A:$B,2,FALSE),0))</f>
        <v/>
      </c>
      <c r="Y438">
        <f>IF(Q438="P",0,IFNA(VLOOKUP(IF(C438="","(none)",C438),Hitter_Secondary_Coef!$A:$B,2,FALSE),0))</f>
        <v/>
      </c>
      <c r="Z438">
        <f>IF(Q438="P",IF(ISNUMBER(SEARCH("2F",H438)),IFNA(VLOOKUP("2F",Pitch_Coef!$A:$B,2,FALSE),0),0)+IF(ISNUMBER(SEARCH("4F",H438)),IFNA(VLOOKUP("4F",Pitch_Coef!$A:$B,2,FALSE),0),0)+IF(ISNUMBER(SEARCH("CB",H438)),IFNA(VLOOKUP("CB",Pitch_Coef!$A:$B,2,FALSE),0),0)+IF(ISNUMBER(SEARCH("CF",H438)),IFNA(VLOOKUP("CF",Pitch_Coef!$A:$B,2,FALSE),0),0)+IF(ISNUMBER(SEARCH("CH",H438)),IFNA(VLOOKUP("CH",Pitch_Coef!$A:$B,2,FALSE),0),0)+IF(ISNUMBER(SEARCH("FK",H438)),IFNA(VLOOKUP("FK",Pitch_Coef!$A:$B,2,FALSE),0),0)+IF(ISNUMBER(SEARCH("SB",H438)),IFNA(VLOOKUP("SB",Pitch_Coef!$A:$B,2,FALSE),0),0)+IF(ISNUMBER(SEARCH("SL",H438)),IFNA(VLOOKUP("SL",Pitch_Coef!$A:$B,2,FALSE),0),0),0)</f>
        <v/>
      </c>
      <c r="AA438">
        <f>IF(Q438="P",16.5944849573+0.2529999141*N438+0.2665900378*O438+0.2632687105*P438+0.0427586837*I438+0.0534777057*J438+0.009015832*K438+0.0204898106*(O438*P438/100)+1.0091022427*U438+1.0968542297*IF(D438="L",1,0)+0.3771555045*IF(D438="S",1,0)-0.2226159177*IF(E438="L",1,0)+1.21385024*R438-1.1652812274*S438+W438+X438+Z438,10.5965166711+0.2825983581*I438+0.2806503532*J438+0.2027213083*K438+0.1147824982*L438+0.0915305332*M438-0.0088454122*(I438*J438/100)-0.0336045706*(K438*L438/100)+2.8497389733*IF(D438="L",1,0)+4.5116226727*IF(D438="S",1,0)-0.6571546448*IF(E438="L",1,0)+0.0850728147*T438+0.0129488446*(T438*T438)+0.1909373936*IF(OR(F438="Utility",G438="Utility"),T438,0)+0.9656824071*R438-1.7517683256*S438+W438+X438+Y438)</f>
        <v/>
      </c>
      <c r="AB438">
        <f>LOOKUP(AA438,Grade_Scale!$A$2:$A$18,Grade_Scale!$B$2:$B$18)</f>
        <v/>
      </c>
      <c r="AC438">
        <f>LOOKUP(AA438,Grade_Scale!$A$2:$A$18,Grade_Scale!$C$2:$C$18)</f>
        <v/>
      </c>
      <c r="AE438">
        <f>IF(AD438="","",AB438-VLOOKUP(AD438,Grade_Scale!$C$2:$E$18,3,FALSE))</f>
        <v/>
      </c>
    </row>
    <row r="439">
      <c r="Q439">
        <f>IF(OR(B439="SP",B439="RP",B439="CP",B439="SP/RP"),"P","H")</f>
        <v/>
      </c>
      <c r="R439">
        <f>IF(F439="",0,IFNA(VLOOKUP(F439,Trait_Polarity!$A:$C,2,FALSE),0))+IF(G439="",0,IFNA(VLOOKUP(G439,Trait_Polarity!$A:$C,2,FALSE),0))</f>
        <v/>
      </c>
      <c r="S439">
        <f>IF(F439="",0,IFNA(VLOOKUP(F439,Trait_Polarity!$A:$C,3,FALSE),0))+IF(G439="",0,IFNA(VLOOKUP(G439,Trait_Polarity!$A:$C,3,FALSE),0))</f>
        <v/>
      </c>
      <c r="T439">
        <f>IF(Q439="P",0,IFNA(VLOOKUP(IF(C439="","(none)",C439),Secondary_Versatility!$A:$B,2,FALSE),0))</f>
        <v/>
      </c>
      <c r="U439">
        <f>IF(H439="",0,LEN(H439)-LEN(SUBSTITUTE(H439,"|",""))+1)</f>
        <v/>
      </c>
      <c r="V439">
        <f>IF(Q439="P",(N439+O439+P439)/3,0.3*I439+0.3*J439+0.2*K439+0.1*L439+0.1*M439)</f>
        <v/>
      </c>
      <c r="W439">
        <f>IF(Q439="P",IF(F439="",0,IFNA(VLOOKUP(F439,Pitcher_Trait_Coef!$A:$B,2,FALSE),0))+IF(G439="",0,IFNA(VLOOKUP(G439,Pitcher_Trait_Coef!$A:$B,2,FALSE),0)),IF(F439="",0,IFNA(VLOOKUP(F439,Hitter_Trait_Coef!$A:$B,2,FALSE),0))+IF(G439="",0,IFNA(VLOOKUP(G439,Hitter_Trait_Coef!$A:$B,2,FALSE),0)))</f>
        <v/>
      </c>
      <c r="X439">
        <f>IF(Q439="P",IFNA(VLOOKUP(B439,Pitcher_Primary_Coef!$A:$B,2,FALSE),0),IFNA(VLOOKUP(B439,Hitter_Primary_Coef!$A:$B,2,FALSE),0))</f>
        <v/>
      </c>
      <c r="Y439">
        <f>IF(Q439="P",0,IFNA(VLOOKUP(IF(C439="","(none)",C439),Hitter_Secondary_Coef!$A:$B,2,FALSE),0))</f>
        <v/>
      </c>
      <c r="Z439">
        <f>IF(Q439="P",IF(ISNUMBER(SEARCH("2F",H439)),IFNA(VLOOKUP("2F",Pitch_Coef!$A:$B,2,FALSE),0),0)+IF(ISNUMBER(SEARCH("4F",H439)),IFNA(VLOOKUP("4F",Pitch_Coef!$A:$B,2,FALSE),0),0)+IF(ISNUMBER(SEARCH("CB",H439)),IFNA(VLOOKUP("CB",Pitch_Coef!$A:$B,2,FALSE),0),0)+IF(ISNUMBER(SEARCH("CF",H439)),IFNA(VLOOKUP("CF",Pitch_Coef!$A:$B,2,FALSE),0),0)+IF(ISNUMBER(SEARCH("CH",H439)),IFNA(VLOOKUP("CH",Pitch_Coef!$A:$B,2,FALSE),0),0)+IF(ISNUMBER(SEARCH("FK",H439)),IFNA(VLOOKUP("FK",Pitch_Coef!$A:$B,2,FALSE),0),0)+IF(ISNUMBER(SEARCH("SB",H439)),IFNA(VLOOKUP("SB",Pitch_Coef!$A:$B,2,FALSE),0),0)+IF(ISNUMBER(SEARCH("SL",H439)),IFNA(VLOOKUP("SL",Pitch_Coef!$A:$B,2,FALSE),0),0),0)</f>
        <v/>
      </c>
      <c r="AA439">
        <f>IF(Q439="P",16.5944849573+0.2529999141*N439+0.2665900378*O439+0.2632687105*P439+0.0427586837*I439+0.0534777057*J439+0.009015832*K439+0.0204898106*(O439*P439/100)+1.0091022427*U439+1.0968542297*IF(D439="L",1,0)+0.3771555045*IF(D439="S",1,0)-0.2226159177*IF(E439="L",1,0)+1.21385024*R439-1.1652812274*S439+W439+X439+Z439,10.5965166711+0.2825983581*I439+0.2806503532*J439+0.2027213083*K439+0.1147824982*L439+0.0915305332*M439-0.0088454122*(I439*J439/100)-0.0336045706*(K439*L439/100)+2.8497389733*IF(D439="L",1,0)+4.5116226727*IF(D439="S",1,0)-0.6571546448*IF(E439="L",1,0)+0.0850728147*T439+0.0129488446*(T439*T439)+0.1909373936*IF(OR(F439="Utility",G439="Utility"),T439,0)+0.9656824071*R439-1.7517683256*S439+W439+X439+Y439)</f>
        <v/>
      </c>
      <c r="AB439">
        <f>LOOKUP(AA439,Grade_Scale!$A$2:$A$18,Grade_Scale!$B$2:$B$18)</f>
        <v/>
      </c>
      <c r="AC439">
        <f>LOOKUP(AA439,Grade_Scale!$A$2:$A$18,Grade_Scale!$C$2:$C$18)</f>
        <v/>
      </c>
      <c r="AE439">
        <f>IF(AD439="","",AB439-VLOOKUP(AD439,Grade_Scale!$C$2:$E$18,3,FALSE))</f>
        <v/>
      </c>
    </row>
    <row r="440">
      <c r="Q440">
        <f>IF(OR(B440="SP",B440="RP",B440="CP",B440="SP/RP"),"P","H")</f>
        <v/>
      </c>
      <c r="R440">
        <f>IF(F440="",0,IFNA(VLOOKUP(F440,Trait_Polarity!$A:$C,2,FALSE),0))+IF(G440="",0,IFNA(VLOOKUP(G440,Trait_Polarity!$A:$C,2,FALSE),0))</f>
        <v/>
      </c>
      <c r="S440">
        <f>IF(F440="",0,IFNA(VLOOKUP(F440,Trait_Polarity!$A:$C,3,FALSE),0))+IF(G440="",0,IFNA(VLOOKUP(G440,Trait_Polarity!$A:$C,3,FALSE),0))</f>
        <v/>
      </c>
      <c r="T440">
        <f>IF(Q440="P",0,IFNA(VLOOKUP(IF(C440="","(none)",C440),Secondary_Versatility!$A:$B,2,FALSE),0))</f>
        <v/>
      </c>
      <c r="U440">
        <f>IF(H440="",0,LEN(H440)-LEN(SUBSTITUTE(H440,"|",""))+1)</f>
        <v/>
      </c>
      <c r="V440">
        <f>IF(Q440="P",(N440+O440+P440)/3,0.3*I440+0.3*J440+0.2*K440+0.1*L440+0.1*M440)</f>
        <v/>
      </c>
      <c r="W440">
        <f>IF(Q440="P",IF(F440="",0,IFNA(VLOOKUP(F440,Pitcher_Trait_Coef!$A:$B,2,FALSE),0))+IF(G440="",0,IFNA(VLOOKUP(G440,Pitcher_Trait_Coef!$A:$B,2,FALSE),0)),IF(F440="",0,IFNA(VLOOKUP(F440,Hitter_Trait_Coef!$A:$B,2,FALSE),0))+IF(G440="",0,IFNA(VLOOKUP(G440,Hitter_Trait_Coef!$A:$B,2,FALSE),0)))</f>
        <v/>
      </c>
      <c r="X440">
        <f>IF(Q440="P",IFNA(VLOOKUP(B440,Pitcher_Primary_Coef!$A:$B,2,FALSE),0),IFNA(VLOOKUP(B440,Hitter_Primary_Coef!$A:$B,2,FALSE),0))</f>
        <v/>
      </c>
      <c r="Y440">
        <f>IF(Q440="P",0,IFNA(VLOOKUP(IF(C440="","(none)",C440),Hitter_Secondary_Coef!$A:$B,2,FALSE),0))</f>
        <v/>
      </c>
      <c r="Z440">
        <f>IF(Q440="P",IF(ISNUMBER(SEARCH("2F",H440)),IFNA(VLOOKUP("2F",Pitch_Coef!$A:$B,2,FALSE),0),0)+IF(ISNUMBER(SEARCH("4F",H440)),IFNA(VLOOKUP("4F",Pitch_Coef!$A:$B,2,FALSE),0),0)+IF(ISNUMBER(SEARCH("CB",H440)),IFNA(VLOOKUP("CB",Pitch_Coef!$A:$B,2,FALSE),0),0)+IF(ISNUMBER(SEARCH("CF",H440)),IFNA(VLOOKUP("CF",Pitch_Coef!$A:$B,2,FALSE),0),0)+IF(ISNUMBER(SEARCH("CH",H440)),IFNA(VLOOKUP("CH",Pitch_Coef!$A:$B,2,FALSE),0),0)+IF(ISNUMBER(SEARCH("FK",H440)),IFNA(VLOOKUP("FK",Pitch_Coef!$A:$B,2,FALSE),0),0)+IF(ISNUMBER(SEARCH("SB",H440)),IFNA(VLOOKUP("SB",Pitch_Coef!$A:$B,2,FALSE),0),0)+IF(ISNUMBER(SEARCH("SL",H440)),IFNA(VLOOKUP("SL",Pitch_Coef!$A:$B,2,FALSE),0),0),0)</f>
        <v/>
      </c>
      <c r="AA440">
        <f>IF(Q440="P",16.5944849573+0.2529999141*N440+0.2665900378*O440+0.2632687105*P440+0.0427586837*I440+0.0534777057*J440+0.009015832*K440+0.0204898106*(O440*P440/100)+1.0091022427*U440+1.0968542297*IF(D440="L",1,0)+0.3771555045*IF(D440="S",1,0)-0.2226159177*IF(E440="L",1,0)+1.21385024*R440-1.1652812274*S440+W440+X440+Z440,10.5965166711+0.2825983581*I440+0.2806503532*J440+0.2027213083*K440+0.1147824982*L440+0.0915305332*M440-0.0088454122*(I440*J440/100)-0.0336045706*(K440*L440/100)+2.8497389733*IF(D440="L",1,0)+4.5116226727*IF(D440="S",1,0)-0.6571546448*IF(E440="L",1,0)+0.0850728147*T440+0.0129488446*(T440*T440)+0.1909373936*IF(OR(F440="Utility",G440="Utility"),T440,0)+0.9656824071*R440-1.7517683256*S440+W440+X440+Y440)</f>
        <v/>
      </c>
      <c r="AB440">
        <f>LOOKUP(AA440,Grade_Scale!$A$2:$A$18,Grade_Scale!$B$2:$B$18)</f>
        <v/>
      </c>
      <c r="AC440">
        <f>LOOKUP(AA440,Grade_Scale!$A$2:$A$18,Grade_Scale!$C$2:$C$18)</f>
        <v/>
      </c>
      <c r="AE440">
        <f>IF(AD440="","",AB440-VLOOKUP(AD440,Grade_Scale!$C$2:$E$18,3,FALSE))</f>
        <v/>
      </c>
    </row>
    <row r="441">
      <c r="Q441">
        <f>IF(OR(B441="SP",B441="RP",B441="CP",B441="SP/RP"),"P","H")</f>
        <v/>
      </c>
      <c r="R441">
        <f>IF(F441="",0,IFNA(VLOOKUP(F441,Trait_Polarity!$A:$C,2,FALSE),0))+IF(G441="",0,IFNA(VLOOKUP(G441,Trait_Polarity!$A:$C,2,FALSE),0))</f>
        <v/>
      </c>
      <c r="S441">
        <f>IF(F441="",0,IFNA(VLOOKUP(F441,Trait_Polarity!$A:$C,3,FALSE),0))+IF(G441="",0,IFNA(VLOOKUP(G441,Trait_Polarity!$A:$C,3,FALSE),0))</f>
        <v/>
      </c>
      <c r="T441">
        <f>IF(Q441="P",0,IFNA(VLOOKUP(IF(C441="","(none)",C441),Secondary_Versatility!$A:$B,2,FALSE),0))</f>
        <v/>
      </c>
      <c r="U441">
        <f>IF(H441="",0,LEN(H441)-LEN(SUBSTITUTE(H441,"|",""))+1)</f>
        <v/>
      </c>
      <c r="V441">
        <f>IF(Q441="P",(N441+O441+P441)/3,0.3*I441+0.3*J441+0.2*K441+0.1*L441+0.1*M441)</f>
        <v/>
      </c>
      <c r="W441">
        <f>IF(Q441="P",IF(F441="",0,IFNA(VLOOKUP(F441,Pitcher_Trait_Coef!$A:$B,2,FALSE),0))+IF(G441="",0,IFNA(VLOOKUP(G441,Pitcher_Trait_Coef!$A:$B,2,FALSE),0)),IF(F441="",0,IFNA(VLOOKUP(F441,Hitter_Trait_Coef!$A:$B,2,FALSE),0))+IF(G441="",0,IFNA(VLOOKUP(G441,Hitter_Trait_Coef!$A:$B,2,FALSE),0)))</f>
        <v/>
      </c>
      <c r="X441">
        <f>IF(Q441="P",IFNA(VLOOKUP(B441,Pitcher_Primary_Coef!$A:$B,2,FALSE),0),IFNA(VLOOKUP(B441,Hitter_Primary_Coef!$A:$B,2,FALSE),0))</f>
        <v/>
      </c>
      <c r="Y441">
        <f>IF(Q441="P",0,IFNA(VLOOKUP(IF(C441="","(none)",C441),Hitter_Secondary_Coef!$A:$B,2,FALSE),0))</f>
        <v/>
      </c>
      <c r="Z441">
        <f>IF(Q441="P",IF(ISNUMBER(SEARCH("2F",H441)),IFNA(VLOOKUP("2F",Pitch_Coef!$A:$B,2,FALSE),0),0)+IF(ISNUMBER(SEARCH("4F",H441)),IFNA(VLOOKUP("4F",Pitch_Coef!$A:$B,2,FALSE),0),0)+IF(ISNUMBER(SEARCH("CB",H441)),IFNA(VLOOKUP("CB",Pitch_Coef!$A:$B,2,FALSE),0),0)+IF(ISNUMBER(SEARCH("CF",H441)),IFNA(VLOOKUP("CF",Pitch_Coef!$A:$B,2,FALSE),0),0)+IF(ISNUMBER(SEARCH("CH",H441)),IFNA(VLOOKUP("CH",Pitch_Coef!$A:$B,2,FALSE),0),0)+IF(ISNUMBER(SEARCH("FK",H441)),IFNA(VLOOKUP("FK",Pitch_Coef!$A:$B,2,FALSE),0),0)+IF(ISNUMBER(SEARCH("SB",H441)),IFNA(VLOOKUP("SB",Pitch_Coef!$A:$B,2,FALSE),0),0)+IF(ISNUMBER(SEARCH("SL",H441)),IFNA(VLOOKUP("SL",Pitch_Coef!$A:$B,2,FALSE),0),0),0)</f>
        <v/>
      </c>
      <c r="AA441">
        <f>IF(Q441="P",16.5944849573+0.2529999141*N441+0.2665900378*O441+0.2632687105*P441+0.0427586837*I441+0.0534777057*J441+0.009015832*K441+0.0204898106*(O441*P441/100)+1.0091022427*U441+1.0968542297*IF(D441="L",1,0)+0.3771555045*IF(D441="S",1,0)-0.2226159177*IF(E441="L",1,0)+1.21385024*R441-1.1652812274*S441+W441+X441+Z441,10.5965166711+0.2825983581*I441+0.2806503532*J441+0.2027213083*K441+0.1147824982*L441+0.0915305332*M441-0.0088454122*(I441*J441/100)-0.0336045706*(K441*L441/100)+2.8497389733*IF(D441="L",1,0)+4.5116226727*IF(D441="S",1,0)-0.6571546448*IF(E441="L",1,0)+0.0850728147*T441+0.0129488446*(T441*T441)+0.1909373936*IF(OR(F441="Utility",G441="Utility"),T441,0)+0.9656824071*R441-1.7517683256*S441+W441+X441+Y441)</f>
        <v/>
      </c>
      <c r="AB441">
        <f>LOOKUP(AA441,Grade_Scale!$A$2:$A$18,Grade_Scale!$B$2:$B$18)</f>
        <v/>
      </c>
      <c r="AC441">
        <f>LOOKUP(AA441,Grade_Scale!$A$2:$A$18,Grade_Scale!$C$2:$C$18)</f>
        <v/>
      </c>
      <c r="AE441">
        <f>IF(AD441="","",AB441-VLOOKUP(AD441,Grade_Scale!$C$2:$E$18,3,FALSE))</f>
        <v/>
      </c>
    </row>
    <row r="442">
      <c r="Q442">
        <f>IF(OR(B442="SP",B442="RP",B442="CP",B442="SP/RP"),"P","H")</f>
        <v/>
      </c>
      <c r="R442">
        <f>IF(F442="",0,IFNA(VLOOKUP(F442,Trait_Polarity!$A:$C,2,FALSE),0))+IF(G442="",0,IFNA(VLOOKUP(G442,Trait_Polarity!$A:$C,2,FALSE),0))</f>
        <v/>
      </c>
      <c r="S442">
        <f>IF(F442="",0,IFNA(VLOOKUP(F442,Trait_Polarity!$A:$C,3,FALSE),0))+IF(G442="",0,IFNA(VLOOKUP(G442,Trait_Polarity!$A:$C,3,FALSE),0))</f>
        <v/>
      </c>
      <c r="T442">
        <f>IF(Q442="P",0,IFNA(VLOOKUP(IF(C442="","(none)",C442),Secondary_Versatility!$A:$B,2,FALSE),0))</f>
        <v/>
      </c>
      <c r="U442">
        <f>IF(H442="",0,LEN(H442)-LEN(SUBSTITUTE(H442,"|",""))+1)</f>
        <v/>
      </c>
      <c r="V442">
        <f>IF(Q442="P",(N442+O442+P442)/3,0.3*I442+0.3*J442+0.2*K442+0.1*L442+0.1*M442)</f>
        <v/>
      </c>
      <c r="W442">
        <f>IF(Q442="P",IF(F442="",0,IFNA(VLOOKUP(F442,Pitcher_Trait_Coef!$A:$B,2,FALSE),0))+IF(G442="",0,IFNA(VLOOKUP(G442,Pitcher_Trait_Coef!$A:$B,2,FALSE),0)),IF(F442="",0,IFNA(VLOOKUP(F442,Hitter_Trait_Coef!$A:$B,2,FALSE),0))+IF(G442="",0,IFNA(VLOOKUP(G442,Hitter_Trait_Coef!$A:$B,2,FALSE),0)))</f>
        <v/>
      </c>
      <c r="X442">
        <f>IF(Q442="P",IFNA(VLOOKUP(B442,Pitcher_Primary_Coef!$A:$B,2,FALSE),0),IFNA(VLOOKUP(B442,Hitter_Primary_Coef!$A:$B,2,FALSE),0))</f>
        <v/>
      </c>
      <c r="Y442">
        <f>IF(Q442="P",0,IFNA(VLOOKUP(IF(C442="","(none)",C442),Hitter_Secondary_Coef!$A:$B,2,FALSE),0))</f>
        <v/>
      </c>
      <c r="Z442">
        <f>IF(Q442="P",IF(ISNUMBER(SEARCH("2F",H442)),IFNA(VLOOKUP("2F",Pitch_Coef!$A:$B,2,FALSE),0),0)+IF(ISNUMBER(SEARCH("4F",H442)),IFNA(VLOOKUP("4F",Pitch_Coef!$A:$B,2,FALSE),0),0)+IF(ISNUMBER(SEARCH("CB",H442)),IFNA(VLOOKUP("CB",Pitch_Coef!$A:$B,2,FALSE),0),0)+IF(ISNUMBER(SEARCH("CF",H442)),IFNA(VLOOKUP("CF",Pitch_Coef!$A:$B,2,FALSE),0),0)+IF(ISNUMBER(SEARCH("CH",H442)),IFNA(VLOOKUP("CH",Pitch_Coef!$A:$B,2,FALSE),0),0)+IF(ISNUMBER(SEARCH("FK",H442)),IFNA(VLOOKUP("FK",Pitch_Coef!$A:$B,2,FALSE),0),0)+IF(ISNUMBER(SEARCH("SB",H442)),IFNA(VLOOKUP("SB",Pitch_Coef!$A:$B,2,FALSE),0),0)+IF(ISNUMBER(SEARCH("SL",H442)),IFNA(VLOOKUP("SL",Pitch_Coef!$A:$B,2,FALSE),0),0),0)</f>
        <v/>
      </c>
      <c r="AA442">
        <f>IF(Q442="P",16.5944849573+0.2529999141*N442+0.2665900378*O442+0.2632687105*P442+0.0427586837*I442+0.0534777057*J442+0.009015832*K442+0.0204898106*(O442*P442/100)+1.0091022427*U442+1.0968542297*IF(D442="L",1,0)+0.3771555045*IF(D442="S",1,0)-0.2226159177*IF(E442="L",1,0)+1.21385024*R442-1.1652812274*S442+W442+X442+Z442,10.5965166711+0.2825983581*I442+0.2806503532*J442+0.2027213083*K442+0.1147824982*L442+0.0915305332*M442-0.0088454122*(I442*J442/100)-0.0336045706*(K442*L442/100)+2.8497389733*IF(D442="L",1,0)+4.5116226727*IF(D442="S",1,0)-0.6571546448*IF(E442="L",1,0)+0.0850728147*T442+0.0129488446*(T442*T442)+0.1909373936*IF(OR(F442="Utility",G442="Utility"),T442,0)+0.9656824071*R442-1.7517683256*S442+W442+X442+Y442)</f>
        <v/>
      </c>
      <c r="AB442">
        <f>LOOKUP(AA442,Grade_Scale!$A$2:$A$18,Grade_Scale!$B$2:$B$18)</f>
        <v/>
      </c>
      <c r="AC442">
        <f>LOOKUP(AA442,Grade_Scale!$A$2:$A$18,Grade_Scale!$C$2:$C$18)</f>
        <v/>
      </c>
      <c r="AE442">
        <f>IF(AD442="","",AB442-VLOOKUP(AD442,Grade_Scale!$C$2:$E$18,3,FALSE))</f>
        <v/>
      </c>
    </row>
    <row r="443">
      <c r="Q443">
        <f>IF(OR(B443="SP",B443="RP",B443="CP",B443="SP/RP"),"P","H")</f>
        <v/>
      </c>
      <c r="R443">
        <f>IF(F443="",0,IFNA(VLOOKUP(F443,Trait_Polarity!$A:$C,2,FALSE),0))+IF(G443="",0,IFNA(VLOOKUP(G443,Trait_Polarity!$A:$C,2,FALSE),0))</f>
        <v/>
      </c>
      <c r="S443">
        <f>IF(F443="",0,IFNA(VLOOKUP(F443,Trait_Polarity!$A:$C,3,FALSE),0))+IF(G443="",0,IFNA(VLOOKUP(G443,Trait_Polarity!$A:$C,3,FALSE),0))</f>
        <v/>
      </c>
      <c r="T443">
        <f>IF(Q443="P",0,IFNA(VLOOKUP(IF(C443="","(none)",C443),Secondary_Versatility!$A:$B,2,FALSE),0))</f>
        <v/>
      </c>
      <c r="U443">
        <f>IF(H443="",0,LEN(H443)-LEN(SUBSTITUTE(H443,"|",""))+1)</f>
        <v/>
      </c>
      <c r="V443">
        <f>IF(Q443="P",(N443+O443+P443)/3,0.3*I443+0.3*J443+0.2*K443+0.1*L443+0.1*M443)</f>
        <v/>
      </c>
      <c r="W443">
        <f>IF(Q443="P",IF(F443="",0,IFNA(VLOOKUP(F443,Pitcher_Trait_Coef!$A:$B,2,FALSE),0))+IF(G443="",0,IFNA(VLOOKUP(G443,Pitcher_Trait_Coef!$A:$B,2,FALSE),0)),IF(F443="",0,IFNA(VLOOKUP(F443,Hitter_Trait_Coef!$A:$B,2,FALSE),0))+IF(G443="",0,IFNA(VLOOKUP(G443,Hitter_Trait_Coef!$A:$B,2,FALSE),0)))</f>
        <v/>
      </c>
      <c r="X443">
        <f>IF(Q443="P",IFNA(VLOOKUP(B443,Pitcher_Primary_Coef!$A:$B,2,FALSE),0),IFNA(VLOOKUP(B443,Hitter_Primary_Coef!$A:$B,2,FALSE),0))</f>
        <v/>
      </c>
      <c r="Y443">
        <f>IF(Q443="P",0,IFNA(VLOOKUP(IF(C443="","(none)",C443),Hitter_Secondary_Coef!$A:$B,2,FALSE),0))</f>
        <v/>
      </c>
      <c r="Z443">
        <f>IF(Q443="P",IF(ISNUMBER(SEARCH("2F",H443)),IFNA(VLOOKUP("2F",Pitch_Coef!$A:$B,2,FALSE),0),0)+IF(ISNUMBER(SEARCH("4F",H443)),IFNA(VLOOKUP("4F",Pitch_Coef!$A:$B,2,FALSE),0),0)+IF(ISNUMBER(SEARCH("CB",H443)),IFNA(VLOOKUP("CB",Pitch_Coef!$A:$B,2,FALSE),0),0)+IF(ISNUMBER(SEARCH("CF",H443)),IFNA(VLOOKUP("CF",Pitch_Coef!$A:$B,2,FALSE),0),0)+IF(ISNUMBER(SEARCH("CH",H443)),IFNA(VLOOKUP("CH",Pitch_Coef!$A:$B,2,FALSE),0),0)+IF(ISNUMBER(SEARCH("FK",H443)),IFNA(VLOOKUP("FK",Pitch_Coef!$A:$B,2,FALSE),0),0)+IF(ISNUMBER(SEARCH("SB",H443)),IFNA(VLOOKUP("SB",Pitch_Coef!$A:$B,2,FALSE),0),0)+IF(ISNUMBER(SEARCH("SL",H443)),IFNA(VLOOKUP("SL",Pitch_Coef!$A:$B,2,FALSE),0),0),0)</f>
        <v/>
      </c>
      <c r="AA443">
        <f>IF(Q443="P",16.5944849573+0.2529999141*N443+0.2665900378*O443+0.2632687105*P443+0.0427586837*I443+0.0534777057*J443+0.009015832*K443+0.0204898106*(O443*P443/100)+1.0091022427*U443+1.0968542297*IF(D443="L",1,0)+0.3771555045*IF(D443="S",1,0)-0.2226159177*IF(E443="L",1,0)+1.21385024*R443-1.1652812274*S443+W443+X443+Z443,10.5965166711+0.2825983581*I443+0.2806503532*J443+0.2027213083*K443+0.1147824982*L443+0.0915305332*M443-0.0088454122*(I443*J443/100)-0.0336045706*(K443*L443/100)+2.8497389733*IF(D443="L",1,0)+4.5116226727*IF(D443="S",1,0)-0.6571546448*IF(E443="L",1,0)+0.0850728147*T443+0.0129488446*(T443*T443)+0.1909373936*IF(OR(F443="Utility",G443="Utility"),T443,0)+0.9656824071*R443-1.7517683256*S443+W443+X443+Y443)</f>
        <v/>
      </c>
      <c r="AB443">
        <f>LOOKUP(AA443,Grade_Scale!$A$2:$A$18,Grade_Scale!$B$2:$B$18)</f>
        <v/>
      </c>
      <c r="AC443">
        <f>LOOKUP(AA443,Grade_Scale!$A$2:$A$18,Grade_Scale!$C$2:$C$18)</f>
        <v/>
      </c>
      <c r="AE443">
        <f>IF(AD443="","",AB443-VLOOKUP(AD443,Grade_Scale!$C$2:$E$18,3,FALSE))</f>
        <v/>
      </c>
    </row>
    <row r="444">
      <c r="Q444">
        <f>IF(OR(B444="SP",B444="RP",B444="CP",B444="SP/RP"),"P","H")</f>
        <v/>
      </c>
      <c r="R444">
        <f>IF(F444="",0,IFNA(VLOOKUP(F444,Trait_Polarity!$A:$C,2,FALSE),0))+IF(G444="",0,IFNA(VLOOKUP(G444,Trait_Polarity!$A:$C,2,FALSE),0))</f>
        <v/>
      </c>
      <c r="S444">
        <f>IF(F444="",0,IFNA(VLOOKUP(F444,Trait_Polarity!$A:$C,3,FALSE),0))+IF(G444="",0,IFNA(VLOOKUP(G444,Trait_Polarity!$A:$C,3,FALSE),0))</f>
        <v/>
      </c>
      <c r="T444">
        <f>IF(Q444="P",0,IFNA(VLOOKUP(IF(C444="","(none)",C444),Secondary_Versatility!$A:$B,2,FALSE),0))</f>
        <v/>
      </c>
      <c r="U444">
        <f>IF(H444="",0,LEN(H444)-LEN(SUBSTITUTE(H444,"|",""))+1)</f>
        <v/>
      </c>
      <c r="V444">
        <f>IF(Q444="P",(N444+O444+P444)/3,0.3*I444+0.3*J444+0.2*K444+0.1*L444+0.1*M444)</f>
        <v/>
      </c>
      <c r="W444">
        <f>IF(Q444="P",IF(F444="",0,IFNA(VLOOKUP(F444,Pitcher_Trait_Coef!$A:$B,2,FALSE),0))+IF(G444="",0,IFNA(VLOOKUP(G444,Pitcher_Trait_Coef!$A:$B,2,FALSE),0)),IF(F444="",0,IFNA(VLOOKUP(F444,Hitter_Trait_Coef!$A:$B,2,FALSE),0))+IF(G444="",0,IFNA(VLOOKUP(G444,Hitter_Trait_Coef!$A:$B,2,FALSE),0)))</f>
        <v/>
      </c>
      <c r="X444">
        <f>IF(Q444="P",IFNA(VLOOKUP(B444,Pitcher_Primary_Coef!$A:$B,2,FALSE),0),IFNA(VLOOKUP(B444,Hitter_Primary_Coef!$A:$B,2,FALSE),0))</f>
        <v/>
      </c>
      <c r="Y444">
        <f>IF(Q444="P",0,IFNA(VLOOKUP(IF(C444="","(none)",C444),Hitter_Secondary_Coef!$A:$B,2,FALSE),0))</f>
        <v/>
      </c>
      <c r="Z444">
        <f>IF(Q444="P",IF(ISNUMBER(SEARCH("2F",H444)),IFNA(VLOOKUP("2F",Pitch_Coef!$A:$B,2,FALSE),0),0)+IF(ISNUMBER(SEARCH("4F",H444)),IFNA(VLOOKUP("4F",Pitch_Coef!$A:$B,2,FALSE),0),0)+IF(ISNUMBER(SEARCH("CB",H444)),IFNA(VLOOKUP("CB",Pitch_Coef!$A:$B,2,FALSE),0),0)+IF(ISNUMBER(SEARCH("CF",H444)),IFNA(VLOOKUP("CF",Pitch_Coef!$A:$B,2,FALSE),0),0)+IF(ISNUMBER(SEARCH("CH",H444)),IFNA(VLOOKUP("CH",Pitch_Coef!$A:$B,2,FALSE),0),0)+IF(ISNUMBER(SEARCH("FK",H444)),IFNA(VLOOKUP("FK",Pitch_Coef!$A:$B,2,FALSE),0),0)+IF(ISNUMBER(SEARCH("SB",H444)),IFNA(VLOOKUP("SB",Pitch_Coef!$A:$B,2,FALSE),0),0)+IF(ISNUMBER(SEARCH("SL",H444)),IFNA(VLOOKUP("SL",Pitch_Coef!$A:$B,2,FALSE),0),0),0)</f>
        <v/>
      </c>
      <c r="AA444">
        <f>IF(Q444="P",16.5944849573+0.2529999141*N444+0.2665900378*O444+0.2632687105*P444+0.0427586837*I444+0.0534777057*J444+0.009015832*K444+0.0204898106*(O444*P444/100)+1.0091022427*U444+1.0968542297*IF(D444="L",1,0)+0.3771555045*IF(D444="S",1,0)-0.2226159177*IF(E444="L",1,0)+1.21385024*R444-1.1652812274*S444+W444+X444+Z444,10.5965166711+0.2825983581*I444+0.2806503532*J444+0.2027213083*K444+0.1147824982*L444+0.0915305332*M444-0.0088454122*(I444*J444/100)-0.0336045706*(K444*L444/100)+2.8497389733*IF(D444="L",1,0)+4.5116226727*IF(D444="S",1,0)-0.6571546448*IF(E444="L",1,0)+0.0850728147*T444+0.0129488446*(T444*T444)+0.1909373936*IF(OR(F444="Utility",G444="Utility"),T444,0)+0.9656824071*R444-1.7517683256*S444+W444+X444+Y444)</f>
        <v/>
      </c>
      <c r="AB444">
        <f>LOOKUP(AA444,Grade_Scale!$A$2:$A$18,Grade_Scale!$B$2:$B$18)</f>
        <v/>
      </c>
      <c r="AC444">
        <f>LOOKUP(AA444,Grade_Scale!$A$2:$A$18,Grade_Scale!$C$2:$C$18)</f>
        <v/>
      </c>
      <c r="AE444">
        <f>IF(AD444="","",AB444-VLOOKUP(AD444,Grade_Scale!$C$2:$E$18,3,FALSE))</f>
        <v/>
      </c>
    </row>
    <row r="445">
      <c r="Q445">
        <f>IF(OR(B445="SP",B445="RP",B445="CP",B445="SP/RP"),"P","H")</f>
        <v/>
      </c>
      <c r="R445">
        <f>IF(F445="",0,IFNA(VLOOKUP(F445,Trait_Polarity!$A:$C,2,FALSE),0))+IF(G445="",0,IFNA(VLOOKUP(G445,Trait_Polarity!$A:$C,2,FALSE),0))</f>
        <v/>
      </c>
      <c r="S445">
        <f>IF(F445="",0,IFNA(VLOOKUP(F445,Trait_Polarity!$A:$C,3,FALSE),0))+IF(G445="",0,IFNA(VLOOKUP(G445,Trait_Polarity!$A:$C,3,FALSE),0))</f>
        <v/>
      </c>
      <c r="T445">
        <f>IF(Q445="P",0,IFNA(VLOOKUP(IF(C445="","(none)",C445),Secondary_Versatility!$A:$B,2,FALSE),0))</f>
        <v/>
      </c>
      <c r="U445">
        <f>IF(H445="",0,LEN(H445)-LEN(SUBSTITUTE(H445,"|",""))+1)</f>
        <v/>
      </c>
      <c r="V445">
        <f>IF(Q445="P",(N445+O445+P445)/3,0.3*I445+0.3*J445+0.2*K445+0.1*L445+0.1*M445)</f>
        <v/>
      </c>
      <c r="W445">
        <f>IF(Q445="P",IF(F445="",0,IFNA(VLOOKUP(F445,Pitcher_Trait_Coef!$A:$B,2,FALSE),0))+IF(G445="",0,IFNA(VLOOKUP(G445,Pitcher_Trait_Coef!$A:$B,2,FALSE),0)),IF(F445="",0,IFNA(VLOOKUP(F445,Hitter_Trait_Coef!$A:$B,2,FALSE),0))+IF(G445="",0,IFNA(VLOOKUP(G445,Hitter_Trait_Coef!$A:$B,2,FALSE),0)))</f>
        <v/>
      </c>
      <c r="X445">
        <f>IF(Q445="P",IFNA(VLOOKUP(B445,Pitcher_Primary_Coef!$A:$B,2,FALSE),0),IFNA(VLOOKUP(B445,Hitter_Primary_Coef!$A:$B,2,FALSE),0))</f>
        <v/>
      </c>
      <c r="Y445">
        <f>IF(Q445="P",0,IFNA(VLOOKUP(IF(C445="","(none)",C445),Hitter_Secondary_Coef!$A:$B,2,FALSE),0))</f>
        <v/>
      </c>
      <c r="Z445">
        <f>IF(Q445="P",IF(ISNUMBER(SEARCH("2F",H445)),IFNA(VLOOKUP("2F",Pitch_Coef!$A:$B,2,FALSE),0),0)+IF(ISNUMBER(SEARCH("4F",H445)),IFNA(VLOOKUP("4F",Pitch_Coef!$A:$B,2,FALSE),0),0)+IF(ISNUMBER(SEARCH("CB",H445)),IFNA(VLOOKUP("CB",Pitch_Coef!$A:$B,2,FALSE),0),0)+IF(ISNUMBER(SEARCH("CF",H445)),IFNA(VLOOKUP("CF",Pitch_Coef!$A:$B,2,FALSE),0),0)+IF(ISNUMBER(SEARCH("CH",H445)),IFNA(VLOOKUP("CH",Pitch_Coef!$A:$B,2,FALSE),0),0)+IF(ISNUMBER(SEARCH("FK",H445)),IFNA(VLOOKUP("FK",Pitch_Coef!$A:$B,2,FALSE),0),0)+IF(ISNUMBER(SEARCH("SB",H445)),IFNA(VLOOKUP("SB",Pitch_Coef!$A:$B,2,FALSE),0),0)+IF(ISNUMBER(SEARCH("SL",H445)),IFNA(VLOOKUP("SL",Pitch_Coef!$A:$B,2,FALSE),0),0),0)</f>
        <v/>
      </c>
      <c r="AA445">
        <f>IF(Q445="P",16.5944849573+0.2529999141*N445+0.2665900378*O445+0.2632687105*P445+0.0427586837*I445+0.0534777057*J445+0.009015832*K445+0.0204898106*(O445*P445/100)+1.0091022427*U445+1.0968542297*IF(D445="L",1,0)+0.3771555045*IF(D445="S",1,0)-0.2226159177*IF(E445="L",1,0)+1.21385024*R445-1.1652812274*S445+W445+X445+Z445,10.5965166711+0.2825983581*I445+0.2806503532*J445+0.2027213083*K445+0.1147824982*L445+0.0915305332*M445-0.0088454122*(I445*J445/100)-0.0336045706*(K445*L445/100)+2.8497389733*IF(D445="L",1,0)+4.5116226727*IF(D445="S",1,0)-0.6571546448*IF(E445="L",1,0)+0.0850728147*T445+0.0129488446*(T445*T445)+0.1909373936*IF(OR(F445="Utility",G445="Utility"),T445,0)+0.9656824071*R445-1.7517683256*S445+W445+X445+Y445)</f>
        <v/>
      </c>
      <c r="AB445">
        <f>LOOKUP(AA445,Grade_Scale!$A$2:$A$18,Grade_Scale!$B$2:$B$18)</f>
        <v/>
      </c>
      <c r="AC445">
        <f>LOOKUP(AA445,Grade_Scale!$A$2:$A$18,Grade_Scale!$C$2:$C$18)</f>
        <v/>
      </c>
      <c r="AE445">
        <f>IF(AD445="","",AB445-VLOOKUP(AD445,Grade_Scale!$C$2:$E$18,3,FALSE))</f>
        <v/>
      </c>
    </row>
    <row r="446">
      <c r="Q446">
        <f>IF(OR(B446="SP",B446="RP",B446="CP",B446="SP/RP"),"P","H")</f>
        <v/>
      </c>
      <c r="R446">
        <f>IF(F446="",0,IFNA(VLOOKUP(F446,Trait_Polarity!$A:$C,2,FALSE),0))+IF(G446="",0,IFNA(VLOOKUP(G446,Trait_Polarity!$A:$C,2,FALSE),0))</f>
        <v/>
      </c>
      <c r="S446">
        <f>IF(F446="",0,IFNA(VLOOKUP(F446,Trait_Polarity!$A:$C,3,FALSE),0))+IF(G446="",0,IFNA(VLOOKUP(G446,Trait_Polarity!$A:$C,3,FALSE),0))</f>
        <v/>
      </c>
      <c r="T446">
        <f>IF(Q446="P",0,IFNA(VLOOKUP(IF(C446="","(none)",C446),Secondary_Versatility!$A:$B,2,FALSE),0))</f>
        <v/>
      </c>
      <c r="U446">
        <f>IF(H446="",0,LEN(H446)-LEN(SUBSTITUTE(H446,"|",""))+1)</f>
        <v/>
      </c>
      <c r="V446">
        <f>IF(Q446="P",(N446+O446+P446)/3,0.3*I446+0.3*J446+0.2*K446+0.1*L446+0.1*M446)</f>
        <v/>
      </c>
      <c r="W446">
        <f>IF(Q446="P",IF(F446="",0,IFNA(VLOOKUP(F446,Pitcher_Trait_Coef!$A:$B,2,FALSE),0))+IF(G446="",0,IFNA(VLOOKUP(G446,Pitcher_Trait_Coef!$A:$B,2,FALSE),0)),IF(F446="",0,IFNA(VLOOKUP(F446,Hitter_Trait_Coef!$A:$B,2,FALSE),0))+IF(G446="",0,IFNA(VLOOKUP(G446,Hitter_Trait_Coef!$A:$B,2,FALSE),0)))</f>
        <v/>
      </c>
      <c r="X446">
        <f>IF(Q446="P",IFNA(VLOOKUP(B446,Pitcher_Primary_Coef!$A:$B,2,FALSE),0),IFNA(VLOOKUP(B446,Hitter_Primary_Coef!$A:$B,2,FALSE),0))</f>
        <v/>
      </c>
      <c r="Y446">
        <f>IF(Q446="P",0,IFNA(VLOOKUP(IF(C446="","(none)",C446),Hitter_Secondary_Coef!$A:$B,2,FALSE),0))</f>
        <v/>
      </c>
      <c r="Z446">
        <f>IF(Q446="P",IF(ISNUMBER(SEARCH("2F",H446)),IFNA(VLOOKUP("2F",Pitch_Coef!$A:$B,2,FALSE),0),0)+IF(ISNUMBER(SEARCH("4F",H446)),IFNA(VLOOKUP("4F",Pitch_Coef!$A:$B,2,FALSE),0),0)+IF(ISNUMBER(SEARCH("CB",H446)),IFNA(VLOOKUP("CB",Pitch_Coef!$A:$B,2,FALSE),0),0)+IF(ISNUMBER(SEARCH("CF",H446)),IFNA(VLOOKUP("CF",Pitch_Coef!$A:$B,2,FALSE),0),0)+IF(ISNUMBER(SEARCH("CH",H446)),IFNA(VLOOKUP("CH",Pitch_Coef!$A:$B,2,FALSE),0),0)+IF(ISNUMBER(SEARCH("FK",H446)),IFNA(VLOOKUP("FK",Pitch_Coef!$A:$B,2,FALSE),0),0)+IF(ISNUMBER(SEARCH("SB",H446)),IFNA(VLOOKUP("SB",Pitch_Coef!$A:$B,2,FALSE),0),0)+IF(ISNUMBER(SEARCH("SL",H446)),IFNA(VLOOKUP("SL",Pitch_Coef!$A:$B,2,FALSE),0),0),0)</f>
        <v/>
      </c>
      <c r="AA446">
        <f>IF(Q446="P",16.5944849573+0.2529999141*N446+0.2665900378*O446+0.2632687105*P446+0.0427586837*I446+0.0534777057*J446+0.009015832*K446+0.0204898106*(O446*P446/100)+1.0091022427*U446+1.0968542297*IF(D446="L",1,0)+0.3771555045*IF(D446="S",1,0)-0.2226159177*IF(E446="L",1,0)+1.21385024*R446-1.1652812274*S446+W446+X446+Z446,10.5965166711+0.2825983581*I446+0.2806503532*J446+0.2027213083*K446+0.1147824982*L446+0.0915305332*M446-0.0088454122*(I446*J446/100)-0.0336045706*(K446*L446/100)+2.8497389733*IF(D446="L",1,0)+4.5116226727*IF(D446="S",1,0)-0.6571546448*IF(E446="L",1,0)+0.0850728147*T446+0.0129488446*(T446*T446)+0.1909373936*IF(OR(F446="Utility",G446="Utility"),T446,0)+0.9656824071*R446-1.7517683256*S446+W446+X446+Y446)</f>
        <v/>
      </c>
      <c r="AB446">
        <f>LOOKUP(AA446,Grade_Scale!$A$2:$A$18,Grade_Scale!$B$2:$B$18)</f>
        <v/>
      </c>
      <c r="AC446">
        <f>LOOKUP(AA446,Grade_Scale!$A$2:$A$18,Grade_Scale!$C$2:$C$18)</f>
        <v/>
      </c>
      <c r="AE446">
        <f>IF(AD446="","",AB446-VLOOKUP(AD446,Grade_Scale!$C$2:$E$18,3,FALSE))</f>
        <v/>
      </c>
    </row>
    <row r="447">
      <c r="Q447">
        <f>IF(OR(B447="SP",B447="RP",B447="CP",B447="SP/RP"),"P","H")</f>
        <v/>
      </c>
      <c r="R447">
        <f>IF(F447="",0,IFNA(VLOOKUP(F447,Trait_Polarity!$A:$C,2,FALSE),0))+IF(G447="",0,IFNA(VLOOKUP(G447,Trait_Polarity!$A:$C,2,FALSE),0))</f>
        <v/>
      </c>
      <c r="S447">
        <f>IF(F447="",0,IFNA(VLOOKUP(F447,Trait_Polarity!$A:$C,3,FALSE),0))+IF(G447="",0,IFNA(VLOOKUP(G447,Trait_Polarity!$A:$C,3,FALSE),0))</f>
        <v/>
      </c>
      <c r="T447">
        <f>IF(Q447="P",0,IFNA(VLOOKUP(IF(C447="","(none)",C447),Secondary_Versatility!$A:$B,2,FALSE),0))</f>
        <v/>
      </c>
      <c r="U447">
        <f>IF(H447="",0,LEN(H447)-LEN(SUBSTITUTE(H447,"|",""))+1)</f>
        <v/>
      </c>
      <c r="V447">
        <f>IF(Q447="P",(N447+O447+P447)/3,0.3*I447+0.3*J447+0.2*K447+0.1*L447+0.1*M447)</f>
        <v/>
      </c>
      <c r="W447">
        <f>IF(Q447="P",IF(F447="",0,IFNA(VLOOKUP(F447,Pitcher_Trait_Coef!$A:$B,2,FALSE),0))+IF(G447="",0,IFNA(VLOOKUP(G447,Pitcher_Trait_Coef!$A:$B,2,FALSE),0)),IF(F447="",0,IFNA(VLOOKUP(F447,Hitter_Trait_Coef!$A:$B,2,FALSE),0))+IF(G447="",0,IFNA(VLOOKUP(G447,Hitter_Trait_Coef!$A:$B,2,FALSE),0)))</f>
        <v/>
      </c>
      <c r="X447">
        <f>IF(Q447="P",IFNA(VLOOKUP(B447,Pitcher_Primary_Coef!$A:$B,2,FALSE),0),IFNA(VLOOKUP(B447,Hitter_Primary_Coef!$A:$B,2,FALSE),0))</f>
        <v/>
      </c>
      <c r="Y447">
        <f>IF(Q447="P",0,IFNA(VLOOKUP(IF(C447="","(none)",C447),Hitter_Secondary_Coef!$A:$B,2,FALSE),0))</f>
        <v/>
      </c>
      <c r="Z447">
        <f>IF(Q447="P",IF(ISNUMBER(SEARCH("2F",H447)),IFNA(VLOOKUP("2F",Pitch_Coef!$A:$B,2,FALSE),0),0)+IF(ISNUMBER(SEARCH("4F",H447)),IFNA(VLOOKUP("4F",Pitch_Coef!$A:$B,2,FALSE),0),0)+IF(ISNUMBER(SEARCH("CB",H447)),IFNA(VLOOKUP("CB",Pitch_Coef!$A:$B,2,FALSE),0),0)+IF(ISNUMBER(SEARCH("CF",H447)),IFNA(VLOOKUP("CF",Pitch_Coef!$A:$B,2,FALSE),0),0)+IF(ISNUMBER(SEARCH("CH",H447)),IFNA(VLOOKUP("CH",Pitch_Coef!$A:$B,2,FALSE),0),0)+IF(ISNUMBER(SEARCH("FK",H447)),IFNA(VLOOKUP("FK",Pitch_Coef!$A:$B,2,FALSE),0),0)+IF(ISNUMBER(SEARCH("SB",H447)),IFNA(VLOOKUP("SB",Pitch_Coef!$A:$B,2,FALSE),0),0)+IF(ISNUMBER(SEARCH("SL",H447)),IFNA(VLOOKUP("SL",Pitch_Coef!$A:$B,2,FALSE),0),0),0)</f>
        <v/>
      </c>
      <c r="AA447">
        <f>IF(Q447="P",16.5944849573+0.2529999141*N447+0.2665900378*O447+0.2632687105*P447+0.0427586837*I447+0.0534777057*J447+0.009015832*K447+0.0204898106*(O447*P447/100)+1.0091022427*U447+1.0968542297*IF(D447="L",1,0)+0.3771555045*IF(D447="S",1,0)-0.2226159177*IF(E447="L",1,0)+1.21385024*R447-1.1652812274*S447+W447+X447+Z447,10.5965166711+0.2825983581*I447+0.2806503532*J447+0.2027213083*K447+0.1147824982*L447+0.0915305332*M447-0.0088454122*(I447*J447/100)-0.0336045706*(K447*L447/100)+2.8497389733*IF(D447="L",1,0)+4.5116226727*IF(D447="S",1,0)-0.6571546448*IF(E447="L",1,0)+0.0850728147*T447+0.0129488446*(T447*T447)+0.1909373936*IF(OR(F447="Utility",G447="Utility"),T447,0)+0.9656824071*R447-1.7517683256*S447+W447+X447+Y447)</f>
        <v/>
      </c>
      <c r="AB447">
        <f>LOOKUP(AA447,Grade_Scale!$A$2:$A$18,Grade_Scale!$B$2:$B$18)</f>
        <v/>
      </c>
      <c r="AC447">
        <f>LOOKUP(AA447,Grade_Scale!$A$2:$A$18,Grade_Scale!$C$2:$C$18)</f>
        <v/>
      </c>
      <c r="AE447">
        <f>IF(AD447="","",AB447-VLOOKUP(AD447,Grade_Scale!$C$2:$E$18,3,FALSE))</f>
        <v/>
      </c>
    </row>
    <row r="448">
      <c r="Q448">
        <f>IF(OR(B448="SP",B448="RP",B448="CP",B448="SP/RP"),"P","H")</f>
        <v/>
      </c>
      <c r="R448">
        <f>IF(F448="",0,IFNA(VLOOKUP(F448,Trait_Polarity!$A:$C,2,FALSE),0))+IF(G448="",0,IFNA(VLOOKUP(G448,Trait_Polarity!$A:$C,2,FALSE),0))</f>
        <v/>
      </c>
      <c r="S448">
        <f>IF(F448="",0,IFNA(VLOOKUP(F448,Trait_Polarity!$A:$C,3,FALSE),0))+IF(G448="",0,IFNA(VLOOKUP(G448,Trait_Polarity!$A:$C,3,FALSE),0))</f>
        <v/>
      </c>
      <c r="T448">
        <f>IF(Q448="P",0,IFNA(VLOOKUP(IF(C448="","(none)",C448),Secondary_Versatility!$A:$B,2,FALSE),0))</f>
        <v/>
      </c>
      <c r="U448">
        <f>IF(H448="",0,LEN(H448)-LEN(SUBSTITUTE(H448,"|",""))+1)</f>
        <v/>
      </c>
      <c r="V448">
        <f>IF(Q448="P",(N448+O448+P448)/3,0.3*I448+0.3*J448+0.2*K448+0.1*L448+0.1*M448)</f>
        <v/>
      </c>
      <c r="W448">
        <f>IF(Q448="P",IF(F448="",0,IFNA(VLOOKUP(F448,Pitcher_Trait_Coef!$A:$B,2,FALSE),0))+IF(G448="",0,IFNA(VLOOKUP(G448,Pitcher_Trait_Coef!$A:$B,2,FALSE),0)),IF(F448="",0,IFNA(VLOOKUP(F448,Hitter_Trait_Coef!$A:$B,2,FALSE),0))+IF(G448="",0,IFNA(VLOOKUP(G448,Hitter_Trait_Coef!$A:$B,2,FALSE),0)))</f>
        <v/>
      </c>
      <c r="X448">
        <f>IF(Q448="P",IFNA(VLOOKUP(B448,Pitcher_Primary_Coef!$A:$B,2,FALSE),0),IFNA(VLOOKUP(B448,Hitter_Primary_Coef!$A:$B,2,FALSE),0))</f>
        <v/>
      </c>
      <c r="Y448">
        <f>IF(Q448="P",0,IFNA(VLOOKUP(IF(C448="","(none)",C448),Hitter_Secondary_Coef!$A:$B,2,FALSE),0))</f>
        <v/>
      </c>
      <c r="Z448">
        <f>IF(Q448="P",IF(ISNUMBER(SEARCH("2F",H448)),IFNA(VLOOKUP("2F",Pitch_Coef!$A:$B,2,FALSE),0),0)+IF(ISNUMBER(SEARCH("4F",H448)),IFNA(VLOOKUP("4F",Pitch_Coef!$A:$B,2,FALSE),0),0)+IF(ISNUMBER(SEARCH("CB",H448)),IFNA(VLOOKUP("CB",Pitch_Coef!$A:$B,2,FALSE),0),0)+IF(ISNUMBER(SEARCH("CF",H448)),IFNA(VLOOKUP("CF",Pitch_Coef!$A:$B,2,FALSE),0),0)+IF(ISNUMBER(SEARCH("CH",H448)),IFNA(VLOOKUP("CH",Pitch_Coef!$A:$B,2,FALSE),0),0)+IF(ISNUMBER(SEARCH("FK",H448)),IFNA(VLOOKUP("FK",Pitch_Coef!$A:$B,2,FALSE),0),0)+IF(ISNUMBER(SEARCH("SB",H448)),IFNA(VLOOKUP("SB",Pitch_Coef!$A:$B,2,FALSE),0),0)+IF(ISNUMBER(SEARCH("SL",H448)),IFNA(VLOOKUP("SL",Pitch_Coef!$A:$B,2,FALSE),0),0),0)</f>
        <v/>
      </c>
      <c r="AA448">
        <f>IF(Q448="P",16.5944849573+0.2529999141*N448+0.2665900378*O448+0.2632687105*P448+0.0427586837*I448+0.0534777057*J448+0.009015832*K448+0.0204898106*(O448*P448/100)+1.0091022427*U448+1.0968542297*IF(D448="L",1,0)+0.3771555045*IF(D448="S",1,0)-0.2226159177*IF(E448="L",1,0)+1.21385024*R448-1.1652812274*S448+W448+X448+Z448,10.5965166711+0.2825983581*I448+0.2806503532*J448+0.2027213083*K448+0.1147824982*L448+0.0915305332*M448-0.0088454122*(I448*J448/100)-0.0336045706*(K448*L448/100)+2.8497389733*IF(D448="L",1,0)+4.5116226727*IF(D448="S",1,0)-0.6571546448*IF(E448="L",1,0)+0.0850728147*T448+0.0129488446*(T448*T448)+0.1909373936*IF(OR(F448="Utility",G448="Utility"),T448,0)+0.9656824071*R448-1.7517683256*S448+W448+X448+Y448)</f>
        <v/>
      </c>
      <c r="AB448">
        <f>LOOKUP(AA448,Grade_Scale!$A$2:$A$18,Grade_Scale!$B$2:$B$18)</f>
        <v/>
      </c>
      <c r="AC448">
        <f>LOOKUP(AA448,Grade_Scale!$A$2:$A$18,Grade_Scale!$C$2:$C$18)</f>
        <v/>
      </c>
      <c r="AE448">
        <f>IF(AD448="","",AB448-VLOOKUP(AD448,Grade_Scale!$C$2:$E$18,3,FALSE))</f>
        <v/>
      </c>
    </row>
    <row r="449">
      <c r="Q449">
        <f>IF(OR(B449="SP",B449="RP",B449="CP",B449="SP/RP"),"P","H")</f>
        <v/>
      </c>
      <c r="R449">
        <f>IF(F449="",0,IFNA(VLOOKUP(F449,Trait_Polarity!$A:$C,2,FALSE),0))+IF(G449="",0,IFNA(VLOOKUP(G449,Trait_Polarity!$A:$C,2,FALSE),0))</f>
        <v/>
      </c>
      <c r="S449">
        <f>IF(F449="",0,IFNA(VLOOKUP(F449,Trait_Polarity!$A:$C,3,FALSE),0))+IF(G449="",0,IFNA(VLOOKUP(G449,Trait_Polarity!$A:$C,3,FALSE),0))</f>
        <v/>
      </c>
      <c r="T449">
        <f>IF(Q449="P",0,IFNA(VLOOKUP(IF(C449="","(none)",C449),Secondary_Versatility!$A:$B,2,FALSE),0))</f>
        <v/>
      </c>
      <c r="U449">
        <f>IF(H449="",0,LEN(H449)-LEN(SUBSTITUTE(H449,"|",""))+1)</f>
        <v/>
      </c>
      <c r="V449">
        <f>IF(Q449="P",(N449+O449+P449)/3,0.3*I449+0.3*J449+0.2*K449+0.1*L449+0.1*M449)</f>
        <v/>
      </c>
      <c r="W449">
        <f>IF(Q449="P",IF(F449="",0,IFNA(VLOOKUP(F449,Pitcher_Trait_Coef!$A:$B,2,FALSE),0))+IF(G449="",0,IFNA(VLOOKUP(G449,Pitcher_Trait_Coef!$A:$B,2,FALSE),0)),IF(F449="",0,IFNA(VLOOKUP(F449,Hitter_Trait_Coef!$A:$B,2,FALSE),0))+IF(G449="",0,IFNA(VLOOKUP(G449,Hitter_Trait_Coef!$A:$B,2,FALSE),0)))</f>
        <v/>
      </c>
      <c r="X449">
        <f>IF(Q449="P",IFNA(VLOOKUP(B449,Pitcher_Primary_Coef!$A:$B,2,FALSE),0),IFNA(VLOOKUP(B449,Hitter_Primary_Coef!$A:$B,2,FALSE),0))</f>
        <v/>
      </c>
      <c r="Y449">
        <f>IF(Q449="P",0,IFNA(VLOOKUP(IF(C449="","(none)",C449),Hitter_Secondary_Coef!$A:$B,2,FALSE),0))</f>
        <v/>
      </c>
      <c r="Z449">
        <f>IF(Q449="P",IF(ISNUMBER(SEARCH("2F",H449)),IFNA(VLOOKUP("2F",Pitch_Coef!$A:$B,2,FALSE),0),0)+IF(ISNUMBER(SEARCH("4F",H449)),IFNA(VLOOKUP("4F",Pitch_Coef!$A:$B,2,FALSE),0),0)+IF(ISNUMBER(SEARCH("CB",H449)),IFNA(VLOOKUP("CB",Pitch_Coef!$A:$B,2,FALSE),0),0)+IF(ISNUMBER(SEARCH("CF",H449)),IFNA(VLOOKUP("CF",Pitch_Coef!$A:$B,2,FALSE),0),0)+IF(ISNUMBER(SEARCH("CH",H449)),IFNA(VLOOKUP("CH",Pitch_Coef!$A:$B,2,FALSE),0),0)+IF(ISNUMBER(SEARCH("FK",H449)),IFNA(VLOOKUP("FK",Pitch_Coef!$A:$B,2,FALSE),0),0)+IF(ISNUMBER(SEARCH("SB",H449)),IFNA(VLOOKUP("SB",Pitch_Coef!$A:$B,2,FALSE),0),0)+IF(ISNUMBER(SEARCH("SL",H449)),IFNA(VLOOKUP("SL",Pitch_Coef!$A:$B,2,FALSE),0),0),0)</f>
        <v/>
      </c>
      <c r="AA449">
        <f>IF(Q449="P",16.5944849573+0.2529999141*N449+0.2665900378*O449+0.2632687105*P449+0.0427586837*I449+0.0534777057*J449+0.009015832*K449+0.0204898106*(O449*P449/100)+1.0091022427*U449+1.0968542297*IF(D449="L",1,0)+0.3771555045*IF(D449="S",1,0)-0.2226159177*IF(E449="L",1,0)+1.21385024*R449-1.1652812274*S449+W449+X449+Z449,10.5965166711+0.2825983581*I449+0.2806503532*J449+0.2027213083*K449+0.1147824982*L449+0.0915305332*M449-0.0088454122*(I449*J449/100)-0.0336045706*(K449*L449/100)+2.8497389733*IF(D449="L",1,0)+4.5116226727*IF(D449="S",1,0)-0.6571546448*IF(E449="L",1,0)+0.0850728147*T449+0.0129488446*(T449*T449)+0.1909373936*IF(OR(F449="Utility",G449="Utility"),T449,0)+0.9656824071*R449-1.7517683256*S449+W449+X449+Y449)</f>
        <v/>
      </c>
      <c r="AB449">
        <f>LOOKUP(AA449,Grade_Scale!$A$2:$A$18,Grade_Scale!$B$2:$B$18)</f>
        <v/>
      </c>
      <c r="AC449">
        <f>LOOKUP(AA449,Grade_Scale!$A$2:$A$18,Grade_Scale!$C$2:$C$18)</f>
        <v/>
      </c>
      <c r="AE449">
        <f>IF(AD449="","",AB449-VLOOKUP(AD449,Grade_Scale!$C$2:$E$18,3,FALSE))</f>
        <v/>
      </c>
    </row>
    <row r="450">
      <c r="Q450">
        <f>IF(OR(B450="SP",B450="RP",B450="CP",B450="SP/RP"),"P","H")</f>
        <v/>
      </c>
      <c r="R450">
        <f>IF(F450="",0,IFNA(VLOOKUP(F450,Trait_Polarity!$A:$C,2,FALSE),0))+IF(G450="",0,IFNA(VLOOKUP(G450,Trait_Polarity!$A:$C,2,FALSE),0))</f>
        <v/>
      </c>
      <c r="S450">
        <f>IF(F450="",0,IFNA(VLOOKUP(F450,Trait_Polarity!$A:$C,3,FALSE),0))+IF(G450="",0,IFNA(VLOOKUP(G450,Trait_Polarity!$A:$C,3,FALSE),0))</f>
        <v/>
      </c>
      <c r="T450">
        <f>IF(Q450="P",0,IFNA(VLOOKUP(IF(C450="","(none)",C450),Secondary_Versatility!$A:$B,2,FALSE),0))</f>
        <v/>
      </c>
      <c r="U450">
        <f>IF(H450="",0,LEN(H450)-LEN(SUBSTITUTE(H450,"|",""))+1)</f>
        <v/>
      </c>
      <c r="V450">
        <f>IF(Q450="P",(N450+O450+P450)/3,0.3*I450+0.3*J450+0.2*K450+0.1*L450+0.1*M450)</f>
        <v/>
      </c>
      <c r="W450">
        <f>IF(Q450="P",IF(F450="",0,IFNA(VLOOKUP(F450,Pitcher_Trait_Coef!$A:$B,2,FALSE),0))+IF(G450="",0,IFNA(VLOOKUP(G450,Pitcher_Trait_Coef!$A:$B,2,FALSE),0)),IF(F450="",0,IFNA(VLOOKUP(F450,Hitter_Trait_Coef!$A:$B,2,FALSE),0))+IF(G450="",0,IFNA(VLOOKUP(G450,Hitter_Trait_Coef!$A:$B,2,FALSE),0)))</f>
        <v/>
      </c>
      <c r="X450">
        <f>IF(Q450="P",IFNA(VLOOKUP(B450,Pitcher_Primary_Coef!$A:$B,2,FALSE),0),IFNA(VLOOKUP(B450,Hitter_Primary_Coef!$A:$B,2,FALSE),0))</f>
        <v/>
      </c>
      <c r="Y450">
        <f>IF(Q450="P",0,IFNA(VLOOKUP(IF(C450="","(none)",C450),Hitter_Secondary_Coef!$A:$B,2,FALSE),0))</f>
        <v/>
      </c>
      <c r="Z450">
        <f>IF(Q450="P",IF(ISNUMBER(SEARCH("2F",H450)),IFNA(VLOOKUP("2F",Pitch_Coef!$A:$B,2,FALSE),0),0)+IF(ISNUMBER(SEARCH("4F",H450)),IFNA(VLOOKUP("4F",Pitch_Coef!$A:$B,2,FALSE),0),0)+IF(ISNUMBER(SEARCH("CB",H450)),IFNA(VLOOKUP("CB",Pitch_Coef!$A:$B,2,FALSE),0),0)+IF(ISNUMBER(SEARCH("CF",H450)),IFNA(VLOOKUP("CF",Pitch_Coef!$A:$B,2,FALSE),0),0)+IF(ISNUMBER(SEARCH("CH",H450)),IFNA(VLOOKUP("CH",Pitch_Coef!$A:$B,2,FALSE),0),0)+IF(ISNUMBER(SEARCH("FK",H450)),IFNA(VLOOKUP("FK",Pitch_Coef!$A:$B,2,FALSE),0),0)+IF(ISNUMBER(SEARCH("SB",H450)),IFNA(VLOOKUP("SB",Pitch_Coef!$A:$B,2,FALSE),0),0)+IF(ISNUMBER(SEARCH("SL",H450)),IFNA(VLOOKUP("SL",Pitch_Coef!$A:$B,2,FALSE),0),0),0)</f>
        <v/>
      </c>
      <c r="AA450">
        <f>IF(Q450="P",16.5944849573+0.2529999141*N450+0.2665900378*O450+0.2632687105*P450+0.0427586837*I450+0.0534777057*J450+0.009015832*K450+0.0204898106*(O450*P450/100)+1.0091022427*U450+1.0968542297*IF(D450="L",1,0)+0.3771555045*IF(D450="S",1,0)-0.2226159177*IF(E450="L",1,0)+1.21385024*R450-1.1652812274*S450+W450+X450+Z450,10.5965166711+0.2825983581*I450+0.2806503532*J450+0.2027213083*K450+0.1147824982*L450+0.0915305332*M450-0.0088454122*(I450*J450/100)-0.0336045706*(K450*L450/100)+2.8497389733*IF(D450="L",1,0)+4.5116226727*IF(D450="S",1,0)-0.6571546448*IF(E450="L",1,0)+0.0850728147*T450+0.0129488446*(T450*T450)+0.1909373936*IF(OR(F450="Utility",G450="Utility"),T450,0)+0.9656824071*R450-1.7517683256*S450+W450+X450+Y450)</f>
        <v/>
      </c>
      <c r="AB450">
        <f>LOOKUP(AA450,Grade_Scale!$A$2:$A$18,Grade_Scale!$B$2:$B$18)</f>
        <v/>
      </c>
      <c r="AC450">
        <f>LOOKUP(AA450,Grade_Scale!$A$2:$A$18,Grade_Scale!$C$2:$C$18)</f>
        <v/>
      </c>
      <c r="AE450">
        <f>IF(AD450="","",AB450-VLOOKUP(AD450,Grade_Scale!$C$2:$E$18,3,FALSE))</f>
        <v/>
      </c>
    </row>
    <row r="451">
      <c r="Q451">
        <f>IF(OR(B451="SP",B451="RP",B451="CP",B451="SP/RP"),"P","H")</f>
        <v/>
      </c>
      <c r="R451">
        <f>IF(F451="",0,IFNA(VLOOKUP(F451,Trait_Polarity!$A:$C,2,FALSE),0))+IF(G451="",0,IFNA(VLOOKUP(G451,Trait_Polarity!$A:$C,2,FALSE),0))</f>
        <v/>
      </c>
      <c r="S451">
        <f>IF(F451="",0,IFNA(VLOOKUP(F451,Trait_Polarity!$A:$C,3,FALSE),0))+IF(G451="",0,IFNA(VLOOKUP(G451,Trait_Polarity!$A:$C,3,FALSE),0))</f>
        <v/>
      </c>
      <c r="T451">
        <f>IF(Q451="P",0,IFNA(VLOOKUP(IF(C451="","(none)",C451),Secondary_Versatility!$A:$B,2,FALSE),0))</f>
        <v/>
      </c>
      <c r="U451">
        <f>IF(H451="",0,LEN(H451)-LEN(SUBSTITUTE(H451,"|",""))+1)</f>
        <v/>
      </c>
      <c r="V451">
        <f>IF(Q451="P",(N451+O451+P451)/3,0.3*I451+0.3*J451+0.2*K451+0.1*L451+0.1*M451)</f>
        <v/>
      </c>
      <c r="W451">
        <f>IF(Q451="P",IF(F451="",0,IFNA(VLOOKUP(F451,Pitcher_Trait_Coef!$A:$B,2,FALSE),0))+IF(G451="",0,IFNA(VLOOKUP(G451,Pitcher_Trait_Coef!$A:$B,2,FALSE),0)),IF(F451="",0,IFNA(VLOOKUP(F451,Hitter_Trait_Coef!$A:$B,2,FALSE),0))+IF(G451="",0,IFNA(VLOOKUP(G451,Hitter_Trait_Coef!$A:$B,2,FALSE),0)))</f>
        <v/>
      </c>
      <c r="X451">
        <f>IF(Q451="P",IFNA(VLOOKUP(B451,Pitcher_Primary_Coef!$A:$B,2,FALSE),0),IFNA(VLOOKUP(B451,Hitter_Primary_Coef!$A:$B,2,FALSE),0))</f>
        <v/>
      </c>
      <c r="Y451">
        <f>IF(Q451="P",0,IFNA(VLOOKUP(IF(C451="","(none)",C451),Hitter_Secondary_Coef!$A:$B,2,FALSE),0))</f>
        <v/>
      </c>
      <c r="Z451">
        <f>IF(Q451="P",IF(ISNUMBER(SEARCH("2F",H451)),IFNA(VLOOKUP("2F",Pitch_Coef!$A:$B,2,FALSE),0),0)+IF(ISNUMBER(SEARCH("4F",H451)),IFNA(VLOOKUP("4F",Pitch_Coef!$A:$B,2,FALSE),0),0)+IF(ISNUMBER(SEARCH("CB",H451)),IFNA(VLOOKUP("CB",Pitch_Coef!$A:$B,2,FALSE),0),0)+IF(ISNUMBER(SEARCH("CF",H451)),IFNA(VLOOKUP("CF",Pitch_Coef!$A:$B,2,FALSE),0),0)+IF(ISNUMBER(SEARCH("CH",H451)),IFNA(VLOOKUP("CH",Pitch_Coef!$A:$B,2,FALSE),0),0)+IF(ISNUMBER(SEARCH("FK",H451)),IFNA(VLOOKUP("FK",Pitch_Coef!$A:$B,2,FALSE),0),0)+IF(ISNUMBER(SEARCH("SB",H451)),IFNA(VLOOKUP("SB",Pitch_Coef!$A:$B,2,FALSE),0),0)+IF(ISNUMBER(SEARCH("SL",H451)),IFNA(VLOOKUP("SL",Pitch_Coef!$A:$B,2,FALSE),0),0),0)</f>
        <v/>
      </c>
      <c r="AA451">
        <f>IF(Q451="P",16.5944849573+0.2529999141*N451+0.2665900378*O451+0.2632687105*P451+0.0427586837*I451+0.0534777057*J451+0.009015832*K451+0.0204898106*(O451*P451/100)+1.0091022427*U451+1.0968542297*IF(D451="L",1,0)+0.3771555045*IF(D451="S",1,0)-0.2226159177*IF(E451="L",1,0)+1.21385024*R451-1.1652812274*S451+W451+X451+Z451,10.5965166711+0.2825983581*I451+0.2806503532*J451+0.2027213083*K451+0.1147824982*L451+0.0915305332*M451-0.0088454122*(I451*J451/100)-0.0336045706*(K451*L451/100)+2.8497389733*IF(D451="L",1,0)+4.5116226727*IF(D451="S",1,0)-0.6571546448*IF(E451="L",1,0)+0.0850728147*T451+0.0129488446*(T451*T451)+0.1909373936*IF(OR(F451="Utility",G451="Utility"),T451,0)+0.9656824071*R451-1.7517683256*S451+W451+X451+Y451)</f>
        <v/>
      </c>
      <c r="AB451">
        <f>LOOKUP(AA451,Grade_Scale!$A$2:$A$18,Grade_Scale!$B$2:$B$18)</f>
        <v/>
      </c>
      <c r="AC451">
        <f>LOOKUP(AA451,Grade_Scale!$A$2:$A$18,Grade_Scale!$C$2:$C$18)</f>
        <v/>
      </c>
      <c r="AE451">
        <f>IF(AD451="","",AB451-VLOOKUP(AD451,Grade_Scale!$C$2:$E$18,3,FALSE))</f>
        <v/>
      </c>
    </row>
    <row r="452">
      <c r="Q452">
        <f>IF(OR(B452="SP",B452="RP",B452="CP",B452="SP/RP"),"P","H")</f>
        <v/>
      </c>
      <c r="R452">
        <f>IF(F452="",0,IFNA(VLOOKUP(F452,Trait_Polarity!$A:$C,2,FALSE),0))+IF(G452="",0,IFNA(VLOOKUP(G452,Trait_Polarity!$A:$C,2,FALSE),0))</f>
        <v/>
      </c>
      <c r="S452">
        <f>IF(F452="",0,IFNA(VLOOKUP(F452,Trait_Polarity!$A:$C,3,FALSE),0))+IF(G452="",0,IFNA(VLOOKUP(G452,Trait_Polarity!$A:$C,3,FALSE),0))</f>
        <v/>
      </c>
      <c r="T452">
        <f>IF(Q452="P",0,IFNA(VLOOKUP(IF(C452="","(none)",C452),Secondary_Versatility!$A:$B,2,FALSE),0))</f>
        <v/>
      </c>
      <c r="U452">
        <f>IF(H452="",0,LEN(H452)-LEN(SUBSTITUTE(H452,"|",""))+1)</f>
        <v/>
      </c>
      <c r="V452">
        <f>IF(Q452="P",(N452+O452+P452)/3,0.3*I452+0.3*J452+0.2*K452+0.1*L452+0.1*M452)</f>
        <v/>
      </c>
      <c r="W452">
        <f>IF(Q452="P",IF(F452="",0,IFNA(VLOOKUP(F452,Pitcher_Trait_Coef!$A:$B,2,FALSE),0))+IF(G452="",0,IFNA(VLOOKUP(G452,Pitcher_Trait_Coef!$A:$B,2,FALSE),0)),IF(F452="",0,IFNA(VLOOKUP(F452,Hitter_Trait_Coef!$A:$B,2,FALSE),0))+IF(G452="",0,IFNA(VLOOKUP(G452,Hitter_Trait_Coef!$A:$B,2,FALSE),0)))</f>
        <v/>
      </c>
      <c r="X452">
        <f>IF(Q452="P",IFNA(VLOOKUP(B452,Pitcher_Primary_Coef!$A:$B,2,FALSE),0),IFNA(VLOOKUP(B452,Hitter_Primary_Coef!$A:$B,2,FALSE),0))</f>
        <v/>
      </c>
      <c r="Y452">
        <f>IF(Q452="P",0,IFNA(VLOOKUP(IF(C452="","(none)",C452),Hitter_Secondary_Coef!$A:$B,2,FALSE),0))</f>
        <v/>
      </c>
      <c r="Z452">
        <f>IF(Q452="P",IF(ISNUMBER(SEARCH("2F",H452)),IFNA(VLOOKUP("2F",Pitch_Coef!$A:$B,2,FALSE),0),0)+IF(ISNUMBER(SEARCH("4F",H452)),IFNA(VLOOKUP("4F",Pitch_Coef!$A:$B,2,FALSE),0),0)+IF(ISNUMBER(SEARCH("CB",H452)),IFNA(VLOOKUP("CB",Pitch_Coef!$A:$B,2,FALSE),0),0)+IF(ISNUMBER(SEARCH("CF",H452)),IFNA(VLOOKUP("CF",Pitch_Coef!$A:$B,2,FALSE),0),0)+IF(ISNUMBER(SEARCH("CH",H452)),IFNA(VLOOKUP("CH",Pitch_Coef!$A:$B,2,FALSE),0),0)+IF(ISNUMBER(SEARCH("FK",H452)),IFNA(VLOOKUP("FK",Pitch_Coef!$A:$B,2,FALSE),0),0)+IF(ISNUMBER(SEARCH("SB",H452)),IFNA(VLOOKUP("SB",Pitch_Coef!$A:$B,2,FALSE),0),0)+IF(ISNUMBER(SEARCH("SL",H452)),IFNA(VLOOKUP("SL",Pitch_Coef!$A:$B,2,FALSE),0),0),0)</f>
        <v/>
      </c>
      <c r="AA452">
        <f>IF(Q452="P",16.5944849573+0.2529999141*N452+0.2665900378*O452+0.2632687105*P452+0.0427586837*I452+0.0534777057*J452+0.009015832*K452+0.0204898106*(O452*P452/100)+1.0091022427*U452+1.0968542297*IF(D452="L",1,0)+0.3771555045*IF(D452="S",1,0)-0.2226159177*IF(E452="L",1,0)+1.21385024*R452-1.1652812274*S452+W452+X452+Z452,10.5965166711+0.2825983581*I452+0.2806503532*J452+0.2027213083*K452+0.1147824982*L452+0.0915305332*M452-0.0088454122*(I452*J452/100)-0.0336045706*(K452*L452/100)+2.8497389733*IF(D452="L",1,0)+4.5116226727*IF(D452="S",1,0)-0.6571546448*IF(E452="L",1,0)+0.0850728147*T452+0.0129488446*(T452*T452)+0.1909373936*IF(OR(F452="Utility",G452="Utility"),T452,0)+0.9656824071*R452-1.7517683256*S452+W452+X452+Y452)</f>
        <v/>
      </c>
      <c r="AB452">
        <f>LOOKUP(AA452,Grade_Scale!$A$2:$A$18,Grade_Scale!$B$2:$B$18)</f>
        <v/>
      </c>
      <c r="AC452">
        <f>LOOKUP(AA452,Grade_Scale!$A$2:$A$18,Grade_Scale!$C$2:$C$18)</f>
        <v/>
      </c>
      <c r="AE452">
        <f>IF(AD452="","",AB452-VLOOKUP(AD452,Grade_Scale!$C$2:$E$18,3,FALSE))</f>
        <v/>
      </c>
    </row>
    <row r="453">
      <c r="Q453">
        <f>IF(OR(B453="SP",B453="RP",B453="CP",B453="SP/RP"),"P","H")</f>
        <v/>
      </c>
      <c r="R453">
        <f>IF(F453="",0,IFNA(VLOOKUP(F453,Trait_Polarity!$A:$C,2,FALSE),0))+IF(G453="",0,IFNA(VLOOKUP(G453,Trait_Polarity!$A:$C,2,FALSE),0))</f>
        <v/>
      </c>
      <c r="S453">
        <f>IF(F453="",0,IFNA(VLOOKUP(F453,Trait_Polarity!$A:$C,3,FALSE),0))+IF(G453="",0,IFNA(VLOOKUP(G453,Trait_Polarity!$A:$C,3,FALSE),0))</f>
        <v/>
      </c>
      <c r="T453">
        <f>IF(Q453="P",0,IFNA(VLOOKUP(IF(C453="","(none)",C453),Secondary_Versatility!$A:$B,2,FALSE),0))</f>
        <v/>
      </c>
      <c r="U453">
        <f>IF(H453="",0,LEN(H453)-LEN(SUBSTITUTE(H453,"|",""))+1)</f>
        <v/>
      </c>
      <c r="V453">
        <f>IF(Q453="P",(N453+O453+P453)/3,0.3*I453+0.3*J453+0.2*K453+0.1*L453+0.1*M453)</f>
        <v/>
      </c>
      <c r="W453">
        <f>IF(Q453="P",IF(F453="",0,IFNA(VLOOKUP(F453,Pitcher_Trait_Coef!$A:$B,2,FALSE),0))+IF(G453="",0,IFNA(VLOOKUP(G453,Pitcher_Trait_Coef!$A:$B,2,FALSE),0)),IF(F453="",0,IFNA(VLOOKUP(F453,Hitter_Trait_Coef!$A:$B,2,FALSE),0))+IF(G453="",0,IFNA(VLOOKUP(G453,Hitter_Trait_Coef!$A:$B,2,FALSE),0)))</f>
        <v/>
      </c>
      <c r="X453">
        <f>IF(Q453="P",IFNA(VLOOKUP(B453,Pitcher_Primary_Coef!$A:$B,2,FALSE),0),IFNA(VLOOKUP(B453,Hitter_Primary_Coef!$A:$B,2,FALSE),0))</f>
        <v/>
      </c>
      <c r="Y453">
        <f>IF(Q453="P",0,IFNA(VLOOKUP(IF(C453="","(none)",C453),Hitter_Secondary_Coef!$A:$B,2,FALSE),0))</f>
        <v/>
      </c>
      <c r="Z453">
        <f>IF(Q453="P",IF(ISNUMBER(SEARCH("2F",H453)),IFNA(VLOOKUP("2F",Pitch_Coef!$A:$B,2,FALSE),0),0)+IF(ISNUMBER(SEARCH("4F",H453)),IFNA(VLOOKUP("4F",Pitch_Coef!$A:$B,2,FALSE),0),0)+IF(ISNUMBER(SEARCH("CB",H453)),IFNA(VLOOKUP("CB",Pitch_Coef!$A:$B,2,FALSE),0),0)+IF(ISNUMBER(SEARCH("CF",H453)),IFNA(VLOOKUP("CF",Pitch_Coef!$A:$B,2,FALSE),0),0)+IF(ISNUMBER(SEARCH("CH",H453)),IFNA(VLOOKUP("CH",Pitch_Coef!$A:$B,2,FALSE),0),0)+IF(ISNUMBER(SEARCH("FK",H453)),IFNA(VLOOKUP("FK",Pitch_Coef!$A:$B,2,FALSE),0),0)+IF(ISNUMBER(SEARCH("SB",H453)),IFNA(VLOOKUP("SB",Pitch_Coef!$A:$B,2,FALSE),0),0)+IF(ISNUMBER(SEARCH("SL",H453)),IFNA(VLOOKUP("SL",Pitch_Coef!$A:$B,2,FALSE),0),0),0)</f>
        <v/>
      </c>
      <c r="AA453">
        <f>IF(Q453="P",16.5944849573+0.2529999141*N453+0.2665900378*O453+0.2632687105*P453+0.0427586837*I453+0.0534777057*J453+0.009015832*K453+0.0204898106*(O453*P453/100)+1.0091022427*U453+1.0968542297*IF(D453="L",1,0)+0.3771555045*IF(D453="S",1,0)-0.2226159177*IF(E453="L",1,0)+1.21385024*R453-1.1652812274*S453+W453+X453+Z453,10.5965166711+0.2825983581*I453+0.2806503532*J453+0.2027213083*K453+0.1147824982*L453+0.0915305332*M453-0.0088454122*(I453*J453/100)-0.0336045706*(K453*L453/100)+2.8497389733*IF(D453="L",1,0)+4.5116226727*IF(D453="S",1,0)-0.6571546448*IF(E453="L",1,0)+0.0850728147*T453+0.0129488446*(T453*T453)+0.1909373936*IF(OR(F453="Utility",G453="Utility"),T453,0)+0.9656824071*R453-1.7517683256*S453+W453+X453+Y453)</f>
        <v/>
      </c>
      <c r="AB453">
        <f>LOOKUP(AA453,Grade_Scale!$A$2:$A$18,Grade_Scale!$B$2:$B$18)</f>
        <v/>
      </c>
      <c r="AC453">
        <f>LOOKUP(AA453,Grade_Scale!$A$2:$A$18,Grade_Scale!$C$2:$C$18)</f>
        <v/>
      </c>
      <c r="AE453">
        <f>IF(AD453="","",AB453-VLOOKUP(AD453,Grade_Scale!$C$2:$E$18,3,FALSE))</f>
        <v/>
      </c>
    </row>
    <row r="454">
      <c r="Q454">
        <f>IF(OR(B454="SP",B454="RP",B454="CP",B454="SP/RP"),"P","H")</f>
        <v/>
      </c>
      <c r="R454">
        <f>IF(F454="",0,IFNA(VLOOKUP(F454,Trait_Polarity!$A:$C,2,FALSE),0))+IF(G454="",0,IFNA(VLOOKUP(G454,Trait_Polarity!$A:$C,2,FALSE),0))</f>
        <v/>
      </c>
      <c r="S454">
        <f>IF(F454="",0,IFNA(VLOOKUP(F454,Trait_Polarity!$A:$C,3,FALSE),0))+IF(G454="",0,IFNA(VLOOKUP(G454,Trait_Polarity!$A:$C,3,FALSE),0))</f>
        <v/>
      </c>
      <c r="T454">
        <f>IF(Q454="P",0,IFNA(VLOOKUP(IF(C454="","(none)",C454),Secondary_Versatility!$A:$B,2,FALSE),0))</f>
        <v/>
      </c>
      <c r="U454">
        <f>IF(H454="",0,LEN(H454)-LEN(SUBSTITUTE(H454,"|",""))+1)</f>
        <v/>
      </c>
      <c r="V454">
        <f>IF(Q454="P",(N454+O454+P454)/3,0.3*I454+0.3*J454+0.2*K454+0.1*L454+0.1*M454)</f>
        <v/>
      </c>
      <c r="W454">
        <f>IF(Q454="P",IF(F454="",0,IFNA(VLOOKUP(F454,Pitcher_Trait_Coef!$A:$B,2,FALSE),0))+IF(G454="",0,IFNA(VLOOKUP(G454,Pitcher_Trait_Coef!$A:$B,2,FALSE),0)),IF(F454="",0,IFNA(VLOOKUP(F454,Hitter_Trait_Coef!$A:$B,2,FALSE),0))+IF(G454="",0,IFNA(VLOOKUP(G454,Hitter_Trait_Coef!$A:$B,2,FALSE),0)))</f>
        <v/>
      </c>
      <c r="X454">
        <f>IF(Q454="P",IFNA(VLOOKUP(B454,Pitcher_Primary_Coef!$A:$B,2,FALSE),0),IFNA(VLOOKUP(B454,Hitter_Primary_Coef!$A:$B,2,FALSE),0))</f>
        <v/>
      </c>
      <c r="Y454">
        <f>IF(Q454="P",0,IFNA(VLOOKUP(IF(C454="","(none)",C454),Hitter_Secondary_Coef!$A:$B,2,FALSE),0))</f>
        <v/>
      </c>
      <c r="Z454">
        <f>IF(Q454="P",IF(ISNUMBER(SEARCH("2F",H454)),IFNA(VLOOKUP("2F",Pitch_Coef!$A:$B,2,FALSE),0),0)+IF(ISNUMBER(SEARCH("4F",H454)),IFNA(VLOOKUP("4F",Pitch_Coef!$A:$B,2,FALSE),0),0)+IF(ISNUMBER(SEARCH("CB",H454)),IFNA(VLOOKUP("CB",Pitch_Coef!$A:$B,2,FALSE),0),0)+IF(ISNUMBER(SEARCH("CF",H454)),IFNA(VLOOKUP("CF",Pitch_Coef!$A:$B,2,FALSE),0),0)+IF(ISNUMBER(SEARCH("CH",H454)),IFNA(VLOOKUP("CH",Pitch_Coef!$A:$B,2,FALSE),0),0)+IF(ISNUMBER(SEARCH("FK",H454)),IFNA(VLOOKUP("FK",Pitch_Coef!$A:$B,2,FALSE),0),0)+IF(ISNUMBER(SEARCH("SB",H454)),IFNA(VLOOKUP("SB",Pitch_Coef!$A:$B,2,FALSE),0),0)+IF(ISNUMBER(SEARCH("SL",H454)),IFNA(VLOOKUP("SL",Pitch_Coef!$A:$B,2,FALSE),0),0),0)</f>
        <v/>
      </c>
      <c r="AA454">
        <f>IF(Q454="P",16.5944849573+0.2529999141*N454+0.2665900378*O454+0.2632687105*P454+0.0427586837*I454+0.0534777057*J454+0.009015832*K454+0.0204898106*(O454*P454/100)+1.0091022427*U454+1.0968542297*IF(D454="L",1,0)+0.3771555045*IF(D454="S",1,0)-0.2226159177*IF(E454="L",1,0)+1.21385024*R454-1.1652812274*S454+W454+X454+Z454,10.5965166711+0.2825983581*I454+0.2806503532*J454+0.2027213083*K454+0.1147824982*L454+0.0915305332*M454-0.0088454122*(I454*J454/100)-0.0336045706*(K454*L454/100)+2.8497389733*IF(D454="L",1,0)+4.5116226727*IF(D454="S",1,0)-0.6571546448*IF(E454="L",1,0)+0.0850728147*T454+0.0129488446*(T454*T454)+0.1909373936*IF(OR(F454="Utility",G454="Utility"),T454,0)+0.9656824071*R454-1.7517683256*S454+W454+X454+Y454)</f>
        <v/>
      </c>
      <c r="AB454">
        <f>LOOKUP(AA454,Grade_Scale!$A$2:$A$18,Grade_Scale!$B$2:$B$18)</f>
        <v/>
      </c>
      <c r="AC454">
        <f>LOOKUP(AA454,Grade_Scale!$A$2:$A$18,Grade_Scale!$C$2:$C$18)</f>
        <v/>
      </c>
      <c r="AE454">
        <f>IF(AD454="","",AB454-VLOOKUP(AD454,Grade_Scale!$C$2:$E$18,3,FALSE))</f>
        <v/>
      </c>
    </row>
    <row r="455">
      <c r="Q455">
        <f>IF(OR(B455="SP",B455="RP",B455="CP",B455="SP/RP"),"P","H")</f>
        <v/>
      </c>
      <c r="R455">
        <f>IF(F455="",0,IFNA(VLOOKUP(F455,Trait_Polarity!$A:$C,2,FALSE),0))+IF(G455="",0,IFNA(VLOOKUP(G455,Trait_Polarity!$A:$C,2,FALSE),0))</f>
        <v/>
      </c>
      <c r="S455">
        <f>IF(F455="",0,IFNA(VLOOKUP(F455,Trait_Polarity!$A:$C,3,FALSE),0))+IF(G455="",0,IFNA(VLOOKUP(G455,Trait_Polarity!$A:$C,3,FALSE),0))</f>
        <v/>
      </c>
      <c r="T455">
        <f>IF(Q455="P",0,IFNA(VLOOKUP(IF(C455="","(none)",C455),Secondary_Versatility!$A:$B,2,FALSE),0))</f>
        <v/>
      </c>
      <c r="U455">
        <f>IF(H455="",0,LEN(H455)-LEN(SUBSTITUTE(H455,"|",""))+1)</f>
        <v/>
      </c>
      <c r="V455">
        <f>IF(Q455="P",(N455+O455+P455)/3,0.3*I455+0.3*J455+0.2*K455+0.1*L455+0.1*M455)</f>
        <v/>
      </c>
      <c r="W455">
        <f>IF(Q455="P",IF(F455="",0,IFNA(VLOOKUP(F455,Pitcher_Trait_Coef!$A:$B,2,FALSE),0))+IF(G455="",0,IFNA(VLOOKUP(G455,Pitcher_Trait_Coef!$A:$B,2,FALSE),0)),IF(F455="",0,IFNA(VLOOKUP(F455,Hitter_Trait_Coef!$A:$B,2,FALSE),0))+IF(G455="",0,IFNA(VLOOKUP(G455,Hitter_Trait_Coef!$A:$B,2,FALSE),0)))</f>
        <v/>
      </c>
      <c r="X455">
        <f>IF(Q455="P",IFNA(VLOOKUP(B455,Pitcher_Primary_Coef!$A:$B,2,FALSE),0),IFNA(VLOOKUP(B455,Hitter_Primary_Coef!$A:$B,2,FALSE),0))</f>
        <v/>
      </c>
      <c r="Y455">
        <f>IF(Q455="P",0,IFNA(VLOOKUP(IF(C455="","(none)",C455),Hitter_Secondary_Coef!$A:$B,2,FALSE),0))</f>
        <v/>
      </c>
      <c r="Z455">
        <f>IF(Q455="P",IF(ISNUMBER(SEARCH("2F",H455)),IFNA(VLOOKUP("2F",Pitch_Coef!$A:$B,2,FALSE),0),0)+IF(ISNUMBER(SEARCH("4F",H455)),IFNA(VLOOKUP("4F",Pitch_Coef!$A:$B,2,FALSE),0),0)+IF(ISNUMBER(SEARCH("CB",H455)),IFNA(VLOOKUP("CB",Pitch_Coef!$A:$B,2,FALSE),0),0)+IF(ISNUMBER(SEARCH("CF",H455)),IFNA(VLOOKUP("CF",Pitch_Coef!$A:$B,2,FALSE),0),0)+IF(ISNUMBER(SEARCH("CH",H455)),IFNA(VLOOKUP("CH",Pitch_Coef!$A:$B,2,FALSE),0),0)+IF(ISNUMBER(SEARCH("FK",H455)),IFNA(VLOOKUP("FK",Pitch_Coef!$A:$B,2,FALSE),0),0)+IF(ISNUMBER(SEARCH("SB",H455)),IFNA(VLOOKUP("SB",Pitch_Coef!$A:$B,2,FALSE),0),0)+IF(ISNUMBER(SEARCH("SL",H455)),IFNA(VLOOKUP("SL",Pitch_Coef!$A:$B,2,FALSE),0),0),0)</f>
        <v/>
      </c>
      <c r="AA455">
        <f>IF(Q455="P",16.5944849573+0.2529999141*N455+0.2665900378*O455+0.2632687105*P455+0.0427586837*I455+0.0534777057*J455+0.009015832*K455+0.0204898106*(O455*P455/100)+1.0091022427*U455+1.0968542297*IF(D455="L",1,0)+0.3771555045*IF(D455="S",1,0)-0.2226159177*IF(E455="L",1,0)+1.21385024*R455-1.1652812274*S455+W455+X455+Z455,10.5965166711+0.2825983581*I455+0.2806503532*J455+0.2027213083*K455+0.1147824982*L455+0.0915305332*M455-0.0088454122*(I455*J455/100)-0.0336045706*(K455*L455/100)+2.8497389733*IF(D455="L",1,0)+4.5116226727*IF(D455="S",1,0)-0.6571546448*IF(E455="L",1,0)+0.0850728147*T455+0.0129488446*(T455*T455)+0.1909373936*IF(OR(F455="Utility",G455="Utility"),T455,0)+0.9656824071*R455-1.7517683256*S455+W455+X455+Y455)</f>
        <v/>
      </c>
      <c r="AB455">
        <f>LOOKUP(AA455,Grade_Scale!$A$2:$A$18,Grade_Scale!$B$2:$B$18)</f>
        <v/>
      </c>
      <c r="AC455">
        <f>LOOKUP(AA455,Grade_Scale!$A$2:$A$18,Grade_Scale!$C$2:$C$18)</f>
        <v/>
      </c>
      <c r="AE455">
        <f>IF(AD455="","",AB455-VLOOKUP(AD455,Grade_Scale!$C$2:$E$18,3,FALSE))</f>
        <v/>
      </c>
    </row>
    <row r="456">
      <c r="Q456">
        <f>IF(OR(B456="SP",B456="RP",B456="CP",B456="SP/RP"),"P","H")</f>
        <v/>
      </c>
      <c r="R456">
        <f>IF(F456="",0,IFNA(VLOOKUP(F456,Trait_Polarity!$A:$C,2,FALSE),0))+IF(G456="",0,IFNA(VLOOKUP(G456,Trait_Polarity!$A:$C,2,FALSE),0))</f>
        <v/>
      </c>
      <c r="S456">
        <f>IF(F456="",0,IFNA(VLOOKUP(F456,Trait_Polarity!$A:$C,3,FALSE),0))+IF(G456="",0,IFNA(VLOOKUP(G456,Trait_Polarity!$A:$C,3,FALSE),0))</f>
        <v/>
      </c>
      <c r="T456">
        <f>IF(Q456="P",0,IFNA(VLOOKUP(IF(C456="","(none)",C456),Secondary_Versatility!$A:$B,2,FALSE),0))</f>
        <v/>
      </c>
      <c r="U456">
        <f>IF(H456="",0,LEN(H456)-LEN(SUBSTITUTE(H456,"|",""))+1)</f>
        <v/>
      </c>
      <c r="V456">
        <f>IF(Q456="P",(N456+O456+P456)/3,0.3*I456+0.3*J456+0.2*K456+0.1*L456+0.1*M456)</f>
        <v/>
      </c>
      <c r="W456">
        <f>IF(Q456="P",IF(F456="",0,IFNA(VLOOKUP(F456,Pitcher_Trait_Coef!$A:$B,2,FALSE),0))+IF(G456="",0,IFNA(VLOOKUP(G456,Pitcher_Trait_Coef!$A:$B,2,FALSE),0)),IF(F456="",0,IFNA(VLOOKUP(F456,Hitter_Trait_Coef!$A:$B,2,FALSE),0))+IF(G456="",0,IFNA(VLOOKUP(G456,Hitter_Trait_Coef!$A:$B,2,FALSE),0)))</f>
        <v/>
      </c>
      <c r="X456">
        <f>IF(Q456="P",IFNA(VLOOKUP(B456,Pitcher_Primary_Coef!$A:$B,2,FALSE),0),IFNA(VLOOKUP(B456,Hitter_Primary_Coef!$A:$B,2,FALSE),0))</f>
        <v/>
      </c>
      <c r="Y456">
        <f>IF(Q456="P",0,IFNA(VLOOKUP(IF(C456="","(none)",C456),Hitter_Secondary_Coef!$A:$B,2,FALSE),0))</f>
        <v/>
      </c>
      <c r="Z456">
        <f>IF(Q456="P",IF(ISNUMBER(SEARCH("2F",H456)),IFNA(VLOOKUP("2F",Pitch_Coef!$A:$B,2,FALSE),0),0)+IF(ISNUMBER(SEARCH("4F",H456)),IFNA(VLOOKUP("4F",Pitch_Coef!$A:$B,2,FALSE),0),0)+IF(ISNUMBER(SEARCH("CB",H456)),IFNA(VLOOKUP("CB",Pitch_Coef!$A:$B,2,FALSE),0),0)+IF(ISNUMBER(SEARCH("CF",H456)),IFNA(VLOOKUP("CF",Pitch_Coef!$A:$B,2,FALSE),0),0)+IF(ISNUMBER(SEARCH("CH",H456)),IFNA(VLOOKUP("CH",Pitch_Coef!$A:$B,2,FALSE),0),0)+IF(ISNUMBER(SEARCH("FK",H456)),IFNA(VLOOKUP("FK",Pitch_Coef!$A:$B,2,FALSE),0),0)+IF(ISNUMBER(SEARCH("SB",H456)),IFNA(VLOOKUP("SB",Pitch_Coef!$A:$B,2,FALSE),0),0)+IF(ISNUMBER(SEARCH("SL",H456)),IFNA(VLOOKUP("SL",Pitch_Coef!$A:$B,2,FALSE),0),0),0)</f>
        <v/>
      </c>
      <c r="AA456">
        <f>IF(Q456="P",16.5944849573+0.2529999141*N456+0.2665900378*O456+0.2632687105*P456+0.0427586837*I456+0.0534777057*J456+0.009015832*K456+0.0204898106*(O456*P456/100)+1.0091022427*U456+1.0968542297*IF(D456="L",1,0)+0.3771555045*IF(D456="S",1,0)-0.2226159177*IF(E456="L",1,0)+1.21385024*R456-1.1652812274*S456+W456+X456+Z456,10.5965166711+0.2825983581*I456+0.2806503532*J456+0.2027213083*K456+0.1147824982*L456+0.0915305332*M456-0.0088454122*(I456*J456/100)-0.0336045706*(K456*L456/100)+2.8497389733*IF(D456="L",1,0)+4.5116226727*IF(D456="S",1,0)-0.6571546448*IF(E456="L",1,0)+0.0850728147*T456+0.0129488446*(T456*T456)+0.1909373936*IF(OR(F456="Utility",G456="Utility"),T456,0)+0.9656824071*R456-1.7517683256*S456+W456+X456+Y456)</f>
        <v/>
      </c>
      <c r="AB456">
        <f>LOOKUP(AA456,Grade_Scale!$A$2:$A$18,Grade_Scale!$B$2:$B$18)</f>
        <v/>
      </c>
      <c r="AC456">
        <f>LOOKUP(AA456,Grade_Scale!$A$2:$A$18,Grade_Scale!$C$2:$C$18)</f>
        <v/>
      </c>
      <c r="AE456">
        <f>IF(AD456="","",AB456-VLOOKUP(AD456,Grade_Scale!$C$2:$E$18,3,FALSE))</f>
        <v/>
      </c>
    </row>
    <row r="457">
      <c r="Q457">
        <f>IF(OR(B457="SP",B457="RP",B457="CP",B457="SP/RP"),"P","H")</f>
        <v/>
      </c>
      <c r="R457">
        <f>IF(F457="",0,IFNA(VLOOKUP(F457,Trait_Polarity!$A:$C,2,FALSE),0))+IF(G457="",0,IFNA(VLOOKUP(G457,Trait_Polarity!$A:$C,2,FALSE),0))</f>
        <v/>
      </c>
      <c r="S457">
        <f>IF(F457="",0,IFNA(VLOOKUP(F457,Trait_Polarity!$A:$C,3,FALSE),0))+IF(G457="",0,IFNA(VLOOKUP(G457,Trait_Polarity!$A:$C,3,FALSE),0))</f>
        <v/>
      </c>
      <c r="T457">
        <f>IF(Q457="P",0,IFNA(VLOOKUP(IF(C457="","(none)",C457),Secondary_Versatility!$A:$B,2,FALSE),0))</f>
        <v/>
      </c>
      <c r="U457">
        <f>IF(H457="",0,LEN(H457)-LEN(SUBSTITUTE(H457,"|",""))+1)</f>
        <v/>
      </c>
      <c r="V457">
        <f>IF(Q457="P",(N457+O457+P457)/3,0.3*I457+0.3*J457+0.2*K457+0.1*L457+0.1*M457)</f>
        <v/>
      </c>
      <c r="W457">
        <f>IF(Q457="P",IF(F457="",0,IFNA(VLOOKUP(F457,Pitcher_Trait_Coef!$A:$B,2,FALSE),0))+IF(G457="",0,IFNA(VLOOKUP(G457,Pitcher_Trait_Coef!$A:$B,2,FALSE),0)),IF(F457="",0,IFNA(VLOOKUP(F457,Hitter_Trait_Coef!$A:$B,2,FALSE),0))+IF(G457="",0,IFNA(VLOOKUP(G457,Hitter_Trait_Coef!$A:$B,2,FALSE),0)))</f>
        <v/>
      </c>
      <c r="X457">
        <f>IF(Q457="P",IFNA(VLOOKUP(B457,Pitcher_Primary_Coef!$A:$B,2,FALSE),0),IFNA(VLOOKUP(B457,Hitter_Primary_Coef!$A:$B,2,FALSE),0))</f>
        <v/>
      </c>
      <c r="Y457">
        <f>IF(Q457="P",0,IFNA(VLOOKUP(IF(C457="","(none)",C457),Hitter_Secondary_Coef!$A:$B,2,FALSE),0))</f>
        <v/>
      </c>
      <c r="Z457">
        <f>IF(Q457="P",IF(ISNUMBER(SEARCH("2F",H457)),IFNA(VLOOKUP("2F",Pitch_Coef!$A:$B,2,FALSE),0),0)+IF(ISNUMBER(SEARCH("4F",H457)),IFNA(VLOOKUP("4F",Pitch_Coef!$A:$B,2,FALSE),0),0)+IF(ISNUMBER(SEARCH("CB",H457)),IFNA(VLOOKUP("CB",Pitch_Coef!$A:$B,2,FALSE),0),0)+IF(ISNUMBER(SEARCH("CF",H457)),IFNA(VLOOKUP("CF",Pitch_Coef!$A:$B,2,FALSE),0),0)+IF(ISNUMBER(SEARCH("CH",H457)),IFNA(VLOOKUP("CH",Pitch_Coef!$A:$B,2,FALSE),0),0)+IF(ISNUMBER(SEARCH("FK",H457)),IFNA(VLOOKUP("FK",Pitch_Coef!$A:$B,2,FALSE),0),0)+IF(ISNUMBER(SEARCH("SB",H457)),IFNA(VLOOKUP("SB",Pitch_Coef!$A:$B,2,FALSE),0),0)+IF(ISNUMBER(SEARCH("SL",H457)),IFNA(VLOOKUP("SL",Pitch_Coef!$A:$B,2,FALSE),0),0),0)</f>
        <v/>
      </c>
      <c r="AA457">
        <f>IF(Q457="P",16.5944849573+0.2529999141*N457+0.2665900378*O457+0.2632687105*P457+0.0427586837*I457+0.0534777057*J457+0.009015832*K457+0.0204898106*(O457*P457/100)+1.0091022427*U457+1.0968542297*IF(D457="L",1,0)+0.3771555045*IF(D457="S",1,0)-0.2226159177*IF(E457="L",1,0)+1.21385024*R457-1.1652812274*S457+W457+X457+Z457,10.5965166711+0.2825983581*I457+0.2806503532*J457+0.2027213083*K457+0.1147824982*L457+0.0915305332*M457-0.0088454122*(I457*J457/100)-0.0336045706*(K457*L457/100)+2.8497389733*IF(D457="L",1,0)+4.5116226727*IF(D457="S",1,0)-0.6571546448*IF(E457="L",1,0)+0.0850728147*T457+0.0129488446*(T457*T457)+0.1909373936*IF(OR(F457="Utility",G457="Utility"),T457,0)+0.9656824071*R457-1.7517683256*S457+W457+X457+Y457)</f>
        <v/>
      </c>
      <c r="AB457">
        <f>LOOKUP(AA457,Grade_Scale!$A$2:$A$18,Grade_Scale!$B$2:$B$18)</f>
        <v/>
      </c>
      <c r="AC457">
        <f>LOOKUP(AA457,Grade_Scale!$A$2:$A$18,Grade_Scale!$C$2:$C$18)</f>
        <v/>
      </c>
      <c r="AE457">
        <f>IF(AD457="","",AB457-VLOOKUP(AD457,Grade_Scale!$C$2:$E$18,3,FALSE))</f>
        <v/>
      </c>
    </row>
    <row r="458">
      <c r="Q458">
        <f>IF(OR(B458="SP",B458="RP",B458="CP",B458="SP/RP"),"P","H")</f>
        <v/>
      </c>
      <c r="R458">
        <f>IF(F458="",0,IFNA(VLOOKUP(F458,Trait_Polarity!$A:$C,2,FALSE),0))+IF(G458="",0,IFNA(VLOOKUP(G458,Trait_Polarity!$A:$C,2,FALSE),0))</f>
        <v/>
      </c>
      <c r="S458">
        <f>IF(F458="",0,IFNA(VLOOKUP(F458,Trait_Polarity!$A:$C,3,FALSE),0))+IF(G458="",0,IFNA(VLOOKUP(G458,Trait_Polarity!$A:$C,3,FALSE),0))</f>
        <v/>
      </c>
      <c r="T458">
        <f>IF(Q458="P",0,IFNA(VLOOKUP(IF(C458="","(none)",C458),Secondary_Versatility!$A:$B,2,FALSE),0))</f>
        <v/>
      </c>
      <c r="U458">
        <f>IF(H458="",0,LEN(H458)-LEN(SUBSTITUTE(H458,"|",""))+1)</f>
        <v/>
      </c>
      <c r="V458">
        <f>IF(Q458="P",(N458+O458+P458)/3,0.3*I458+0.3*J458+0.2*K458+0.1*L458+0.1*M458)</f>
        <v/>
      </c>
      <c r="W458">
        <f>IF(Q458="P",IF(F458="",0,IFNA(VLOOKUP(F458,Pitcher_Trait_Coef!$A:$B,2,FALSE),0))+IF(G458="",0,IFNA(VLOOKUP(G458,Pitcher_Trait_Coef!$A:$B,2,FALSE),0)),IF(F458="",0,IFNA(VLOOKUP(F458,Hitter_Trait_Coef!$A:$B,2,FALSE),0))+IF(G458="",0,IFNA(VLOOKUP(G458,Hitter_Trait_Coef!$A:$B,2,FALSE),0)))</f>
        <v/>
      </c>
      <c r="X458">
        <f>IF(Q458="P",IFNA(VLOOKUP(B458,Pitcher_Primary_Coef!$A:$B,2,FALSE),0),IFNA(VLOOKUP(B458,Hitter_Primary_Coef!$A:$B,2,FALSE),0))</f>
        <v/>
      </c>
      <c r="Y458">
        <f>IF(Q458="P",0,IFNA(VLOOKUP(IF(C458="","(none)",C458),Hitter_Secondary_Coef!$A:$B,2,FALSE),0))</f>
        <v/>
      </c>
      <c r="Z458">
        <f>IF(Q458="P",IF(ISNUMBER(SEARCH("2F",H458)),IFNA(VLOOKUP("2F",Pitch_Coef!$A:$B,2,FALSE),0),0)+IF(ISNUMBER(SEARCH("4F",H458)),IFNA(VLOOKUP("4F",Pitch_Coef!$A:$B,2,FALSE),0),0)+IF(ISNUMBER(SEARCH("CB",H458)),IFNA(VLOOKUP("CB",Pitch_Coef!$A:$B,2,FALSE),0),0)+IF(ISNUMBER(SEARCH("CF",H458)),IFNA(VLOOKUP("CF",Pitch_Coef!$A:$B,2,FALSE),0),0)+IF(ISNUMBER(SEARCH("CH",H458)),IFNA(VLOOKUP("CH",Pitch_Coef!$A:$B,2,FALSE),0),0)+IF(ISNUMBER(SEARCH("FK",H458)),IFNA(VLOOKUP("FK",Pitch_Coef!$A:$B,2,FALSE),0),0)+IF(ISNUMBER(SEARCH("SB",H458)),IFNA(VLOOKUP("SB",Pitch_Coef!$A:$B,2,FALSE),0),0)+IF(ISNUMBER(SEARCH("SL",H458)),IFNA(VLOOKUP("SL",Pitch_Coef!$A:$B,2,FALSE),0),0),0)</f>
        <v/>
      </c>
      <c r="AA458">
        <f>IF(Q458="P",16.5944849573+0.2529999141*N458+0.2665900378*O458+0.2632687105*P458+0.0427586837*I458+0.0534777057*J458+0.009015832*K458+0.0204898106*(O458*P458/100)+1.0091022427*U458+1.0968542297*IF(D458="L",1,0)+0.3771555045*IF(D458="S",1,0)-0.2226159177*IF(E458="L",1,0)+1.21385024*R458-1.1652812274*S458+W458+X458+Z458,10.5965166711+0.2825983581*I458+0.2806503532*J458+0.2027213083*K458+0.1147824982*L458+0.0915305332*M458-0.0088454122*(I458*J458/100)-0.0336045706*(K458*L458/100)+2.8497389733*IF(D458="L",1,0)+4.5116226727*IF(D458="S",1,0)-0.6571546448*IF(E458="L",1,0)+0.0850728147*T458+0.0129488446*(T458*T458)+0.1909373936*IF(OR(F458="Utility",G458="Utility"),T458,0)+0.9656824071*R458-1.7517683256*S458+W458+X458+Y458)</f>
        <v/>
      </c>
      <c r="AB458">
        <f>LOOKUP(AA458,Grade_Scale!$A$2:$A$18,Grade_Scale!$B$2:$B$18)</f>
        <v/>
      </c>
      <c r="AC458">
        <f>LOOKUP(AA458,Grade_Scale!$A$2:$A$18,Grade_Scale!$C$2:$C$18)</f>
        <v/>
      </c>
      <c r="AE458">
        <f>IF(AD458="","",AB458-VLOOKUP(AD458,Grade_Scale!$C$2:$E$18,3,FALSE))</f>
        <v/>
      </c>
    </row>
    <row r="459">
      <c r="Q459">
        <f>IF(OR(B459="SP",B459="RP",B459="CP",B459="SP/RP"),"P","H")</f>
        <v/>
      </c>
      <c r="R459">
        <f>IF(F459="",0,IFNA(VLOOKUP(F459,Trait_Polarity!$A:$C,2,FALSE),0))+IF(G459="",0,IFNA(VLOOKUP(G459,Trait_Polarity!$A:$C,2,FALSE),0))</f>
        <v/>
      </c>
      <c r="S459">
        <f>IF(F459="",0,IFNA(VLOOKUP(F459,Trait_Polarity!$A:$C,3,FALSE),0))+IF(G459="",0,IFNA(VLOOKUP(G459,Trait_Polarity!$A:$C,3,FALSE),0))</f>
        <v/>
      </c>
      <c r="T459">
        <f>IF(Q459="P",0,IFNA(VLOOKUP(IF(C459="","(none)",C459),Secondary_Versatility!$A:$B,2,FALSE),0))</f>
        <v/>
      </c>
      <c r="U459">
        <f>IF(H459="",0,LEN(H459)-LEN(SUBSTITUTE(H459,"|",""))+1)</f>
        <v/>
      </c>
      <c r="V459">
        <f>IF(Q459="P",(N459+O459+P459)/3,0.3*I459+0.3*J459+0.2*K459+0.1*L459+0.1*M459)</f>
        <v/>
      </c>
      <c r="W459">
        <f>IF(Q459="P",IF(F459="",0,IFNA(VLOOKUP(F459,Pitcher_Trait_Coef!$A:$B,2,FALSE),0))+IF(G459="",0,IFNA(VLOOKUP(G459,Pitcher_Trait_Coef!$A:$B,2,FALSE),0)),IF(F459="",0,IFNA(VLOOKUP(F459,Hitter_Trait_Coef!$A:$B,2,FALSE),0))+IF(G459="",0,IFNA(VLOOKUP(G459,Hitter_Trait_Coef!$A:$B,2,FALSE),0)))</f>
        <v/>
      </c>
      <c r="X459">
        <f>IF(Q459="P",IFNA(VLOOKUP(B459,Pitcher_Primary_Coef!$A:$B,2,FALSE),0),IFNA(VLOOKUP(B459,Hitter_Primary_Coef!$A:$B,2,FALSE),0))</f>
        <v/>
      </c>
      <c r="Y459">
        <f>IF(Q459="P",0,IFNA(VLOOKUP(IF(C459="","(none)",C459),Hitter_Secondary_Coef!$A:$B,2,FALSE),0))</f>
        <v/>
      </c>
      <c r="Z459">
        <f>IF(Q459="P",IF(ISNUMBER(SEARCH("2F",H459)),IFNA(VLOOKUP("2F",Pitch_Coef!$A:$B,2,FALSE),0),0)+IF(ISNUMBER(SEARCH("4F",H459)),IFNA(VLOOKUP("4F",Pitch_Coef!$A:$B,2,FALSE),0),0)+IF(ISNUMBER(SEARCH("CB",H459)),IFNA(VLOOKUP("CB",Pitch_Coef!$A:$B,2,FALSE),0),0)+IF(ISNUMBER(SEARCH("CF",H459)),IFNA(VLOOKUP("CF",Pitch_Coef!$A:$B,2,FALSE),0),0)+IF(ISNUMBER(SEARCH("CH",H459)),IFNA(VLOOKUP("CH",Pitch_Coef!$A:$B,2,FALSE),0),0)+IF(ISNUMBER(SEARCH("FK",H459)),IFNA(VLOOKUP("FK",Pitch_Coef!$A:$B,2,FALSE),0),0)+IF(ISNUMBER(SEARCH("SB",H459)),IFNA(VLOOKUP("SB",Pitch_Coef!$A:$B,2,FALSE),0),0)+IF(ISNUMBER(SEARCH("SL",H459)),IFNA(VLOOKUP("SL",Pitch_Coef!$A:$B,2,FALSE),0),0),0)</f>
        <v/>
      </c>
      <c r="AA459">
        <f>IF(Q459="P",16.5944849573+0.2529999141*N459+0.2665900378*O459+0.2632687105*P459+0.0427586837*I459+0.0534777057*J459+0.009015832*K459+0.0204898106*(O459*P459/100)+1.0091022427*U459+1.0968542297*IF(D459="L",1,0)+0.3771555045*IF(D459="S",1,0)-0.2226159177*IF(E459="L",1,0)+1.21385024*R459-1.1652812274*S459+W459+X459+Z459,10.5965166711+0.2825983581*I459+0.2806503532*J459+0.2027213083*K459+0.1147824982*L459+0.0915305332*M459-0.0088454122*(I459*J459/100)-0.0336045706*(K459*L459/100)+2.8497389733*IF(D459="L",1,0)+4.5116226727*IF(D459="S",1,0)-0.6571546448*IF(E459="L",1,0)+0.0850728147*T459+0.0129488446*(T459*T459)+0.1909373936*IF(OR(F459="Utility",G459="Utility"),T459,0)+0.9656824071*R459-1.7517683256*S459+W459+X459+Y459)</f>
        <v/>
      </c>
      <c r="AB459">
        <f>LOOKUP(AA459,Grade_Scale!$A$2:$A$18,Grade_Scale!$B$2:$B$18)</f>
        <v/>
      </c>
      <c r="AC459">
        <f>LOOKUP(AA459,Grade_Scale!$A$2:$A$18,Grade_Scale!$C$2:$C$18)</f>
        <v/>
      </c>
      <c r="AE459">
        <f>IF(AD459="","",AB459-VLOOKUP(AD459,Grade_Scale!$C$2:$E$18,3,FALSE))</f>
        <v/>
      </c>
    </row>
    <row r="460">
      <c r="Q460">
        <f>IF(OR(B460="SP",B460="RP",B460="CP",B460="SP/RP"),"P","H")</f>
        <v/>
      </c>
      <c r="R460">
        <f>IF(F460="",0,IFNA(VLOOKUP(F460,Trait_Polarity!$A:$C,2,FALSE),0))+IF(G460="",0,IFNA(VLOOKUP(G460,Trait_Polarity!$A:$C,2,FALSE),0))</f>
        <v/>
      </c>
      <c r="S460">
        <f>IF(F460="",0,IFNA(VLOOKUP(F460,Trait_Polarity!$A:$C,3,FALSE),0))+IF(G460="",0,IFNA(VLOOKUP(G460,Trait_Polarity!$A:$C,3,FALSE),0))</f>
        <v/>
      </c>
      <c r="T460">
        <f>IF(Q460="P",0,IFNA(VLOOKUP(IF(C460="","(none)",C460),Secondary_Versatility!$A:$B,2,FALSE),0))</f>
        <v/>
      </c>
      <c r="U460">
        <f>IF(H460="",0,LEN(H460)-LEN(SUBSTITUTE(H460,"|",""))+1)</f>
        <v/>
      </c>
      <c r="V460">
        <f>IF(Q460="P",(N460+O460+P460)/3,0.3*I460+0.3*J460+0.2*K460+0.1*L460+0.1*M460)</f>
        <v/>
      </c>
      <c r="W460">
        <f>IF(Q460="P",IF(F460="",0,IFNA(VLOOKUP(F460,Pitcher_Trait_Coef!$A:$B,2,FALSE),0))+IF(G460="",0,IFNA(VLOOKUP(G460,Pitcher_Trait_Coef!$A:$B,2,FALSE),0)),IF(F460="",0,IFNA(VLOOKUP(F460,Hitter_Trait_Coef!$A:$B,2,FALSE),0))+IF(G460="",0,IFNA(VLOOKUP(G460,Hitter_Trait_Coef!$A:$B,2,FALSE),0)))</f>
        <v/>
      </c>
      <c r="X460">
        <f>IF(Q460="P",IFNA(VLOOKUP(B460,Pitcher_Primary_Coef!$A:$B,2,FALSE),0),IFNA(VLOOKUP(B460,Hitter_Primary_Coef!$A:$B,2,FALSE),0))</f>
        <v/>
      </c>
      <c r="Y460">
        <f>IF(Q460="P",0,IFNA(VLOOKUP(IF(C460="","(none)",C460),Hitter_Secondary_Coef!$A:$B,2,FALSE),0))</f>
        <v/>
      </c>
      <c r="Z460">
        <f>IF(Q460="P",IF(ISNUMBER(SEARCH("2F",H460)),IFNA(VLOOKUP("2F",Pitch_Coef!$A:$B,2,FALSE),0),0)+IF(ISNUMBER(SEARCH("4F",H460)),IFNA(VLOOKUP("4F",Pitch_Coef!$A:$B,2,FALSE),0),0)+IF(ISNUMBER(SEARCH("CB",H460)),IFNA(VLOOKUP("CB",Pitch_Coef!$A:$B,2,FALSE),0),0)+IF(ISNUMBER(SEARCH("CF",H460)),IFNA(VLOOKUP("CF",Pitch_Coef!$A:$B,2,FALSE),0),0)+IF(ISNUMBER(SEARCH("CH",H460)),IFNA(VLOOKUP("CH",Pitch_Coef!$A:$B,2,FALSE),0),0)+IF(ISNUMBER(SEARCH("FK",H460)),IFNA(VLOOKUP("FK",Pitch_Coef!$A:$B,2,FALSE),0),0)+IF(ISNUMBER(SEARCH("SB",H460)),IFNA(VLOOKUP("SB",Pitch_Coef!$A:$B,2,FALSE),0),0)+IF(ISNUMBER(SEARCH("SL",H460)),IFNA(VLOOKUP("SL",Pitch_Coef!$A:$B,2,FALSE),0),0),0)</f>
        <v/>
      </c>
      <c r="AA460">
        <f>IF(Q460="P",16.5944849573+0.2529999141*N460+0.2665900378*O460+0.2632687105*P460+0.0427586837*I460+0.0534777057*J460+0.009015832*K460+0.0204898106*(O460*P460/100)+1.0091022427*U460+1.0968542297*IF(D460="L",1,0)+0.3771555045*IF(D460="S",1,0)-0.2226159177*IF(E460="L",1,0)+1.21385024*R460-1.1652812274*S460+W460+X460+Z460,10.5965166711+0.2825983581*I460+0.2806503532*J460+0.2027213083*K460+0.1147824982*L460+0.0915305332*M460-0.0088454122*(I460*J460/100)-0.0336045706*(K460*L460/100)+2.8497389733*IF(D460="L",1,0)+4.5116226727*IF(D460="S",1,0)-0.6571546448*IF(E460="L",1,0)+0.0850728147*T460+0.0129488446*(T460*T460)+0.1909373936*IF(OR(F460="Utility",G460="Utility"),T460,0)+0.9656824071*R460-1.7517683256*S460+W460+X460+Y460)</f>
        <v/>
      </c>
      <c r="AB460">
        <f>LOOKUP(AA460,Grade_Scale!$A$2:$A$18,Grade_Scale!$B$2:$B$18)</f>
        <v/>
      </c>
      <c r="AC460">
        <f>LOOKUP(AA460,Grade_Scale!$A$2:$A$18,Grade_Scale!$C$2:$C$18)</f>
        <v/>
      </c>
      <c r="AE460">
        <f>IF(AD460="","",AB460-VLOOKUP(AD460,Grade_Scale!$C$2:$E$18,3,FALSE))</f>
        <v/>
      </c>
    </row>
    <row r="461">
      <c r="Q461">
        <f>IF(OR(B461="SP",B461="RP",B461="CP",B461="SP/RP"),"P","H")</f>
        <v/>
      </c>
      <c r="R461">
        <f>IF(F461="",0,IFNA(VLOOKUP(F461,Trait_Polarity!$A:$C,2,FALSE),0))+IF(G461="",0,IFNA(VLOOKUP(G461,Trait_Polarity!$A:$C,2,FALSE),0))</f>
        <v/>
      </c>
      <c r="S461">
        <f>IF(F461="",0,IFNA(VLOOKUP(F461,Trait_Polarity!$A:$C,3,FALSE),0))+IF(G461="",0,IFNA(VLOOKUP(G461,Trait_Polarity!$A:$C,3,FALSE),0))</f>
        <v/>
      </c>
      <c r="T461">
        <f>IF(Q461="P",0,IFNA(VLOOKUP(IF(C461="","(none)",C461),Secondary_Versatility!$A:$B,2,FALSE),0))</f>
        <v/>
      </c>
      <c r="U461">
        <f>IF(H461="",0,LEN(H461)-LEN(SUBSTITUTE(H461,"|",""))+1)</f>
        <v/>
      </c>
      <c r="V461">
        <f>IF(Q461="P",(N461+O461+P461)/3,0.3*I461+0.3*J461+0.2*K461+0.1*L461+0.1*M461)</f>
        <v/>
      </c>
      <c r="W461">
        <f>IF(Q461="P",IF(F461="",0,IFNA(VLOOKUP(F461,Pitcher_Trait_Coef!$A:$B,2,FALSE),0))+IF(G461="",0,IFNA(VLOOKUP(G461,Pitcher_Trait_Coef!$A:$B,2,FALSE),0)),IF(F461="",0,IFNA(VLOOKUP(F461,Hitter_Trait_Coef!$A:$B,2,FALSE),0))+IF(G461="",0,IFNA(VLOOKUP(G461,Hitter_Trait_Coef!$A:$B,2,FALSE),0)))</f>
        <v/>
      </c>
      <c r="X461">
        <f>IF(Q461="P",IFNA(VLOOKUP(B461,Pitcher_Primary_Coef!$A:$B,2,FALSE),0),IFNA(VLOOKUP(B461,Hitter_Primary_Coef!$A:$B,2,FALSE),0))</f>
        <v/>
      </c>
      <c r="Y461">
        <f>IF(Q461="P",0,IFNA(VLOOKUP(IF(C461="","(none)",C461),Hitter_Secondary_Coef!$A:$B,2,FALSE),0))</f>
        <v/>
      </c>
      <c r="Z461">
        <f>IF(Q461="P",IF(ISNUMBER(SEARCH("2F",H461)),IFNA(VLOOKUP("2F",Pitch_Coef!$A:$B,2,FALSE),0),0)+IF(ISNUMBER(SEARCH("4F",H461)),IFNA(VLOOKUP("4F",Pitch_Coef!$A:$B,2,FALSE),0),0)+IF(ISNUMBER(SEARCH("CB",H461)),IFNA(VLOOKUP("CB",Pitch_Coef!$A:$B,2,FALSE),0),0)+IF(ISNUMBER(SEARCH("CF",H461)),IFNA(VLOOKUP("CF",Pitch_Coef!$A:$B,2,FALSE),0),0)+IF(ISNUMBER(SEARCH("CH",H461)),IFNA(VLOOKUP("CH",Pitch_Coef!$A:$B,2,FALSE),0),0)+IF(ISNUMBER(SEARCH("FK",H461)),IFNA(VLOOKUP("FK",Pitch_Coef!$A:$B,2,FALSE),0),0)+IF(ISNUMBER(SEARCH("SB",H461)),IFNA(VLOOKUP("SB",Pitch_Coef!$A:$B,2,FALSE),0),0)+IF(ISNUMBER(SEARCH("SL",H461)),IFNA(VLOOKUP("SL",Pitch_Coef!$A:$B,2,FALSE),0),0),0)</f>
        <v/>
      </c>
      <c r="AA461">
        <f>IF(Q461="P",16.5944849573+0.2529999141*N461+0.2665900378*O461+0.2632687105*P461+0.0427586837*I461+0.0534777057*J461+0.009015832*K461+0.0204898106*(O461*P461/100)+1.0091022427*U461+1.0968542297*IF(D461="L",1,0)+0.3771555045*IF(D461="S",1,0)-0.2226159177*IF(E461="L",1,0)+1.21385024*R461-1.1652812274*S461+W461+X461+Z461,10.5965166711+0.2825983581*I461+0.2806503532*J461+0.2027213083*K461+0.1147824982*L461+0.0915305332*M461-0.0088454122*(I461*J461/100)-0.0336045706*(K461*L461/100)+2.8497389733*IF(D461="L",1,0)+4.5116226727*IF(D461="S",1,0)-0.6571546448*IF(E461="L",1,0)+0.0850728147*T461+0.0129488446*(T461*T461)+0.1909373936*IF(OR(F461="Utility",G461="Utility"),T461,0)+0.9656824071*R461-1.7517683256*S461+W461+X461+Y461)</f>
        <v/>
      </c>
      <c r="AB461">
        <f>LOOKUP(AA461,Grade_Scale!$A$2:$A$18,Grade_Scale!$B$2:$B$18)</f>
        <v/>
      </c>
      <c r="AC461">
        <f>LOOKUP(AA461,Grade_Scale!$A$2:$A$18,Grade_Scale!$C$2:$C$18)</f>
        <v/>
      </c>
      <c r="AE461">
        <f>IF(AD461="","",AB461-VLOOKUP(AD461,Grade_Scale!$C$2:$E$18,3,FALSE))</f>
        <v/>
      </c>
    </row>
    <row r="462">
      <c r="Q462">
        <f>IF(OR(B462="SP",B462="RP",B462="CP",B462="SP/RP"),"P","H")</f>
        <v/>
      </c>
      <c r="R462">
        <f>IF(F462="",0,IFNA(VLOOKUP(F462,Trait_Polarity!$A:$C,2,FALSE),0))+IF(G462="",0,IFNA(VLOOKUP(G462,Trait_Polarity!$A:$C,2,FALSE),0))</f>
        <v/>
      </c>
      <c r="S462">
        <f>IF(F462="",0,IFNA(VLOOKUP(F462,Trait_Polarity!$A:$C,3,FALSE),0))+IF(G462="",0,IFNA(VLOOKUP(G462,Trait_Polarity!$A:$C,3,FALSE),0))</f>
        <v/>
      </c>
      <c r="T462">
        <f>IF(Q462="P",0,IFNA(VLOOKUP(IF(C462="","(none)",C462),Secondary_Versatility!$A:$B,2,FALSE),0))</f>
        <v/>
      </c>
      <c r="U462">
        <f>IF(H462="",0,LEN(H462)-LEN(SUBSTITUTE(H462,"|",""))+1)</f>
        <v/>
      </c>
      <c r="V462">
        <f>IF(Q462="P",(N462+O462+P462)/3,0.3*I462+0.3*J462+0.2*K462+0.1*L462+0.1*M462)</f>
        <v/>
      </c>
      <c r="W462">
        <f>IF(Q462="P",IF(F462="",0,IFNA(VLOOKUP(F462,Pitcher_Trait_Coef!$A:$B,2,FALSE),0))+IF(G462="",0,IFNA(VLOOKUP(G462,Pitcher_Trait_Coef!$A:$B,2,FALSE),0)),IF(F462="",0,IFNA(VLOOKUP(F462,Hitter_Trait_Coef!$A:$B,2,FALSE),0))+IF(G462="",0,IFNA(VLOOKUP(G462,Hitter_Trait_Coef!$A:$B,2,FALSE),0)))</f>
        <v/>
      </c>
      <c r="X462">
        <f>IF(Q462="P",IFNA(VLOOKUP(B462,Pitcher_Primary_Coef!$A:$B,2,FALSE),0),IFNA(VLOOKUP(B462,Hitter_Primary_Coef!$A:$B,2,FALSE),0))</f>
        <v/>
      </c>
      <c r="Y462">
        <f>IF(Q462="P",0,IFNA(VLOOKUP(IF(C462="","(none)",C462),Hitter_Secondary_Coef!$A:$B,2,FALSE),0))</f>
        <v/>
      </c>
      <c r="Z462">
        <f>IF(Q462="P",IF(ISNUMBER(SEARCH("2F",H462)),IFNA(VLOOKUP("2F",Pitch_Coef!$A:$B,2,FALSE),0),0)+IF(ISNUMBER(SEARCH("4F",H462)),IFNA(VLOOKUP("4F",Pitch_Coef!$A:$B,2,FALSE),0),0)+IF(ISNUMBER(SEARCH("CB",H462)),IFNA(VLOOKUP("CB",Pitch_Coef!$A:$B,2,FALSE),0),0)+IF(ISNUMBER(SEARCH("CF",H462)),IFNA(VLOOKUP("CF",Pitch_Coef!$A:$B,2,FALSE),0),0)+IF(ISNUMBER(SEARCH("CH",H462)),IFNA(VLOOKUP("CH",Pitch_Coef!$A:$B,2,FALSE),0),0)+IF(ISNUMBER(SEARCH("FK",H462)),IFNA(VLOOKUP("FK",Pitch_Coef!$A:$B,2,FALSE),0),0)+IF(ISNUMBER(SEARCH("SB",H462)),IFNA(VLOOKUP("SB",Pitch_Coef!$A:$B,2,FALSE),0),0)+IF(ISNUMBER(SEARCH("SL",H462)),IFNA(VLOOKUP("SL",Pitch_Coef!$A:$B,2,FALSE),0),0),0)</f>
        <v/>
      </c>
      <c r="AA462">
        <f>IF(Q462="P",16.5944849573+0.2529999141*N462+0.2665900378*O462+0.2632687105*P462+0.0427586837*I462+0.0534777057*J462+0.009015832*K462+0.0204898106*(O462*P462/100)+1.0091022427*U462+1.0968542297*IF(D462="L",1,0)+0.3771555045*IF(D462="S",1,0)-0.2226159177*IF(E462="L",1,0)+1.21385024*R462-1.1652812274*S462+W462+X462+Z462,10.5965166711+0.2825983581*I462+0.2806503532*J462+0.2027213083*K462+0.1147824982*L462+0.0915305332*M462-0.0088454122*(I462*J462/100)-0.0336045706*(K462*L462/100)+2.8497389733*IF(D462="L",1,0)+4.5116226727*IF(D462="S",1,0)-0.6571546448*IF(E462="L",1,0)+0.0850728147*T462+0.0129488446*(T462*T462)+0.1909373936*IF(OR(F462="Utility",G462="Utility"),T462,0)+0.9656824071*R462-1.7517683256*S462+W462+X462+Y462)</f>
        <v/>
      </c>
      <c r="AB462">
        <f>LOOKUP(AA462,Grade_Scale!$A$2:$A$18,Grade_Scale!$B$2:$B$18)</f>
        <v/>
      </c>
      <c r="AC462">
        <f>LOOKUP(AA462,Grade_Scale!$A$2:$A$18,Grade_Scale!$C$2:$C$18)</f>
        <v/>
      </c>
      <c r="AE462">
        <f>IF(AD462="","",AB462-VLOOKUP(AD462,Grade_Scale!$C$2:$E$18,3,FALSE))</f>
        <v/>
      </c>
    </row>
    <row r="463">
      <c r="Q463">
        <f>IF(OR(B463="SP",B463="RP",B463="CP",B463="SP/RP"),"P","H")</f>
        <v/>
      </c>
      <c r="R463">
        <f>IF(F463="",0,IFNA(VLOOKUP(F463,Trait_Polarity!$A:$C,2,FALSE),0))+IF(G463="",0,IFNA(VLOOKUP(G463,Trait_Polarity!$A:$C,2,FALSE),0))</f>
        <v/>
      </c>
      <c r="S463">
        <f>IF(F463="",0,IFNA(VLOOKUP(F463,Trait_Polarity!$A:$C,3,FALSE),0))+IF(G463="",0,IFNA(VLOOKUP(G463,Trait_Polarity!$A:$C,3,FALSE),0))</f>
        <v/>
      </c>
      <c r="T463">
        <f>IF(Q463="P",0,IFNA(VLOOKUP(IF(C463="","(none)",C463),Secondary_Versatility!$A:$B,2,FALSE),0))</f>
        <v/>
      </c>
      <c r="U463">
        <f>IF(H463="",0,LEN(H463)-LEN(SUBSTITUTE(H463,"|",""))+1)</f>
        <v/>
      </c>
      <c r="V463">
        <f>IF(Q463="P",(N463+O463+P463)/3,0.3*I463+0.3*J463+0.2*K463+0.1*L463+0.1*M463)</f>
        <v/>
      </c>
      <c r="W463">
        <f>IF(Q463="P",IF(F463="",0,IFNA(VLOOKUP(F463,Pitcher_Trait_Coef!$A:$B,2,FALSE),0))+IF(G463="",0,IFNA(VLOOKUP(G463,Pitcher_Trait_Coef!$A:$B,2,FALSE),0)),IF(F463="",0,IFNA(VLOOKUP(F463,Hitter_Trait_Coef!$A:$B,2,FALSE),0))+IF(G463="",0,IFNA(VLOOKUP(G463,Hitter_Trait_Coef!$A:$B,2,FALSE),0)))</f>
        <v/>
      </c>
      <c r="X463">
        <f>IF(Q463="P",IFNA(VLOOKUP(B463,Pitcher_Primary_Coef!$A:$B,2,FALSE),0),IFNA(VLOOKUP(B463,Hitter_Primary_Coef!$A:$B,2,FALSE),0))</f>
        <v/>
      </c>
      <c r="Y463">
        <f>IF(Q463="P",0,IFNA(VLOOKUP(IF(C463="","(none)",C463),Hitter_Secondary_Coef!$A:$B,2,FALSE),0))</f>
        <v/>
      </c>
      <c r="Z463">
        <f>IF(Q463="P",IF(ISNUMBER(SEARCH("2F",H463)),IFNA(VLOOKUP("2F",Pitch_Coef!$A:$B,2,FALSE),0),0)+IF(ISNUMBER(SEARCH("4F",H463)),IFNA(VLOOKUP("4F",Pitch_Coef!$A:$B,2,FALSE),0),0)+IF(ISNUMBER(SEARCH("CB",H463)),IFNA(VLOOKUP("CB",Pitch_Coef!$A:$B,2,FALSE),0),0)+IF(ISNUMBER(SEARCH("CF",H463)),IFNA(VLOOKUP("CF",Pitch_Coef!$A:$B,2,FALSE),0),0)+IF(ISNUMBER(SEARCH("CH",H463)),IFNA(VLOOKUP("CH",Pitch_Coef!$A:$B,2,FALSE),0),0)+IF(ISNUMBER(SEARCH("FK",H463)),IFNA(VLOOKUP("FK",Pitch_Coef!$A:$B,2,FALSE),0),0)+IF(ISNUMBER(SEARCH("SB",H463)),IFNA(VLOOKUP("SB",Pitch_Coef!$A:$B,2,FALSE),0),0)+IF(ISNUMBER(SEARCH("SL",H463)),IFNA(VLOOKUP("SL",Pitch_Coef!$A:$B,2,FALSE),0),0),0)</f>
        <v/>
      </c>
      <c r="AA463">
        <f>IF(Q463="P",16.5944849573+0.2529999141*N463+0.2665900378*O463+0.2632687105*P463+0.0427586837*I463+0.0534777057*J463+0.009015832*K463+0.0204898106*(O463*P463/100)+1.0091022427*U463+1.0968542297*IF(D463="L",1,0)+0.3771555045*IF(D463="S",1,0)-0.2226159177*IF(E463="L",1,0)+1.21385024*R463-1.1652812274*S463+W463+X463+Z463,10.5965166711+0.2825983581*I463+0.2806503532*J463+0.2027213083*K463+0.1147824982*L463+0.0915305332*M463-0.0088454122*(I463*J463/100)-0.0336045706*(K463*L463/100)+2.8497389733*IF(D463="L",1,0)+4.5116226727*IF(D463="S",1,0)-0.6571546448*IF(E463="L",1,0)+0.0850728147*T463+0.0129488446*(T463*T463)+0.1909373936*IF(OR(F463="Utility",G463="Utility"),T463,0)+0.9656824071*R463-1.7517683256*S463+W463+X463+Y463)</f>
        <v/>
      </c>
      <c r="AB463">
        <f>LOOKUP(AA463,Grade_Scale!$A$2:$A$18,Grade_Scale!$B$2:$B$18)</f>
        <v/>
      </c>
      <c r="AC463">
        <f>LOOKUP(AA463,Grade_Scale!$A$2:$A$18,Grade_Scale!$C$2:$C$18)</f>
        <v/>
      </c>
      <c r="AE463">
        <f>IF(AD463="","",AB463-VLOOKUP(AD463,Grade_Scale!$C$2:$E$18,3,FALSE))</f>
        <v/>
      </c>
    </row>
    <row r="464">
      <c r="Q464">
        <f>IF(OR(B464="SP",B464="RP",B464="CP",B464="SP/RP"),"P","H")</f>
        <v/>
      </c>
      <c r="R464">
        <f>IF(F464="",0,IFNA(VLOOKUP(F464,Trait_Polarity!$A:$C,2,FALSE),0))+IF(G464="",0,IFNA(VLOOKUP(G464,Trait_Polarity!$A:$C,2,FALSE),0))</f>
        <v/>
      </c>
      <c r="S464">
        <f>IF(F464="",0,IFNA(VLOOKUP(F464,Trait_Polarity!$A:$C,3,FALSE),0))+IF(G464="",0,IFNA(VLOOKUP(G464,Trait_Polarity!$A:$C,3,FALSE),0))</f>
        <v/>
      </c>
      <c r="T464">
        <f>IF(Q464="P",0,IFNA(VLOOKUP(IF(C464="","(none)",C464),Secondary_Versatility!$A:$B,2,FALSE),0))</f>
        <v/>
      </c>
      <c r="U464">
        <f>IF(H464="",0,LEN(H464)-LEN(SUBSTITUTE(H464,"|",""))+1)</f>
        <v/>
      </c>
      <c r="V464">
        <f>IF(Q464="P",(N464+O464+P464)/3,0.3*I464+0.3*J464+0.2*K464+0.1*L464+0.1*M464)</f>
        <v/>
      </c>
      <c r="W464">
        <f>IF(Q464="P",IF(F464="",0,IFNA(VLOOKUP(F464,Pitcher_Trait_Coef!$A:$B,2,FALSE),0))+IF(G464="",0,IFNA(VLOOKUP(G464,Pitcher_Trait_Coef!$A:$B,2,FALSE),0)),IF(F464="",0,IFNA(VLOOKUP(F464,Hitter_Trait_Coef!$A:$B,2,FALSE),0))+IF(G464="",0,IFNA(VLOOKUP(G464,Hitter_Trait_Coef!$A:$B,2,FALSE),0)))</f>
        <v/>
      </c>
      <c r="X464">
        <f>IF(Q464="P",IFNA(VLOOKUP(B464,Pitcher_Primary_Coef!$A:$B,2,FALSE),0),IFNA(VLOOKUP(B464,Hitter_Primary_Coef!$A:$B,2,FALSE),0))</f>
        <v/>
      </c>
      <c r="Y464">
        <f>IF(Q464="P",0,IFNA(VLOOKUP(IF(C464="","(none)",C464),Hitter_Secondary_Coef!$A:$B,2,FALSE),0))</f>
        <v/>
      </c>
      <c r="Z464">
        <f>IF(Q464="P",IF(ISNUMBER(SEARCH("2F",H464)),IFNA(VLOOKUP("2F",Pitch_Coef!$A:$B,2,FALSE),0),0)+IF(ISNUMBER(SEARCH("4F",H464)),IFNA(VLOOKUP("4F",Pitch_Coef!$A:$B,2,FALSE),0),0)+IF(ISNUMBER(SEARCH("CB",H464)),IFNA(VLOOKUP("CB",Pitch_Coef!$A:$B,2,FALSE),0),0)+IF(ISNUMBER(SEARCH("CF",H464)),IFNA(VLOOKUP("CF",Pitch_Coef!$A:$B,2,FALSE),0),0)+IF(ISNUMBER(SEARCH("CH",H464)),IFNA(VLOOKUP("CH",Pitch_Coef!$A:$B,2,FALSE),0),0)+IF(ISNUMBER(SEARCH("FK",H464)),IFNA(VLOOKUP("FK",Pitch_Coef!$A:$B,2,FALSE),0),0)+IF(ISNUMBER(SEARCH("SB",H464)),IFNA(VLOOKUP("SB",Pitch_Coef!$A:$B,2,FALSE),0),0)+IF(ISNUMBER(SEARCH("SL",H464)),IFNA(VLOOKUP("SL",Pitch_Coef!$A:$B,2,FALSE),0),0),0)</f>
        <v/>
      </c>
      <c r="AA464">
        <f>IF(Q464="P",16.5944849573+0.2529999141*N464+0.2665900378*O464+0.2632687105*P464+0.0427586837*I464+0.0534777057*J464+0.009015832*K464+0.0204898106*(O464*P464/100)+1.0091022427*U464+1.0968542297*IF(D464="L",1,0)+0.3771555045*IF(D464="S",1,0)-0.2226159177*IF(E464="L",1,0)+1.21385024*R464-1.1652812274*S464+W464+X464+Z464,10.5965166711+0.2825983581*I464+0.2806503532*J464+0.2027213083*K464+0.1147824982*L464+0.0915305332*M464-0.0088454122*(I464*J464/100)-0.0336045706*(K464*L464/100)+2.8497389733*IF(D464="L",1,0)+4.5116226727*IF(D464="S",1,0)-0.6571546448*IF(E464="L",1,0)+0.0850728147*T464+0.0129488446*(T464*T464)+0.1909373936*IF(OR(F464="Utility",G464="Utility"),T464,0)+0.9656824071*R464-1.7517683256*S464+W464+X464+Y464)</f>
        <v/>
      </c>
      <c r="AB464">
        <f>LOOKUP(AA464,Grade_Scale!$A$2:$A$18,Grade_Scale!$B$2:$B$18)</f>
        <v/>
      </c>
      <c r="AC464">
        <f>LOOKUP(AA464,Grade_Scale!$A$2:$A$18,Grade_Scale!$C$2:$C$18)</f>
        <v/>
      </c>
      <c r="AE464">
        <f>IF(AD464="","",AB464-VLOOKUP(AD464,Grade_Scale!$C$2:$E$18,3,FALSE))</f>
        <v/>
      </c>
    </row>
    <row r="465">
      <c r="Q465">
        <f>IF(OR(B465="SP",B465="RP",B465="CP",B465="SP/RP"),"P","H")</f>
        <v/>
      </c>
      <c r="R465">
        <f>IF(F465="",0,IFNA(VLOOKUP(F465,Trait_Polarity!$A:$C,2,FALSE),0))+IF(G465="",0,IFNA(VLOOKUP(G465,Trait_Polarity!$A:$C,2,FALSE),0))</f>
        <v/>
      </c>
      <c r="S465">
        <f>IF(F465="",0,IFNA(VLOOKUP(F465,Trait_Polarity!$A:$C,3,FALSE),0))+IF(G465="",0,IFNA(VLOOKUP(G465,Trait_Polarity!$A:$C,3,FALSE),0))</f>
        <v/>
      </c>
      <c r="T465">
        <f>IF(Q465="P",0,IFNA(VLOOKUP(IF(C465="","(none)",C465),Secondary_Versatility!$A:$B,2,FALSE),0))</f>
        <v/>
      </c>
      <c r="U465">
        <f>IF(H465="",0,LEN(H465)-LEN(SUBSTITUTE(H465,"|",""))+1)</f>
        <v/>
      </c>
      <c r="V465">
        <f>IF(Q465="P",(N465+O465+P465)/3,0.3*I465+0.3*J465+0.2*K465+0.1*L465+0.1*M465)</f>
        <v/>
      </c>
      <c r="W465">
        <f>IF(Q465="P",IF(F465="",0,IFNA(VLOOKUP(F465,Pitcher_Trait_Coef!$A:$B,2,FALSE),0))+IF(G465="",0,IFNA(VLOOKUP(G465,Pitcher_Trait_Coef!$A:$B,2,FALSE),0)),IF(F465="",0,IFNA(VLOOKUP(F465,Hitter_Trait_Coef!$A:$B,2,FALSE),0))+IF(G465="",0,IFNA(VLOOKUP(G465,Hitter_Trait_Coef!$A:$B,2,FALSE),0)))</f>
        <v/>
      </c>
      <c r="X465">
        <f>IF(Q465="P",IFNA(VLOOKUP(B465,Pitcher_Primary_Coef!$A:$B,2,FALSE),0),IFNA(VLOOKUP(B465,Hitter_Primary_Coef!$A:$B,2,FALSE),0))</f>
        <v/>
      </c>
      <c r="Y465">
        <f>IF(Q465="P",0,IFNA(VLOOKUP(IF(C465="","(none)",C465),Hitter_Secondary_Coef!$A:$B,2,FALSE),0))</f>
        <v/>
      </c>
      <c r="Z465">
        <f>IF(Q465="P",IF(ISNUMBER(SEARCH("2F",H465)),IFNA(VLOOKUP("2F",Pitch_Coef!$A:$B,2,FALSE),0),0)+IF(ISNUMBER(SEARCH("4F",H465)),IFNA(VLOOKUP("4F",Pitch_Coef!$A:$B,2,FALSE),0),0)+IF(ISNUMBER(SEARCH("CB",H465)),IFNA(VLOOKUP("CB",Pitch_Coef!$A:$B,2,FALSE),0),0)+IF(ISNUMBER(SEARCH("CF",H465)),IFNA(VLOOKUP("CF",Pitch_Coef!$A:$B,2,FALSE),0),0)+IF(ISNUMBER(SEARCH("CH",H465)),IFNA(VLOOKUP("CH",Pitch_Coef!$A:$B,2,FALSE),0),0)+IF(ISNUMBER(SEARCH("FK",H465)),IFNA(VLOOKUP("FK",Pitch_Coef!$A:$B,2,FALSE),0),0)+IF(ISNUMBER(SEARCH("SB",H465)),IFNA(VLOOKUP("SB",Pitch_Coef!$A:$B,2,FALSE),0),0)+IF(ISNUMBER(SEARCH("SL",H465)),IFNA(VLOOKUP("SL",Pitch_Coef!$A:$B,2,FALSE),0),0),0)</f>
        <v/>
      </c>
      <c r="AA465">
        <f>IF(Q465="P",16.5944849573+0.2529999141*N465+0.2665900378*O465+0.2632687105*P465+0.0427586837*I465+0.0534777057*J465+0.009015832*K465+0.0204898106*(O465*P465/100)+1.0091022427*U465+1.0968542297*IF(D465="L",1,0)+0.3771555045*IF(D465="S",1,0)-0.2226159177*IF(E465="L",1,0)+1.21385024*R465-1.1652812274*S465+W465+X465+Z465,10.5965166711+0.2825983581*I465+0.2806503532*J465+0.2027213083*K465+0.1147824982*L465+0.0915305332*M465-0.0088454122*(I465*J465/100)-0.0336045706*(K465*L465/100)+2.8497389733*IF(D465="L",1,0)+4.5116226727*IF(D465="S",1,0)-0.6571546448*IF(E465="L",1,0)+0.0850728147*T465+0.0129488446*(T465*T465)+0.1909373936*IF(OR(F465="Utility",G465="Utility"),T465,0)+0.9656824071*R465-1.7517683256*S465+W465+X465+Y465)</f>
        <v/>
      </c>
      <c r="AB465">
        <f>LOOKUP(AA465,Grade_Scale!$A$2:$A$18,Grade_Scale!$B$2:$B$18)</f>
        <v/>
      </c>
      <c r="AC465">
        <f>LOOKUP(AA465,Grade_Scale!$A$2:$A$18,Grade_Scale!$C$2:$C$18)</f>
        <v/>
      </c>
      <c r="AE465">
        <f>IF(AD465="","",AB465-VLOOKUP(AD465,Grade_Scale!$C$2:$E$18,3,FALSE))</f>
        <v/>
      </c>
    </row>
    <row r="466">
      <c r="Q466">
        <f>IF(OR(B466="SP",B466="RP",B466="CP",B466="SP/RP"),"P","H")</f>
        <v/>
      </c>
      <c r="R466">
        <f>IF(F466="",0,IFNA(VLOOKUP(F466,Trait_Polarity!$A:$C,2,FALSE),0))+IF(G466="",0,IFNA(VLOOKUP(G466,Trait_Polarity!$A:$C,2,FALSE),0))</f>
        <v/>
      </c>
      <c r="S466">
        <f>IF(F466="",0,IFNA(VLOOKUP(F466,Trait_Polarity!$A:$C,3,FALSE),0))+IF(G466="",0,IFNA(VLOOKUP(G466,Trait_Polarity!$A:$C,3,FALSE),0))</f>
        <v/>
      </c>
      <c r="T466">
        <f>IF(Q466="P",0,IFNA(VLOOKUP(IF(C466="","(none)",C466),Secondary_Versatility!$A:$B,2,FALSE),0))</f>
        <v/>
      </c>
      <c r="U466">
        <f>IF(H466="",0,LEN(H466)-LEN(SUBSTITUTE(H466,"|",""))+1)</f>
        <v/>
      </c>
      <c r="V466">
        <f>IF(Q466="P",(N466+O466+P466)/3,0.3*I466+0.3*J466+0.2*K466+0.1*L466+0.1*M466)</f>
        <v/>
      </c>
      <c r="W466">
        <f>IF(Q466="P",IF(F466="",0,IFNA(VLOOKUP(F466,Pitcher_Trait_Coef!$A:$B,2,FALSE),0))+IF(G466="",0,IFNA(VLOOKUP(G466,Pitcher_Trait_Coef!$A:$B,2,FALSE),0)),IF(F466="",0,IFNA(VLOOKUP(F466,Hitter_Trait_Coef!$A:$B,2,FALSE),0))+IF(G466="",0,IFNA(VLOOKUP(G466,Hitter_Trait_Coef!$A:$B,2,FALSE),0)))</f>
        <v/>
      </c>
      <c r="X466">
        <f>IF(Q466="P",IFNA(VLOOKUP(B466,Pitcher_Primary_Coef!$A:$B,2,FALSE),0),IFNA(VLOOKUP(B466,Hitter_Primary_Coef!$A:$B,2,FALSE),0))</f>
        <v/>
      </c>
      <c r="Y466">
        <f>IF(Q466="P",0,IFNA(VLOOKUP(IF(C466="","(none)",C466),Hitter_Secondary_Coef!$A:$B,2,FALSE),0))</f>
        <v/>
      </c>
      <c r="Z466">
        <f>IF(Q466="P",IF(ISNUMBER(SEARCH("2F",H466)),IFNA(VLOOKUP("2F",Pitch_Coef!$A:$B,2,FALSE),0),0)+IF(ISNUMBER(SEARCH("4F",H466)),IFNA(VLOOKUP("4F",Pitch_Coef!$A:$B,2,FALSE),0),0)+IF(ISNUMBER(SEARCH("CB",H466)),IFNA(VLOOKUP("CB",Pitch_Coef!$A:$B,2,FALSE),0),0)+IF(ISNUMBER(SEARCH("CF",H466)),IFNA(VLOOKUP("CF",Pitch_Coef!$A:$B,2,FALSE),0),0)+IF(ISNUMBER(SEARCH("CH",H466)),IFNA(VLOOKUP("CH",Pitch_Coef!$A:$B,2,FALSE),0),0)+IF(ISNUMBER(SEARCH("FK",H466)),IFNA(VLOOKUP("FK",Pitch_Coef!$A:$B,2,FALSE),0),0)+IF(ISNUMBER(SEARCH("SB",H466)),IFNA(VLOOKUP("SB",Pitch_Coef!$A:$B,2,FALSE),0),0)+IF(ISNUMBER(SEARCH("SL",H466)),IFNA(VLOOKUP("SL",Pitch_Coef!$A:$B,2,FALSE),0),0),0)</f>
        <v/>
      </c>
      <c r="AA466">
        <f>IF(Q466="P",16.5944849573+0.2529999141*N466+0.2665900378*O466+0.2632687105*P466+0.0427586837*I466+0.0534777057*J466+0.009015832*K466+0.0204898106*(O466*P466/100)+1.0091022427*U466+1.0968542297*IF(D466="L",1,0)+0.3771555045*IF(D466="S",1,0)-0.2226159177*IF(E466="L",1,0)+1.21385024*R466-1.1652812274*S466+W466+X466+Z466,10.5965166711+0.2825983581*I466+0.2806503532*J466+0.2027213083*K466+0.1147824982*L466+0.0915305332*M466-0.0088454122*(I466*J466/100)-0.0336045706*(K466*L466/100)+2.8497389733*IF(D466="L",1,0)+4.5116226727*IF(D466="S",1,0)-0.6571546448*IF(E466="L",1,0)+0.0850728147*T466+0.0129488446*(T466*T466)+0.1909373936*IF(OR(F466="Utility",G466="Utility"),T466,0)+0.9656824071*R466-1.7517683256*S466+W466+X466+Y466)</f>
        <v/>
      </c>
      <c r="AB466">
        <f>LOOKUP(AA466,Grade_Scale!$A$2:$A$18,Grade_Scale!$B$2:$B$18)</f>
        <v/>
      </c>
      <c r="AC466">
        <f>LOOKUP(AA466,Grade_Scale!$A$2:$A$18,Grade_Scale!$C$2:$C$18)</f>
        <v/>
      </c>
      <c r="AE466">
        <f>IF(AD466="","",AB466-VLOOKUP(AD466,Grade_Scale!$C$2:$E$18,3,FALSE))</f>
        <v/>
      </c>
    </row>
    <row r="467">
      <c r="Q467">
        <f>IF(OR(B467="SP",B467="RP",B467="CP",B467="SP/RP"),"P","H")</f>
        <v/>
      </c>
      <c r="R467">
        <f>IF(F467="",0,IFNA(VLOOKUP(F467,Trait_Polarity!$A:$C,2,FALSE),0))+IF(G467="",0,IFNA(VLOOKUP(G467,Trait_Polarity!$A:$C,2,FALSE),0))</f>
        <v/>
      </c>
      <c r="S467">
        <f>IF(F467="",0,IFNA(VLOOKUP(F467,Trait_Polarity!$A:$C,3,FALSE),0))+IF(G467="",0,IFNA(VLOOKUP(G467,Trait_Polarity!$A:$C,3,FALSE),0))</f>
        <v/>
      </c>
      <c r="T467">
        <f>IF(Q467="P",0,IFNA(VLOOKUP(IF(C467="","(none)",C467),Secondary_Versatility!$A:$B,2,FALSE),0))</f>
        <v/>
      </c>
      <c r="U467">
        <f>IF(H467="",0,LEN(H467)-LEN(SUBSTITUTE(H467,"|",""))+1)</f>
        <v/>
      </c>
      <c r="V467">
        <f>IF(Q467="P",(N467+O467+P467)/3,0.3*I467+0.3*J467+0.2*K467+0.1*L467+0.1*M467)</f>
        <v/>
      </c>
      <c r="W467">
        <f>IF(Q467="P",IF(F467="",0,IFNA(VLOOKUP(F467,Pitcher_Trait_Coef!$A:$B,2,FALSE),0))+IF(G467="",0,IFNA(VLOOKUP(G467,Pitcher_Trait_Coef!$A:$B,2,FALSE),0)),IF(F467="",0,IFNA(VLOOKUP(F467,Hitter_Trait_Coef!$A:$B,2,FALSE),0))+IF(G467="",0,IFNA(VLOOKUP(G467,Hitter_Trait_Coef!$A:$B,2,FALSE),0)))</f>
        <v/>
      </c>
      <c r="X467">
        <f>IF(Q467="P",IFNA(VLOOKUP(B467,Pitcher_Primary_Coef!$A:$B,2,FALSE),0),IFNA(VLOOKUP(B467,Hitter_Primary_Coef!$A:$B,2,FALSE),0))</f>
        <v/>
      </c>
      <c r="Y467">
        <f>IF(Q467="P",0,IFNA(VLOOKUP(IF(C467="","(none)",C467),Hitter_Secondary_Coef!$A:$B,2,FALSE),0))</f>
        <v/>
      </c>
      <c r="Z467">
        <f>IF(Q467="P",IF(ISNUMBER(SEARCH("2F",H467)),IFNA(VLOOKUP("2F",Pitch_Coef!$A:$B,2,FALSE),0),0)+IF(ISNUMBER(SEARCH("4F",H467)),IFNA(VLOOKUP("4F",Pitch_Coef!$A:$B,2,FALSE),0),0)+IF(ISNUMBER(SEARCH("CB",H467)),IFNA(VLOOKUP("CB",Pitch_Coef!$A:$B,2,FALSE),0),0)+IF(ISNUMBER(SEARCH("CF",H467)),IFNA(VLOOKUP("CF",Pitch_Coef!$A:$B,2,FALSE),0),0)+IF(ISNUMBER(SEARCH("CH",H467)),IFNA(VLOOKUP("CH",Pitch_Coef!$A:$B,2,FALSE),0),0)+IF(ISNUMBER(SEARCH("FK",H467)),IFNA(VLOOKUP("FK",Pitch_Coef!$A:$B,2,FALSE),0),0)+IF(ISNUMBER(SEARCH("SB",H467)),IFNA(VLOOKUP("SB",Pitch_Coef!$A:$B,2,FALSE),0),0)+IF(ISNUMBER(SEARCH("SL",H467)),IFNA(VLOOKUP("SL",Pitch_Coef!$A:$B,2,FALSE),0),0),0)</f>
        <v/>
      </c>
      <c r="AA467">
        <f>IF(Q467="P",16.5944849573+0.2529999141*N467+0.2665900378*O467+0.2632687105*P467+0.0427586837*I467+0.0534777057*J467+0.009015832*K467+0.0204898106*(O467*P467/100)+1.0091022427*U467+1.0968542297*IF(D467="L",1,0)+0.3771555045*IF(D467="S",1,0)-0.2226159177*IF(E467="L",1,0)+1.21385024*R467-1.1652812274*S467+W467+X467+Z467,10.5965166711+0.2825983581*I467+0.2806503532*J467+0.2027213083*K467+0.1147824982*L467+0.0915305332*M467-0.0088454122*(I467*J467/100)-0.0336045706*(K467*L467/100)+2.8497389733*IF(D467="L",1,0)+4.5116226727*IF(D467="S",1,0)-0.6571546448*IF(E467="L",1,0)+0.0850728147*T467+0.0129488446*(T467*T467)+0.1909373936*IF(OR(F467="Utility",G467="Utility"),T467,0)+0.9656824071*R467-1.7517683256*S467+W467+X467+Y467)</f>
        <v/>
      </c>
      <c r="AB467">
        <f>LOOKUP(AA467,Grade_Scale!$A$2:$A$18,Grade_Scale!$B$2:$B$18)</f>
        <v/>
      </c>
      <c r="AC467">
        <f>LOOKUP(AA467,Grade_Scale!$A$2:$A$18,Grade_Scale!$C$2:$C$18)</f>
        <v/>
      </c>
      <c r="AE467">
        <f>IF(AD467="","",AB467-VLOOKUP(AD467,Grade_Scale!$C$2:$E$18,3,FALSE))</f>
        <v/>
      </c>
    </row>
    <row r="468">
      <c r="Q468">
        <f>IF(OR(B468="SP",B468="RP",B468="CP",B468="SP/RP"),"P","H")</f>
        <v/>
      </c>
      <c r="R468">
        <f>IF(F468="",0,IFNA(VLOOKUP(F468,Trait_Polarity!$A:$C,2,FALSE),0))+IF(G468="",0,IFNA(VLOOKUP(G468,Trait_Polarity!$A:$C,2,FALSE),0))</f>
        <v/>
      </c>
      <c r="S468">
        <f>IF(F468="",0,IFNA(VLOOKUP(F468,Trait_Polarity!$A:$C,3,FALSE),0))+IF(G468="",0,IFNA(VLOOKUP(G468,Trait_Polarity!$A:$C,3,FALSE),0))</f>
        <v/>
      </c>
      <c r="T468">
        <f>IF(Q468="P",0,IFNA(VLOOKUP(IF(C468="","(none)",C468),Secondary_Versatility!$A:$B,2,FALSE),0))</f>
        <v/>
      </c>
      <c r="U468">
        <f>IF(H468="",0,LEN(H468)-LEN(SUBSTITUTE(H468,"|",""))+1)</f>
        <v/>
      </c>
      <c r="V468">
        <f>IF(Q468="P",(N468+O468+P468)/3,0.3*I468+0.3*J468+0.2*K468+0.1*L468+0.1*M468)</f>
        <v/>
      </c>
      <c r="W468">
        <f>IF(Q468="P",IF(F468="",0,IFNA(VLOOKUP(F468,Pitcher_Trait_Coef!$A:$B,2,FALSE),0))+IF(G468="",0,IFNA(VLOOKUP(G468,Pitcher_Trait_Coef!$A:$B,2,FALSE),0)),IF(F468="",0,IFNA(VLOOKUP(F468,Hitter_Trait_Coef!$A:$B,2,FALSE),0))+IF(G468="",0,IFNA(VLOOKUP(G468,Hitter_Trait_Coef!$A:$B,2,FALSE),0)))</f>
        <v/>
      </c>
      <c r="X468">
        <f>IF(Q468="P",IFNA(VLOOKUP(B468,Pitcher_Primary_Coef!$A:$B,2,FALSE),0),IFNA(VLOOKUP(B468,Hitter_Primary_Coef!$A:$B,2,FALSE),0))</f>
        <v/>
      </c>
      <c r="Y468">
        <f>IF(Q468="P",0,IFNA(VLOOKUP(IF(C468="","(none)",C468),Hitter_Secondary_Coef!$A:$B,2,FALSE),0))</f>
        <v/>
      </c>
      <c r="Z468">
        <f>IF(Q468="P",IF(ISNUMBER(SEARCH("2F",H468)),IFNA(VLOOKUP("2F",Pitch_Coef!$A:$B,2,FALSE),0),0)+IF(ISNUMBER(SEARCH("4F",H468)),IFNA(VLOOKUP("4F",Pitch_Coef!$A:$B,2,FALSE),0),0)+IF(ISNUMBER(SEARCH("CB",H468)),IFNA(VLOOKUP("CB",Pitch_Coef!$A:$B,2,FALSE),0),0)+IF(ISNUMBER(SEARCH("CF",H468)),IFNA(VLOOKUP("CF",Pitch_Coef!$A:$B,2,FALSE),0),0)+IF(ISNUMBER(SEARCH("CH",H468)),IFNA(VLOOKUP("CH",Pitch_Coef!$A:$B,2,FALSE),0),0)+IF(ISNUMBER(SEARCH("FK",H468)),IFNA(VLOOKUP("FK",Pitch_Coef!$A:$B,2,FALSE),0),0)+IF(ISNUMBER(SEARCH("SB",H468)),IFNA(VLOOKUP("SB",Pitch_Coef!$A:$B,2,FALSE),0),0)+IF(ISNUMBER(SEARCH("SL",H468)),IFNA(VLOOKUP("SL",Pitch_Coef!$A:$B,2,FALSE),0),0),0)</f>
        <v/>
      </c>
      <c r="AA468">
        <f>IF(Q468="P",16.5944849573+0.2529999141*N468+0.2665900378*O468+0.2632687105*P468+0.0427586837*I468+0.0534777057*J468+0.009015832*K468+0.0204898106*(O468*P468/100)+1.0091022427*U468+1.0968542297*IF(D468="L",1,0)+0.3771555045*IF(D468="S",1,0)-0.2226159177*IF(E468="L",1,0)+1.21385024*R468-1.1652812274*S468+W468+X468+Z468,10.5965166711+0.2825983581*I468+0.2806503532*J468+0.2027213083*K468+0.1147824982*L468+0.0915305332*M468-0.0088454122*(I468*J468/100)-0.0336045706*(K468*L468/100)+2.8497389733*IF(D468="L",1,0)+4.5116226727*IF(D468="S",1,0)-0.6571546448*IF(E468="L",1,0)+0.0850728147*T468+0.0129488446*(T468*T468)+0.1909373936*IF(OR(F468="Utility",G468="Utility"),T468,0)+0.9656824071*R468-1.7517683256*S468+W468+X468+Y468)</f>
        <v/>
      </c>
      <c r="AB468">
        <f>LOOKUP(AA468,Grade_Scale!$A$2:$A$18,Grade_Scale!$B$2:$B$18)</f>
        <v/>
      </c>
      <c r="AC468">
        <f>LOOKUP(AA468,Grade_Scale!$A$2:$A$18,Grade_Scale!$C$2:$C$18)</f>
        <v/>
      </c>
      <c r="AE468">
        <f>IF(AD468="","",AB468-VLOOKUP(AD468,Grade_Scale!$C$2:$E$18,3,FALSE))</f>
        <v/>
      </c>
    </row>
    <row r="469">
      <c r="Q469">
        <f>IF(OR(B469="SP",B469="RP",B469="CP",B469="SP/RP"),"P","H")</f>
        <v/>
      </c>
      <c r="R469">
        <f>IF(F469="",0,IFNA(VLOOKUP(F469,Trait_Polarity!$A:$C,2,FALSE),0))+IF(G469="",0,IFNA(VLOOKUP(G469,Trait_Polarity!$A:$C,2,FALSE),0))</f>
        <v/>
      </c>
      <c r="S469">
        <f>IF(F469="",0,IFNA(VLOOKUP(F469,Trait_Polarity!$A:$C,3,FALSE),0))+IF(G469="",0,IFNA(VLOOKUP(G469,Trait_Polarity!$A:$C,3,FALSE),0))</f>
        <v/>
      </c>
      <c r="T469">
        <f>IF(Q469="P",0,IFNA(VLOOKUP(IF(C469="","(none)",C469),Secondary_Versatility!$A:$B,2,FALSE),0))</f>
        <v/>
      </c>
      <c r="U469">
        <f>IF(H469="",0,LEN(H469)-LEN(SUBSTITUTE(H469,"|",""))+1)</f>
        <v/>
      </c>
      <c r="V469">
        <f>IF(Q469="P",(N469+O469+P469)/3,0.3*I469+0.3*J469+0.2*K469+0.1*L469+0.1*M469)</f>
        <v/>
      </c>
      <c r="W469">
        <f>IF(Q469="P",IF(F469="",0,IFNA(VLOOKUP(F469,Pitcher_Trait_Coef!$A:$B,2,FALSE),0))+IF(G469="",0,IFNA(VLOOKUP(G469,Pitcher_Trait_Coef!$A:$B,2,FALSE),0)),IF(F469="",0,IFNA(VLOOKUP(F469,Hitter_Trait_Coef!$A:$B,2,FALSE),0))+IF(G469="",0,IFNA(VLOOKUP(G469,Hitter_Trait_Coef!$A:$B,2,FALSE),0)))</f>
        <v/>
      </c>
      <c r="X469">
        <f>IF(Q469="P",IFNA(VLOOKUP(B469,Pitcher_Primary_Coef!$A:$B,2,FALSE),0),IFNA(VLOOKUP(B469,Hitter_Primary_Coef!$A:$B,2,FALSE),0))</f>
        <v/>
      </c>
      <c r="Y469">
        <f>IF(Q469="P",0,IFNA(VLOOKUP(IF(C469="","(none)",C469),Hitter_Secondary_Coef!$A:$B,2,FALSE),0))</f>
        <v/>
      </c>
      <c r="Z469">
        <f>IF(Q469="P",IF(ISNUMBER(SEARCH("2F",H469)),IFNA(VLOOKUP("2F",Pitch_Coef!$A:$B,2,FALSE),0),0)+IF(ISNUMBER(SEARCH("4F",H469)),IFNA(VLOOKUP("4F",Pitch_Coef!$A:$B,2,FALSE),0),0)+IF(ISNUMBER(SEARCH("CB",H469)),IFNA(VLOOKUP("CB",Pitch_Coef!$A:$B,2,FALSE),0),0)+IF(ISNUMBER(SEARCH("CF",H469)),IFNA(VLOOKUP("CF",Pitch_Coef!$A:$B,2,FALSE),0),0)+IF(ISNUMBER(SEARCH("CH",H469)),IFNA(VLOOKUP("CH",Pitch_Coef!$A:$B,2,FALSE),0),0)+IF(ISNUMBER(SEARCH("FK",H469)),IFNA(VLOOKUP("FK",Pitch_Coef!$A:$B,2,FALSE),0),0)+IF(ISNUMBER(SEARCH("SB",H469)),IFNA(VLOOKUP("SB",Pitch_Coef!$A:$B,2,FALSE),0),0)+IF(ISNUMBER(SEARCH("SL",H469)),IFNA(VLOOKUP("SL",Pitch_Coef!$A:$B,2,FALSE),0),0),0)</f>
        <v/>
      </c>
      <c r="AA469">
        <f>IF(Q469="P",16.5944849573+0.2529999141*N469+0.2665900378*O469+0.2632687105*P469+0.0427586837*I469+0.0534777057*J469+0.009015832*K469+0.0204898106*(O469*P469/100)+1.0091022427*U469+1.0968542297*IF(D469="L",1,0)+0.3771555045*IF(D469="S",1,0)-0.2226159177*IF(E469="L",1,0)+1.21385024*R469-1.1652812274*S469+W469+X469+Z469,10.5965166711+0.2825983581*I469+0.2806503532*J469+0.2027213083*K469+0.1147824982*L469+0.0915305332*M469-0.0088454122*(I469*J469/100)-0.0336045706*(K469*L469/100)+2.8497389733*IF(D469="L",1,0)+4.5116226727*IF(D469="S",1,0)-0.6571546448*IF(E469="L",1,0)+0.0850728147*T469+0.0129488446*(T469*T469)+0.1909373936*IF(OR(F469="Utility",G469="Utility"),T469,0)+0.9656824071*R469-1.7517683256*S469+W469+X469+Y469)</f>
        <v/>
      </c>
      <c r="AB469">
        <f>LOOKUP(AA469,Grade_Scale!$A$2:$A$18,Grade_Scale!$B$2:$B$18)</f>
        <v/>
      </c>
      <c r="AC469">
        <f>LOOKUP(AA469,Grade_Scale!$A$2:$A$18,Grade_Scale!$C$2:$C$18)</f>
        <v/>
      </c>
      <c r="AE469">
        <f>IF(AD469="","",AB469-VLOOKUP(AD469,Grade_Scale!$C$2:$E$18,3,FALSE))</f>
        <v/>
      </c>
    </row>
    <row r="470">
      <c r="Q470">
        <f>IF(OR(B470="SP",B470="RP",B470="CP",B470="SP/RP"),"P","H")</f>
        <v/>
      </c>
      <c r="R470">
        <f>IF(F470="",0,IFNA(VLOOKUP(F470,Trait_Polarity!$A:$C,2,FALSE),0))+IF(G470="",0,IFNA(VLOOKUP(G470,Trait_Polarity!$A:$C,2,FALSE),0))</f>
        <v/>
      </c>
      <c r="S470">
        <f>IF(F470="",0,IFNA(VLOOKUP(F470,Trait_Polarity!$A:$C,3,FALSE),0))+IF(G470="",0,IFNA(VLOOKUP(G470,Trait_Polarity!$A:$C,3,FALSE),0))</f>
        <v/>
      </c>
      <c r="T470">
        <f>IF(Q470="P",0,IFNA(VLOOKUP(IF(C470="","(none)",C470),Secondary_Versatility!$A:$B,2,FALSE),0))</f>
        <v/>
      </c>
      <c r="U470">
        <f>IF(H470="",0,LEN(H470)-LEN(SUBSTITUTE(H470,"|",""))+1)</f>
        <v/>
      </c>
      <c r="V470">
        <f>IF(Q470="P",(N470+O470+P470)/3,0.3*I470+0.3*J470+0.2*K470+0.1*L470+0.1*M470)</f>
        <v/>
      </c>
      <c r="W470">
        <f>IF(Q470="P",IF(F470="",0,IFNA(VLOOKUP(F470,Pitcher_Trait_Coef!$A:$B,2,FALSE),0))+IF(G470="",0,IFNA(VLOOKUP(G470,Pitcher_Trait_Coef!$A:$B,2,FALSE),0)),IF(F470="",0,IFNA(VLOOKUP(F470,Hitter_Trait_Coef!$A:$B,2,FALSE),0))+IF(G470="",0,IFNA(VLOOKUP(G470,Hitter_Trait_Coef!$A:$B,2,FALSE),0)))</f>
        <v/>
      </c>
      <c r="X470">
        <f>IF(Q470="P",IFNA(VLOOKUP(B470,Pitcher_Primary_Coef!$A:$B,2,FALSE),0),IFNA(VLOOKUP(B470,Hitter_Primary_Coef!$A:$B,2,FALSE),0))</f>
        <v/>
      </c>
      <c r="Y470">
        <f>IF(Q470="P",0,IFNA(VLOOKUP(IF(C470="","(none)",C470),Hitter_Secondary_Coef!$A:$B,2,FALSE),0))</f>
        <v/>
      </c>
      <c r="Z470">
        <f>IF(Q470="P",IF(ISNUMBER(SEARCH("2F",H470)),IFNA(VLOOKUP("2F",Pitch_Coef!$A:$B,2,FALSE),0),0)+IF(ISNUMBER(SEARCH("4F",H470)),IFNA(VLOOKUP("4F",Pitch_Coef!$A:$B,2,FALSE),0),0)+IF(ISNUMBER(SEARCH("CB",H470)),IFNA(VLOOKUP("CB",Pitch_Coef!$A:$B,2,FALSE),0),0)+IF(ISNUMBER(SEARCH("CF",H470)),IFNA(VLOOKUP("CF",Pitch_Coef!$A:$B,2,FALSE),0),0)+IF(ISNUMBER(SEARCH("CH",H470)),IFNA(VLOOKUP("CH",Pitch_Coef!$A:$B,2,FALSE),0),0)+IF(ISNUMBER(SEARCH("FK",H470)),IFNA(VLOOKUP("FK",Pitch_Coef!$A:$B,2,FALSE),0),0)+IF(ISNUMBER(SEARCH("SB",H470)),IFNA(VLOOKUP("SB",Pitch_Coef!$A:$B,2,FALSE),0),0)+IF(ISNUMBER(SEARCH("SL",H470)),IFNA(VLOOKUP("SL",Pitch_Coef!$A:$B,2,FALSE),0),0),0)</f>
        <v/>
      </c>
      <c r="AA470">
        <f>IF(Q470="P",16.5944849573+0.2529999141*N470+0.2665900378*O470+0.2632687105*P470+0.0427586837*I470+0.0534777057*J470+0.009015832*K470+0.0204898106*(O470*P470/100)+1.0091022427*U470+1.0968542297*IF(D470="L",1,0)+0.3771555045*IF(D470="S",1,0)-0.2226159177*IF(E470="L",1,0)+1.21385024*R470-1.1652812274*S470+W470+X470+Z470,10.5965166711+0.2825983581*I470+0.2806503532*J470+0.2027213083*K470+0.1147824982*L470+0.0915305332*M470-0.0088454122*(I470*J470/100)-0.0336045706*(K470*L470/100)+2.8497389733*IF(D470="L",1,0)+4.5116226727*IF(D470="S",1,0)-0.6571546448*IF(E470="L",1,0)+0.0850728147*T470+0.0129488446*(T470*T470)+0.1909373936*IF(OR(F470="Utility",G470="Utility"),T470,0)+0.9656824071*R470-1.7517683256*S470+W470+X470+Y470)</f>
        <v/>
      </c>
      <c r="AB470">
        <f>LOOKUP(AA470,Grade_Scale!$A$2:$A$18,Grade_Scale!$B$2:$B$18)</f>
        <v/>
      </c>
      <c r="AC470">
        <f>LOOKUP(AA470,Grade_Scale!$A$2:$A$18,Grade_Scale!$C$2:$C$18)</f>
        <v/>
      </c>
      <c r="AE470">
        <f>IF(AD470="","",AB470-VLOOKUP(AD470,Grade_Scale!$C$2:$E$18,3,FALSE))</f>
        <v/>
      </c>
    </row>
    <row r="471">
      <c r="Q471">
        <f>IF(OR(B471="SP",B471="RP",B471="CP",B471="SP/RP"),"P","H")</f>
        <v/>
      </c>
      <c r="R471">
        <f>IF(F471="",0,IFNA(VLOOKUP(F471,Trait_Polarity!$A:$C,2,FALSE),0))+IF(G471="",0,IFNA(VLOOKUP(G471,Trait_Polarity!$A:$C,2,FALSE),0))</f>
        <v/>
      </c>
      <c r="S471">
        <f>IF(F471="",0,IFNA(VLOOKUP(F471,Trait_Polarity!$A:$C,3,FALSE),0))+IF(G471="",0,IFNA(VLOOKUP(G471,Trait_Polarity!$A:$C,3,FALSE),0))</f>
        <v/>
      </c>
      <c r="T471">
        <f>IF(Q471="P",0,IFNA(VLOOKUP(IF(C471="","(none)",C471),Secondary_Versatility!$A:$B,2,FALSE),0))</f>
        <v/>
      </c>
      <c r="U471">
        <f>IF(H471="",0,LEN(H471)-LEN(SUBSTITUTE(H471,"|",""))+1)</f>
        <v/>
      </c>
      <c r="V471">
        <f>IF(Q471="P",(N471+O471+P471)/3,0.3*I471+0.3*J471+0.2*K471+0.1*L471+0.1*M471)</f>
        <v/>
      </c>
      <c r="W471">
        <f>IF(Q471="P",IF(F471="",0,IFNA(VLOOKUP(F471,Pitcher_Trait_Coef!$A:$B,2,FALSE),0))+IF(G471="",0,IFNA(VLOOKUP(G471,Pitcher_Trait_Coef!$A:$B,2,FALSE),0)),IF(F471="",0,IFNA(VLOOKUP(F471,Hitter_Trait_Coef!$A:$B,2,FALSE),0))+IF(G471="",0,IFNA(VLOOKUP(G471,Hitter_Trait_Coef!$A:$B,2,FALSE),0)))</f>
        <v/>
      </c>
      <c r="X471">
        <f>IF(Q471="P",IFNA(VLOOKUP(B471,Pitcher_Primary_Coef!$A:$B,2,FALSE),0),IFNA(VLOOKUP(B471,Hitter_Primary_Coef!$A:$B,2,FALSE),0))</f>
        <v/>
      </c>
      <c r="Y471">
        <f>IF(Q471="P",0,IFNA(VLOOKUP(IF(C471="","(none)",C471),Hitter_Secondary_Coef!$A:$B,2,FALSE),0))</f>
        <v/>
      </c>
      <c r="Z471">
        <f>IF(Q471="P",IF(ISNUMBER(SEARCH("2F",H471)),IFNA(VLOOKUP("2F",Pitch_Coef!$A:$B,2,FALSE),0),0)+IF(ISNUMBER(SEARCH("4F",H471)),IFNA(VLOOKUP("4F",Pitch_Coef!$A:$B,2,FALSE),0),0)+IF(ISNUMBER(SEARCH("CB",H471)),IFNA(VLOOKUP("CB",Pitch_Coef!$A:$B,2,FALSE),0),0)+IF(ISNUMBER(SEARCH("CF",H471)),IFNA(VLOOKUP("CF",Pitch_Coef!$A:$B,2,FALSE),0),0)+IF(ISNUMBER(SEARCH("CH",H471)),IFNA(VLOOKUP("CH",Pitch_Coef!$A:$B,2,FALSE),0),0)+IF(ISNUMBER(SEARCH("FK",H471)),IFNA(VLOOKUP("FK",Pitch_Coef!$A:$B,2,FALSE),0),0)+IF(ISNUMBER(SEARCH("SB",H471)),IFNA(VLOOKUP("SB",Pitch_Coef!$A:$B,2,FALSE),0),0)+IF(ISNUMBER(SEARCH("SL",H471)),IFNA(VLOOKUP("SL",Pitch_Coef!$A:$B,2,FALSE),0),0),0)</f>
        <v/>
      </c>
      <c r="AA471">
        <f>IF(Q471="P",16.5944849573+0.2529999141*N471+0.2665900378*O471+0.2632687105*P471+0.0427586837*I471+0.0534777057*J471+0.009015832*K471+0.0204898106*(O471*P471/100)+1.0091022427*U471+1.0968542297*IF(D471="L",1,0)+0.3771555045*IF(D471="S",1,0)-0.2226159177*IF(E471="L",1,0)+1.21385024*R471-1.1652812274*S471+W471+X471+Z471,10.5965166711+0.2825983581*I471+0.2806503532*J471+0.2027213083*K471+0.1147824982*L471+0.0915305332*M471-0.0088454122*(I471*J471/100)-0.0336045706*(K471*L471/100)+2.8497389733*IF(D471="L",1,0)+4.5116226727*IF(D471="S",1,0)-0.6571546448*IF(E471="L",1,0)+0.0850728147*T471+0.0129488446*(T471*T471)+0.1909373936*IF(OR(F471="Utility",G471="Utility"),T471,0)+0.9656824071*R471-1.7517683256*S471+W471+X471+Y471)</f>
        <v/>
      </c>
      <c r="AB471">
        <f>LOOKUP(AA471,Grade_Scale!$A$2:$A$18,Grade_Scale!$B$2:$B$18)</f>
        <v/>
      </c>
      <c r="AC471">
        <f>LOOKUP(AA471,Grade_Scale!$A$2:$A$18,Grade_Scale!$C$2:$C$18)</f>
        <v/>
      </c>
      <c r="AE471">
        <f>IF(AD471="","",AB471-VLOOKUP(AD471,Grade_Scale!$C$2:$E$18,3,FALSE))</f>
        <v/>
      </c>
    </row>
    <row r="472">
      <c r="Q472">
        <f>IF(OR(B472="SP",B472="RP",B472="CP",B472="SP/RP"),"P","H")</f>
        <v/>
      </c>
      <c r="R472">
        <f>IF(F472="",0,IFNA(VLOOKUP(F472,Trait_Polarity!$A:$C,2,FALSE),0))+IF(G472="",0,IFNA(VLOOKUP(G472,Trait_Polarity!$A:$C,2,FALSE),0))</f>
        <v/>
      </c>
      <c r="S472">
        <f>IF(F472="",0,IFNA(VLOOKUP(F472,Trait_Polarity!$A:$C,3,FALSE),0))+IF(G472="",0,IFNA(VLOOKUP(G472,Trait_Polarity!$A:$C,3,FALSE),0))</f>
        <v/>
      </c>
      <c r="T472">
        <f>IF(Q472="P",0,IFNA(VLOOKUP(IF(C472="","(none)",C472),Secondary_Versatility!$A:$B,2,FALSE),0))</f>
        <v/>
      </c>
      <c r="U472">
        <f>IF(H472="",0,LEN(H472)-LEN(SUBSTITUTE(H472,"|",""))+1)</f>
        <v/>
      </c>
      <c r="V472">
        <f>IF(Q472="P",(N472+O472+P472)/3,0.3*I472+0.3*J472+0.2*K472+0.1*L472+0.1*M472)</f>
        <v/>
      </c>
      <c r="W472">
        <f>IF(Q472="P",IF(F472="",0,IFNA(VLOOKUP(F472,Pitcher_Trait_Coef!$A:$B,2,FALSE),0))+IF(G472="",0,IFNA(VLOOKUP(G472,Pitcher_Trait_Coef!$A:$B,2,FALSE),0)),IF(F472="",0,IFNA(VLOOKUP(F472,Hitter_Trait_Coef!$A:$B,2,FALSE),0))+IF(G472="",0,IFNA(VLOOKUP(G472,Hitter_Trait_Coef!$A:$B,2,FALSE),0)))</f>
        <v/>
      </c>
      <c r="X472">
        <f>IF(Q472="P",IFNA(VLOOKUP(B472,Pitcher_Primary_Coef!$A:$B,2,FALSE),0),IFNA(VLOOKUP(B472,Hitter_Primary_Coef!$A:$B,2,FALSE),0))</f>
        <v/>
      </c>
      <c r="Y472">
        <f>IF(Q472="P",0,IFNA(VLOOKUP(IF(C472="","(none)",C472),Hitter_Secondary_Coef!$A:$B,2,FALSE),0))</f>
        <v/>
      </c>
      <c r="Z472">
        <f>IF(Q472="P",IF(ISNUMBER(SEARCH("2F",H472)),IFNA(VLOOKUP("2F",Pitch_Coef!$A:$B,2,FALSE),0),0)+IF(ISNUMBER(SEARCH("4F",H472)),IFNA(VLOOKUP("4F",Pitch_Coef!$A:$B,2,FALSE),0),0)+IF(ISNUMBER(SEARCH("CB",H472)),IFNA(VLOOKUP("CB",Pitch_Coef!$A:$B,2,FALSE),0),0)+IF(ISNUMBER(SEARCH("CF",H472)),IFNA(VLOOKUP("CF",Pitch_Coef!$A:$B,2,FALSE),0),0)+IF(ISNUMBER(SEARCH("CH",H472)),IFNA(VLOOKUP("CH",Pitch_Coef!$A:$B,2,FALSE),0),0)+IF(ISNUMBER(SEARCH("FK",H472)),IFNA(VLOOKUP("FK",Pitch_Coef!$A:$B,2,FALSE),0),0)+IF(ISNUMBER(SEARCH("SB",H472)),IFNA(VLOOKUP("SB",Pitch_Coef!$A:$B,2,FALSE),0),0)+IF(ISNUMBER(SEARCH("SL",H472)),IFNA(VLOOKUP("SL",Pitch_Coef!$A:$B,2,FALSE),0),0),0)</f>
        <v/>
      </c>
      <c r="AA472">
        <f>IF(Q472="P",16.5944849573+0.2529999141*N472+0.2665900378*O472+0.2632687105*P472+0.0427586837*I472+0.0534777057*J472+0.009015832*K472+0.0204898106*(O472*P472/100)+1.0091022427*U472+1.0968542297*IF(D472="L",1,0)+0.3771555045*IF(D472="S",1,0)-0.2226159177*IF(E472="L",1,0)+1.21385024*R472-1.1652812274*S472+W472+X472+Z472,10.5965166711+0.2825983581*I472+0.2806503532*J472+0.2027213083*K472+0.1147824982*L472+0.0915305332*M472-0.0088454122*(I472*J472/100)-0.0336045706*(K472*L472/100)+2.8497389733*IF(D472="L",1,0)+4.5116226727*IF(D472="S",1,0)-0.6571546448*IF(E472="L",1,0)+0.0850728147*T472+0.0129488446*(T472*T472)+0.1909373936*IF(OR(F472="Utility",G472="Utility"),T472,0)+0.9656824071*R472-1.7517683256*S472+W472+X472+Y472)</f>
        <v/>
      </c>
      <c r="AB472">
        <f>LOOKUP(AA472,Grade_Scale!$A$2:$A$18,Grade_Scale!$B$2:$B$18)</f>
        <v/>
      </c>
      <c r="AC472">
        <f>LOOKUP(AA472,Grade_Scale!$A$2:$A$18,Grade_Scale!$C$2:$C$18)</f>
        <v/>
      </c>
      <c r="AE472">
        <f>IF(AD472="","",AB472-VLOOKUP(AD472,Grade_Scale!$C$2:$E$18,3,FALSE))</f>
        <v/>
      </c>
    </row>
    <row r="473">
      <c r="Q473">
        <f>IF(OR(B473="SP",B473="RP",B473="CP",B473="SP/RP"),"P","H")</f>
        <v/>
      </c>
      <c r="R473">
        <f>IF(F473="",0,IFNA(VLOOKUP(F473,Trait_Polarity!$A:$C,2,FALSE),0))+IF(G473="",0,IFNA(VLOOKUP(G473,Trait_Polarity!$A:$C,2,FALSE),0))</f>
        <v/>
      </c>
      <c r="S473">
        <f>IF(F473="",0,IFNA(VLOOKUP(F473,Trait_Polarity!$A:$C,3,FALSE),0))+IF(G473="",0,IFNA(VLOOKUP(G473,Trait_Polarity!$A:$C,3,FALSE),0))</f>
        <v/>
      </c>
      <c r="T473">
        <f>IF(Q473="P",0,IFNA(VLOOKUP(IF(C473="","(none)",C473),Secondary_Versatility!$A:$B,2,FALSE),0))</f>
        <v/>
      </c>
      <c r="U473">
        <f>IF(H473="",0,LEN(H473)-LEN(SUBSTITUTE(H473,"|",""))+1)</f>
        <v/>
      </c>
      <c r="V473">
        <f>IF(Q473="P",(N473+O473+P473)/3,0.3*I473+0.3*J473+0.2*K473+0.1*L473+0.1*M473)</f>
        <v/>
      </c>
      <c r="W473">
        <f>IF(Q473="P",IF(F473="",0,IFNA(VLOOKUP(F473,Pitcher_Trait_Coef!$A:$B,2,FALSE),0))+IF(G473="",0,IFNA(VLOOKUP(G473,Pitcher_Trait_Coef!$A:$B,2,FALSE),0)),IF(F473="",0,IFNA(VLOOKUP(F473,Hitter_Trait_Coef!$A:$B,2,FALSE),0))+IF(G473="",0,IFNA(VLOOKUP(G473,Hitter_Trait_Coef!$A:$B,2,FALSE),0)))</f>
        <v/>
      </c>
      <c r="X473">
        <f>IF(Q473="P",IFNA(VLOOKUP(B473,Pitcher_Primary_Coef!$A:$B,2,FALSE),0),IFNA(VLOOKUP(B473,Hitter_Primary_Coef!$A:$B,2,FALSE),0))</f>
        <v/>
      </c>
      <c r="Y473">
        <f>IF(Q473="P",0,IFNA(VLOOKUP(IF(C473="","(none)",C473),Hitter_Secondary_Coef!$A:$B,2,FALSE),0))</f>
        <v/>
      </c>
      <c r="Z473">
        <f>IF(Q473="P",IF(ISNUMBER(SEARCH("2F",H473)),IFNA(VLOOKUP("2F",Pitch_Coef!$A:$B,2,FALSE),0),0)+IF(ISNUMBER(SEARCH("4F",H473)),IFNA(VLOOKUP("4F",Pitch_Coef!$A:$B,2,FALSE),0),0)+IF(ISNUMBER(SEARCH("CB",H473)),IFNA(VLOOKUP("CB",Pitch_Coef!$A:$B,2,FALSE),0),0)+IF(ISNUMBER(SEARCH("CF",H473)),IFNA(VLOOKUP("CF",Pitch_Coef!$A:$B,2,FALSE),0),0)+IF(ISNUMBER(SEARCH("CH",H473)),IFNA(VLOOKUP("CH",Pitch_Coef!$A:$B,2,FALSE),0),0)+IF(ISNUMBER(SEARCH("FK",H473)),IFNA(VLOOKUP("FK",Pitch_Coef!$A:$B,2,FALSE),0),0)+IF(ISNUMBER(SEARCH("SB",H473)),IFNA(VLOOKUP("SB",Pitch_Coef!$A:$B,2,FALSE),0),0)+IF(ISNUMBER(SEARCH("SL",H473)),IFNA(VLOOKUP("SL",Pitch_Coef!$A:$B,2,FALSE),0),0),0)</f>
        <v/>
      </c>
      <c r="AA473">
        <f>IF(Q473="P",16.5944849573+0.2529999141*N473+0.2665900378*O473+0.2632687105*P473+0.0427586837*I473+0.0534777057*J473+0.009015832*K473+0.0204898106*(O473*P473/100)+1.0091022427*U473+1.0968542297*IF(D473="L",1,0)+0.3771555045*IF(D473="S",1,0)-0.2226159177*IF(E473="L",1,0)+1.21385024*R473-1.1652812274*S473+W473+X473+Z473,10.5965166711+0.2825983581*I473+0.2806503532*J473+0.2027213083*K473+0.1147824982*L473+0.0915305332*M473-0.0088454122*(I473*J473/100)-0.0336045706*(K473*L473/100)+2.8497389733*IF(D473="L",1,0)+4.5116226727*IF(D473="S",1,0)-0.6571546448*IF(E473="L",1,0)+0.0850728147*T473+0.0129488446*(T473*T473)+0.1909373936*IF(OR(F473="Utility",G473="Utility"),T473,0)+0.9656824071*R473-1.7517683256*S473+W473+X473+Y473)</f>
        <v/>
      </c>
      <c r="AB473">
        <f>LOOKUP(AA473,Grade_Scale!$A$2:$A$18,Grade_Scale!$B$2:$B$18)</f>
        <v/>
      </c>
      <c r="AC473">
        <f>LOOKUP(AA473,Grade_Scale!$A$2:$A$18,Grade_Scale!$C$2:$C$18)</f>
        <v/>
      </c>
      <c r="AE473">
        <f>IF(AD473="","",AB473-VLOOKUP(AD473,Grade_Scale!$C$2:$E$18,3,FALSE))</f>
        <v/>
      </c>
    </row>
    <row r="474">
      <c r="Q474">
        <f>IF(OR(B474="SP",B474="RP",B474="CP",B474="SP/RP"),"P","H")</f>
        <v/>
      </c>
      <c r="R474">
        <f>IF(F474="",0,IFNA(VLOOKUP(F474,Trait_Polarity!$A:$C,2,FALSE),0))+IF(G474="",0,IFNA(VLOOKUP(G474,Trait_Polarity!$A:$C,2,FALSE),0))</f>
        <v/>
      </c>
      <c r="S474">
        <f>IF(F474="",0,IFNA(VLOOKUP(F474,Trait_Polarity!$A:$C,3,FALSE),0))+IF(G474="",0,IFNA(VLOOKUP(G474,Trait_Polarity!$A:$C,3,FALSE),0))</f>
        <v/>
      </c>
      <c r="T474">
        <f>IF(Q474="P",0,IFNA(VLOOKUP(IF(C474="","(none)",C474),Secondary_Versatility!$A:$B,2,FALSE),0))</f>
        <v/>
      </c>
      <c r="U474">
        <f>IF(H474="",0,LEN(H474)-LEN(SUBSTITUTE(H474,"|",""))+1)</f>
        <v/>
      </c>
      <c r="V474">
        <f>IF(Q474="P",(N474+O474+P474)/3,0.3*I474+0.3*J474+0.2*K474+0.1*L474+0.1*M474)</f>
        <v/>
      </c>
      <c r="W474">
        <f>IF(Q474="P",IF(F474="",0,IFNA(VLOOKUP(F474,Pitcher_Trait_Coef!$A:$B,2,FALSE),0))+IF(G474="",0,IFNA(VLOOKUP(G474,Pitcher_Trait_Coef!$A:$B,2,FALSE),0)),IF(F474="",0,IFNA(VLOOKUP(F474,Hitter_Trait_Coef!$A:$B,2,FALSE),0))+IF(G474="",0,IFNA(VLOOKUP(G474,Hitter_Trait_Coef!$A:$B,2,FALSE),0)))</f>
        <v/>
      </c>
      <c r="X474">
        <f>IF(Q474="P",IFNA(VLOOKUP(B474,Pitcher_Primary_Coef!$A:$B,2,FALSE),0),IFNA(VLOOKUP(B474,Hitter_Primary_Coef!$A:$B,2,FALSE),0))</f>
        <v/>
      </c>
      <c r="Y474">
        <f>IF(Q474="P",0,IFNA(VLOOKUP(IF(C474="","(none)",C474),Hitter_Secondary_Coef!$A:$B,2,FALSE),0))</f>
        <v/>
      </c>
      <c r="Z474">
        <f>IF(Q474="P",IF(ISNUMBER(SEARCH("2F",H474)),IFNA(VLOOKUP("2F",Pitch_Coef!$A:$B,2,FALSE),0),0)+IF(ISNUMBER(SEARCH("4F",H474)),IFNA(VLOOKUP("4F",Pitch_Coef!$A:$B,2,FALSE),0),0)+IF(ISNUMBER(SEARCH("CB",H474)),IFNA(VLOOKUP("CB",Pitch_Coef!$A:$B,2,FALSE),0),0)+IF(ISNUMBER(SEARCH("CF",H474)),IFNA(VLOOKUP("CF",Pitch_Coef!$A:$B,2,FALSE),0),0)+IF(ISNUMBER(SEARCH("CH",H474)),IFNA(VLOOKUP("CH",Pitch_Coef!$A:$B,2,FALSE),0),0)+IF(ISNUMBER(SEARCH("FK",H474)),IFNA(VLOOKUP("FK",Pitch_Coef!$A:$B,2,FALSE),0),0)+IF(ISNUMBER(SEARCH("SB",H474)),IFNA(VLOOKUP("SB",Pitch_Coef!$A:$B,2,FALSE),0),0)+IF(ISNUMBER(SEARCH("SL",H474)),IFNA(VLOOKUP("SL",Pitch_Coef!$A:$B,2,FALSE),0),0),0)</f>
        <v/>
      </c>
      <c r="AA474">
        <f>IF(Q474="P",16.5944849573+0.2529999141*N474+0.2665900378*O474+0.2632687105*P474+0.0427586837*I474+0.0534777057*J474+0.009015832*K474+0.0204898106*(O474*P474/100)+1.0091022427*U474+1.0968542297*IF(D474="L",1,0)+0.3771555045*IF(D474="S",1,0)-0.2226159177*IF(E474="L",1,0)+1.21385024*R474-1.1652812274*S474+W474+X474+Z474,10.5965166711+0.2825983581*I474+0.2806503532*J474+0.2027213083*K474+0.1147824982*L474+0.0915305332*M474-0.0088454122*(I474*J474/100)-0.0336045706*(K474*L474/100)+2.8497389733*IF(D474="L",1,0)+4.5116226727*IF(D474="S",1,0)-0.6571546448*IF(E474="L",1,0)+0.0850728147*T474+0.0129488446*(T474*T474)+0.1909373936*IF(OR(F474="Utility",G474="Utility"),T474,0)+0.9656824071*R474-1.7517683256*S474+W474+X474+Y474)</f>
        <v/>
      </c>
      <c r="AB474">
        <f>LOOKUP(AA474,Grade_Scale!$A$2:$A$18,Grade_Scale!$B$2:$B$18)</f>
        <v/>
      </c>
      <c r="AC474">
        <f>LOOKUP(AA474,Grade_Scale!$A$2:$A$18,Grade_Scale!$C$2:$C$18)</f>
        <v/>
      </c>
      <c r="AE474">
        <f>IF(AD474="","",AB474-VLOOKUP(AD474,Grade_Scale!$C$2:$E$18,3,FALSE))</f>
        <v/>
      </c>
    </row>
    <row r="475">
      <c r="Q475">
        <f>IF(OR(B475="SP",B475="RP",B475="CP",B475="SP/RP"),"P","H")</f>
        <v/>
      </c>
      <c r="R475">
        <f>IF(F475="",0,IFNA(VLOOKUP(F475,Trait_Polarity!$A:$C,2,FALSE),0))+IF(G475="",0,IFNA(VLOOKUP(G475,Trait_Polarity!$A:$C,2,FALSE),0))</f>
        <v/>
      </c>
      <c r="S475">
        <f>IF(F475="",0,IFNA(VLOOKUP(F475,Trait_Polarity!$A:$C,3,FALSE),0))+IF(G475="",0,IFNA(VLOOKUP(G475,Trait_Polarity!$A:$C,3,FALSE),0))</f>
        <v/>
      </c>
      <c r="T475">
        <f>IF(Q475="P",0,IFNA(VLOOKUP(IF(C475="","(none)",C475),Secondary_Versatility!$A:$B,2,FALSE),0))</f>
        <v/>
      </c>
      <c r="U475">
        <f>IF(H475="",0,LEN(H475)-LEN(SUBSTITUTE(H475,"|",""))+1)</f>
        <v/>
      </c>
      <c r="V475">
        <f>IF(Q475="P",(N475+O475+P475)/3,0.3*I475+0.3*J475+0.2*K475+0.1*L475+0.1*M475)</f>
        <v/>
      </c>
      <c r="W475">
        <f>IF(Q475="P",IF(F475="",0,IFNA(VLOOKUP(F475,Pitcher_Trait_Coef!$A:$B,2,FALSE),0))+IF(G475="",0,IFNA(VLOOKUP(G475,Pitcher_Trait_Coef!$A:$B,2,FALSE),0)),IF(F475="",0,IFNA(VLOOKUP(F475,Hitter_Trait_Coef!$A:$B,2,FALSE),0))+IF(G475="",0,IFNA(VLOOKUP(G475,Hitter_Trait_Coef!$A:$B,2,FALSE),0)))</f>
        <v/>
      </c>
      <c r="X475">
        <f>IF(Q475="P",IFNA(VLOOKUP(B475,Pitcher_Primary_Coef!$A:$B,2,FALSE),0),IFNA(VLOOKUP(B475,Hitter_Primary_Coef!$A:$B,2,FALSE),0))</f>
        <v/>
      </c>
      <c r="Y475">
        <f>IF(Q475="P",0,IFNA(VLOOKUP(IF(C475="","(none)",C475),Hitter_Secondary_Coef!$A:$B,2,FALSE),0))</f>
        <v/>
      </c>
      <c r="Z475">
        <f>IF(Q475="P",IF(ISNUMBER(SEARCH("2F",H475)),IFNA(VLOOKUP("2F",Pitch_Coef!$A:$B,2,FALSE),0),0)+IF(ISNUMBER(SEARCH("4F",H475)),IFNA(VLOOKUP("4F",Pitch_Coef!$A:$B,2,FALSE),0),0)+IF(ISNUMBER(SEARCH("CB",H475)),IFNA(VLOOKUP("CB",Pitch_Coef!$A:$B,2,FALSE),0),0)+IF(ISNUMBER(SEARCH("CF",H475)),IFNA(VLOOKUP("CF",Pitch_Coef!$A:$B,2,FALSE),0),0)+IF(ISNUMBER(SEARCH("CH",H475)),IFNA(VLOOKUP("CH",Pitch_Coef!$A:$B,2,FALSE),0),0)+IF(ISNUMBER(SEARCH("FK",H475)),IFNA(VLOOKUP("FK",Pitch_Coef!$A:$B,2,FALSE),0),0)+IF(ISNUMBER(SEARCH("SB",H475)),IFNA(VLOOKUP("SB",Pitch_Coef!$A:$B,2,FALSE),0),0)+IF(ISNUMBER(SEARCH("SL",H475)),IFNA(VLOOKUP("SL",Pitch_Coef!$A:$B,2,FALSE),0),0),0)</f>
        <v/>
      </c>
      <c r="AA475">
        <f>IF(Q475="P",16.5944849573+0.2529999141*N475+0.2665900378*O475+0.2632687105*P475+0.0427586837*I475+0.0534777057*J475+0.009015832*K475+0.0204898106*(O475*P475/100)+1.0091022427*U475+1.0968542297*IF(D475="L",1,0)+0.3771555045*IF(D475="S",1,0)-0.2226159177*IF(E475="L",1,0)+1.21385024*R475-1.1652812274*S475+W475+X475+Z475,10.5965166711+0.2825983581*I475+0.2806503532*J475+0.2027213083*K475+0.1147824982*L475+0.0915305332*M475-0.0088454122*(I475*J475/100)-0.0336045706*(K475*L475/100)+2.8497389733*IF(D475="L",1,0)+4.5116226727*IF(D475="S",1,0)-0.6571546448*IF(E475="L",1,0)+0.0850728147*T475+0.0129488446*(T475*T475)+0.1909373936*IF(OR(F475="Utility",G475="Utility"),T475,0)+0.9656824071*R475-1.7517683256*S475+W475+X475+Y475)</f>
        <v/>
      </c>
      <c r="AB475">
        <f>LOOKUP(AA475,Grade_Scale!$A$2:$A$18,Grade_Scale!$B$2:$B$18)</f>
        <v/>
      </c>
      <c r="AC475">
        <f>LOOKUP(AA475,Grade_Scale!$A$2:$A$18,Grade_Scale!$C$2:$C$18)</f>
        <v/>
      </c>
      <c r="AE475">
        <f>IF(AD475="","",AB475-VLOOKUP(AD475,Grade_Scale!$C$2:$E$18,3,FALSE))</f>
        <v/>
      </c>
    </row>
    <row r="476">
      <c r="Q476">
        <f>IF(OR(B476="SP",B476="RP",B476="CP",B476="SP/RP"),"P","H")</f>
        <v/>
      </c>
      <c r="R476">
        <f>IF(F476="",0,IFNA(VLOOKUP(F476,Trait_Polarity!$A:$C,2,FALSE),0))+IF(G476="",0,IFNA(VLOOKUP(G476,Trait_Polarity!$A:$C,2,FALSE),0))</f>
        <v/>
      </c>
      <c r="S476">
        <f>IF(F476="",0,IFNA(VLOOKUP(F476,Trait_Polarity!$A:$C,3,FALSE),0))+IF(G476="",0,IFNA(VLOOKUP(G476,Trait_Polarity!$A:$C,3,FALSE),0))</f>
        <v/>
      </c>
      <c r="T476">
        <f>IF(Q476="P",0,IFNA(VLOOKUP(IF(C476="","(none)",C476),Secondary_Versatility!$A:$B,2,FALSE),0))</f>
        <v/>
      </c>
      <c r="U476">
        <f>IF(H476="",0,LEN(H476)-LEN(SUBSTITUTE(H476,"|",""))+1)</f>
        <v/>
      </c>
      <c r="V476">
        <f>IF(Q476="P",(N476+O476+P476)/3,0.3*I476+0.3*J476+0.2*K476+0.1*L476+0.1*M476)</f>
        <v/>
      </c>
      <c r="W476">
        <f>IF(Q476="P",IF(F476="",0,IFNA(VLOOKUP(F476,Pitcher_Trait_Coef!$A:$B,2,FALSE),0))+IF(G476="",0,IFNA(VLOOKUP(G476,Pitcher_Trait_Coef!$A:$B,2,FALSE),0)),IF(F476="",0,IFNA(VLOOKUP(F476,Hitter_Trait_Coef!$A:$B,2,FALSE),0))+IF(G476="",0,IFNA(VLOOKUP(G476,Hitter_Trait_Coef!$A:$B,2,FALSE),0)))</f>
        <v/>
      </c>
      <c r="X476">
        <f>IF(Q476="P",IFNA(VLOOKUP(B476,Pitcher_Primary_Coef!$A:$B,2,FALSE),0),IFNA(VLOOKUP(B476,Hitter_Primary_Coef!$A:$B,2,FALSE),0))</f>
        <v/>
      </c>
      <c r="Y476">
        <f>IF(Q476="P",0,IFNA(VLOOKUP(IF(C476="","(none)",C476),Hitter_Secondary_Coef!$A:$B,2,FALSE),0))</f>
        <v/>
      </c>
      <c r="Z476">
        <f>IF(Q476="P",IF(ISNUMBER(SEARCH("2F",H476)),IFNA(VLOOKUP("2F",Pitch_Coef!$A:$B,2,FALSE),0),0)+IF(ISNUMBER(SEARCH("4F",H476)),IFNA(VLOOKUP("4F",Pitch_Coef!$A:$B,2,FALSE),0),0)+IF(ISNUMBER(SEARCH("CB",H476)),IFNA(VLOOKUP("CB",Pitch_Coef!$A:$B,2,FALSE),0),0)+IF(ISNUMBER(SEARCH("CF",H476)),IFNA(VLOOKUP("CF",Pitch_Coef!$A:$B,2,FALSE),0),0)+IF(ISNUMBER(SEARCH("CH",H476)),IFNA(VLOOKUP("CH",Pitch_Coef!$A:$B,2,FALSE),0),0)+IF(ISNUMBER(SEARCH("FK",H476)),IFNA(VLOOKUP("FK",Pitch_Coef!$A:$B,2,FALSE),0),0)+IF(ISNUMBER(SEARCH("SB",H476)),IFNA(VLOOKUP("SB",Pitch_Coef!$A:$B,2,FALSE),0),0)+IF(ISNUMBER(SEARCH("SL",H476)),IFNA(VLOOKUP("SL",Pitch_Coef!$A:$B,2,FALSE),0),0),0)</f>
        <v/>
      </c>
      <c r="AA476">
        <f>IF(Q476="P",16.5944849573+0.2529999141*N476+0.2665900378*O476+0.2632687105*P476+0.0427586837*I476+0.0534777057*J476+0.009015832*K476+0.0204898106*(O476*P476/100)+1.0091022427*U476+1.0968542297*IF(D476="L",1,0)+0.3771555045*IF(D476="S",1,0)-0.2226159177*IF(E476="L",1,0)+1.21385024*R476-1.1652812274*S476+W476+X476+Z476,10.5965166711+0.2825983581*I476+0.2806503532*J476+0.2027213083*K476+0.1147824982*L476+0.0915305332*M476-0.0088454122*(I476*J476/100)-0.0336045706*(K476*L476/100)+2.8497389733*IF(D476="L",1,0)+4.5116226727*IF(D476="S",1,0)-0.6571546448*IF(E476="L",1,0)+0.0850728147*T476+0.0129488446*(T476*T476)+0.1909373936*IF(OR(F476="Utility",G476="Utility"),T476,0)+0.9656824071*R476-1.7517683256*S476+W476+X476+Y476)</f>
        <v/>
      </c>
      <c r="AB476">
        <f>LOOKUP(AA476,Grade_Scale!$A$2:$A$18,Grade_Scale!$B$2:$B$18)</f>
        <v/>
      </c>
      <c r="AC476">
        <f>LOOKUP(AA476,Grade_Scale!$A$2:$A$18,Grade_Scale!$C$2:$C$18)</f>
        <v/>
      </c>
      <c r="AE476">
        <f>IF(AD476="","",AB476-VLOOKUP(AD476,Grade_Scale!$C$2:$E$18,3,FALSE))</f>
        <v/>
      </c>
    </row>
    <row r="477">
      <c r="Q477">
        <f>IF(OR(B477="SP",B477="RP",B477="CP",B477="SP/RP"),"P","H")</f>
        <v/>
      </c>
      <c r="R477">
        <f>IF(F477="",0,IFNA(VLOOKUP(F477,Trait_Polarity!$A:$C,2,FALSE),0))+IF(G477="",0,IFNA(VLOOKUP(G477,Trait_Polarity!$A:$C,2,FALSE),0))</f>
        <v/>
      </c>
      <c r="S477">
        <f>IF(F477="",0,IFNA(VLOOKUP(F477,Trait_Polarity!$A:$C,3,FALSE),0))+IF(G477="",0,IFNA(VLOOKUP(G477,Trait_Polarity!$A:$C,3,FALSE),0))</f>
        <v/>
      </c>
      <c r="T477">
        <f>IF(Q477="P",0,IFNA(VLOOKUP(IF(C477="","(none)",C477),Secondary_Versatility!$A:$B,2,FALSE),0))</f>
        <v/>
      </c>
      <c r="U477">
        <f>IF(H477="",0,LEN(H477)-LEN(SUBSTITUTE(H477,"|",""))+1)</f>
        <v/>
      </c>
      <c r="V477">
        <f>IF(Q477="P",(N477+O477+P477)/3,0.3*I477+0.3*J477+0.2*K477+0.1*L477+0.1*M477)</f>
        <v/>
      </c>
      <c r="W477">
        <f>IF(Q477="P",IF(F477="",0,IFNA(VLOOKUP(F477,Pitcher_Trait_Coef!$A:$B,2,FALSE),0))+IF(G477="",0,IFNA(VLOOKUP(G477,Pitcher_Trait_Coef!$A:$B,2,FALSE),0)),IF(F477="",0,IFNA(VLOOKUP(F477,Hitter_Trait_Coef!$A:$B,2,FALSE),0))+IF(G477="",0,IFNA(VLOOKUP(G477,Hitter_Trait_Coef!$A:$B,2,FALSE),0)))</f>
        <v/>
      </c>
      <c r="X477">
        <f>IF(Q477="P",IFNA(VLOOKUP(B477,Pitcher_Primary_Coef!$A:$B,2,FALSE),0),IFNA(VLOOKUP(B477,Hitter_Primary_Coef!$A:$B,2,FALSE),0))</f>
        <v/>
      </c>
      <c r="Y477">
        <f>IF(Q477="P",0,IFNA(VLOOKUP(IF(C477="","(none)",C477),Hitter_Secondary_Coef!$A:$B,2,FALSE),0))</f>
        <v/>
      </c>
      <c r="Z477">
        <f>IF(Q477="P",IF(ISNUMBER(SEARCH("2F",H477)),IFNA(VLOOKUP("2F",Pitch_Coef!$A:$B,2,FALSE),0),0)+IF(ISNUMBER(SEARCH("4F",H477)),IFNA(VLOOKUP("4F",Pitch_Coef!$A:$B,2,FALSE),0),0)+IF(ISNUMBER(SEARCH("CB",H477)),IFNA(VLOOKUP("CB",Pitch_Coef!$A:$B,2,FALSE),0),0)+IF(ISNUMBER(SEARCH("CF",H477)),IFNA(VLOOKUP("CF",Pitch_Coef!$A:$B,2,FALSE),0),0)+IF(ISNUMBER(SEARCH("CH",H477)),IFNA(VLOOKUP("CH",Pitch_Coef!$A:$B,2,FALSE),0),0)+IF(ISNUMBER(SEARCH("FK",H477)),IFNA(VLOOKUP("FK",Pitch_Coef!$A:$B,2,FALSE),0),0)+IF(ISNUMBER(SEARCH("SB",H477)),IFNA(VLOOKUP("SB",Pitch_Coef!$A:$B,2,FALSE),0),0)+IF(ISNUMBER(SEARCH("SL",H477)),IFNA(VLOOKUP("SL",Pitch_Coef!$A:$B,2,FALSE),0),0),0)</f>
        <v/>
      </c>
      <c r="AA477">
        <f>IF(Q477="P",16.5944849573+0.2529999141*N477+0.2665900378*O477+0.2632687105*P477+0.0427586837*I477+0.0534777057*J477+0.009015832*K477+0.0204898106*(O477*P477/100)+1.0091022427*U477+1.0968542297*IF(D477="L",1,0)+0.3771555045*IF(D477="S",1,0)-0.2226159177*IF(E477="L",1,0)+1.21385024*R477-1.1652812274*S477+W477+X477+Z477,10.5965166711+0.2825983581*I477+0.2806503532*J477+0.2027213083*K477+0.1147824982*L477+0.0915305332*M477-0.0088454122*(I477*J477/100)-0.0336045706*(K477*L477/100)+2.8497389733*IF(D477="L",1,0)+4.5116226727*IF(D477="S",1,0)-0.6571546448*IF(E477="L",1,0)+0.0850728147*T477+0.0129488446*(T477*T477)+0.1909373936*IF(OR(F477="Utility",G477="Utility"),T477,0)+0.9656824071*R477-1.7517683256*S477+W477+X477+Y477)</f>
        <v/>
      </c>
      <c r="AB477">
        <f>LOOKUP(AA477,Grade_Scale!$A$2:$A$18,Grade_Scale!$B$2:$B$18)</f>
        <v/>
      </c>
      <c r="AC477">
        <f>LOOKUP(AA477,Grade_Scale!$A$2:$A$18,Grade_Scale!$C$2:$C$18)</f>
        <v/>
      </c>
      <c r="AE477">
        <f>IF(AD477="","",AB477-VLOOKUP(AD477,Grade_Scale!$C$2:$E$18,3,FALSE))</f>
        <v/>
      </c>
    </row>
    <row r="478">
      <c r="Q478">
        <f>IF(OR(B478="SP",B478="RP",B478="CP",B478="SP/RP"),"P","H")</f>
        <v/>
      </c>
      <c r="R478">
        <f>IF(F478="",0,IFNA(VLOOKUP(F478,Trait_Polarity!$A:$C,2,FALSE),0))+IF(G478="",0,IFNA(VLOOKUP(G478,Trait_Polarity!$A:$C,2,FALSE),0))</f>
        <v/>
      </c>
      <c r="S478">
        <f>IF(F478="",0,IFNA(VLOOKUP(F478,Trait_Polarity!$A:$C,3,FALSE),0))+IF(G478="",0,IFNA(VLOOKUP(G478,Trait_Polarity!$A:$C,3,FALSE),0))</f>
        <v/>
      </c>
      <c r="T478">
        <f>IF(Q478="P",0,IFNA(VLOOKUP(IF(C478="","(none)",C478),Secondary_Versatility!$A:$B,2,FALSE),0))</f>
        <v/>
      </c>
      <c r="U478">
        <f>IF(H478="",0,LEN(H478)-LEN(SUBSTITUTE(H478,"|",""))+1)</f>
        <v/>
      </c>
      <c r="V478">
        <f>IF(Q478="P",(N478+O478+P478)/3,0.3*I478+0.3*J478+0.2*K478+0.1*L478+0.1*M478)</f>
        <v/>
      </c>
      <c r="W478">
        <f>IF(Q478="P",IF(F478="",0,IFNA(VLOOKUP(F478,Pitcher_Trait_Coef!$A:$B,2,FALSE),0))+IF(G478="",0,IFNA(VLOOKUP(G478,Pitcher_Trait_Coef!$A:$B,2,FALSE),0)),IF(F478="",0,IFNA(VLOOKUP(F478,Hitter_Trait_Coef!$A:$B,2,FALSE),0))+IF(G478="",0,IFNA(VLOOKUP(G478,Hitter_Trait_Coef!$A:$B,2,FALSE),0)))</f>
        <v/>
      </c>
      <c r="X478">
        <f>IF(Q478="P",IFNA(VLOOKUP(B478,Pitcher_Primary_Coef!$A:$B,2,FALSE),0),IFNA(VLOOKUP(B478,Hitter_Primary_Coef!$A:$B,2,FALSE),0))</f>
        <v/>
      </c>
      <c r="Y478">
        <f>IF(Q478="P",0,IFNA(VLOOKUP(IF(C478="","(none)",C478),Hitter_Secondary_Coef!$A:$B,2,FALSE),0))</f>
        <v/>
      </c>
      <c r="Z478">
        <f>IF(Q478="P",IF(ISNUMBER(SEARCH("2F",H478)),IFNA(VLOOKUP("2F",Pitch_Coef!$A:$B,2,FALSE),0),0)+IF(ISNUMBER(SEARCH("4F",H478)),IFNA(VLOOKUP("4F",Pitch_Coef!$A:$B,2,FALSE),0),0)+IF(ISNUMBER(SEARCH("CB",H478)),IFNA(VLOOKUP("CB",Pitch_Coef!$A:$B,2,FALSE),0),0)+IF(ISNUMBER(SEARCH("CF",H478)),IFNA(VLOOKUP("CF",Pitch_Coef!$A:$B,2,FALSE),0),0)+IF(ISNUMBER(SEARCH("CH",H478)),IFNA(VLOOKUP("CH",Pitch_Coef!$A:$B,2,FALSE),0),0)+IF(ISNUMBER(SEARCH("FK",H478)),IFNA(VLOOKUP("FK",Pitch_Coef!$A:$B,2,FALSE),0),0)+IF(ISNUMBER(SEARCH("SB",H478)),IFNA(VLOOKUP("SB",Pitch_Coef!$A:$B,2,FALSE),0),0)+IF(ISNUMBER(SEARCH("SL",H478)),IFNA(VLOOKUP("SL",Pitch_Coef!$A:$B,2,FALSE),0),0),0)</f>
        <v/>
      </c>
      <c r="AA478">
        <f>IF(Q478="P",16.5944849573+0.2529999141*N478+0.2665900378*O478+0.2632687105*P478+0.0427586837*I478+0.0534777057*J478+0.009015832*K478+0.0204898106*(O478*P478/100)+1.0091022427*U478+1.0968542297*IF(D478="L",1,0)+0.3771555045*IF(D478="S",1,0)-0.2226159177*IF(E478="L",1,0)+1.21385024*R478-1.1652812274*S478+W478+X478+Z478,10.5965166711+0.2825983581*I478+0.2806503532*J478+0.2027213083*K478+0.1147824982*L478+0.0915305332*M478-0.0088454122*(I478*J478/100)-0.0336045706*(K478*L478/100)+2.8497389733*IF(D478="L",1,0)+4.5116226727*IF(D478="S",1,0)-0.6571546448*IF(E478="L",1,0)+0.0850728147*T478+0.0129488446*(T478*T478)+0.1909373936*IF(OR(F478="Utility",G478="Utility"),T478,0)+0.9656824071*R478-1.7517683256*S478+W478+X478+Y478)</f>
        <v/>
      </c>
      <c r="AB478">
        <f>LOOKUP(AA478,Grade_Scale!$A$2:$A$18,Grade_Scale!$B$2:$B$18)</f>
        <v/>
      </c>
      <c r="AC478">
        <f>LOOKUP(AA478,Grade_Scale!$A$2:$A$18,Grade_Scale!$C$2:$C$18)</f>
        <v/>
      </c>
      <c r="AE478">
        <f>IF(AD478="","",AB478-VLOOKUP(AD478,Grade_Scale!$C$2:$E$18,3,FALSE))</f>
        <v/>
      </c>
    </row>
    <row r="479">
      <c r="Q479">
        <f>IF(OR(B479="SP",B479="RP",B479="CP",B479="SP/RP"),"P","H")</f>
        <v/>
      </c>
      <c r="R479">
        <f>IF(F479="",0,IFNA(VLOOKUP(F479,Trait_Polarity!$A:$C,2,FALSE),0))+IF(G479="",0,IFNA(VLOOKUP(G479,Trait_Polarity!$A:$C,2,FALSE),0))</f>
        <v/>
      </c>
      <c r="S479">
        <f>IF(F479="",0,IFNA(VLOOKUP(F479,Trait_Polarity!$A:$C,3,FALSE),0))+IF(G479="",0,IFNA(VLOOKUP(G479,Trait_Polarity!$A:$C,3,FALSE),0))</f>
        <v/>
      </c>
      <c r="T479">
        <f>IF(Q479="P",0,IFNA(VLOOKUP(IF(C479="","(none)",C479),Secondary_Versatility!$A:$B,2,FALSE),0))</f>
        <v/>
      </c>
      <c r="U479">
        <f>IF(H479="",0,LEN(H479)-LEN(SUBSTITUTE(H479,"|",""))+1)</f>
        <v/>
      </c>
      <c r="V479">
        <f>IF(Q479="P",(N479+O479+P479)/3,0.3*I479+0.3*J479+0.2*K479+0.1*L479+0.1*M479)</f>
        <v/>
      </c>
      <c r="W479">
        <f>IF(Q479="P",IF(F479="",0,IFNA(VLOOKUP(F479,Pitcher_Trait_Coef!$A:$B,2,FALSE),0))+IF(G479="",0,IFNA(VLOOKUP(G479,Pitcher_Trait_Coef!$A:$B,2,FALSE),0)),IF(F479="",0,IFNA(VLOOKUP(F479,Hitter_Trait_Coef!$A:$B,2,FALSE),0))+IF(G479="",0,IFNA(VLOOKUP(G479,Hitter_Trait_Coef!$A:$B,2,FALSE),0)))</f>
        <v/>
      </c>
      <c r="X479">
        <f>IF(Q479="P",IFNA(VLOOKUP(B479,Pitcher_Primary_Coef!$A:$B,2,FALSE),0),IFNA(VLOOKUP(B479,Hitter_Primary_Coef!$A:$B,2,FALSE),0))</f>
        <v/>
      </c>
      <c r="Y479">
        <f>IF(Q479="P",0,IFNA(VLOOKUP(IF(C479="","(none)",C479),Hitter_Secondary_Coef!$A:$B,2,FALSE),0))</f>
        <v/>
      </c>
      <c r="Z479">
        <f>IF(Q479="P",IF(ISNUMBER(SEARCH("2F",H479)),IFNA(VLOOKUP("2F",Pitch_Coef!$A:$B,2,FALSE),0),0)+IF(ISNUMBER(SEARCH("4F",H479)),IFNA(VLOOKUP("4F",Pitch_Coef!$A:$B,2,FALSE),0),0)+IF(ISNUMBER(SEARCH("CB",H479)),IFNA(VLOOKUP("CB",Pitch_Coef!$A:$B,2,FALSE),0),0)+IF(ISNUMBER(SEARCH("CF",H479)),IFNA(VLOOKUP("CF",Pitch_Coef!$A:$B,2,FALSE),0),0)+IF(ISNUMBER(SEARCH("CH",H479)),IFNA(VLOOKUP("CH",Pitch_Coef!$A:$B,2,FALSE),0),0)+IF(ISNUMBER(SEARCH("FK",H479)),IFNA(VLOOKUP("FK",Pitch_Coef!$A:$B,2,FALSE),0),0)+IF(ISNUMBER(SEARCH("SB",H479)),IFNA(VLOOKUP("SB",Pitch_Coef!$A:$B,2,FALSE),0),0)+IF(ISNUMBER(SEARCH("SL",H479)),IFNA(VLOOKUP("SL",Pitch_Coef!$A:$B,2,FALSE),0),0),0)</f>
        <v/>
      </c>
      <c r="AA479">
        <f>IF(Q479="P",16.5944849573+0.2529999141*N479+0.2665900378*O479+0.2632687105*P479+0.0427586837*I479+0.0534777057*J479+0.009015832*K479+0.0204898106*(O479*P479/100)+1.0091022427*U479+1.0968542297*IF(D479="L",1,0)+0.3771555045*IF(D479="S",1,0)-0.2226159177*IF(E479="L",1,0)+1.21385024*R479-1.1652812274*S479+W479+X479+Z479,10.5965166711+0.2825983581*I479+0.2806503532*J479+0.2027213083*K479+0.1147824982*L479+0.0915305332*M479-0.0088454122*(I479*J479/100)-0.0336045706*(K479*L479/100)+2.8497389733*IF(D479="L",1,0)+4.5116226727*IF(D479="S",1,0)-0.6571546448*IF(E479="L",1,0)+0.0850728147*T479+0.0129488446*(T479*T479)+0.1909373936*IF(OR(F479="Utility",G479="Utility"),T479,0)+0.9656824071*R479-1.7517683256*S479+W479+X479+Y479)</f>
        <v/>
      </c>
      <c r="AB479">
        <f>LOOKUP(AA479,Grade_Scale!$A$2:$A$18,Grade_Scale!$B$2:$B$18)</f>
        <v/>
      </c>
      <c r="AC479">
        <f>LOOKUP(AA479,Grade_Scale!$A$2:$A$18,Grade_Scale!$C$2:$C$18)</f>
        <v/>
      </c>
      <c r="AE479">
        <f>IF(AD479="","",AB479-VLOOKUP(AD479,Grade_Scale!$C$2:$E$18,3,FALSE))</f>
        <v/>
      </c>
    </row>
    <row r="480">
      <c r="Q480">
        <f>IF(OR(B480="SP",B480="RP",B480="CP",B480="SP/RP"),"P","H")</f>
        <v/>
      </c>
      <c r="R480">
        <f>IF(F480="",0,IFNA(VLOOKUP(F480,Trait_Polarity!$A:$C,2,FALSE),0))+IF(G480="",0,IFNA(VLOOKUP(G480,Trait_Polarity!$A:$C,2,FALSE),0))</f>
        <v/>
      </c>
      <c r="S480">
        <f>IF(F480="",0,IFNA(VLOOKUP(F480,Trait_Polarity!$A:$C,3,FALSE),0))+IF(G480="",0,IFNA(VLOOKUP(G480,Trait_Polarity!$A:$C,3,FALSE),0))</f>
        <v/>
      </c>
      <c r="T480">
        <f>IF(Q480="P",0,IFNA(VLOOKUP(IF(C480="","(none)",C480),Secondary_Versatility!$A:$B,2,FALSE),0))</f>
        <v/>
      </c>
      <c r="U480">
        <f>IF(H480="",0,LEN(H480)-LEN(SUBSTITUTE(H480,"|",""))+1)</f>
        <v/>
      </c>
      <c r="V480">
        <f>IF(Q480="P",(N480+O480+P480)/3,0.3*I480+0.3*J480+0.2*K480+0.1*L480+0.1*M480)</f>
        <v/>
      </c>
      <c r="W480">
        <f>IF(Q480="P",IF(F480="",0,IFNA(VLOOKUP(F480,Pitcher_Trait_Coef!$A:$B,2,FALSE),0))+IF(G480="",0,IFNA(VLOOKUP(G480,Pitcher_Trait_Coef!$A:$B,2,FALSE),0)),IF(F480="",0,IFNA(VLOOKUP(F480,Hitter_Trait_Coef!$A:$B,2,FALSE),0))+IF(G480="",0,IFNA(VLOOKUP(G480,Hitter_Trait_Coef!$A:$B,2,FALSE),0)))</f>
        <v/>
      </c>
      <c r="X480">
        <f>IF(Q480="P",IFNA(VLOOKUP(B480,Pitcher_Primary_Coef!$A:$B,2,FALSE),0),IFNA(VLOOKUP(B480,Hitter_Primary_Coef!$A:$B,2,FALSE),0))</f>
        <v/>
      </c>
      <c r="Y480">
        <f>IF(Q480="P",0,IFNA(VLOOKUP(IF(C480="","(none)",C480),Hitter_Secondary_Coef!$A:$B,2,FALSE),0))</f>
        <v/>
      </c>
      <c r="Z480">
        <f>IF(Q480="P",IF(ISNUMBER(SEARCH("2F",H480)),IFNA(VLOOKUP("2F",Pitch_Coef!$A:$B,2,FALSE),0),0)+IF(ISNUMBER(SEARCH("4F",H480)),IFNA(VLOOKUP("4F",Pitch_Coef!$A:$B,2,FALSE),0),0)+IF(ISNUMBER(SEARCH("CB",H480)),IFNA(VLOOKUP("CB",Pitch_Coef!$A:$B,2,FALSE),0),0)+IF(ISNUMBER(SEARCH("CF",H480)),IFNA(VLOOKUP("CF",Pitch_Coef!$A:$B,2,FALSE),0),0)+IF(ISNUMBER(SEARCH("CH",H480)),IFNA(VLOOKUP("CH",Pitch_Coef!$A:$B,2,FALSE),0),0)+IF(ISNUMBER(SEARCH("FK",H480)),IFNA(VLOOKUP("FK",Pitch_Coef!$A:$B,2,FALSE),0),0)+IF(ISNUMBER(SEARCH("SB",H480)),IFNA(VLOOKUP("SB",Pitch_Coef!$A:$B,2,FALSE),0),0)+IF(ISNUMBER(SEARCH("SL",H480)),IFNA(VLOOKUP("SL",Pitch_Coef!$A:$B,2,FALSE),0),0),0)</f>
        <v/>
      </c>
      <c r="AA480">
        <f>IF(Q480="P",16.5944849573+0.2529999141*N480+0.2665900378*O480+0.2632687105*P480+0.0427586837*I480+0.0534777057*J480+0.009015832*K480+0.0204898106*(O480*P480/100)+1.0091022427*U480+1.0968542297*IF(D480="L",1,0)+0.3771555045*IF(D480="S",1,0)-0.2226159177*IF(E480="L",1,0)+1.21385024*R480-1.1652812274*S480+W480+X480+Z480,10.5965166711+0.2825983581*I480+0.2806503532*J480+0.2027213083*K480+0.1147824982*L480+0.0915305332*M480-0.0088454122*(I480*J480/100)-0.0336045706*(K480*L480/100)+2.8497389733*IF(D480="L",1,0)+4.5116226727*IF(D480="S",1,0)-0.6571546448*IF(E480="L",1,0)+0.0850728147*T480+0.0129488446*(T480*T480)+0.1909373936*IF(OR(F480="Utility",G480="Utility"),T480,0)+0.9656824071*R480-1.7517683256*S480+W480+X480+Y480)</f>
        <v/>
      </c>
      <c r="AB480">
        <f>LOOKUP(AA480,Grade_Scale!$A$2:$A$18,Grade_Scale!$B$2:$B$18)</f>
        <v/>
      </c>
      <c r="AC480">
        <f>LOOKUP(AA480,Grade_Scale!$A$2:$A$18,Grade_Scale!$C$2:$C$18)</f>
        <v/>
      </c>
      <c r="AE480">
        <f>IF(AD480="","",AB480-VLOOKUP(AD480,Grade_Scale!$C$2:$E$18,3,FALSE))</f>
        <v/>
      </c>
    </row>
    <row r="481">
      <c r="Q481">
        <f>IF(OR(B481="SP",B481="RP",B481="CP",B481="SP/RP"),"P","H")</f>
        <v/>
      </c>
      <c r="R481">
        <f>IF(F481="",0,IFNA(VLOOKUP(F481,Trait_Polarity!$A:$C,2,FALSE),0))+IF(G481="",0,IFNA(VLOOKUP(G481,Trait_Polarity!$A:$C,2,FALSE),0))</f>
        <v/>
      </c>
      <c r="S481">
        <f>IF(F481="",0,IFNA(VLOOKUP(F481,Trait_Polarity!$A:$C,3,FALSE),0))+IF(G481="",0,IFNA(VLOOKUP(G481,Trait_Polarity!$A:$C,3,FALSE),0))</f>
        <v/>
      </c>
      <c r="T481">
        <f>IF(Q481="P",0,IFNA(VLOOKUP(IF(C481="","(none)",C481),Secondary_Versatility!$A:$B,2,FALSE),0))</f>
        <v/>
      </c>
      <c r="U481">
        <f>IF(H481="",0,LEN(H481)-LEN(SUBSTITUTE(H481,"|",""))+1)</f>
        <v/>
      </c>
      <c r="V481">
        <f>IF(Q481="P",(N481+O481+P481)/3,0.3*I481+0.3*J481+0.2*K481+0.1*L481+0.1*M481)</f>
        <v/>
      </c>
      <c r="W481">
        <f>IF(Q481="P",IF(F481="",0,IFNA(VLOOKUP(F481,Pitcher_Trait_Coef!$A:$B,2,FALSE),0))+IF(G481="",0,IFNA(VLOOKUP(G481,Pitcher_Trait_Coef!$A:$B,2,FALSE),0)),IF(F481="",0,IFNA(VLOOKUP(F481,Hitter_Trait_Coef!$A:$B,2,FALSE),0))+IF(G481="",0,IFNA(VLOOKUP(G481,Hitter_Trait_Coef!$A:$B,2,FALSE),0)))</f>
        <v/>
      </c>
      <c r="X481">
        <f>IF(Q481="P",IFNA(VLOOKUP(B481,Pitcher_Primary_Coef!$A:$B,2,FALSE),0),IFNA(VLOOKUP(B481,Hitter_Primary_Coef!$A:$B,2,FALSE),0))</f>
        <v/>
      </c>
      <c r="Y481">
        <f>IF(Q481="P",0,IFNA(VLOOKUP(IF(C481="","(none)",C481),Hitter_Secondary_Coef!$A:$B,2,FALSE),0))</f>
        <v/>
      </c>
      <c r="Z481">
        <f>IF(Q481="P",IF(ISNUMBER(SEARCH("2F",H481)),IFNA(VLOOKUP("2F",Pitch_Coef!$A:$B,2,FALSE),0),0)+IF(ISNUMBER(SEARCH("4F",H481)),IFNA(VLOOKUP("4F",Pitch_Coef!$A:$B,2,FALSE),0),0)+IF(ISNUMBER(SEARCH("CB",H481)),IFNA(VLOOKUP("CB",Pitch_Coef!$A:$B,2,FALSE),0),0)+IF(ISNUMBER(SEARCH("CF",H481)),IFNA(VLOOKUP("CF",Pitch_Coef!$A:$B,2,FALSE),0),0)+IF(ISNUMBER(SEARCH("CH",H481)),IFNA(VLOOKUP("CH",Pitch_Coef!$A:$B,2,FALSE),0),0)+IF(ISNUMBER(SEARCH("FK",H481)),IFNA(VLOOKUP("FK",Pitch_Coef!$A:$B,2,FALSE),0),0)+IF(ISNUMBER(SEARCH("SB",H481)),IFNA(VLOOKUP("SB",Pitch_Coef!$A:$B,2,FALSE),0),0)+IF(ISNUMBER(SEARCH("SL",H481)),IFNA(VLOOKUP("SL",Pitch_Coef!$A:$B,2,FALSE),0),0),0)</f>
        <v/>
      </c>
      <c r="AA481">
        <f>IF(Q481="P",16.5944849573+0.2529999141*N481+0.2665900378*O481+0.2632687105*P481+0.0427586837*I481+0.0534777057*J481+0.009015832*K481+0.0204898106*(O481*P481/100)+1.0091022427*U481+1.0968542297*IF(D481="L",1,0)+0.3771555045*IF(D481="S",1,0)-0.2226159177*IF(E481="L",1,0)+1.21385024*R481-1.1652812274*S481+W481+X481+Z481,10.5965166711+0.2825983581*I481+0.2806503532*J481+0.2027213083*K481+0.1147824982*L481+0.0915305332*M481-0.0088454122*(I481*J481/100)-0.0336045706*(K481*L481/100)+2.8497389733*IF(D481="L",1,0)+4.5116226727*IF(D481="S",1,0)-0.6571546448*IF(E481="L",1,0)+0.0850728147*T481+0.0129488446*(T481*T481)+0.1909373936*IF(OR(F481="Utility",G481="Utility"),T481,0)+0.9656824071*R481-1.7517683256*S481+W481+X481+Y481)</f>
        <v/>
      </c>
      <c r="AB481">
        <f>LOOKUP(AA481,Grade_Scale!$A$2:$A$18,Grade_Scale!$B$2:$B$18)</f>
        <v/>
      </c>
      <c r="AC481">
        <f>LOOKUP(AA481,Grade_Scale!$A$2:$A$18,Grade_Scale!$C$2:$C$18)</f>
        <v/>
      </c>
      <c r="AE481">
        <f>IF(AD481="","",AB481-VLOOKUP(AD481,Grade_Scale!$C$2:$E$18,3,FALSE))</f>
        <v/>
      </c>
    </row>
    <row r="482">
      <c r="Q482">
        <f>IF(OR(B482="SP",B482="RP",B482="CP",B482="SP/RP"),"P","H")</f>
        <v/>
      </c>
      <c r="R482">
        <f>IF(F482="",0,IFNA(VLOOKUP(F482,Trait_Polarity!$A:$C,2,FALSE),0))+IF(G482="",0,IFNA(VLOOKUP(G482,Trait_Polarity!$A:$C,2,FALSE),0))</f>
        <v/>
      </c>
      <c r="S482">
        <f>IF(F482="",0,IFNA(VLOOKUP(F482,Trait_Polarity!$A:$C,3,FALSE),0))+IF(G482="",0,IFNA(VLOOKUP(G482,Trait_Polarity!$A:$C,3,FALSE),0))</f>
        <v/>
      </c>
      <c r="T482">
        <f>IF(Q482="P",0,IFNA(VLOOKUP(IF(C482="","(none)",C482),Secondary_Versatility!$A:$B,2,FALSE),0))</f>
        <v/>
      </c>
      <c r="U482">
        <f>IF(H482="",0,LEN(H482)-LEN(SUBSTITUTE(H482,"|",""))+1)</f>
        <v/>
      </c>
      <c r="V482">
        <f>IF(Q482="P",(N482+O482+P482)/3,0.3*I482+0.3*J482+0.2*K482+0.1*L482+0.1*M482)</f>
        <v/>
      </c>
      <c r="W482">
        <f>IF(Q482="P",IF(F482="",0,IFNA(VLOOKUP(F482,Pitcher_Trait_Coef!$A:$B,2,FALSE),0))+IF(G482="",0,IFNA(VLOOKUP(G482,Pitcher_Trait_Coef!$A:$B,2,FALSE),0)),IF(F482="",0,IFNA(VLOOKUP(F482,Hitter_Trait_Coef!$A:$B,2,FALSE),0))+IF(G482="",0,IFNA(VLOOKUP(G482,Hitter_Trait_Coef!$A:$B,2,FALSE),0)))</f>
        <v/>
      </c>
      <c r="X482">
        <f>IF(Q482="P",IFNA(VLOOKUP(B482,Pitcher_Primary_Coef!$A:$B,2,FALSE),0),IFNA(VLOOKUP(B482,Hitter_Primary_Coef!$A:$B,2,FALSE),0))</f>
        <v/>
      </c>
      <c r="Y482">
        <f>IF(Q482="P",0,IFNA(VLOOKUP(IF(C482="","(none)",C482),Hitter_Secondary_Coef!$A:$B,2,FALSE),0))</f>
        <v/>
      </c>
      <c r="Z482">
        <f>IF(Q482="P",IF(ISNUMBER(SEARCH("2F",H482)),IFNA(VLOOKUP("2F",Pitch_Coef!$A:$B,2,FALSE),0),0)+IF(ISNUMBER(SEARCH("4F",H482)),IFNA(VLOOKUP("4F",Pitch_Coef!$A:$B,2,FALSE),0),0)+IF(ISNUMBER(SEARCH("CB",H482)),IFNA(VLOOKUP("CB",Pitch_Coef!$A:$B,2,FALSE),0),0)+IF(ISNUMBER(SEARCH("CF",H482)),IFNA(VLOOKUP("CF",Pitch_Coef!$A:$B,2,FALSE),0),0)+IF(ISNUMBER(SEARCH("CH",H482)),IFNA(VLOOKUP("CH",Pitch_Coef!$A:$B,2,FALSE),0),0)+IF(ISNUMBER(SEARCH("FK",H482)),IFNA(VLOOKUP("FK",Pitch_Coef!$A:$B,2,FALSE),0),0)+IF(ISNUMBER(SEARCH("SB",H482)),IFNA(VLOOKUP("SB",Pitch_Coef!$A:$B,2,FALSE),0),0)+IF(ISNUMBER(SEARCH("SL",H482)),IFNA(VLOOKUP("SL",Pitch_Coef!$A:$B,2,FALSE),0),0),0)</f>
        <v/>
      </c>
      <c r="AA482">
        <f>IF(Q482="P",16.5944849573+0.2529999141*N482+0.2665900378*O482+0.2632687105*P482+0.0427586837*I482+0.0534777057*J482+0.009015832*K482+0.0204898106*(O482*P482/100)+1.0091022427*U482+1.0968542297*IF(D482="L",1,0)+0.3771555045*IF(D482="S",1,0)-0.2226159177*IF(E482="L",1,0)+1.21385024*R482-1.1652812274*S482+W482+X482+Z482,10.5965166711+0.2825983581*I482+0.2806503532*J482+0.2027213083*K482+0.1147824982*L482+0.0915305332*M482-0.0088454122*(I482*J482/100)-0.0336045706*(K482*L482/100)+2.8497389733*IF(D482="L",1,0)+4.5116226727*IF(D482="S",1,0)-0.6571546448*IF(E482="L",1,0)+0.0850728147*T482+0.0129488446*(T482*T482)+0.1909373936*IF(OR(F482="Utility",G482="Utility"),T482,0)+0.9656824071*R482-1.7517683256*S482+W482+X482+Y482)</f>
        <v/>
      </c>
      <c r="AB482">
        <f>LOOKUP(AA482,Grade_Scale!$A$2:$A$18,Grade_Scale!$B$2:$B$18)</f>
        <v/>
      </c>
      <c r="AC482">
        <f>LOOKUP(AA482,Grade_Scale!$A$2:$A$18,Grade_Scale!$C$2:$C$18)</f>
        <v/>
      </c>
      <c r="AE482">
        <f>IF(AD482="","",AB482-VLOOKUP(AD482,Grade_Scale!$C$2:$E$18,3,FALSE))</f>
        <v/>
      </c>
    </row>
    <row r="483">
      <c r="Q483">
        <f>IF(OR(B483="SP",B483="RP",B483="CP",B483="SP/RP"),"P","H")</f>
        <v/>
      </c>
      <c r="R483">
        <f>IF(F483="",0,IFNA(VLOOKUP(F483,Trait_Polarity!$A:$C,2,FALSE),0))+IF(G483="",0,IFNA(VLOOKUP(G483,Trait_Polarity!$A:$C,2,FALSE),0))</f>
        <v/>
      </c>
      <c r="S483">
        <f>IF(F483="",0,IFNA(VLOOKUP(F483,Trait_Polarity!$A:$C,3,FALSE),0))+IF(G483="",0,IFNA(VLOOKUP(G483,Trait_Polarity!$A:$C,3,FALSE),0))</f>
        <v/>
      </c>
      <c r="T483">
        <f>IF(Q483="P",0,IFNA(VLOOKUP(IF(C483="","(none)",C483),Secondary_Versatility!$A:$B,2,FALSE),0))</f>
        <v/>
      </c>
      <c r="U483">
        <f>IF(H483="",0,LEN(H483)-LEN(SUBSTITUTE(H483,"|",""))+1)</f>
        <v/>
      </c>
      <c r="V483">
        <f>IF(Q483="P",(N483+O483+P483)/3,0.3*I483+0.3*J483+0.2*K483+0.1*L483+0.1*M483)</f>
        <v/>
      </c>
      <c r="W483">
        <f>IF(Q483="P",IF(F483="",0,IFNA(VLOOKUP(F483,Pitcher_Trait_Coef!$A:$B,2,FALSE),0))+IF(G483="",0,IFNA(VLOOKUP(G483,Pitcher_Trait_Coef!$A:$B,2,FALSE),0)),IF(F483="",0,IFNA(VLOOKUP(F483,Hitter_Trait_Coef!$A:$B,2,FALSE),0))+IF(G483="",0,IFNA(VLOOKUP(G483,Hitter_Trait_Coef!$A:$B,2,FALSE),0)))</f>
        <v/>
      </c>
      <c r="X483">
        <f>IF(Q483="P",IFNA(VLOOKUP(B483,Pitcher_Primary_Coef!$A:$B,2,FALSE),0),IFNA(VLOOKUP(B483,Hitter_Primary_Coef!$A:$B,2,FALSE),0))</f>
        <v/>
      </c>
      <c r="Y483">
        <f>IF(Q483="P",0,IFNA(VLOOKUP(IF(C483="","(none)",C483),Hitter_Secondary_Coef!$A:$B,2,FALSE),0))</f>
        <v/>
      </c>
      <c r="Z483">
        <f>IF(Q483="P",IF(ISNUMBER(SEARCH("2F",H483)),IFNA(VLOOKUP("2F",Pitch_Coef!$A:$B,2,FALSE),0),0)+IF(ISNUMBER(SEARCH("4F",H483)),IFNA(VLOOKUP("4F",Pitch_Coef!$A:$B,2,FALSE),0),0)+IF(ISNUMBER(SEARCH("CB",H483)),IFNA(VLOOKUP("CB",Pitch_Coef!$A:$B,2,FALSE),0),0)+IF(ISNUMBER(SEARCH("CF",H483)),IFNA(VLOOKUP("CF",Pitch_Coef!$A:$B,2,FALSE),0),0)+IF(ISNUMBER(SEARCH("CH",H483)),IFNA(VLOOKUP("CH",Pitch_Coef!$A:$B,2,FALSE),0),0)+IF(ISNUMBER(SEARCH("FK",H483)),IFNA(VLOOKUP("FK",Pitch_Coef!$A:$B,2,FALSE),0),0)+IF(ISNUMBER(SEARCH("SB",H483)),IFNA(VLOOKUP("SB",Pitch_Coef!$A:$B,2,FALSE),0),0)+IF(ISNUMBER(SEARCH("SL",H483)),IFNA(VLOOKUP("SL",Pitch_Coef!$A:$B,2,FALSE),0),0),0)</f>
        <v/>
      </c>
      <c r="AA483">
        <f>IF(Q483="P",16.5944849573+0.2529999141*N483+0.2665900378*O483+0.2632687105*P483+0.0427586837*I483+0.0534777057*J483+0.009015832*K483+0.0204898106*(O483*P483/100)+1.0091022427*U483+1.0968542297*IF(D483="L",1,0)+0.3771555045*IF(D483="S",1,0)-0.2226159177*IF(E483="L",1,0)+1.21385024*R483-1.1652812274*S483+W483+X483+Z483,10.5965166711+0.2825983581*I483+0.2806503532*J483+0.2027213083*K483+0.1147824982*L483+0.0915305332*M483-0.0088454122*(I483*J483/100)-0.0336045706*(K483*L483/100)+2.8497389733*IF(D483="L",1,0)+4.5116226727*IF(D483="S",1,0)-0.6571546448*IF(E483="L",1,0)+0.0850728147*T483+0.0129488446*(T483*T483)+0.1909373936*IF(OR(F483="Utility",G483="Utility"),T483,0)+0.9656824071*R483-1.7517683256*S483+W483+X483+Y483)</f>
        <v/>
      </c>
      <c r="AB483">
        <f>LOOKUP(AA483,Grade_Scale!$A$2:$A$18,Grade_Scale!$B$2:$B$18)</f>
        <v/>
      </c>
      <c r="AC483">
        <f>LOOKUP(AA483,Grade_Scale!$A$2:$A$18,Grade_Scale!$C$2:$C$18)</f>
        <v/>
      </c>
      <c r="AE483">
        <f>IF(AD483="","",AB483-VLOOKUP(AD483,Grade_Scale!$C$2:$E$18,3,FALSE))</f>
        <v/>
      </c>
    </row>
    <row r="484">
      <c r="Q484">
        <f>IF(OR(B484="SP",B484="RP",B484="CP",B484="SP/RP"),"P","H")</f>
        <v/>
      </c>
      <c r="R484">
        <f>IF(F484="",0,IFNA(VLOOKUP(F484,Trait_Polarity!$A:$C,2,FALSE),0))+IF(G484="",0,IFNA(VLOOKUP(G484,Trait_Polarity!$A:$C,2,FALSE),0))</f>
        <v/>
      </c>
      <c r="S484">
        <f>IF(F484="",0,IFNA(VLOOKUP(F484,Trait_Polarity!$A:$C,3,FALSE),0))+IF(G484="",0,IFNA(VLOOKUP(G484,Trait_Polarity!$A:$C,3,FALSE),0))</f>
        <v/>
      </c>
      <c r="T484">
        <f>IF(Q484="P",0,IFNA(VLOOKUP(IF(C484="","(none)",C484),Secondary_Versatility!$A:$B,2,FALSE),0))</f>
        <v/>
      </c>
      <c r="U484">
        <f>IF(H484="",0,LEN(H484)-LEN(SUBSTITUTE(H484,"|",""))+1)</f>
        <v/>
      </c>
      <c r="V484">
        <f>IF(Q484="P",(N484+O484+P484)/3,0.3*I484+0.3*J484+0.2*K484+0.1*L484+0.1*M484)</f>
        <v/>
      </c>
      <c r="W484">
        <f>IF(Q484="P",IF(F484="",0,IFNA(VLOOKUP(F484,Pitcher_Trait_Coef!$A:$B,2,FALSE),0))+IF(G484="",0,IFNA(VLOOKUP(G484,Pitcher_Trait_Coef!$A:$B,2,FALSE),0)),IF(F484="",0,IFNA(VLOOKUP(F484,Hitter_Trait_Coef!$A:$B,2,FALSE),0))+IF(G484="",0,IFNA(VLOOKUP(G484,Hitter_Trait_Coef!$A:$B,2,FALSE),0)))</f>
        <v/>
      </c>
      <c r="X484">
        <f>IF(Q484="P",IFNA(VLOOKUP(B484,Pitcher_Primary_Coef!$A:$B,2,FALSE),0),IFNA(VLOOKUP(B484,Hitter_Primary_Coef!$A:$B,2,FALSE),0))</f>
        <v/>
      </c>
      <c r="Y484">
        <f>IF(Q484="P",0,IFNA(VLOOKUP(IF(C484="","(none)",C484),Hitter_Secondary_Coef!$A:$B,2,FALSE),0))</f>
        <v/>
      </c>
      <c r="Z484">
        <f>IF(Q484="P",IF(ISNUMBER(SEARCH("2F",H484)),IFNA(VLOOKUP("2F",Pitch_Coef!$A:$B,2,FALSE),0),0)+IF(ISNUMBER(SEARCH("4F",H484)),IFNA(VLOOKUP("4F",Pitch_Coef!$A:$B,2,FALSE),0),0)+IF(ISNUMBER(SEARCH("CB",H484)),IFNA(VLOOKUP("CB",Pitch_Coef!$A:$B,2,FALSE),0),0)+IF(ISNUMBER(SEARCH("CF",H484)),IFNA(VLOOKUP("CF",Pitch_Coef!$A:$B,2,FALSE),0),0)+IF(ISNUMBER(SEARCH("CH",H484)),IFNA(VLOOKUP("CH",Pitch_Coef!$A:$B,2,FALSE),0),0)+IF(ISNUMBER(SEARCH("FK",H484)),IFNA(VLOOKUP("FK",Pitch_Coef!$A:$B,2,FALSE),0),0)+IF(ISNUMBER(SEARCH("SB",H484)),IFNA(VLOOKUP("SB",Pitch_Coef!$A:$B,2,FALSE),0),0)+IF(ISNUMBER(SEARCH("SL",H484)),IFNA(VLOOKUP("SL",Pitch_Coef!$A:$B,2,FALSE),0),0),0)</f>
        <v/>
      </c>
      <c r="AA484">
        <f>IF(Q484="P",16.5944849573+0.2529999141*N484+0.2665900378*O484+0.2632687105*P484+0.0427586837*I484+0.0534777057*J484+0.009015832*K484+0.0204898106*(O484*P484/100)+1.0091022427*U484+1.0968542297*IF(D484="L",1,0)+0.3771555045*IF(D484="S",1,0)-0.2226159177*IF(E484="L",1,0)+1.21385024*R484-1.1652812274*S484+W484+X484+Z484,10.5965166711+0.2825983581*I484+0.2806503532*J484+0.2027213083*K484+0.1147824982*L484+0.0915305332*M484-0.0088454122*(I484*J484/100)-0.0336045706*(K484*L484/100)+2.8497389733*IF(D484="L",1,0)+4.5116226727*IF(D484="S",1,0)-0.6571546448*IF(E484="L",1,0)+0.0850728147*T484+0.0129488446*(T484*T484)+0.1909373936*IF(OR(F484="Utility",G484="Utility"),T484,0)+0.9656824071*R484-1.7517683256*S484+W484+X484+Y484)</f>
        <v/>
      </c>
      <c r="AB484">
        <f>LOOKUP(AA484,Grade_Scale!$A$2:$A$18,Grade_Scale!$B$2:$B$18)</f>
        <v/>
      </c>
      <c r="AC484">
        <f>LOOKUP(AA484,Grade_Scale!$A$2:$A$18,Grade_Scale!$C$2:$C$18)</f>
        <v/>
      </c>
      <c r="AE484">
        <f>IF(AD484="","",AB484-VLOOKUP(AD484,Grade_Scale!$C$2:$E$18,3,FALSE))</f>
        <v/>
      </c>
    </row>
    <row r="485">
      <c r="Q485">
        <f>IF(OR(B485="SP",B485="RP",B485="CP",B485="SP/RP"),"P","H")</f>
        <v/>
      </c>
      <c r="R485">
        <f>IF(F485="",0,IFNA(VLOOKUP(F485,Trait_Polarity!$A:$C,2,FALSE),0))+IF(G485="",0,IFNA(VLOOKUP(G485,Trait_Polarity!$A:$C,2,FALSE),0))</f>
        <v/>
      </c>
      <c r="S485">
        <f>IF(F485="",0,IFNA(VLOOKUP(F485,Trait_Polarity!$A:$C,3,FALSE),0))+IF(G485="",0,IFNA(VLOOKUP(G485,Trait_Polarity!$A:$C,3,FALSE),0))</f>
        <v/>
      </c>
      <c r="T485">
        <f>IF(Q485="P",0,IFNA(VLOOKUP(IF(C485="","(none)",C485),Secondary_Versatility!$A:$B,2,FALSE),0))</f>
        <v/>
      </c>
      <c r="U485">
        <f>IF(H485="",0,LEN(H485)-LEN(SUBSTITUTE(H485,"|",""))+1)</f>
        <v/>
      </c>
      <c r="V485">
        <f>IF(Q485="P",(N485+O485+P485)/3,0.3*I485+0.3*J485+0.2*K485+0.1*L485+0.1*M485)</f>
        <v/>
      </c>
      <c r="W485">
        <f>IF(Q485="P",IF(F485="",0,IFNA(VLOOKUP(F485,Pitcher_Trait_Coef!$A:$B,2,FALSE),0))+IF(G485="",0,IFNA(VLOOKUP(G485,Pitcher_Trait_Coef!$A:$B,2,FALSE),0)),IF(F485="",0,IFNA(VLOOKUP(F485,Hitter_Trait_Coef!$A:$B,2,FALSE),0))+IF(G485="",0,IFNA(VLOOKUP(G485,Hitter_Trait_Coef!$A:$B,2,FALSE),0)))</f>
        <v/>
      </c>
      <c r="X485">
        <f>IF(Q485="P",IFNA(VLOOKUP(B485,Pitcher_Primary_Coef!$A:$B,2,FALSE),0),IFNA(VLOOKUP(B485,Hitter_Primary_Coef!$A:$B,2,FALSE),0))</f>
        <v/>
      </c>
      <c r="Y485">
        <f>IF(Q485="P",0,IFNA(VLOOKUP(IF(C485="","(none)",C485),Hitter_Secondary_Coef!$A:$B,2,FALSE),0))</f>
        <v/>
      </c>
      <c r="Z485">
        <f>IF(Q485="P",IF(ISNUMBER(SEARCH("2F",H485)),IFNA(VLOOKUP("2F",Pitch_Coef!$A:$B,2,FALSE),0),0)+IF(ISNUMBER(SEARCH("4F",H485)),IFNA(VLOOKUP("4F",Pitch_Coef!$A:$B,2,FALSE),0),0)+IF(ISNUMBER(SEARCH("CB",H485)),IFNA(VLOOKUP("CB",Pitch_Coef!$A:$B,2,FALSE),0),0)+IF(ISNUMBER(SEARCH("CF",H485)),IFNA(VLOOKUP("CF",Pitch_Coef!$A:$B,2,FALSE),0),0)+IF(ISNUMBER(SEARCH("CH",H485)),IFNA(VLOOKUP("CH",Pitch_Coef!$A:$B,2,FALSE),0),0)+IF(ISNUMBER(SEARCH("FK",H485)),IFNA(VLOOKUP("FK",Pitch_Coef!$A:$B,2,FALSE),0),0)+IF(ISNUMBER(SEARCH("SB",H485)),IFNA(VLOOKUP("SB",Pitch_Coef!$A:$B,2,FALSE),0),0)+IF(ISNUMBER(SEARCH("SL",H485)),IFNA(VLOOKUP("SL",Pitch_Coef!$A:$B,2,FALSE),0),0),0)</f>
        <v/>
      </c>
      <c r="AA485">
        <f>IF(Q485="P",16.5944849573+0.2529999141*N485+0.2665900378*O485+0.2632687105*P485+0.0427586837*I485+0.0534777057*J485+0.009015832*K485+0.0204898106*(O485*P485/100)+1.0091022427*U485+1.0968542297*IF(D485="L",1,0)+0.3771555045*IF(D485="S",1,0)-0.2226159177*IF(E485="L",1,0)+1.21385024*R485-1.1652812274*S485+W485+X485+Z485,10.5965166711+0.2825983581*I485+0.2806503532*J485+0.2027213083*K485+0.1147824982*L485+0.0915305332*M485-0.0088454122*(I485*J485/100)-0.0336045706*(K485*L485/100)+2.8497389733*IF(D485="L",1,0)+4.5116226727*IF(D485="S",1,0)-0.6571546448*IF(E485="L",1,0)+0.0850728147*T485+0.0129488446*(T485*T485)+0.1909373936*IF(OR(F485="Utility",G485="Utility"),T485,0)+0.9656824071*R485-1.7517683256*S485+W485+X485+Y485)</f>
        <v/>
      </c>
      <c r="AB485">
        <f>LOOKUP(AA485,Grade_Scale!$A$2:$A$18,Grade_Scale!$B$2:$B$18)</f>
        <v/>
      </c>
      <c r="AC485">
        <f>LOOKUP(AA485,Grade_Scale!$A$2:$A$18,Grade_Scale!$C$2:$C$18)</f>
        <v/>
      </c>
      <c r="AE485">
        <f>IF(AD485="","",AB485-VLOOKUP(AD485,Grade_Scale!$C$2:$E$18,3,FALSE))</f>
        <v/>
      </c>
    </row>
    <row r="486">
      <c r="Q486">
        <f>IF(OR(B486="SP",B486="RP",B486="CP",B486="SP/RP"),"P","H")</f>
        <v/>
      </c>
      <c r="R486">
        <f>IF(F486="",0,IFNA(VLOOKUP(F486,Trait_Polarity!$A:$C,2,FALSE),0))+IF(G486="",0,IFNA(VLOOKUP(G486,Trait_Polarity!$A:$C,2,FALSE),0))</f>
        <v/>
      </c>
      <c r="S486">
        <f>IF(F486="",0,IFNA(VLOOKUP(F486,Trait_Polarity!$A:$C,3,FALSE),0))+IF(G486="",0,IFNA(VLOOKUP(G486,Trait_Polarity!$A:$C,3,FALSE),0))</f>
        <v/>
      </c>
      <c r="T486">
        <f>IF(Q486="P",0,IFNA(VLOOKUP(IF(C486="","(none)",C486),Secondary_Versatility!$A:$B,2,FALSE),0))</f>
        <v/>
      </c>
      <c r="U486">
        <f>IF(H486="",0,LEN(H486)-LEN(SUBSTITUTE(H486,"|",""))+1)</f>
        <v/>
      </c>
      <c r="V486">
        <f>IF(Q486="P",(N486+O486+P486)/3,0.3*I486+0.3*J486+0.2*K486+0.1*L486+0.1*M486)</f>
        <v/>
      </c>
      <c r="W486">
        <f>IF(Q486="P",IF(F486="",0,IFNA(VLOOKUP(F486,Pitcher_Trait_Coef!$A:$B,2,FALSE),0))+IF(G486="",0,IFNA(VLOOKUP(G486,Pitcher_Trait_Coef!$A:$B,2,FALSE),0)),IF(F486="",0,IFNA(VLOOKUP(F486,Hitter_Trait_Coef!$A:$B,2,FALSE),0))+IF(G486="",0,IFNA(VLOOKUP(G486,Hitter_Trait_Coef!$A:$B,2,FALSE),0)))</f>
        <v/>
      </c>
      <c r="X486">
        <f>IF(Q486="P",IFNA(VLOOKUP(B486,Pitcher_Primary_Coef!$A:$B,2,FALSE),0),IFNA(VLOOKUP(B486,Hitter_Primary_Coef!$A:$B,2,FALSE),0))</f>
        <v/>
      </c>
      <c r="Y486">
        <f>IF(Q486="P",0,IFNA(VLOOKUP(IF(C486="","(none)",C486),Hitter_Secondary_Coef!$A:$B,2,FALSE),0))</f>
        <v/>
      </c>
      <c r="Z486">
        <f>IF(Q486="P",IF(ISNUMBER(SEARCH("2F",H486)),IFNA(VLOOKUP("2F",Pitch_Coef!$A:$B,2,FALSE),0),0)+IF(ISNUMBER(SEARCH("4F",H486)),IFNA(VLOOKUP("4F",Pitch_Coef!$A:$B,2,FALSE),0),0)+IF(ISNUMBER(SEARCH("CB",H486)),IFNA(VLOOKUP("CB",Pitch_Coef!$A:$B,2,FALSE),0),0)+IF(ISNUMBER(SEARCH("CF",H486)),IFNA(VLOOKUP("CF",Pitch_Coef!$A:$B,2,FALSE),0),0)+IF(ISNUMBER(SEARCH("CH",H486)),IFNA(VLOOKUP("CH",Pitch_Coef!$A:$B,2,FALSE),0),0)+IF(ISNUMBER(SEARCH("FK",H486)),IFNA(VLOOKUP("FK",Pitch_Coef!$A:$B,2,FALSE),0),0)+IF(ISNUMBER(SEARCH("SB",H486)),IFNA(VLOOKUP("SB",Pitch_Coef!$A:$B,2,FALSE),0),0)+IF(ISNUMBER(SEARCH("SL",H486)),IFNA(VLOOKUP("SL",Pitch_Coef!$A:$B,2,FALSE),0),0),0)</f>
        <v/>
      </c>
      <c r="AA486">
        <f>IF(Q486="P",16.5944849573+0.2529999141*N486+0.2665900378*O486+0.2632687105*P486+0.0427586837*I486+0.0534777057*J486+0.009015832*K486+0.0204898106*(O486*P486/100)+1.0091022427*U486+1.0968542297*IF(D486="L",1,0)+0.3771555045*IF(D486="S",1,0)-0.2226159177*IF(E486="L",1,0)+1.21385024*R486-1.1652812274*S486+W486+X486+Z486,10.5965166711+0.2825983581*I486+0.2806503532*J486+0.2027213083*K486+0.1147824982*L486+0.0915305332*M486-0.0088454122*(I486*J486/100)-0.0336045706*(K486*L486/100)+2.8497389733*IF(D486="L",1,0)+4.5116226727*IF(D486="S",1,0)-0.6571546448*IF(E486="L",1,0)+0.0850728147*T486+0.0129488446*(T486*T486)+0.1909373936*IF(OR(F486="Utility",G486="Utility"),T486,0)+0.9656824071*R486-1.7517683256*S486+W486+X486+Y486)</f>
        <v/>
      </c>
      <c r="AB486">
        <f>LOOKUP(AA486,Grade_Scale!$A$2:$A$18,Grade_Scale!$B$2:$B$18)</f>
        <v/>
      </c>
      <c r="AC486">
        <f>LOOKUP(AA486,Grade_Scale!$A$2:$A$18,Grade_Scale!$C$2:$C$18)</f>
        <v/>
      </c>
      <c r="AE486">
        <f>IF(AD486="","",AB486-VLOOKUP(AD486,Grade_Scale!$C$2:$E$18,3,FALSE))</f>
        <v/>
      </c>
    </row>
    <row r="487">
      <c r="Q487">
        <f>IF(OR(B487="SP",B487="RP",B487="CP",B487="SP/RP"),"P","H")</f>
        <v/>
      </c>
      <c r="R487">
        <f>IF(F487="",0,IFNA(VLOOKUP(F487,Trait_Polarity!$A:$C,2,FALSE),0))+IF(G487="",0,IFNA(VLOOKUP(G487,Trait_Polarity!$A:$C,2,FALSE),0))</f>
        <v/>
      </c>
      <c r="S487">
        <f>IF(F487="",0,IFNA(VLOOKUP(F487,Trait_Polarity!$A:$C,3,FALSE),0))+IF(G487="",0,IFNA(VLOOKUP(G487,Trait_Polarity!$A:$C,3,FALSE),0))</f>
        <v/>
      </c>
      <c r="T487">
        <f>IF(Q487="P",0,IFNA(VLOOKUP(IF(C487="","(none)",C487),Secondary_Versatility!$A:$B,2,FALSE),0))</f>
        <v/>
      </c>
      <c r="U487">
        <f>IF(H487="",0,LEN(H487)-LEN(SUBSTITUTE(H487,"|",""))+1)</f>
        <v/>
      </c>
      <c r="V487">
        <f>IF(Q487="P",(N487+O487+P487)/3,0.3*I487+0.3*J487+0.2*K487+0.1*L487+0.1*M487)</f>
        <v/>
      </c>
      <c r="W487">
        <f>IF(Q487="P",IF(F487="",0,IFNA(VLOOKUP(F487,Pitcher_Trait_Coef!$A:$B,2,FALSE),0))+IF(G487="",0,IFNA(VLOOKUP(G487,Pitcher_Trait_Coef!$A:$B,2,FALSE),0)),IF(F487="",0,IFNA(VLOOKUP(F487,Hitter_Trait_Coef!$A:$B,2,FALSE),0))+IF(G487="",0,IFNA(VLOOKUP(G487,Hitter_Trait_Coef!$A:$B,2,FALSE),0)))</f>
        <v/>
      </c>
      <c r="X487">
        <f>IF(Q487="P",IFNA(VLOOKUP(B487,Pitcher_Primary_Coef!$A:$B,2,FALSE),0),IFNA(VLOOKUP(B487,Hitter_Primary_Coef!$A:$B,2,FALSE),0))</f>
        <v/>
      </c>
      <c r="Y487">
        <f>IF(Q487="P",0,IFNA(VLOOKUP(IF(C487="","(none)",C487),Hitter_Secondary_Coef!$A:$B,2,FALSE),0))</f>
        <v/>
      </c>
      <c r="Z487">
        <f>IF(Q487="P",IF(ISNUMBER(SEARCH("2F",H487)),IFNA(VLOOKUP("2F",Pitch_Coef!$A:$B,2,FALSE),0),0)+IF(ISNUMBER(SEARCH("4F",H487)),IFNA(VLOOKUP("4F",Pitch_Coef!$A:$B,2,FALSE),0),0)+IF(ISNUMBER(SEARCH("CB",H487)),IFNA(VLOOKUP("CB",Pitch_Coef!$A:$B,2,FALSE),0),0)+IF(ISNUMBER(SEARCH("CF",H487)),IFNA(VLOOKUP("CF",Pitch_Coef!$A:$B,2,FALSE),0),0)+IF(ISNUMBER(SEARCH("CH",H487)),IFNA(VLOOKUP("CH",Pitch_Coef!$A:$B,2,FALSE),0),0)+IF(ISNUMBER(SEARCH("FK",H487)),IFNA(VLOOKUP("FK",Pitch_Coef!$A:$B,2,FALSE),0),0)+IF(ISNUMBER(SEARCH("SB",H487)),IFNA(VLOOKUP("SB",Pitch_Coef!$A:$B,2,FALSE),0),0)+IF(ISNUMBER(SEARCH("SL",H487)),IFNA(VLOOKUP("SL",Pitch_Coef!$A:$B,2,FALSE),0),0),0)</f>
        <v/>
      </c>
      <c r="AA487">
        <f>IF(Q487="P",16.5944849573+0.2529999141*N487+0.2665900378*O487+0.2632687105*P487+0.0427586837*I487+0.0534777057*J487+0.009015832*K487+0.0204898106*(O487*P487/100)+1.0091022427*U487+1.0968542297*IF(D487="L",1,0)+0.3771555045*IF(D487="S",1,0)-0.2226159177*IF(E487="L",1,0)+1.21385024*R487-1.1652812274*S487+W487+X487+Z487,10.5965166711+0.2825983581*I487+0.2806503532*J487+0.2027213083*K487+0.1147824982*L487+0.0915305332*M487-0.0088454122*(I487*J487/100)-0.0336045706*(K487*L487/100)+2.8497389733*IF(D487="L",1,0)+4.5116226727*IF(D487="S",1,0)-0.6571546448*IF(E487="L",1,0)+0.0850728147*T487+0.0129488446*(T487*T487)+0.1909373936*IF(OR(F487="Utility",G487="Utility"),T487,0)+0.9656824071*R487-1.7517683256*S487+W487+X487+Y487)</f>
        <v/>
      </c>
      <c r="AB487">
        <f>LOOKUP(AA487,Grade_Scale!$A$2:$A$18,Grade_Scale!$B$2:$B$18)</f>
        <v/>
      </c>
      <c r="AC487">
        <f>LOOKUP(AA487,Grade_Scale!$A$2:$A$18,Grade_Scale!$C$2:$C$18)</f>
        <v/>
      </c>
      <c r="AE487">
        <f>IF(AD487="","",AB487-VLOOKUP(AD487,Grade_Scale!$C$2:$E$18,3,FALSE))</f>
        <v/>
      </c>
    </row>
    <row r="488">
      <c r="Q488">
        <f>IF(OR(B488="SP",B488="RP",B488="CP",B488="SP/RP"),"P","H")</f>
        <v/>
      </c>
      <c r="R488">
        <f>IF(F488="",0,IFNA(VLOOKUP(F488,Trait_Polarity!$A:$C,2,FALSE),0))+IF(G488="",0,IFNA(VLOOKUP(G488,Trait_Polarity!$A:$C,2,FALSE),0))</f>
        <v/>
      </c>
      <c r="S488">
        <f>IF(F488="",0,IFNA(VLOOKUP(F488,Trait_Polarity!$A:$C,3,FALSE),0))+IF(G488="",0,IFNA(VLOOKUP(G488,Trait_Polarity!$A:$C,3,FALSE),0))</f>
        <v/>
      </c>
      <c r="T488">
        <f>IF(Q488="P",0,IFNA(VLOOKUP(IF(C488="","(none)",C488),Secondary_Versatility!$A:$B,2,FALSE),0))</f>
        <v/>
      </c>
      <c r="U488">
        <f>IF(H488="",0,LEN(H488)-LEN(SUBSTITUTE(H488,"|",""))+1)</f>
        <v/>
      </c>
      <c r="V488">
        <f>IF(Q488="P",(N488+O488+P488)/3,0.3*I488+0.3*J488+0.2*K488+0.1*L488+0.1*M488)</f>
        <v/>
      </c>
      <c r="W488">
        <f>IF(Q488="P",IF(F488="",0,IFNA(VLOOKUP(F488,Pitcher_Trait_Coef!$A:$B,2,FALSE),0))+IF(G488="",0,IFNA(VLOOKUP(G488,Pitcher_Trait_Coef!$A:$B,2,FALSE),0)),IF(F488="",0,IFNA(VLOOKUP(F488,Hitter_Trait_Coef!$A:$B,2,FALSE),0))+IF(G488="",0,IFNA(VLOOKUP(G488,Hitter_Trait_Coef!$A:$B,2,FALSE),0)))</f>
        <v/>
      </c>
      <c r="X488">
        <f>IF(Q488="P",IFNA(VLOOKUP(B488,Pitcher_Primary_Coef!$A:$B,2,FALSE),0),IFNA(VLOOKUP(B488,Hitter_Primary_Coef!$A:$B,2,FALSE),0))</f>
        <v/>
      </c>
      <c r="Y488">
        <f>IF(Q488="P",0,IFNA(VLOOKUP(IF(C488="","(none)",C488),Hitter_Secondary_Coef!$A:$B,2,FALSE),0))</f>
        <v/>
      </c>
      <c r="Z488">
        <f>IF(Q488="P",IF(ISNUMBER(SEARCH("2F",H488)),IFNA(VLOOKUP("2F",Pitch_Coef!$A:$B,2,FALSE),0),0)+IF(ISNUMBER(SEARCH("4F",H488)),IFNA(VLOOKUP("4F",Pitch_Coef!$A:$B,2,FALSE),0),0)+IF(ISNUMBER(SEARCH("CB",H488)),IFNA(VLOOKUP("CB",Pitch_Coef!$A:$B,2,FALSE),0),0)+IF(ISNUMBER(SEARCH("CF",H488)),IFNA(VLOOKUP("CF",Pitch_Coef!$A:$B,2,FALSE),0),0)+IF(ISNUMBER(SEARCH("CH",H488)),IFNA(VLOOKUP("CH",Pitch_Coef!$A:$B,2,FALSE),0),0)+IF(ISNUMBER(SEARCH("FK",H488)),IFNA(VLOOKUP("FK",Pitch_Coef!$A:$B,2,FALSE),0),0)+IF(ISNUMBER(SEARCH("SB",H488)),IFNA(VLOOKUP("SB",Pitch_Coef!$A:$B,2,FALSE),0),0)+IF(ISNUMBER(SEARCH("SL",H488)),IFNA(VLOOKUP("SL",Pitch_Coef!$A:$B,2,FALSE),0),0),0)</f>
        <v/>
      </c>
      <c r="AA488">
        <f>IF(Q488="P",16.5944849573+0.2529999141*N488+0.2665900378*O488+0.2632687105*P488+0.0427586837*I488+0.0534777057*J488+0.009015832*K488+0.0204898106*(O488*P488/100)+1.0091022427*U488+1.0968542297*IF(D488="L",1,0)+0.3771555045*IF(D488="S",1,0)-0.2226159177*IF(E488="L",1,0)+1.21385024*R488-1.1652812274*S488+W488+X488+Z488,10.5965166711+0.2825983581*I488+0.2806503532*J488+0.2027213083*K488+0.1147824982*L488+0.0915305332*M488-0.0088454122*(I488*J488/100)-0.0336045706*(K488*L488/100)+2.8497389733*IF(D488="L",1,0)+4.5116226727*IF(D488="S",1,0)-0.6571546448*IF(E488="L",1,0)+0.0850728147*T488+0.0129488446*(T488*T488)+0.1909373936*IF(OR(F488="Utility",G488="Utility"),T488,0)+0.9656824071*R488-1.7517683256*S488+W488+X488+Y488)</f>
        <v/>
      </c>
      <c r="AB488">
        <f>LOOKUP(AA488,Grade_Scale!$A$2:$A$18,Grade_Scale!$B$2:$B$18)</f>
        <v/>
      </c>
      <c r="AC488">
        <f>LOOKUP(AA488,Grade_Scale!$A$2:$A$18,Grade_Scale!$C$2:$C$18)</f>
        <v/>
      </c>
      <c r="AE488">
        <f>IF(AD488="","",AB488-VLOOKUP(AD488,Grade_Scale!$C$2:$E$18,3,FALSE))</f>
        <v/>
      </c>
    </row>
    <row r="489">
      <c r="Q489">
        <f>IF(OR(B489="SP",B489="RP",B489="CP",B489="SP/RP"),"P","H")</f>
        <v/>
      </c>
      <c r="R489">
        <f>IF(F489="",0,IFNA(VLOOKUP(F489,Trait_Polarity!$A:$C,2,FALSE),0))+IF(G489="",0,IFNA(VLOOKUP(G489,Trait_Polarity!$A:$C,2,FALSE),0))</f>
        <v/>
      </c>
      <c r="S489">
        <f>IF(F489="",0,IFNA(VLOOKUP(F489,Trait_Polarity!$A:$C,3,FALSE),0))+IF(G489="",0,IFNA(VLOOKUP(G489,Trait_Polarity!$A:$C,3,FALSE),0))</f>
        <v/>
      </c>
      <c r="T489">
        <f>IF(Q489="P",0,IFNA(VLOOKUP(IF(C489="","(none)",C489),Secondary_Versatility!$A:$B,2,FALSE),0))</f>
        <v/>
      </c>
      <c r="U489">
        <f>IF(H489="",0,LEN(H489)-LEN(SUBSTITUTE(H489,"|",""))+1)</f>
        <v/>
      </c>
      <c r="V489">
        <f>IF(Q489="P",(N489+O489+P489)/3,0.3*I489+0.3*J489+0.2*K489+0.1*L489+0.1*M489)</f>
        <v/>
      </c>
      <c r="W489">
        <f>IF(Q489="P",IF(F489="",0,IFNA(VLOOKUP(F489,Pitcher_Trait_Coef!$A:$B,2,FALSE),0))+IF(G489="",0,IFNA(VLOOKUP(G489,Pitcher_Trait_Coef!$A:$B,2,FALSE),0)),IF(F489="",0,IFNA(VLOOKUP(F489,Hitter_Trait_Coef!$A:$B,2,FALSE),0))+IF(G489="",0,IFNA(VLOOKUP(G489,Hitter_Trait_Coef!$A:$B,2,FALSE),0)))</f>
        <v/>
      </c>
      <c r="X489">
        <f>IF(Q489="P",IFNA(VLOOKUP(B489,Pitcher_Primary_Coef!$A:$B,2,FALSE),0),IFNA(VLOOKUP(B489,Hitter_Primary_Coef!$A:$B,2,FALSE),0))</f>
        <v/>
      </c>
      <c r="Y489">
        <f>IF(Q489="P",0,IFNA(VLOOKUP(IF(C489="","(none)",C489),Hitter_Secondary_Coef!$A:$B,2,FALSE),0))</f>
        <v/>
      </c>
      <c r="Z489">
        <f>IF(Q489="P",IF(ISNUMBER(SEARCH("2F",H489)),IFNA(VLOOKUP("2F",Pitch_Coef!$A:$B,2,FALSE),0),0)+IF(ISNUMBER(SEARCH("4F",H489)),IFNA(VLOOKUP("4F",Pitch_Coef!$A:$B,2,FALSE),0),0)+IF(ISNUMBER(SEARCH("CB",H489)),IFNA(VLOOKUP("CB",Pitch_Coef!$A:$B,2,FALSE),0),0)+IF(ISNUMBER(SEARCH("CF",H489)),IFNA(VLOOKUP("CF",Pitch_Coef!$A:$B,2,FALSE),0),0)+IF(ISNUMBER(SEARCH("CH",H489)),IFNA(VLOOKUP("CH",Pitch_Coef!$A:$B,2,FALSE),0),0)+IF(ISNUMBER(SEARCH("FK",H489)),IFNA(VLOOKUP("FK",Pitch_Coef!$A:$B,2,FALSE),0),0)+IF(ISNUMBER(SEARCH("SB",H489)),IFNA(VLOOKUP("SB",Pitch_Coef!$A:$B,2,FALSE),0),0)+IF(ISNUMBER(SEARCH("SL",H489)),IFNA(VLOOKUP("SL",Pitch_Coef!$A:$B,2,FALSE),0),0),0)</f>
        <v/>
      </c>
      <c r="AA489">
        <f>IF(Q489="P",16.5944849573+0.2529999141*N489+0.2665900378*O489+0.2632687105*P489+0.0427586837*I489+0.0534777057*J489+0.009015832*K489+0.0204898106*(O489*P489/100)+1.0091022427*U489+1.0968542297*IF(D489="L",1,0)+0.3771555045*IF(D489="S",1,0)-0.2226159177*IF(E489="L",1,0)+1.21385024*R489-1.1652812274*S489+W489+X489+Z489,10.5965166711+0.2825983581*I489+0.2806503532*J489+0.2027213083*K489+0.1147824982*L489+0.0915305332*M489-0.0088454122*(I489*J489/100)-0.0336045706*(K489*L489/100)+2.8497389733*IF(D489="L",1,0)+4.5116226727*IF(D489="S",1,0)-0.6571546448*IF(E489="L",1,0)+0.0850728147*T489+0.0129488446*(T489*T489)+0.1909373936*IF(OR(F489="Utility",G489="Utility"),T489,0)+0.9656824071*R489-1.7517683256*S489+W489+X489+Y489)</f>
        <v/>
      </c>
      <c r="AB489">
        <f>LOOKUP(AA489,Grade_Scale!$A$2:$A$18,Grade_Scale!$B$2:$B$18)</f>
        <v/>
      </c>
      <c r="AC489">
        <f>LOOKUP(AA489,Grade_Scale!$A$2:$A$18,Grade_Scale!$C$2:$C$18)</f>
        <v/>
      </c>
      <c r="AE489">
        <f>IF(AD489="","",AB489-VLOOKUP(AD489,Grade_Scale!$C$2:$E$18,3,FALSE))</f>
        <v/>
      </c>
    </row>
    <row r="490">
      <c r="Q490">
        <f>IF(OR(B490="SP",B490="RP",B490="CP",B490="SP/RP"),"P","H")</f>
        <v/>
      </c>
      <c r="R490">
        <f>IF(F490="",0,IFNA(VLOOKUP(F490,Trait_Polarity!$A:$C,2,FALSE),0))+IF(G490="",0,IFNA(VLOOKUP(G490,Trait_Polarity!$A:$C,2,FALSE),0))</f>
        <v/>
      </c>
      <c r="S490">
        <f>IF(F490="",0,IFNA(VLOOKUP(F490,Trait_Polarity!$A:$C,3,FALSE),0))+IF(G490="",0,IFNA(VLOOKUP(G490,Trait_Polarity!$A:$C,3,FALSE),0))</f>
        <v/>
      </c>
      <c r="T490">
        <f>IF(Q490="P",0,IFNA(VLOOKUP(IF(C490="","(none)",C490),Secondary_Versatility!$A:$B,2,FALSE),0))</f>
        <v/>
      </c>
      <c r="U490">
        <f>IF(H490="",0,LEN(H490)-LEN(SUBSTITUTE(H490,"|",""))+1)</f>
        <v/>
      </c>
      <c r="V490">
        <f>IF(Q490="P",(N490+O490+P490)/3,0.3*I490+0.3*J490+0.2*K490+0.1*L490+0.1*M490)</f>
        <v/>
      </c>
      <c r="W490">
        <f>IF(Q490="P",IF(F490="",0,IFNA(VLOOKUP(F490,Pitcher_Trait_Coef!$A:$B,2,FALSE),0))+IF(G490="",0,IFNA(VLOOKUP(G490,Pitcher_Trait_Coef!$A:$B,2,FALSE),0)),IF(F490="",0,IFNA(VLOOKUP(F490,Hitter_Trait_Coef!$A:$B,2,FALSE),0))+IF(G490="",0,IFNA(VLOOKUP(G490,Hitter_Trait_Coef!$A:$B,2,FALSE),0)))</f>
        <v/>
      </c>
      <c r="X490">
        <f>IF(Q490="P",IFNA(VLOOKUP(B490,Pitcher_Primary_Coef!$A:$B,2,FALSE),0),IFNA(VLOOKUP(B490,Hitter_Primary_Coef!$A:$B,2,FALSE),0))</f>
        <v/>
      </c>
      <c r="Y490">
        <f>IF(Q490="P",0,IFNA(VLOOKUP(IF(C490="","(none)",C490),Hitter_Secondary_Coef!$A:$B,2,FALSE),0))</f>
        <v/>
      </c>
      <c r="Z490">
        <f>IF(Q490="P",IF(ISNUMBER(SEARCH("2F",H490)),IFNA(VLOOKUP("2F",Pitch_Coef!$A:$B,2,FALSE),0),0)+IF(ISNUMBER(SEARCH("4F",H490)),IFNA(VLOOKUP("4F",Pitch_Coef!$A:$B,2,FALSE),0),0)+IF(ISNUMBER(SEARCH("CB",H490)),IFNA(VLOOKUP("CB",Pitch_Coef!$A:$B,2,FALSE),0),0)+IF(ISNUMBER(SEARCH("CF",H490)),IFNA(VLOOKUP("CF",Pitch_Coef!$A:$B,2,FALSE),0),0)+IF(ISNUMBER(SEARCH("CH",H490)),IFNA(VLOOKUP("CH",Pitch_Coef!$A:$B,2,FALSE),0),0)+IF(ISNUMBER(SEARCH("FK",H490)),IFNA(VLOOKUP("FK",Pitch_Coef!$A:$B,2,FALSE),0),0)+IF(ISNUMBER(SEARCH("SB",H490)),IFNA(VLOOKUP("SB",Pitch_Coef!$A:$B,2,FALSE),0),0)+IF(ISNUMBER(SEARCH("SL",H490)),IFNA(VLOOKUP("SL",Pitch_Coef!$A:$B,2,FALSE),0),0),0)</f>
        <v/>
      </c>
      <c r="AA490">
        <f>IF(Q490="P",16.5944849573+0.2529999141*N490+0.2665900378*O490+0.2632687105*P490+0.0427586837*I490+0.0534777057*J490+0.009015832*K490+0.0204898106*(O490*P490/100)+1.0091022427*U490+1.0968542297*IF(D490="L",1,0)+0.3771555045*IF(D490="S",1,0)-0.2226159177*IF(E490="L",1,0)+1.21385024*R490-1.1652812274*S490+W490+X490+Z490,10.5965166711+0.2825983581*I490+0.2806503532*J490+0.2027213083*K490+0.1147824982*L490+0.0915305332*M490-0.0088454122*(I490*J490/100)-0.0336045706*(K490*L490/100)+2.8497389733*IF(D490="L",1,0)+4.5116226727*IF(D490="S",1,0)-0.6571546448*IF(E490="L",1,0)+0.0850728147*T490+0.0129488446*(T490*T490)+0.1909373936*IF(OR(F490="Utility",G490="Utility"),T490,0)+0.9656824071*R490-1.7517683256*S490+W490+X490+Y490)</f>
        <v/>
      </c>
      <c r="AB490">
        <f>LOOKUP(AA490,Grade_Scale!$A$2:$A$18,Grade_Scale!$B$2:$B$18)</f>
        <v/>
      </c>
      <c r="AC490">
        <f>LOOKUP(AA490,Grade_Scale!$A$2:$A$18,Grade_Scale!$C$2:$C$18)</f>
        <v/>
      </c>
      <c r="AE490">
        <f>IF(AD490="","",AB490-VLOOKUP(AD490,Grade_Scale!$C$2:$E$18,3,FALSE))</f>
        <v/>
      </c>
    </row>
    <row r="491">
      <c r="Q491">
        <f>IF(OR(B491="SP",B491="RP",B491="CP",B491="SP/RP"),"P","H")</f>
        <v/>
      </c>
      <c r="R491">
        <f>IF(F491="",0,IFNA(VLOOKUP(F491,Trait_Polarity!$A:$C,2,FALSE),0))+IF(G491="",0,IFNA(VLOOKUP(G491,Trait_Polarity!$A:$C,2,FALSE),0))</f>
        <v/>
      </c>
      <c r="S491">
        <f>IF(F491="",0,IFNA(VLOOKUP(F491,Trait_Polarity!$A:$C,3,FALSE),0))+IF(G491="",0,IFNA(VLOOKUP(G491,Trait_Polarity!$A:$C,3,FALSE),0))</f>
        <v/>
      </c>
      <c r="T491">
        <f>IF(Q491="P",0,IFNA(VLOOKUP(IF(C491="","(none)",C491),Secondary_Versatility!$A:$B,2,FALSE),0))</f>
        <v/>
      </c>
      <c r="U491">
        <f>IF(H491="",0,LEN(H491)-LEN(SUBSTITUTE(H491,"|",""))+1)</f>
        <v/>
      </c>
      <c r="V491">
        <f>IF(Q491="P",(N491+O491+P491)/3,0.3*I491+0.3*J491+0.2*K491+0.1*L491+0.1*M491)</f>
        <v/>
      </c>
      <c r="W491">
        <f>IF(Q491="P",IF(F491="",0,IFNA(VLOOKUP(F491,Pitcher_Trait_Coef!$A:$B,2,FALSE),0))+IF(G491="",0,IFNA(VLOOKUP(G491,Pitcher_Trait_Coef!$A:$B,2,FALSE),0)),IF(F491="",0,IFNA(VLOOKUP(F491,Hitter_Trait_Coef!$A:$B,2,FALSE),0))+IF(G491="",0,IFNA(VLOOKUP(G491,Hitter_Trait_Coef!$A:$B,2,FALSE),0)))</f>
        <v/>
      </c>
      <c r="X491">
        <f>IF(Q491="P",IFNA(VLOOKUP(B491,Pitcher_Primary_Coef!$A:$B,2,FALSE),0),IFNA(VLOOKUP(B491,Hitter_Primary_Coef!$A:$B,2,FALSE),0))</f>
        <v/>
      </c>
      <c r="Y491">
        <f>IF(Q491="P",0,IFNA(VLOOKUP(IF(C491="","(none)",C491),Hitter_Secondary_Coef!$A:$B,2,FALSE),0))</f>
        <v/>
      </c>
      <c r="Z491">
        <f>IF(Q491="P",IF(ISNUMBER(SEARCH("2F",H491)),IFNA(VLOOKUP("2F",Pitch_Coef!$A:$B,2,FALSE),0),0)+IF(ISNUMBER(SEARCH("4F",H491)),IFNA(VLOOKUP("4F",Pitch_Coef!$A:$B,2,FALSE),0),0)+IF(ISNUMBER(SEARCH("CB",H491)),IFNA(VLOOKUP("CB",Pitch_Coef!$A:$B,2,FALSE),0),0)+IF(ISNUMBER(SEARCH("CF",H491)),IFNA(VLOOKUP("CF",Pitch_Coef!$A:$B,2,FALSE),0),0)+IF(ISNUMBER(SEARCH("CH",H491)),IFNA(VLOOKUP("CH",Pitch_Coef!$A:$B,2,FALSE),0),0)+IF(ISNUMBER(SEARCH("FK",H491)),IFNA(VLOOKUP("FK",Pitch_Coef!$A:$B,2,FALSE),0),0)+IF(ISNUMBER(SEARCH("SB",H491)),IFNA(VLOOKUP("SB",Pitch_Coef!$A:$B,2,FALSE),0),0)+IF(ISNUMBER(SEARCH("SL",H491)),IFNA(VLOOKUP("SL",Pitch_Coef!$A:$B,2,FALSE),0),0),0)</f>
        <v/>
      </c>
      <c r="AA491">
        <f>IF(Q491="P",16.5944849573+0.2529999141*N491+0.2665900378*O491+0.2632687105*P491+0.0427586837*I491+0.0534777057*J491+0.009015832*K491+0.0204898106*(O491*P491/100)+1.0091022427*U491+1.0968542297*IF(D491="L",1,0)+0.3771555045*IF(D491="S",1,0)-0.2226159177*IF(E491="L",1,0)+1.21385024*R491-1.1652812274*S491+W491+X491+Z491,10.5965166711+0.2825983581*I491+0.2806503532*J491+0.2027213083*K491+0.1147824982*L491+0.0915305332*M491-0.0088454122*(I491*J491/100)-0.0336045706*(K491*L491/100)+2.8497389733*IF(D491="L",1,0)+4.5116226727*IF(D491="S",1,0)-0.6571546448*IF(E491="L",1,0)+0.0850728147*T491+0.0129488446*(T491*T491)+0.1909373936*IF(OR(F491="Utility",G491="Utility"),T491,0)+0.9656824071*R491-1.7517683256*S491+W491+X491+Y491)</f>
        <v/>
      </c>
      <c r="AB491">
        <f>LOOKUP(AA491,Grade_Scale!$A$2:$A$18,Grade_Scale!$B$2:$B$18)</f>
        <v/>
      </c>
      <c r="AC491">
        <f>LOOKUP(AA491,Grade_Scale!$A$2:$A$18,Grade_Scale!$C$2:$C$18)</f>
        <v/>
      </c>
      <c r="AE491">
        <f>IF(AD491="","",AB491-VLOOKUP(AD491,Grade_Scale!$C$2:$E$18,3,FALSE))</f>
        <v/>
      </c>
    </row>
    <row r="492">
      <c r="Q492">
        <f>IF(OR(B492="SP",B492="RP",B492="CP",B492="SP/RP"),"P","H")</f>
        <v/>
      </c>
      <c r="R492">
        <f>IF(F492="",0,IFNA(VLOOKUP(F492,Trait_Polarity!$A:$C,2,FALSE),0))+IF(G492="",0,IFNA(VLOOKUP(G492,Trait_Polarity!$A:$C,2,FALSE),0))</f>
        <v/>
      </c>
      <c r="S492">
        <f>IF(F492="",0,IFNA(VLOOKUP(F492,Trait_Polarity!$A:$C,3,FALSE),0))+IF(G492="",0,IFNA(VLOOKUP(G492,Trait_Polarity!$A:$C,3,FALSE),0))</f>
        <v/>
      </c>
      <c r="T492">
        <f>IF(Q492="P",0,IFNA(VLOOKUP(IF(C492="","(none)",C492),Secondary_Versatility!$A:$B,2,FALSE),0))</f>
        <v/>
      </c>
      <c r="U492">
        <f>IF(H492="",0,LEN(H492)-LEN(SUBSTITUTE(H492,"|",""))+1)</f>
        <v/>
      </c>
      <c r="V492">
        <f>IF(Q492="P",(N492+O492+P492)/3,0.3*I492+0.3*J492+0.2*K492+0.1*L492+0.1*M492)</f>
        <v/>
      </c>
      <c r="W492">
        <f>IF(Q492="P",IF(F492="",0,IFNA(VLOOKUP(F492,Pitcher_Trait_Coef!$A:$B,2,FALSE),0))+IF(G492="",0,IFNA(VLOOKUP(G492,Pitcher_Trait_Coef!$A:$B,2,FALSE),0)),IF(F492="",0,IFNA(VLOOKUP(F492,Hitter_Trait_Coef!$A:$B,2,FALSE),0))+IF(G492="",0,IFNA(VLOOKUP(G492,Hitter_Trait_Coef!$A:$B,2,FALSE),0)))</f>
        <v/>
      </c>
      <c r="X492">
        <f>IF(Q492="P",IFNA(VLOOKUP(B492,Pitcher_Primary_Coef!$A:$B,2,FALSE),0),IFNA(VLOOKUP(B492,Hitter_Primary_Coef!$A:$B,2,FALSE),0))</f>
        <v/>
      </c>
      <c r="Y492">
        <f>IF(Q492="P",0,IFNA(VLOOKUP(IF(C492="","(none)",C492),Hitter_Secondary_Coef!$A:$B,2,FALSE),0))</f>
        <v/>
      </c>
      <c r="Z492">
        <f>IF(Q492="P",IF(ISNUMBER(SEARCH("2F",H492)),IFNA(VLOOKUP("2F",Pitch_Coef!$A:$B,2,FALSE),0),0)+IF(ISNUMBER(SEARCH("4F",H492)),IFNA(VLOOKUP("4F",Pitch_Coef!$A:$B,2,FALSE),0),0)+IF(ISNUMBER(SEARCH("CB",H492)),IFNA(VLOOKUP("CB",Pitch_Coef!$A:$B,2,FALSE),0),0)+IF(ISNUMBER(SEARCH("CF",H492)),IFNA(VLOOKUP("CF",Pitch_Coef!$A:$B,2,FALSE),0),0)+IF(ISNUMBER(SEARCH("CH",H492)),IFNA(VLOOKUP("CH",Pitch_Coef!$A:$B,2,FALSE),0),0)+IF(ISNUMBER(SEARCH("FK",H492)),IFNA(VLOOKUP("FK",Pitch_Coef!$A:$B,2,FALSE),0),0)+IF(ISNUMBER(SEARCH("SB",H492)),IFNA(VLOOKUP("SB",Pitch_Coef!$A:$B,2,FALSE),0),0)+IF(ISNUMBER(SEARCH("SL",H492)),IFNA(VLOOKUP("SL",Pitch_Coef!$A:$B,2,FALSE),0),0),0)</f>
        <v/>
      </c>
      <c r="AA492">
        <f>IF(Q492="P",16.5944849573+0.2529999141*N492+0.2665900378*O492+0.2632687105*P492+0.0427586837*I492+0.0534777057*J492+0.009015832*K492+0.0204898106*(O492*P492/100)+1.0091022427*U492+1.0968542297*IF(D492="L",1,0)+0.3771555045*IF(D492="S",1,0)-0.2226159177*IF(E492="L",1,0)+1.21385024*R492-1.1652812274*S492+W492+X492+Z492,10.5965166711+0.2825983581*I492+0.2806503532*J492+0.2027213083*K492+0.1147824982*L492+0.0915305332*M492-0.0088454122*(I492*J492/100)-0.0336045706*(K492*L492/100)+2.8497389733*IF(D492="L",1,0)+4.5116226727*IF(D492="S",1,0)-0.6571546448*IF(E492="L",1,0)+0.0850728147*T492+0.0129488446*(T492*T492)+0.1909373936*IF(OR(F492="Utility",G492="Utility"),T492,0)+0.9656824071*R492-1.7517683256*S492+W492+X492+Y492)</f>
        <v/>
      </c>
      <c r="AB492">
        <f>LOOKUP(AA492,Grade_Scale!$A$2:$A$18,Grade_Scale!$B$2:$B$18)</f>
        <v/>
      </c>
      <c r="AC492">
        <f>LOOKUP(AA492,Grade_Scale!$A$2:$A$18,Grade_Scale!$C$2:$C$18)</f>
        <v/>
      </c>
      <c r="AE492">
        <f>IF(AD492="","",AB492-VLOOKUP(AD492,Grade_Scale!$C$2:$E$18,3,FALSE))</f>
        <v/>
      </c>
    </row>
    <row r="493">
      <c r="Q493">
        <f>IF(OR(B493="SP",B493="RP",B493="CP",B493="SP/RP"),"P","H")</f>
        <v/>
      </c>
      <c r="R493">
        <f>IF(F493="",0,IFNA(VLOOKUP(F493,Trait_Polarity!$A:$C,2,FALSE),0))+IF(G493="",0,IFNA(VLOOKUP(G493,Trait_Polarity!$A:$C,2,FALSE),0))</f>
        <v/>
      </c>
      <c r="S493">
        <f>IF(F493="",0,IFNA(VLOOKUP(F493,Trait_Polarity!$A:$C,3,FALSE),0))+IF(G493="",0,IFNA(VLOOKUP(G493,Trait_Polarity!$A:$C,3,FALSE),0))</f>
        <v/>
      </c>
      <c r="T493">
        <f>IF(Q493="P",0,IFNA(VLOOKUP(IF(C493="","(none)",C493),Secondary_Versatility!$A:$B,2,FALSE),0))</f>
        <v/>
      </c>
      <c r="U493">
        <f>IF(H493="",0,LEN(H493)-LEN(SUBSTITUTE(H493,"|",""))+1)</f>
        <v/>
      </c>
      <c r="V493">
        <f>IF(Q493="P",(N493+O493+P493)/3,0.3*I493+0.3*J493+0.2*K493+0.1*L493+0.1*M493)</f>
        <v/>
      </c>
      <c r="W493">
        <f>IF(Q493="P",IF(F493="",0,IFNA(VLOOKUP(F493,Pitcher_Trait_Coef!$A:$B,2,FALSE),0))+IF(G493="",0,IFNA(VLOOKUP(G493,Pitcher_Trait_Coef!$A:$B,2,FALSE),0)),IF(F493="",0,IFNA(VLOOKUP(F493,Hitter_Trait_Coef!$A:$B,2,FALSE),0))+IF(G493="",0,IFNA(VLOOKUP(G493,Hitter_Trait_Coef!$A:$B,2,FALSE),0)))</f>
        <v/>
      </c>
      <c r="X493">
        <f>IF(Q493="P",IFNA(VLOOKUP(B493,Pitcher_Primary_Coef!$A:$B,2,FALSE),0),IFNA(VLOOKUP(B493,Hitter_Primary_Coef!$A:$B,2,FALSE),0))</f>
        <v/>
      </c>
      <c r="Y493">
        <f>IF(Q493="P",0,IFNA(VLOOKUP(IF(C493="","(none)",C493),Hitter_Secondary_Coef!$A:$B,2,FALSE),0))</f>
        <v/>
      </c>
      <c r="Z493">
        <f>IF(Q493="P",IF(ISNUMBER(SEARCH("2F",H493)),IFNA(VLOOKUP("2F",Pitch_Coef!$A:$B,2,FALSE),0),0)+IF(ISNUMBER(SEARCH("4F",H493)),IFNA(VLOOKUP("4F",Pitch_Coef!$A:$B,2,FALSE),0),0)+IF(ISNUMBER(SEARCH("CB",H493)),IFNA(VLOOKUP("CB",Pitch_Coef!$A:$B,2,FALSE),0),0)+IF(ISNUMBER(SEARCH("CF",H493)),IFNA(VLOOKUP("CF",Pitch_Coef!$A:$B,2,FALSE),0),0)+IF(ISNUMBER(SEARCH("CH",H493)),IFNA(VLOOKUP("CH",Pitch_Coef!$A:$B,2,FALSE),0),0)+IF(ISNUMBER(SEARCH("FK",H493)),IFNA(VLOOKUP("FK",Pitch_Coef!$A:$B,2,FALSE),0),0)+IF(ISNUMBER(SEARCH("SB",H493)),IFNA(VLOOKUP("SB",Pitch_Coef!$A:$B,2,FALSE),0),0)+IF(ISNUMBER(SEARCH("SL",H493)),IFNA(VLOOKUP("SL",Pitch_Coef!$A:$B,2,FALSE),0),0),0)</f>
        <v/>
      </c>
      <c r="AA493">
        <f>IF(Q493="P",16.5944849573+0.2529999141*N493+0.2665900378*O493+0.2632687105*P493+0.0427586837*I493+0.0534777057*J493+0.009015832*K493+0.0204898106*(O493*P493/100)+1.0091022427*U493+1.0968542297*IF(D493="L",1,0)+0.3771555045*IF(D493="S",1,0)-0.2226159177*IF(E493="L",1,0)+1.21385024*R493-1.1652812274*S493+W493+X493+Z493,10.5965166711+0.2825983581*I493+0.2806503532*J493+0.2027213083*K493+0.1147824982*L493+0.0915305332*M493-0.0088454122*(I493*J493/100)-0.0336045706*(K493*L493/100)+2.8497389733*IF(D493="L",1,0)+4.5116226727*IF(D493="S",1,0)-0.6571546448*IF(E493="L",1,0)+0.0850728147*T493+0.0129488446*(T493*T493)+0.1909373936*IF(OR(F493="Utility",G493="Utility"),T493,0)+0.9656824071*R493-1.7517683256*S493+W493+X493+Y493)</f>
        <v/>
      </c>
      <c r="AB493">
        <f>LOOKUP(AA493,Grade_Scale!$A$2:$A$18,Grade_Scale!$B$2:$B$18)</f>
        <v/>
      </c>
      <c r="AC493">
        <f>LOOKUP(AA493,Grade_Scale!$A$2:$A$18,Grade_Scale!$C$2:$C$18)</f>
        <v/>
      </c>
      <c r="AE493">
        <f>IF(AD493="","",AB493-VLOOKUP(AD493,Grade_Scale!$C$2:$E$18,3,FALSE))</f>
        <v/>
      </c>
    </row>
    <row r="494">
      <c r="Q494">
        <f>IF(OR(B494="SP",B494="RP",B494="CP",B494="SP/RP"),"P","H")</f>
        <v/>
      </c>
      <c r="R494">
        <f>IF(F494="",0,IFNA(VLOOKUP(F494,Trait_Polarity!$A:$C,2,FALSE),0))+IF(G494="",0,IFNA(VLOOKUP(G494,Trait_Polarity!$A:$C,2,FALSE),0))</f>
        <v/>
      </c>
      <c r="S494">
        <f>IF(F494="",0,IFNA(VLOOKUP(F494,Trait_Polarity!$A:$C,3,FALSE),0))+IF(G494="",0,IFNA(VLOOKUP(G494,Trait_Polarity!$A:$C,3,FALSE),0))</f>
        <v/>
      </c>
      <c r="T494">
        <f>IF(Q494="P",0,IFNA(VLOOKUP(IF(C494="","(none)",C494),Secondary_Versatility!$A:$B,2,FALSE),0))</f>
        <v/>
      </c>
      <c r="U494">
        <f>IF(H494="",0,LEN(H494)-LEN(SUBSTITUTE(H494,"|",""))+1)</f>
        <v/>
      </c>
      <c r="V494">
        <f>IF(Q494="P",(N494+O494+P494)/3,0.3*I494+0.3*J494+0.2*K494+0.1*L494+0.1*M494)</f>
        <v/>
      </c>
      <c r="W494">
        <f>IF(Q494="P",IF(F494="",0,IFNA(VLOOKUP(F494,Pitcher_Trait_Coef!$A:$B,2,FALSE),0))+IF(G494="",0,IFNA(VLOOKUP(G494,Pitcher_Trait_Coef!$A:$B,2,FALSE),0)),IF(F494="",0,IFNA(VLOOKUP(F494,Hitter_Trait_Coef!$A:$B,2,FALSE),0))+IF(G494="",0,IFNA(VLOOKUP(G494,Hitter_Trait_Coef!$A:$B,2,FALSE),0)))</f>
        <v/>
      </c>
      <c r="X494">
        <f>IF(Q494="P",IFNA(VLOOKUP(B494,Pitcher_Primary_Coef!$A:$B,2,FALSE),0),IFNA(VLOOKUP(B494,Hitter_Primary_Coef!$A:$B,2,FALSE),0))</f>
        <v/>
      </c>
      <c r="Y494">
        <f>IF(Q494="P",0,IFNA(VLOOKUP(IF(C494="","(none)",C494),Hitter_Secondary_Coef!$A:$B,2,FALSE),0))</f>
        <v/>
      </c>
      <c r="Z494">
        <f>IF(Q494="P",IF(ISNUMBER(SEARCH("2F",H494)),IFNA(VLOOKUP("2F",Pitch_Coef!$A:$B,2,FALSE),0),0)+IF(ISNUMBER(SEARCH("4F",H494)),IFNA(VLOOKUP("4F",Pitch_Coef!$A:$B,2,FALSE),0),0)+IF(ISNUMBER(SEARCH("CB",H494)),IFNA(VLOOKUP("CB",Pitch_Coef!$A:$B,2,FALSE),0),0)+IF(ISNUMBER(SEARCH("CF",H494)),IFNA(VLOOKUP("CF",Pitch_Coef!$A:$B,2,FALSE),0),0)+IF(ISNUMBER(SEARCH("CH",H494)),IFNA(VLOOKUP("CH",Pitch_Coef!$A:$B,2,FALSE),0),0)+IF(ISNUMBER(SEARCH("FK",H494)),IFNA(VLOOKUP("FK",Pitch_Coef!$A:$B,2,FALSE),0),0)+IF(ISNUMBER(SEARCH("SB",H494)),IFNA(VLOOKUP("SB",Pitch_Coef!$A:$B,2,FALSE),0),0)+IF(ISNUMBER(SEARCH("SL",H494)),IFNA(VLOOKUP("SL",Pitch_Coef!$A:$B,2,FALSE),0),0),0)</f>
        <v/>
      </c>
      <c r="AA494">
        <f>IF(Q494="P",16.5944849573+0.2529999141*N494+0.2665900378*O494+0.2632687105*P494+0.0427586837*I494+0.0534777057*J494+0.009015832*K494+0.0204898106*(O494*P494/100)+1.0091022427*U494+1.0968542297*IF(D494="L",1,0)+0.3771555045*IF(D494="S",1,0)-0.2226159177*IF(E494="L",1,0)+1.21385024*R494-1.1652812274*S494+W494+X494+Z494,10.5965166711+0.2825983581*I494+0.2806503532*J494+0.2027213083*K494+0.1147824982*L494+0.0915305332*M494-0.0088454122*(I494*J494/100)-0.0336045706*(K494*L494/100)+2.8497389733*IF(D494="L",1,0)+4.5116226727*IF(D494="S",1,0)-0.6571546448*IF(E494="L",1,0)+0.0850728147*T494+0.0129488446*(T494*T494)+0.1909373936*IF(OR(F494="Utility",G494="Utility"),T494,0)+0.9656824071*R494-1.7517683256*S494+W494+X494+Y494)</f>
        <v/>
      </c>
      <c r="AB494">
        <f>LOOKUP(AA494,Grade_Scale!$A$2:$A$18,Grade_Scale!$B$2:$B$18)</f>
        <v/>
      </c>
      <c r="AC494">
        <f>LOOKUP(AA494,Grade_Scale!$A$2:$A$18,Grade_Scale!$C$2:$C$18)</f>
        <v/>
      </c>
      <c r="AE494">
        <f>IF(AD494="","",AB494-VLOOKUP(AD494,Grade_Scale!$C$2:$E$18,3,FALSE))</f>
        <v/>
      </c>
    </row>
    <row r="495">
      <c r="Q495">
        <f>IF(OR(B495="SP",B495="RP",B495="CP",B495="SP/RP"),"P","H")</f>
        <v/>
      </c>
      <c r="R495">
        <f>IF(F495="",0,IFNA(VLOOKUP(F495,Trait_Polarity!$A:$C,2,FALSE),0))+IF(G495="",0,IFNA(VLOOKUP(G495,Trait_Polarity!$A:$C,2,FALSE),0))</f>
        <v/>
      </c>
      <c r="S495">
        <f>IF(F495="",0,IFNA(VLOOKUP(F495,Trait_Polarity!$A:$C,3,FALSE),0))+IF(G495="",0,IFNA(VLOOKUP(G495,Trait_Polarity!$A:$C,3,FALSE),0))</f>
        <v/>
      </c>
      <c r="T495">
        <f>IF(Q495="P",0,IFNA(VLOOKUP(IF(C495="","(none)",C495),Secondary_Versatility!$A:$B,2,FALSE),0))</f>
        <v/>
      </c>
      <c r="U495">
        <f>IF(H495="",0,LEN(H495)-LEN(SUBSTITUTE(H495,"|",""))+1)</f>
        <v/>
      </c>
      <c r="V495">
        <f>IF(Q495="P",(N495+O495+P495)/3,0.3*I495+0.3*J495+0.2*K495+0.1*L495+0.1*M495)</f>
        <v/>
      </c>
      <c r="W495">
        <f>IF(Q495="P",IF(F495="",0,IFNA(VLOOKUP(F495,Pitcher_Trait_Coef!$A:$B,2,FALSE),0))+IF(G495="",0,IFNA(VLOOKUP(G495,Pitcher_Trait_Coef!$A:$B,2,FALSE),0)),IF(F495="",0,IFNA(VLOOKUP(F495,Hitter_Trait_Coef!$A:$B,2,FALSE),0))+IF(G495="",0,IFNA(VLOOKUP(G495,Hitter_Trait_Coef!$A:$B,2,FALSE),0)))</f>
        <v/>
      </c>
      <c r="X495">
        <f>IF(Q495="P",IFNA(VLOOKUP(B495,Pitcher_Primary_Coef!$A:$B,2,FALSE),0),IFNA(VLOOKUP(B495,Hitter_Primary_Coef!$A:$B,2,FALSE),0))</f>
        <v/>
      </c>
      <c r="Y495">
        <f>IF(Q495="P",0,IFNA(VLOOKUP(IF(C495="","(none)",C495),Hitter_Secondary_Coef!$A:$B,2,FALSE),0))</f>
        <v/>
      </c>
      <c r="Z495">
        <f>IF(Q495="P",IF(ISNUMBER(SEARCH("2F",H495)),IFNA(VLOOKUP("2F",Pitch_Coef!$A:$B,2,FALSE),0),0)+IF(ISNUMBER(SEARCH("4F",H495)),IFNA(VLOOKUP("4F",Pitch_Coef!$A:$B,2,FALSE),0),0)+IF(ISNUMBER(SEARCH("CB",H495)),IFNA(VLOOKUP("CB",Pitch_Coef!$A:$B,2,FALSE),0),0)+IF(ISNUMBER(SEARCH("CF",H495)),IFNA(VLOOKUP("CF",Pitch_Coef!$A:$B,2,FALSE),0),0)+IF(ISNUMBER(SEARCH("CH",H495)),IFNA(VLOOKUP("CH",Pitch_Coef!$A:$B,2,FALSE),0),0)+IF(ISNUMBER(SEARCH("FK",H495)),IFNA(VLOOKUP("FK",Pitch_Coef!$A:$B,2,FALSE),0),0)+IF(ISNUMBER(SEARCH("SB",H495)),IFNA(VLOOKUP("SB",Pitch_Coef!$A:$B,2,FALSE),0),0)+IF(ISNUMBER(SEARCH("SL",H495)),IFNA(VLOOKUP("SL",Pitch_Coef!$A:$B,2,FALSE),0),0),0)</f>
        <v/>
      </c>
      <c r="AA495">
        <f>IF(Q495="P",16.5944849573+0.2529999141*N495+0.2665900378*O495+0.2632687105*P495+0.0427586837*I495+0.0534777057*J495+0.009015832*K495+0.0204898106*(O495*P495/100)+1.0091022427*U495+1.0968542297*IF(D495="L",1,0)+0.3771555045*IF(D495="S",1,0)-0.2226159177*IF(E495="L",1,0)+1.21385024*R495-1.1652812274*S495+W495+X495+Z495,10.5965166711+0.2825983581*I495+0.2806503532*J495+0.2027213083*K495+0.1147824982*L495+0.0915305332*M495-0.0088454122*(I495*J495/100)-0.0336045706*(K495*L495/100)+2.8497389733*IF(D495="L",1,0)+4.5116226727*IF(D495="S",1,0)-0.6571546448*IF(E495="L",1,0)+0.0850728147*T495+0.0129488446*(T495*T495)+0.1909373936*IF(OR(F495="Utility",G495="Utility"),T495,0)+0.9656824071*R495-1.7517683256*S495+W495+X495+Y495)</f>
        <v/>
      </c>
      <c r="AB495">
        <f>LOOKUP(AA495,Grade_Scale!$A$2:$A$18,Grade_Scale!$B$2:$B$18)</f>
        <v/>
      </c>
      <c r="AC495">
        <f>LOOKUP(AA495,Grade_Scale!$A$2:$A$18,Grade_Scale!$C$2:$C$18)</f>
        <v/>
      </c>
      <c r="AE495">
        <f>IF(AD495="","",AB495-VLOOKUP(AD495,Grade_Scale!$C$2:$E$18,3,FALSE))</f>
        <v/>
      </c>
    </row>
    <row r="496">
      <c r="Q496">
        <f>IF(OR(B496="SP",B496="RP",B496="CP",B496="SP/RP"),"P","H")</f>
        <v/>
      </c>
      <c r="R496">
        <f>IF(F496="",0,IFNA(VLOOKUP(F496,Trait_Polarity!$A:$C,2,FALSE),0))+IF(G496="",0,IFNA(VLOOKUP(G496,Trait_Polarity!$A:$C,2,FALSE),0))</f>
        <v/>
      </c>
      <c r="S496">
        <f>IF(F496="",0,IFNA(VLOOKUP(F496,Trait_Polarity!$A:$C,3,FALSE),0))+IF(G496="",0,IFNA(VLOOKUP(G496,Trait_Polarity!$A:$C,3,FALSE),0))</f>
        <v/>
      </c>
      <c r="T496">
        <f>IF(Q496="P",0,IFNA(VLOOKUP(IF(C496="","(none)",C496),Secondary_Versatility!$A:$B,2,FALSE),0))</f>
        <v/>
      </c>
      <c r="U496">
        <f>IF(H496="",0,LEN(H496)-LEN(SUBSTITUTE(H496,"|",""))+1)</f>
        <v/>
      </c>
      <c r="V496">
        <f>IF(Q496="P",(N496+O496+P496)/3,0.3*I496+0.3*J496+0.2*K496+0.1*L496+0.1*M496)</f>
        <v/>
      </c>
      <c r="W496">
        <f>IF(Q496="P",IF(F496="",0,IFNA(VLOOKUP(F496,Pitcher_Trait_Coef!$A:$B,2,FALSE),0))+IF(G496="",0,IFNA(VLOOKUP(G496,Pitcher_Trait_Coef!$A:$B,2,FALSE),0)),IF(F496="",0,IFNA(VLOOKUP(F496,Hitter_Trait_Coef!$A:$B,2,FALSE),0))+IF(G496="",0,IFNA(VLOOKUP(G496,Hitter_Trait_Coef!$A:$B,2,FALSE),0)))</f>
        <v/>
      </c>
      <c r="X496">
        <f>IF(Q496="P",IFNA(VLOOKUP(B496,Pitcher_Primary_Coef!$A:$B,2,FALSE),0),IFNA(VLOOKUP(B496,Hitter_Primary_Coef!$A:$B,2,FALSE),0))</f>
        <v/>
      </c>
      <c r="Y496">
        <f>IF(Q496="P",0,IFNA(VLOOKUP(IF(C496="","(none)",C496),Hitter_Secondary_Coef!$A:$B,2,FALSE),0))</f>
        <v/>
      </c>
      <c r="Z496">
        <f>IF(Q496="P",IF(ISNUMBER(SEARCH("2F",H496)),IFNA(VLOOKUP("2F",Pitch_Coef!$A:$B,2,FALSE),0),0)+IF(ISNUMBER(SEARCH("4F",H496)),IFNA(VLOOKUP("4F",Pitch_Coef!$A:$B,2,FALSE),0),0)+IF(ISNUMBER(SEARCH("CB",H496)),IFNA(VLOOKUP("CB",Pitch_Coef!$A:$B,2,FALSE),0),0)+IF(ISNUMBER(SEARCH("CF",H496)),IFNA(VLOOKUP("CF",Pitch_Coef!$A:$B,2,FALSE),0),0)+IF(ISNUMBER(SEARCH("CH",H496)),IFNA(VLOOKUP("CH",Pitch_Coef!$A:$B,2,FALSE),0),0)+IF(ISNUMBER(SEARCH("FK",H496)),IFNA(VLOOKUP("FK",Pitch_Coef!$A:$B,2,FALSE),0),0)+IF(ISNUMBER(SEARCH("SB",H496)),IFNA(VLOOKUP("SB",Pitch_Coef!$A:$B,2,FALSE),0),0)+IF(ISNUMBER(SEARCH("SL",H496)),IFNA(VLOOKUP("SL",Pitch_Coef!$A:$B,2,FALSE),0),0),0)</f>
        <v/>
      </c>
      <c r="AA496">
        <f>IF(Q496="P",16.5944849573+0.2529999141*N496+0.2665900378*O496+0.2632687105*P496+0.0427586837*I496+0.0534777057*J496+0.009015832*K496+0.0204898106*(O496*P496/100)+1.0091022427*U496+1.0968542297*IF(D496="L",1,0)+0.3771555045*IF(D496="S",1,0)-0.2226159177*IF(E496="L",1,0)+1.21385024*R496-1.1652812274*S496+W496+X496+Z496,10.5965166711+0.2825983581*I496+0.2806503532*J496+0.2027213083*K496+0.1147824982*L496+0.0915305332*M496-0.0088454122*(I496*J496/100)-0.0336045706*(K496*L496/100)+2.8497389733*IF(D496="L",1,0)+4.5116226727*IF(D496="S",1,0)-0.6571546448*IF(E496="L",1,0)+0.0850728147*T496+0.0129488446*(T496*T496)+0.1909373936*IF(OR(F496="Utility",G496="Utility"),T496,0)+0.9656824071*R496-1.7517683256*S496+W496+X496+Y496)</f>
        <v/>
      </c>
      <c r="AB496">
        <f>LOOKUP(AA496,Grade_Scale!$A$2:$A$18,Grade_Scale!$B$2:$B$18)</f>
        <v/>
      </c>
      <c r="AC496">
        <f>LOOKUP(AA496,Grade_Scale!$A$2:$A$18,Grade_Scale!$C$2:$C$18)</f>
        <v/>
      </c>
      <c r="AE496">
        <f>IF(AD496="","",AB496-VLOOKUP(AD496,Grade_Scale!$C$2:$E$18,3,FALSE))</f>
        <v/>
      </c>
    </row>
    <row r="497">
      <c r="Q497">
        <f>IF(OR(B497="SP",B497="RP",B497="CP",B497="SP/RP"),"P","H")</f>
        <v/>
      </c>
      <c r="R497">
        <f>IF(F497="",0,IFNA(VLOOKUP(F497,Trait_Polarity!$A:$C,2,FALSE),0))+IF(G497="",0,IFNA(VLOOKUP(G497,Trait_Polarity!$A:$C,2,FALSE),0))</f>
        <v/>
      </c>
      <c r="S497">
        <f>IF(F497="",0,IFNA(VLOOKUP(F497,Trait_Polarity!$A:$C,3,FALSE),0))+IF(G497="",0,IFNA(VLOOKUP(G497,Trait_Polarity!$A:$C,3,FALSE),0))</f>
        <v/>
      </c>
      <c r="T497">
        <f>IF(Q497="P",0,IFNA(VLOOKUP(IF(C497="","(none)",C497),Secondary_Versatility!$A:$B,2,FALSE),0))</f>
        <v/>
      </c>
      <c r="U497">
        <f>IF(H497="",0,LEN(H497)-LEN(SUBSTITUTE(H497,"|",""))+1)</f>
        <v/>
      </c>
      <c r="V497">
        <f>IF(Q497="P",(N497+O497+P497)/3,0.3*I497+0.3*J497+0.2*K497+0.1*L497+0.1*M497)</f>
        <v/>
      </c>
      <c r="W497">
        <f>IF(Q497="P",IF(F497="",0,IFNA(VLOOKUP(F497,Pitcher_Trait_Coef!$A:$B,2,FALSE),0))+IF(G497="",0,IFNA(VLOOKUP(G497,Pitcher_Trait_Coef!$A:$B,2,FALSE),0)),IF(F497="",0,IFNA(VLOOKUP(F497,Hitter_Trait_Coef!$A:$B,2,FALSE),0))+IF(G497="",0,IFNA(VLOOKUP(G497,Hitter_Trait_Coef!$A:$B,2,FALSE),0)))</f>
        <v/>
      </c>
      <c r="X497">
        <f>IF(Q497="P",IFNA(VLOOKUP(B497,Pitcher_Primary_Coef!$A:$B,2,FALSE),0),IFNA(VLOOKUP(B497,Hitter_Primary_Coef!$A:$B,2,FALSE),0))</f>
        <v/>
      </c>
      <c r="Y497">
        <f>IF(Q497="P",0,IFNA(VLOOKUP(IF(C497="","(none)",C497),Hitter_Secondary_Coef!$A:$B,2,FALSE),0))</f>
        <v/>
      </c>
      <c r="Z497">
        <f>IF(Q497="P",IF(ISNUMBER(SEARCH("2F",H497)),IFNA(VLOOKUP("2F",Pitch_Coef!$A:$B,2,FALSE),0),0)+IF(ISNUMBER(SEARCH("4F",H497)),IFNA(VLOOKUP("4F",Pitch_Coef!$A:$B,2,FALSE),0),0)+IF(ISNUMBER(SEARCH("CB",H497)),IFNA(VLOOKUP("CB",Pitch_Coef!$A:$B,2,FALSE),0),0)+IF(ISNUMBER(SEARCH("CF",H497)),IFNA(VLOOKUP("CF",Pitch_Coef!$A:$B,2,FALSE),0),0)+IF(ISNUMBER(SEARCH("CH",H497)),IFNA(VLOOKUP("CH",Pitch_Coef!$A:$B,2,FALSE),0),0)+IF(ISNUMBER(SEARCH("FK",H497)),IFNA(VLOOKUP("FK",Pitch_Coef!$A:$B,2,FALSE),0),0)+IF(ISNUMBER(SEARCH("SB",H497)),IFNA(VLOOKUP("SB",Pitch_Coef!$A:$B,2,FALSE),0),0)+IF(ISNUMBER(SEARCH("SL",H497)),IFNA(VLOOKUP("SL",Pitch_Coef!$A:$B,2,FALSE),0),0),0)</f>
        <v/>
      </c>
      <c r="AA497">
        <f>IF(Q497="P",16.5944849573+0.2529999141*N497+0.2665900378*O497+0.2632687105*P497+0.0427586837*I497+0.0534777057*J497+0.009015832*K497+0.0204898106*(O497*P497/100)+1.0091022427*U497+1.0968542297*IF(D497="L",1,0)+0.3771555045*IF(D497="S",1,0)-0.2226159177*IF(E497="L",1,0)+1.21385024*R497-1.1652812274*S497+W497+X497+Z497,10.5965166711+0.2825983581*I497+0.2806503532*J497+0.2027213083*K497+0.1147824982*L497+0.0915305332*M497-0.0088454122*(I497*J497/100)-0.0336045706*(K497*L497/100)+2.8497389733*IF(D497="L",1,0)+4.5116226727*IF(D497="S",1,0)-0.6571546448*IF(E497="L",1,0)+0.0850728147*T497+0.0129488446*(T497*T497)+0.1909373936*IF(OR(F497="Utility",G497="Utility"),T497,0)+0.9656824071*R497-1.7517683256*S497+W497+X497+Y497)</f>
        <v/>
      </c>
      <c r="AB497">
        <f>LOOKUP(AA497,Grade_Scale!$A$2:$A$18,Grade_Scale!$B$2:$B$18)</f>
        <v/>
      </c>
      <c r="AC497">
        <f>LOOKUP(AA497,Grade_Scale!$A$2:$A$18,Grade_Scale!$C$2:$C$18)</f>
        <v/>
      </c>
      <c r="AE497">
        <f>IF(AD497="","",AB497-VLOOKUP(AD497,Grade_Scale!$C$2:$E$18,3,FALSE))</f>
        <v/>
      </c>
    </row>
    <row r="498">
      <c r="Q498">
        <f>IF(OR(B498="SP",B498="RP",B498="CP",B498="SP/RP"),"P","H")</f>
        <v/>
      </c>
      <c r="R498">
        <f>IF(F498="",0,IFNA(VLOOKUP(F498,Trait_Polarity!$A:$C,2,FALSE),0))+IF(G498="",0,IFNA(VLOOKUP(G498,Trait_Polarity!$A:$C,2,FALSE),0))</f>
        <v/>
      </c>
      <c r="S498">
        <f>IF(F498="",0,IFNA(VLOOKUP(F498,Trait_Polarity!$A:$C,3,FALSE),0))+IF(G498="",0,IFNA(VLOOKUP(G498,Trait_Polarity!$A:$C,3,FALSE),0))</f>
        <v/>
      </c>
      <c r="T498">
        <f>IF(Q498="P",0,IFNA(VLOOKUP(IF(C498="","(none)",C498),Secondary_Versatility!$A:$B,2,FALSE),0))</f>
        <v/>
      </c>
      <c r="U498">
        <f>IF(H498="",0,LEN(H498)-LEN(SUBSTITUTE(H498,"|",""))+1)</f>
        <v/>
      </c>
      <c r="V498">
        <f>IF(Q498="P",(N498+O498+P498)/3,0.3*I498+0.3*J498+0.2*K498+0.1*L498+0.1*M498)</f>
        <v/>
      </c>
      <c r="W498">
        <f>IF(Q498="P",IF(F498="",0,IFNA(VLOOKUP(F498,Pitcher_Trait_Coef!$A:$B,2,FALSE),0))+IF(G498="",0,IFNA(VLOOKUP(G498,Pitcher_Trait_Coef!$A:$B,2,FALSE),0)),IF(F498="",0,IFNA(VLOOKUP(F498,Hitter_Trait_Coef!$A:$B,2,FALSE),0))+IF(G498="",0,IFNA(VLOOKUP(G498,Hitter_Trait_Coef!$A:$B,2,FALSE),0)))</f>
        <v/>
      </c>
      <c r="X498">
        <f>IF(Q498="P",IFNA(VLOOKUP(B498,Pitcher_Primary_Coef!$A:$B,2,FALSE),0),IFNA(VLOOKUP(B498,Hitter_Primary_Coef!$A:$B,2,FALSE),0))</f>
        <v/>
      </c>
      <c r="Y498">
        <f>IF(Q498="P",0,IFNA(VLOOKUP(IF(C498="","(none)",C498),Hitter_Secondary_Coef!$A:$B,2,FALSE),0))</f>
        <v/>
      </c>
      <c r="Z498">
        <f>IF(Q498="P",IF(ISNUMBER(SEARCH("2F",H498)),IFNA(VLOOKUP("2F",Pitch_Coef!$A:$B,2,FALSE),0),0)+IF(ISNUMBER(SEARCH("4F",H498)),IFNA(VLOOKUP("4F",Pitch_Coef!$A:$B,2,FALSE),0),0)+IF(ISNUMBER(SEARCH("CB",H498)),IFNA(VLOOKUP("CB",Pitch_Coef!$A:$B,2,FALSE),0),0)+IF(ISNUMBER(SEARCH("CF",H498)),IFNA(VLOOKUP("CF",Pitch_Coef!$A:$B,2,FALSE),0),0)+IF(ISNUMBER(SEARCH("CH",H498)),IFNA(VLOOKUP("CH",Pitch_Coef!$A:$B,2,FALSE),0),0)+IF(ISNUMBER(SEARCH("FK",H498)),IFNA(VLOOKUP("FK",Pitch_Coef!$A:$B,2,FALSE),0),0)+IF(ISNUMBER(SEARCH("SB",H498)),IFNA(VLOOKUP("SB",Pitch_Coef!$A:$B,2,FALSE),0),0)+IF(ISNUMBER(SEARCH("SL",H498)),IFNA(VLOOKUP("SL",Pitch_Coef!$A:$B,2,FALSE),0),0),0)</f>
        <v/>
      </c>
      <c r="AA498">
        <f>IF(Q498="P",16.5944849573+0.2529999141*N498+0.2665900378*O498+0.2632687105*P498+0.0427586837*I498+0.0534777057*J498+0.009015832*K498+0.0204898106*(O498*P498/100)+1.0091022427*U498+1.0968542297*IF(D498="L",1,0)+0.3771555045*IF(D498="S",1,0)-0.2226159177*IF(E498="L",1,0)+1.21385024*R498-1.1652812274*S498+W498+X498+Z498,10.5965166711+0.2825983581*I498+0.2806503532*J498+0.2027213083*K498+0.1147824982*L498+0.0915305332*M498-0.0088454122*(I498*J498/100)-0.0336045706*(K498*L498/100)+2.8497389733*IF(D498="L",1,0)+4.5116226727*IF(D498="S",1,0)-0.6571546448*IF(E498="L",1,0)+0.0850728147*T498+0.0129488446*(T498*T498)+0.1909373936*IF(OR(F498="Utility",G498="Utility"),T498,0)+0.9656824071*R498-1.7517683256*S498+W498+X498+Y498)</f>
        <v/>
      </c>
      <c r="AB498">
        <f>LOOKUP(AA498,Grade_Scale!$A$2:$A$18,Grade_Scale!$B$2:$B$18)</f>
        <v/>
      </c>
      <c r="AC498">
        <f>LOOKUP(AA498,Grade_Scale!$A$2:$A$18,Grade_Scale!$C$2:$C$18)</f>
        <v/>
      </c>
      <c r="AE498">
        <f>IF(AD498="","",AB498-VLOOKUP(AD498,Grade_Scale!$C$2:$E$18,3,FALSE))</f>
        <v/>
      </c>
    </row>
    <row r="499">
      <c r="Q499">
        <f>IF(OR(B499="SP",B499="RP",B499="CP",B499="SP/RP"),"P","H")</f>
        <v/>
      </c>
      <c r="R499">
        <f>IF(F499="",0,IFNA(VLOOKUP(F499,Trait_Polarity!$A:$C,2,FALSE),0))+IF(G499="",0,IFNA(VLOOKUP(G499,Trait_Polarity!$A:$C,2,FALSE),0))</f>
        <v/>
      </c>
      <c r="S499">
        <f>IF(F499="",0,IFNA(VLOOKUP(F499,Trait_Polarity!$A:$C,3,FALSE),0))+IF(G499="",0,IFNA(VLOOKUP(G499,Trait_Polarity!$A:$C,3,FALSE),0))</f>
        <v/>
      </c>
      <c r="T499">
        <f>IF(Q499="P",0,IFNA(VLOOKUP(IF(C499="","(none)",C499),Secondary_Versatility!$A:$B,2,FALSE),0))</f>
        <v/>
      </c>
      <c r="U499">
        <f>IF(H499="",0,LEN(H499)-LEN(SUBSTITUTE(H499,"|",""))+1)</f>
        <v/>
      </c>
      <c r="V499">
        <f>IF(Q499="P",(N499+O499+P499)/3,0.3*I499+0.3*J499+0.2*K499+0.1*L499+0.1*M499)</f>
        <v/>
      </c>
      <c r="W499">
        <f>IF(Q499="P",IF(F499="",0,IFNA(VLOOKUP(F499,Pitcher_Trait_Coef!$A:$B,2,FALSE),0))+IF(G499="",0,IFNA(VLOOKUP(G499,Pitcher_Trait_Coef!$A:$B,2,FALSE),0)),IF(F499="",0,IFNA(VLOOKUP(F499,Hitter_Trait_Coef!$A:$B,2,FALSE),0))+IF(G499="",0,IFNA(VLOOKUP(G499,Hitter_Trait_Coef!$A:$B,2,FALSE),0)))</f>
        <v/>
      </c>
      <c r="X499">
        <f>IF(Q499="P",IFNA(VLOOKUP(B499,Pitcher_Primary_Coef!$A:$B,2,FALSE),0),IFNA(VLOOKUP(B499,Hitter_Primary_Coef!$A:$B,2,FALSE),0))</f>
        <v/>
      </c>
      <c r="Y499">
        <f>IF(Q499="P",0,IFNA(VLOOKUP(IF(C499="","(none)",C499),Hitter_Secondary_Coef!$A:$B,2,FALSE),0))</f>
        <v/>
      </c>
      <c r="Z499">
        <f>IF(Q499="P",IF(ISNUMBER(SEARCH("2F",H499)),IFNA(VLOOKUP("2F",Pitch_Coef!$A:$B,2,FALSE),0),0)+IF(ISNUMBER(SEARCH("4F",H499)),IFNA(VLOOKUP("4F",Pitch_Coef!$A:$B,2,FALSE),0),0)+IF(ISNUMBER(SEARCH("CB",H499)),IFNA(VLOOKUP("CB",Pitch_Coef!$A:$B,2,FALSE),0),0)+IF(ISNUMBER(SEARCH("CF",H499)),IFNA(VLOOKUP("CF",Pitch_Coef!$A:$B,2,FALSE),0),0)+IF(ISNUMBER(SEARCH("CH",H499)),IFNA(VLOOKUP("CH",Pitch_Coef!$A:$B,2,FALSE),0),0)+IF(ISNUMBER(SEARCH("FK",H499)),IFNA(VLOOKUP("FK",Pitch_Coef!$A:$B,2,FALSE),0),0)+IF(ISNUMBER(SEARCH("SB",H499)),IFNA(VLOOKUP("SB",Pitch_Coef!$A:$B,2,FALSE),0),0)+IF(ISNUMBER(SEARCH("SL",H499)),IFNA(VLOOKUP("SL",Pitch_Coef!$A:$B,2,FALSE),0),0),0)</f>
        <v/>
      </c>
      <c r="AA499">
        <f>IF(Q499="P",16.5944849573+0.2529999141*N499+0.2665900378*O499+0.2632687105*P499+0.0427586837*I499+0.0534777057*J499+0.009015832*K499+0.0204898106*(O499*P499/100)+1.0091022427*U499+1.0968542297*IF(D499="L",1,0)+0.3771555045*IF(D499="S",1,0)-0.2226159177*IF(E499="L",1,0)+1.21385024*R499-1.1652812274*S499+W499+X499+Z499,10.5965166711+0.2825983581*I499+0.2806503532*J499+0.2027213083*K499+0.1147824982*L499+0.0915305332*M499-0.0088454122*(I499*J499/100)-0.0336045706*(K499*L499/100)+2.8497389733*IF(D499="L",1,0)+4.5116226727*IF(D499="S",1,0)-0.6571546448*IF(E499="L",1,0)+0.0850728147*T499+0.0129488446*(T499*T499)+0.1909373936*IF(OR(F499="Utility",G499="Utility"),T499,0)+0.9656824071*R499-1.7517683256*S499+W499+X499+Y499)</f>
        <v/>
      </c>
      <c r="AB499">
        <f>LOOKUP(AA499,Grade_Scale!$A$2:$A$18,Grade_Scale!$B$2:$B$18)</f>
        <v/>
      </c>
      <c r="AC499">
        <f>LOOKUP(AA499,Grade_Scale!$A$2:$A$18,Grade_Scale!$C$2:$C$18)</f>
        <v/>
      </c>
      <c r="AE499">
        <f>IF(AD499="","",AB499-VLOOKUP(AD499,Grade_Scale!$C$2:$E$18,3,FALSE))</f>
        <v/>
      </c>
    </row>
    <row r="500">
      <c r="Q500">
        <f>IF(OR(B500="SP",B500="RP",B500="CP",B500="SP/RP"),"P","H")</f>
        <v/>
      </c>
      <c r="R500">
        <f>IF(F500="",0,IFNA(VLOOKUP(F500,Trait_Polarity!$A:$C,2,FALSE),0))+IF(G500="",0,IFNA(VLOOKUP(G500,Trait_Polarity!$A:$C,2,FALSE),0))</f>
        <v/>
      </c>
      <c r="S500">
        <f>IF(F500="",0,IFNA(VLOOKUP(F500,Trait_Polarity!$A:$C,3,FALSE),0))+IF(G500="",0,IFNA(VLOOKUP(G500,Trait_Polarity!$A:$C,3,FALSE),0))</f>
        <v/>
      </c>
      <c r="T500">
        <f>IF(Q500="P",0,IFNA(VLOOKUP(IF(C500="","(none)",C500),Secondary_Versatility!$A:$B,2,FALSE),0))</f>
        <v/>
      </c>
      <c r="U500">
        <f>IF(H500="",0,LEN(H500)-LEN(SUBSTITUTE(H500,"|",""))+1)</f>
        <v/>
      </c>
      <c r="V500">
        <f>IF(Q500="P",(N500+O500+P500)/3,0.3*I500+0.3*J500+0.2*K500+0.1*L500+0.1*M500)</f>
        <v/>
      </c>
      <c r="W500">
        <f>IF(Q500="P",IF(F500="",0,IFNA(VLOOKUP(F500,Pitcher_Trait_Coef!$A:$B,2,FALSE),0))+IF(G500="",0,IFNA(VLOOKUP(G500,Pitcher_Trait_Coef!$A:$B,2,FALSE),0)),IF(F500="",0,IFNA(VLOOKUP(F500,Hitter_Trait_Coef!$A:$B,2,FALSE),0))+IF(G500="",0,IFNA(VLOOKUP(G500,Hitter_Trait_Coef!$A:$B,2,FALSE),0)))</f>
        <v/>
      </c>
      <c r="X500">
        <f>IF(Q500="P",IFNA(VLOOKUP(B500,Pitcher_Primary_Coef!$A:$B,2,FALSE),0),IFNA(VLOOKUP(B500,Hitter_Primary_Coef!$A:$B,2,FALSE),0))</f>
        <v/>
      </c>
      <c r="Y500">
        <f>IF(Q500="P",0,IFNA(VLOOKUP(IF(C500="","(none)",C500),Hitter_Secondary_Coef!$A:$B,2,FALSE),0))</f>
        <v/>
      </c>
      <c r="Z500">
        <f>IF(Q500="P",IF(ISNUMBER(SEARCH("2F",H500)),IFNA(VLOOKUP("2F",Pitch_Coef!$A:$B,2,FALSE),0),0)+IF(ISNUMBER(SEARCH("4F",H500)),IFNA(VLOOKUP("4F",Pitch_Coef!$A:$B,2,FALSE),0),0)+IF(ISNUMBER(SEARCH("CB",H500)),IFNA(VLOOKUP("CB",Pitch_Coef!$A:$B,2,FALSE),0),0)+IF(ISNUMBER(SEARCH("CF",H500)),IFNA(VLOOKUP("CF",Pitch_Coef!$A:$B,2,FALSE),0),0)+IF(ISNUMBER(SEARCH("CH",H500)),IFNA(VLOOKUP("CH",Pitch_Coef!$A:$B,2,FALSE),0),0)+IF(ISNUMBER(SEARCH("FK",H500)),IFNA(VLOOKUP("FK",Pitch_Coef!$A:$B,2,FALSE),0),0)+IF(ISNUMBER(SEARCH("SB",H500)),IFNA(VLOOKUP("SB",Pitch_Coef!$A:$B,2,FALSE),0),0)+IF(ISNUMBER(SEARCH("SL",H500)),IFNA(VLOOKUP("SL",Pitch_Coef!$A:$B,2,FALSE),0),0),0)</f>
        <v/>
      </c>
      <c r="AA500">
        <f>IF(Q500="P",16.5944849573+0.2529999141*N500+0.2665900378*O500+0.2632687105*P500+0.0427586837*I500+0.0534777057*J500+0.009015832*K500+0.0204898106*(O500*P500/100)+1.0091022427*U500+1.0968542297*IF(D500="L",1,0)+0.3771555045*IF(D500="S",1,0)-0.2226159177*IF(E500="L",1,0)+1.21385024*R500-1.1652812274*S500+W500+X500+Z500,10.5965166711+0.2825983581*I500+0.2806503532*J500+0.2027213083*K500+0.1147824982*L500+0.0915305332*M500-0.0088454122*(I500*J500/100)-0.0336045706*(K500*L500/100)+2.8497389733*IF(D500="L",1,0)+4.5116226727*IF(D500="S",1,0)-0.6571546448*IF(E500="L",1,0)+0.0850728147*T500+0.0129488446*(T500*T500)+0.1909373936*IF(OR(F500="Utility",G500="Utility"),T500,0)+0.9656824071*R500-1.7517683256*S500+W500+X500+Y500)</f>
        <v/>
      </c>
      <c r="AB500">
        <f>LOOKUP(AA500,Grade_Scale!$A$2:$A$18,Grade_Scale!$B$2:$B$18)</f>
        <v/>
      </c>
      <c r="AC500">
        <f>LOOKUP(AA500,Grade_Scale!$A$2:$A$18,Grade_Scale!$C$2:$C$18)</f>
        <v/>
      </c>
      <c r="AE500">
        <f>IF(AD500="","",AB500-VLOOKUP(AD500,Grade_Scale!$C$2:$E$18,3,FALSE))</f>
        <v/>
      </c>
    </row>
    <row r="501">
      <c r="Q501">
        <f>IF(OR(B501="SP",B501="RP",B501="CP",B501="SP/RP"),"P","H")</f>
        <v/>
      </c>
      <c r="R501">
        <f>IF(F501="",0,IFNA(VLOOKUP(F501,Trait_Polarity!$A:$C,2,FALSE),0))+IF(G501="",0,IFNA(VLOOKUP(G501,Trait_Polarity!$A:$C,2,FALSE),0))</f>
        <v/>
      </c>
      <c r="S501">
        <f>IF(F501="",0,IFNA(VLOOKUP(F501,Trait_Polarity!$A:$C,3,FALSE),0))+IF(G501="",0,IFNA(VLOOKUP(G501,Trait_Polarity!$A:$C,3,FALSE),0))</f>
        <v/>
      </c>
      <c r="T501">
        <f>IF(Q501="P",0,IFNA(VLOOKUP(IF(C501="","(none)",C501),Secondary_Versatility!$A:$B,2,FALSE),0))</f>
        <v/>
      </c>
      <c r="U501">
        <f>IF(H501="",0,LEN(H501)-LEN(SUBSTITUTE(H501,"|",""))+1)</f>
        <v/>
      </c>
      <c r="V501">
        <f>IF(Q501="P",(N501+O501+P501)/3,0.3*I501+0.3*J501+0.2*K501+0.1*L501+0.1*M501)</f>
        <v/>
      </c>
      <c r="W501">
        <f>IF(Q501="P",IF(F501="",0,IFNA(VLOOKUP(F501,Pitcher_Trait_Coef!$A:$B,2,FALSE),0))+IF(G501="",0,IFNA(VLOOKUP(G501,Pitcher_Trait_Coef!$A:$B,2,FALSE),0)),IF(F501="",0,IFNA(VLOOKUP(F501,Hitter_Trait_Coef!$A:$B,2,FALSE),0))+IF(G501="",0,IFNA(VLOOKUP(G501,Hitter_Trait_Coef!$A:$B,2,FALSE),0)))</f>
        <v/>
      </c>
      <c r="X501">
        <f>IF(Q501="P",IFNA(VLOOKUP(B501,Pitcher_Primary_Coef!$A:$B,2,FALSE),0),IFNA(VLOOKUP(B501,Hitter_Primary_Coef!$A:$B,2,FALSE),0))</f>
        <v/>
      </c>
      <c r="Y501">
        <f>IF(Q501="P",0,IFNA(VLOOKUP(IF(C501="","(none)",C501),Hitter_Secondary_Coef!$A:$B,2,FALSE),0))</f>
        <v/>
      </c>
      <c r="Z501">
        <f>IF(Q501="P",IF(ISNUMBER(SEARCH("2F",H501)),IFNA(VLOOKUP("2F",Pitch_Coef!$A:$B,2,FALSE),0),0)+IF(ISNUMBER(SEARCH("4F",H501)),IFNA(VLOOKUP("4F",Pitch_Coef!$A:$B,2,FALSE),0),0)+IF(ISNUMBER(SEARCH("CB",H501)),IFNA(VLOOKUP("CB",Pitch_Coef!$A:$B,2,FALSE),0),0)+IF(ISNUMBER(SEARCH("CF",H501)),IFNA(VLOOKUP("CF",Pitch_Coef!$A:$B,2,FALSE),0),0)+IF(ISNUMBER(SEARCH("CH",H501)),IFNA(VLOOKUP("CH",Pitch_Coef!$A:$B,2,FALSE),0),0)+IF(ISNUMBER(SEARCH("FK",H501)),IFNA(VLOOKUP("FK",Pitch_Coef!$A:$B,2,FALSE),0),0)+IF(ISNUMBER(SEARCH("SB",H501)),IFNA(VLOOKUP("SB",Pitch_Coef!$A:$B,2,FALSE),0),0)+IF(ISNUMBER(SEARCH("SL",H501)),IFNA(VLOOKUP("SL",Pitch_Coef!$A:$B,2,FALSE),0),0),0)</f>
        <v/>
      </c>
      <c r="AA501">
        <f>IF(Q501="P",16.5944849573+0.2529999141*N501+0.2665900378*O501+0.2632687105*P501+0.0427586837*I501+0.0534777057*J501+0.009015832*K501+0.0204898106*(O501*P501/100)+1.0091022427*U501+1.0968542297*IF(D501="L",1,0)+0.3771555045*IF(D501="S",1,0)-0.2226159177*IF(E501="L",1,0)+1.21385024*R501-1.1652812274*S501+W501+X501+Z501,10.5965166711+0.2825983581*I501+0.2806503532*J501+0.2027213083*K501+0.1147824982*L501+0.0915305332*M501-0.0088454122*(I501*J501/100)-0.0336045706*(K501*L501/100)+2.8497389733*IF(D501="L",1,0)+4.5116226727*IF(D501="S",1,0)-0.6571546448*IF(E501="L",1,0)+0.0850728147*T501+0.0129488446*(T501*T501)+0.1909373936*IF(OR(F501="Utility",G501="Utility"),T501,0)+0.9656824071*R501-1.7517683256*S501+W501+X501+Y501)</f>
        <v/>
      </c>
      <c r="AB501">
        <f>LOOKUP(AA501,Grade_Scale!$A$2:$A$18,Grade_Scale!$B$2:$B$18)</f>
        <v/>
      </c>
      <c r="AC501">
        <f>LOOKUP(AA501,Grade_Scale!$A$2:$A$18,Grade_Scale!$C$2:$C$18)</f>
        <v/>
      </c>
      <c r="AE501">
        <f>IF(AD501="","",AB501-VLOOKUP(AD501,Grade_Scale!$C$2:$E$18,3,FALSE))</f>
        <v/>
      </c>
    </row>
    <row r="502">
      <c r="Q502">
        <f>IF(OR(B502="SP",B502="RP",B502="CP",B502="SP/RP"),"P","H")</f>
        <v/>
      </c>
      <c r="R502">
        <f>IF(F502="",0,IFNA(VLOOKUP(F502,Trait_Polarity!$A:$C,2,FALSE),0))+IF(G502="",0,IFNA(VLOOKUP(G502,Trait_Polarity!$A:$C,2,FALSE),0))</f>
        <v/>
      </c>
      <c r="S502">
        <f>IF(F502="",0,IFNA(VLOOKUP(F502,Trait_Polarity!$A:$C,3,FALSE),0))+IF(G502="",0,IFNA(VLOOKUP(G502,Trait_Polarity!$A:$C,3,FALSE),0))</f>
        <v/>
      </c>
      <c r="T502">
        <f>IF(Q502="P",0,IFNA(VLOOKUP(IF(C502="","(none)",C502),Secondary_Versatility!$A:$B,2,FALSE),0))</f>
        <v/>
      </c>
      <c r="U502">
        <f>IF(H502="",0,LEN(H502)-LEN(SUBSTITUTE(H502,"|",""))+1)</f>
        <v/>
      </c>
      <c r="V502">
        <f>IF(Q502="P",(N502+O502+P502)/3,0.3*I502+0.3*J502+0.2*K502+0.1*L502+0.1*M502)</f>
        <v/>
      </c>
      <c r="W502">
        <f>IF(Q502="P",IF(F502="",0,IFNA(VLOOKUP(F502,Pitcher_Trait_Coef!$A:$B,2,FALSE),0))+IF(G502="",0,IFNA(VLOOKUP(G502,Pitcher_Trait_Coef!$A:$B,2,FALSE),0)),IF(F502="",0,IFNA(VLOOKUP(F502,Hitter_Trait_Coef!$A:$B,2,FALSE),0))+IF(G502="",0,IFNA(VLOOKUP(G502,Hitter_Trait_Coef!$A:$B,2,FALSE),0)))</f>
        <v/>
      </c>
      <c r="X502">
        <f>IF(Q502="P",IFNA(VLOOKUP(B502,Pitcher_Primary_Coef!$A:$B,2,FALSE),0),IFNA(VLOOKUP(B502,Hitter_Primary_Coef!$A:$B,2,FALSE),0))</f>
        <v/>
      </c>
      <c r="Y502">
        <f>IF(Q502="P",0,IFNA(VLOOKUP(IF(C502="","(none)",C502),Hitter_Secondary_Coef!$A:$B,2,FALSE),0))</f>
        <v/>
      </c>
      <c r="Z502">
        <f>IF(Q502="P",IF(ISNUMBER(SEARCH("2F",H502)),IFNA(VLOOKUP("2F",Pitch_Coef!$A:$B,2,FALSE),0),0)+IF(ISNUMBER(SEARCH("4F",H502)),IFNA(VLOOKUP("4F",Pitch_Coef!$A:$B,2,FALSE),0),0)+IF(ISNUMBER(SEARCH("CB",H502)),IFNA(VLOOKUP("CB",Pitch_Coef!$A:$B,2,FALSE),0),0)+IF(ISNUMBER(SEARCH("CF",H502)),IFNA(VLOOKUP("CF",Pitch_Coef!$A:$B,2,FALSE),0),0)+IF(ISNUMBER(SEARCH("CH",H502)),IFNA(VLOOKUP("CH",Pitch_Coef!$A:$B,2,FALSE),0),0)+IF(ISNUMBER(SEARCH("FK",H502)),IFNA(VLOOKUP("FK",Pitch_Coef!$A:$B,2,FALSE),0),0)+IF(ISNUMBER(SEARCH("SB",H502)),IFNA(VLOOKUP("SB",Pitch_Coef!$A:$B,2,FALSE),0),0)+IF(ISNUMBER(SEARCH("SL",H502)),IFNA(VLOOKUP("SL",Pitch_Coef!$A:$B,2,FALSE),0),0),0)</f>
        <v/>
      </c>
      <c r="AA502">
        <f>IF(Q502="P",16.5944849573+0.2529999141*N502+0.2665900378*O502+0.2632687105*P502+0.0427586837*I502+0.0534777057*J502+0.009015832*K502+0.0204898106*(O502*P502/100)+1.0091022427*U502+1.0968542297*IF(D502="L",1,0)+0.3771555045*IF(D502="S",1,0)-0.2226159177*IF(E502="L",1,0)+1.21385024*R502-1.1652812274*S502+W502+X502+Z502,10.5965166711+0.2825983581*I502+0.2806503532*J502+0.2027213083*K502+0.1147824982*L502+0.0915305332*M502-0.0088454122*(I502*J502/100)-0.0336045706*(K502*L502/100)+2.8497389733*IF(D502="L",1,0)+4.5116226727*IF(D502="S",1,0)-0.6571546448*IF(E502="L",1,0)+0.0850728147*T502+0.0129488446*(T502*T502)+0.1909373936*IF(OR(F502="Utility",G502="Utility"),T502,0)+0.9656824071*R502-1.7517683256*S502+W502+X502+Y502)</f>
        <v/>
      </c>
      <c r="AB502">
        <f>LOOKUP(AA502,Grade_Scale!$A$2:$A$18,Grade_Scale!$B$2:$B$18)</f>
        <v/>
      </c>
      <c r="AC502">
        <f>LOOKUP(AA502,Grade_Scale!$A$2:$A$18,Grade_Scale!$C$2:$C$18)</f>
        <v/>
      </c>
      <c r="AE502">
        <f>IF(AD502="","",AB502-VLOOKUP(AD502,Grade_Scale!$C$2:$E$18,3,FALSE))</f>
        <v/>
      </c>
    </row>
    <row r="503">
      <c r="Q503">
        <f>IF(OR(B503="SP",B503="RP",B503="CP",B503="SP/RP"),"P","H")</f>
        <v/>
      </c>
      <c r="R503">
        <f>IF(F503="",0,IFNA(VLOOKUP(F503,Trait_Polarity!$A:$C,2,FALSE),0))+IF(G503="",0,IFNA(VLOOKUP(G503,Trait_Polarity!$A:$C,2,FALSE),0))</f>
        <v/>
      </c>
      <c r="S503">
        <f>IF(F503="",0,IFNA(VLOOKUP(F503,Trait_Polarity!$A:$C,3,FALSE),0))+IF(G503="",0,IFNA(VLOOKUP(G503,Trait_Polarity!$A:$C,3,FALSE),0))</f>
        <v/>
      </c>
      <c r="T503">
        <f>IF(Q503="P",0,IFNA(VLOOKUP(IF(C503="","(none)",C503),Secondary_Versatility!$A:$B,2,FALSE),0))</f>
        <v/>
      </c>
      <c r="U503">
        <f>IF(H503="",0,LEN(H503)-LEN(SUBSTITUTE(H503,"|",""))+1)</f>
        <v/>
      </c>
      <c r="V503">
        <f>IF(Q503="P",(N503+O503+P503)/3,0.3*I503+0.3*J503+0.2*K503+0.1*L503+0.1*M503)</f>
        <v/>
      </c>
      <c r="W503">
        <f>IF(Q503="P",IF(F503="",0,IFNA(VLOOKUP(F503,Pitcher_Trait_Coef!$A:$B,2,FALSE),0))+IF(G503="",0,IFNA(VLOOKUP(G503,Pitcher_Trait_Coef!$A:$B,2,FALSE),0)),IF(F503="",0,IFNA(VLOOKUP(F503,Hitter_Trait_Coef!$A:$B,2,FALSE),0))+IF(G503="",0,IFNA(VLOOKUP(G503,Hitter_Trait_Coef!$A:$B,2,FALSE),0)))</f>
        <v/>
      </c>
      <c r="X503">
        <f>IF(Q503="P",IFNA(VLOOKUP(B503,Pitcher_Primary_Coef!$A:$B,2,FALSE),0),IFNA(VLOOKUP(B503,Hitter_Primary_Coef!$A:$B,2,FALSE),0))</f>
        <v/>
      </c>
      <c r="Y503">
        <f>IF(Q503="P",0,IFNA(VLOOKUP(IF(C503="","(none)",C503),Hitter_Secondary_Coef!$A:$B,2,FALSE),0))</f>
        <v/>
      </c>
      <c r="Z503">
        <f>IF(Q503="P",IF(ISNUMBER(SEARCH("2F",H503)),IFNA(VLOOKUP("2F",Pitch_Coef!$A:$B,2,FALSE),0),0)+IF(ISNUMBER(SEARCH("4F",H503)),IFNA(VLOOKUP("4F",Pitch_Coef!$A:$B,2,FALSE),0),0)+IF(ISNUMBER(SEARCH("CB",H503)),IFNA(VLOOKUP("CB",Pitch_Coef!$A:$B,2,FALSE),0),0)+IF(ISNUMBER(SEARCH("CF",H503)),IFNA(VLOOKUP("CF",Pitch_Coef!$A:$B,2,FALSE),0),0)+IF(ISNUMBER(SEARCH("CH",H503)),IFNA(VLOOKUP("CH",Pitch_Coef!$A:$B,2,FALSE),0),0)+IF(ISNUMBER(SEARCH("FK",H503)),IFNA(VLOOKUP("FK",Pitch_Coef!$A:$B,2,FALSE),0),0)+IF(ISNUMBER(SEARCH("SB",H503)),IFNA(VLOOKUP("SB",Pitch_Coef!$A:$B,2,FALSE),0),0)+IF(ISNUMBER(SEARCH("SL",H503)),IFNA(VLOOKUP("SL",Pitch_Coef!$A:$B,2,FALSE),0),0),0)</f>
        <v/>
      </c>
      <c r="AA503">
        <f>IF(Q503="P",16.5944849573+0.2529999141*N503+0.2665900378*O503+0.2632687105*P503+0.0427586837*I503+0.0534777057*J503+0.009015832*K503+0.0204898106*(O503*P503/100)+1.0091022427*U503+1.0968542297*IF(D503="L",1,0)+0.3771555045*IF(D503="S",1,0)-0.2226159177*IF(E503="L",1,0)+1.21385024*R503-1.1652812274*S503+W503+X503+Z503,10.5965166711+0.2825983581*I503+0.2806503532*J503+0.2027213083*K503+0.1147824982*L503+0.0915305332*M503-0.0088454122*(I503*J503/100)-0.0336045706*(K503*L503/100)+2.8497389733*IF(D503="L",1,0)+4.5116226727*IF(D503="S",1,0)-0.6571546448*IF(E503="L",1,0)+0.0850728147*T503+0.0129488446*(T503*T503)+0.1909373936*IF(OR(F503="Utility",G503="Utility"),T503,0)+0.9656824071*R503-1.7517683256*S503+W503+X503+Y503)</f>
        <v/>
      </c>
      <c r="AB503">
        <f>LOOKUP(AA503,Grade_Scale!$A$2:$A$18,Grade_Scale!$B$2:$B$18)</f>
        <v/>
      </c>
      <c r="AC503">
        <f>LOOKUP(AA503,Grade_Scale!$A$2:$A$18,Grade_Scale!$C$2:$C$18)</f>
        <v/>
      </c>
      <c r="AE503">
        <f>IF(AD503="","",AB503-VLOOKUP(AD503,Grade_Scale!$C$2:$E$18,3,FALSE))</f>
        <v/>
      </c>
    </row>
    <row r="504">
      <c r="Q504">
        <f>IF(OR(B504="SP",B504="RP",B504="CP",B504="SP/RP"),"P","H")</f>
        <v/>
      </c>
      <c r="R504">
        <f>IF(F504="",0,IFNA(VLOOKUP(F504,Trait_Polarity!$A:$C,2,FALSE),0))+IF(G504="",0,IFNA(VLOOKUP(G504,Trait_Polarity!$A:$C,2,FALSE),0))</f>
        <v/>
      </c>
      <c r="S504">
        <f>IF(F504="",0,IFNA(VLOOKUP(F504,Trait_Polarity!$A:$C,3,FALSE),0))+IF(G504="",0,IFNA(VLOOKUP(G504,Trait_Polarity!$A:$C,3,FALSE),0))</f>
        <v/>
      </c>
      <c r="T504">
        <f>IF(Q504="P",0,IFNA(VLOOKUP(IF(C504="","(none)",C504),Secondary_Versatility!$A:$B,2,FALSE),0))</f>
        <v/>
      </c>
      <c r="U504">
        <f>IF(H504="",0,LEN(H504)-LEN(SUBSTITUTE(H504,"|",""))+1)</f>
        <v/>
      </c>
      <c r="V504">
        <f>IF(Q504="P",(N504+O504+P504)/3,0.3*I504+0.3*J504+0.2*K504+0.1*L504+0.1*M504)</f>
        <v/>
      </c>
      <c r="W504">
        <f>IF(Q504="P",IF(F504="",0,IFNA(VLOOKUP(F504,Pitcher_Trait_Coef!$A:$B,2,FALSE),0))+IF(G504="",0,IFNA(VLOOKUP(G504,Pitcher_Trait_Coef!$A:$B,2,FALSE),0)),IF(F504="",0,IFNA(VLOOKUP(F504,Hitter_Trait_Coef!$A:$B,2,FALSE),0))+IF(G504="",0,IFNA(VLOOKUP(G504,Hitter_Trait_Coef!$A:$B,2,FALSE),0)))</f>
        <v/>
      </c>
      <c r="X504">
        <f>IF(Q504="P",IFNA(VLOOKUP(B504,Pitcher_Primary_Coef!$A:$B,2,FALSE),0),IFNA(VLOOKUP(B504,Hitter_Primary_Coef!$A:$B,2,FALSE),0))</f>
        <v/>
      </c>
      <c r="Y504">
        <f>IF(Q504="P",0,IFNA(VLOOKUP(IF(C504="","(none)",C504),Hitter_Secondary_Coef!$A:$B,2,FALSE),0))</f>
        <v/>
      </c>
      <c r="Z504">
        <f>IF(Q504="P",IF(ISNUMBER(SEARCH("2F",H504)),IFNA(VLOOKUP("2F",Pitch_Coef!$A:$B,2,FALSE),0),0)+IF(ISNUMBER(SEARCH("4F",H504)),IFNA(VLOOKUP("4F",Pitch_Coef!$A:$B,2,FALSE),0),0)+IF(ISNUMBER(SEARCH("CB",H504)),IFNA(VLOOKUP("CB",Pitch_Coef!$A:$B,2,FALSE),0),0)+IF(ISNUMBER(SEARCH("CF",H504)),IFNA(VLOOKUP("CF",Pitch_Coef!$A:$B,2,FALSE),0),0)+IF(ISNUMBER(SEARCH("CH",H504)),IFNA(VLOOKUP("CH",Pitch_Coef!$A:$B,2,FALSE),0),0)+IF(ISNUMBER(SEARCH("FK",H504)),IFNA(VLOOKUP("FK",Pitch_Coef!$A:$B,2,FALSE),0),0)+IF(ISNUMBER(SEARCH("SB",H504)),IFNA(VLOOKUP("SB",Pitch_Coef!$A:$B,2,FALSE),0),0)+IF(ISNUMBER(SEARCH("SL",H504)),IFNA(VLOOKUP("SL",Pitch_Coef!$A:$B,2,FALSE),0),0),0)</f>
        <v/>
      </c>
      <c r="AA504">
        <f>IF(Q504="P",16.5944849573+0.2529999141*N504+0.2665900378*O504+0.2632687105*P504+0.0427586837*I504+0.0534777057*J504+0.009015832*K504+0.0204898106*(O504*P504/100)+1.0091022427*U504+1.0968542297*IF(D504="L",1,0)+0.3771555045*IF(D504="S",1,0)-0.2226159177*IF(E504="L",1,0)+1.21385024*R504-1.1652812274*S504+W504+X504+Z504,10.5965166711+0.2825983581*I504+0.2806503532*J504+0.2027213083*K504+0.1147824982*L504+0.0915305332*M504-0.0088454122*(I504*J504/100)-0.0336045706*(K504*L504/100)+2.8497389733*IF(D504="L",1,0)+4.5116226727*IF(D504="S",1,0)-0.6571546448*IF(E504="L",1,0)+0.0850728147*T504+0.0129488446*(T504*T504)+0.1909373936*IF(OR(F504="Utility",G504="Utility"),T504,0)+0.9656824071*R504-1.7517683256*S504+W504+X504+Y504)</f>
        <v/>
      </c>
      <c r="AB504">
        <f>LOOKUP(AA504,Grade_Scale!$A$2:$A$18,Grade_Scale!$B$2:$B$18)</f>
        <v/>
      </c>
      <c r="AC504">
        <f>LOOKUP(AA504,Grade_Scale!$A$2:$A$18,Grade_Scale!$C$2:$C$18)</f>
        <v/>
      </c>
      <c r="AE504">
        <f>IF(AD504="","",AB504-VLOOKUP(AD504,Grade_Scale!$C$2:$E$18,3,FALSE))</f>
        <v/>
      </c>
    </row>
    <row r="505">
      <c r="Q505">
        <f>IF(OR(B505="SP",B505="RP",B505="CP",B505="SP/RP"),"P","H")</f>
        <v/>
      </c>
      <c r="R505">
        <f>IF(F505="",0,IFNA(VLOOKUP(F505,Trait_Polarity!$A:$C,2,FALSE),0))+IF(G505="",0,IFNA(VLOOKUP(G505,Trait_Polarity!$A:$C,2,FALSE),0))</f>
        <v/>
      </c>
      <c r="S505">
        <f>IF(F505="",0,IFNA(VLOOKUP(F505,Trait_Polarity!$A:$C,3,FALSE),0))+IF(G505="",0,IFNA(VLOOKUP(G505,Trait_Polarity!$A:$C,3,FALSE),0))</f>
        <v/>
      </c>
      <c r="T505">
        <f>IF(Q505="P",0,IFNA(VLOOKUP(IF(C505="","(none)",C505),Secondary_Versatility!$A:$B,2,FALSE),0))</f>
        <v/>
      </c>
      <c r="U505">
        <f>IF(H505="",0,LEN(H505)-LEN(SUBSTITUTE(H505,"|",""))+1)</f>
        <v/>
      </c>
      <c r="V505">
        <f>IF(Q505="P",(N505+O505+P505)/3,0.3*I505+0.3*J505+0.2*K505+0.1*L505+0.1*M505)</f>
        <v/>
      </c>
      <c r="W505">
        <f>IF(Q505="P",IF(F505="",0,IFNA(VLOOKUP(F505,Pitcher_Trait_Coef!$A:$B,2,FALSE),0))+IF(G505="",0,IFNA(VLOOKUP(G505,Pitcher_Trait_Coef!$A:$B,2,FALSE),0)),IF(F505="",0,IFNA(VLOOKUP(F505,Hitter_Trait_Coef!$A:$B,2,FALSE),0))+IF(G505="",0,IFNA(VLOOKUP(G505,Hitter_Trait_Coef!$A:$B,2,FALSE),0)))</f>
        <v/>
      </c>
      <c r="X505">
        <f>IF(Q505="P",IFNA(VLOOKUP(B505,Pitcher_Primary_Coef!$A:$B,2,FALSE),0),IFNA(VLOOKUP(B505,Hitter_Primary_Coef!$A:$B,2,FALSE),0))</f>
        <v/>
      </c>
      <c r="Y505">
        <f>IF(Q505="P",0,IFNA(VLOOKUP(IF(C505="","(none)",C505),Hitter_Secondary_Coef!$A:$B,2,FALSE),0))</f>
        <v/>
      </c>
      <c r="Z505">
        <f>IF(Q505="P",IF(ISNUMBER(SEARCH("2F",H505)),IFNA(VLOOKUP("2F",Pitch_Coef!$A:$B,2,FALSE),0),0)+IF(ISNUMBER(SEARCH("4F",H505)),IFNA(VLOOKUP("4F",Pitch_Coef!$A:$B,2,FALSE),0),0)+IF(ISNUMBER(SEARCH("CB",H505)),IFNA(VLOOKUP("CB",Pitch_Coef!$A:$B,2,FALSE),0),0)+IF(ISNUMBER(SEARCH("CF",H505)),IFNA(VLOOKUP("CF",Pitch_Coef!$A:$B,2,FALSE),0),0)+IF(ISNUMBER(SEARCH("CH",H505)),IFNA(VLOOKUP("CH",Pitch_Coef!$A:$B,2,FALSE),0),0)+IF(ISNUMBER(SEARCH("FK",H505)),IFNA(VLOOKUP("FK",Pitch_Coef!$A:$B,2,FALSE),0),0)+IF(ISNUMBER(SEARCH("SB",H505)),IFNA(VLOOKUP("SB",Pitch_Coef!$A:$B,2,FALSE),0),0)+IF(ISNUMBER(SEARCH("SL",H505)),IFNA(VLOOKUP("SL",Pitch_Coef!$A:$B,2,FALSE),0),0),0)</f>
        <v/>
      </c>
      <c r="AA505">
        <f>IF(Q505="P",16.5944849573+0.2529999141*N505+0.2665900378*O505+0.2632687105*P505+0.0427586837*I505+0.0534777057*J505+0.009015832*K505+0.0204898106*(O505*P505/100)+1.0091022427*U505+1.0968542297*IF(D505="L",1,0)+0.3771555045*IF(D505="S",1,0)-0.2226159177*IF(E505="L",1,0)+1.21385024*R505-1.1652812274*S505+W505+X505+Z505,10.5965166711+0.2825983581*I505+0.2806503532*J505+0.2027213083*K505+0.1147824982*L505+0.0915305332*M505-0.0088454122*(I505*J505/100)-0.0336045706*(K505*L505/100)+2.8497389733*IF(D505="L",1,0)+4.5116226727*IF(D505="S",1,0)-0.6571546448*IF(E505="L",1,0)+0.0850728147*T505+0.0129488446*(T505*T505)+0.1909373936*IF(OR(F505="Utility",G505="Utility"),T505,0)+0.9656824071*R505-1.7517683256*S505+W505+X505+Y505)</f>
        <v/>
      </c>
      <c r="AB505">
        <f>LOOKUP(AA505,Grade_Scale!$A$2:$A$18,Grade_Scale!$B$2:$B$18)</f>
        <v/>
      </c>
      <c r="AC505">
        <f>LOOKUP(AA505,Grade_Scale!$A$2:$A$18,Grade_Scale!$C$2:$C$18)</f>
        <v/>
      </c>
      <c r="AE505">
        <f>IF(AD505="","",AB505-VLOOKUP(AD505,Grade_Scale!$C$2:$E$18,3,FALSE))</f>
        <v/>
      </c>
    </row>
    <row r="506">
      <c r="Q506">
        <f>IF(OR(B506="SP",B506="RP",B506="CP",B506="SP/RP"),"P","H")</f>
        <v/>
      </c>
      <c r="R506">
        <f>IF(F506="",0,IFNA(VLOOKUP(F506,Trait_Polarity!$A:$C,2,FALSE),0))+IF(G506="",0,IFNA(VLOOKUP(G506,Trait_Polarity!$A:$C,2,FALSE),0))</f>
        <v/>
      </c>
      <c r="S506">
        <f>IF(F506="",0,IFNA(VLOOKUP(F506,Trait_Polarity!$A:$C,3,FALSE),0))+IF(G506="",0,IFNA(VLOOKUP(G506,Trait_Polarity!$A:$C,3,FALSE),0))</f>
        <v/>
      </c>
      <c r="T506">
        <f>IF(Q506="P",0,IFNA(VLOOKUP(IF(C506="","(none)",C506),Secondary_Versatility!$A:$B,2,FALSE),0))</f>
        <v/>
      </c>
      <c r="U506">
        <f>IF(H506="",0,LEN(H506)-LEN(SUBSTITUTE(H506,"|",""))+1)</f>
        <v/>
      </c>
      <c r="V506">
        <f>IF(Q506="P",(N506+O506+P506)/3,0.3*I506+0.3*J506+0.2*K506+0.1*L506+0.1*M506)</f>
        <v/>
      </c>
      <c r="W506">
        <f>IF(Q506="P",IF(F506="",0,IFNA(VLOOKUP(F506,Pitcher_Trait_Coef!$A:$B,2,FALSE),0))+IF(G506="",0,IFNA(VLOOKUP(G506,Pitcher_Trait_Coef!$A:$B,2,FALSE),0)),IF(F506="",0,IFNA(VLOOKUP(F506,Hitter_Trait_Coef!$A:$B,2,FALSE),0))+IF(G506="",0,IFNA(VLOOKUP(G506,Hitter_Trait_Coef!$A:$B,2,FALSE),0)))</f>
        <v/>
      </c>
      <c r="X506">
        <f>IF(Q506="P",IFNA(VLOOKUP(B506,Pitcher_Primary_Coef!$A:$B,2,FALSE),0),IFNA(VLOOKUP(B506,Hitter_Primary_Coef!$A:$B,2,FALSE),0))</f>
        <v/>
      </c>
      <c r="Y506">
        <f>IF(Q506="P",0,IFNA(VLOOKUP(IF(C506="","(none)",C506),Hitter_Secondary_Coef!$A:$B,2,FALSE),0))</f>
        <v/>
      </c>
      <c r="Z506">
        <f>IF(Q506="P",IF(ISNUMBER(SEARCH("2F",H506)),IFNA(VLOOKUP("2F",Pitch_Coef!$A:$B,2,FALSE),0),0)+IF(ISNUMBER(SEARCH("4F",H506)),IFNA(VLOOKUP("4F",Pitch_Coef!$A:$B,2,FALSE),0),0)+IF(ISNUMBER(SEARCH("CB",H506)),IFNA(VLOOKUP("CB",Pitch_Coef!$A:$B,2,FALSE),0),0)+IF(ISNUMBER(SEARCH("CF",H506)),IFNA(VLOOKUP("CF",Pitch_Coef!$A:$B,2,FALSE),0),0)+IF(ISNUMBER(SEARCH("CH",H506)),IFNA(VLOOKUP("CH",Pitch_Coef!$A:$B,2,FALSE),0),0)+IF(ISNUMBER(SEARCH("FK",H506)),IFNA(VLOOKUP("FK",Pitch_Coef!$A:$B,2,FALSE),0),0)+IF(ISNUMBER(SEARCH("SB",H506)),IFNA(VLOOKUP("SB",Pitch_Coef!$A:$B,2,FALSE),0),0)+IF(ISNUMBER(SEARCH("SL",H506)),IFNA(VLOOKUP("SL",Pitch_Coef!$A:$B,2,FALSE),0),0),0)</f>
        <v/>
      </c>
      <c r="AA506">
        <f>IF(Q506="P",16.5944849573+0.2529999141*N506+0.2665900378*O506+0.2632687105*P506+0.0427586837*I506+0.0534777057*J506+0.009015832*K506+0.0204898106*(O506*P506/100)+1.0091022427*U506+1.0968542297*IF(D506="L",1,0)+0.3771555045*IF(D506="S",1,0)-0.2226159177*IF(E506="L",1,0)+1.21385024*R506-1.1652812274*S506+W506+X506+Z506,10.5965166711+0.2825983581*I506+0.2806503532*J506+0.2027213083*K506+0.1147824982*L506+0.0915305332*M506-0.0088454122*(I506*J506/100)-0.0336045706*(K506*L506/100)+2.8497389733*IF(D506="L",1,0)+4.5116226727*IF(D506="S",1,0)-0.6571546448*IF(E506="L",1,0)+0.0850728147*T506+0.0129488446*(T506*T506)+0.1909373936*IF(OR(F506="Utility",G506="Utility"),T506,0)+0.9656824071*R506-1.7517683256*S506+W506+X506+Y506)</f>
        <v/>
      </c>
      <c r="AB506">
        <f>LOOKUP(AA506,Grade_Scale!$A$2:$A$18,Grade_Scale!$B$2:$B$18)</f>
        <v/>
      </c>
      <c r="AC506">
        <f>LOOKUP(AA506,Grade_Scale!$A$2:$A$18,Grade_Scale!$C$2:$C$18)</f>
        <v/>
      </c>
      <c r="AE506">
        <f>IF(AD506="","",AB506-VLOOKUP(AD506,Grade_Scale!$C$2:$E$18,3,FALSE))</f>
        <v/>
      </c>
    </row>
    <row r="507">
      <c r="Q507">
        <f>IF(OR(B507="SP",B507="RP",B507="CP",B507="SP/RP"),"P","H")</f>
        <v/>
      </c>
      <c r="R507">
        <f>IF(F507="",0,IFNA(VLOOKUP(F507,Trait_Polarity!$A:$C,2,FALSE),0))+IF(G507="",0,IFNA(VLOOKUP(G507,Trait_Polarity!$A:$C,2,FALSE),0))</f>
        <v/>
      </c>
      <c r="S507">
        <f>IF(F507="",0,IFNA(VLOOKUP(F507,Trait_Polarity!$A:$C,3,FALSE),0))+IF(G507="",0,IFNA(VLOOKUP(G507,Trait_Polarity!$A:$C,3,FALSE),0))</f>
        <v/>
      </c>
      <c r="T507">
        <f>IF(Q507="P",0,IFNA(VLOOKUP(IF(C507="","(none)",C507),Secondary_Versatility!$A:$B,2,FALSE),0))</f>
        <v/>
      </c>
      <c r="U507">
        <f>IF(H507="",0,LEN(H507)-LEN(SUBSTITUTE(H507,"|",""))+1)</f>
        <v/>
      </c>
      <c r="V507">
        <f>IF(Q507="P",(N507+O507+P507)/3,0.3*I507+0.3*J507+0.2*K507+0.1*L507+0.1*M507)</f>
        <v/>
      </c>
      <c r="W507">
        <f>IF(Q507="P",IF(F507="",0,IFNA(VLOOKUP(F507,Pitcher_Trait_Coef!$A:$B,2,FALSE),0))+IF(G507="",0,IFNA(VLOOKUP(G507,Pitcher_Trait_Coef!$A:$B,2,FALSE),0)),IF(F507="",0,IFNA(VLOOKUP(F507,Hitter_Trait_Coef!$A:$B,2,FALSE),0))+IF(G507="",0,IFNA(VLOOKUP(G507,Hitter_Trait_Coef!$A:$B,2,FALSE),0)))</f>
        <v/>
      </c>
      <c r="X507">
        <f>IF(Q507="P",IFNA(VLOOKUP(B507,Pitcher_Primary_Coef!$A:$B,2,FALSE),0),IFNA(VLOOKUP(B507,Hitter_Primary_Coef!$A:$B,2,FALSE),0))</f>
        <v/>
      </c>
      <c r="Y507">
        <f>IF(Q507="P",0,IFNA(VLOOKUP(IF(C507="","(none)",C507),Hitter_Secondary_Coef!$A:$B,2,FALSE),0))</f>
        <v/>
      </c>
      <c r="Z507">
        <f>IF(Q507="P",IF(ISNUMBER(SEARCH("2F",H507)),IFNA(VLOOKUP("2F",Pitch_Coef!$A:$B,2,FALSE),0),0)+IF(ISNUMBER(SEARCH("4F",H507)),IFNA(VLOOKUP("4F",Pitch_Coef!$A:$B,2,FALSE),0),0)+IF(ISNUMBER(SEARCH("CB",H507)),IFNA(VLOOKUP("CB",Pitch_Coef!$A:$B,2,FALSE),0),0)+IF(ISNUMBER(SEARCH("CF",H507)),IFNA(VLOOKUP("CF",Pitch_Coef!$A:$B,2,FALSE),0),0)+IF(ISNUMBER(SEARCH("CH",H507)),IFNA(VLOOKUP("CH",Pitch_Coef!$A:$B,2,FALSE),0),0)+IF(ISNUMBER(SEARCH("FK",H507)),IFNA(VLOOKUP("FK",Pitch_Coef!$A:$B,2,FALSE),0),0)+IF(ISNUMBER(SEARCH("SB",H507)),IFNA(VLOOKUP("SB",Pitch_Coef!$A:$B,2,FALSE),0),0)+IF(ISNUMBER(SEARCH("SL",H507)),IFNA(VLOOKUP("SL",Pitch_Coef!$A:$B,2,FALSE),0),0),0)</f>
        <v/>
      </c>
      <c r="AA507">
        <f>IF(Q507="P",16.5944849573+0.2529999141*N507+0.2665900378*O507+0.2632687105*P507+0.0427586837*I507+0.0534777057*J507+0.009015832*K507+0.0204898106*(O507*P507/100)+1.0091022427*U507+1.0968542297*IF(D507="L",1,0)+0.3771555045*IF(D507="S",1,0)-0.2226159177*IF(E507="L",1,0)+1.21385024*R507-1.1652812274*S507+W507+X507+Z507,10.5965166711+0.2825983581*I507+0.2806503532*J507+0.2027213083*K507+0.1147824982*L507+0.0915305332*M507-0.0088454122*(I507*J507/100)-0.0336045706*(K507*L507/100)+2.8497389733*IF(D507="L",1,0)+4.5116226727*IF(D507="S",1,0)-0.6571546448*IF(E507="L",1,0)+0.0850728147*T507+0.0129488446*(T507*T507)+0.1909373936*IF(OR(F507="Utility",G507="Utility"),T507,0)+0.9656824071*R507-1.7517683256*S507+W507+X507+Y507)</f>
        <v/>
      </c>
      <c r="AB507">
        <f>LOOKUP(AA507,Grade_Scale!$A$2:$A$18,Grade_Scale!$B$2:$B$18)</f>
        <v/>
      </c>
      <c r="AC507">
        <f>LOOKUP(AA507,Grade_Scale!$A$2:$A$18,Grade_Scale!$C$2:$C$18)</f>
        <v/>
      </c>
      <c r="AE507">
        <f>IF(AD507="","",AB507-VLOOKUP(AD507,Grade_Scale!$C$2:$E$18,3,FALSE))</f>
        <v/>
      </c>
    </row>
    <row r="508">
      <c r="Q508">
        <f>IF(OR(B508="SP",B508="RP",B508="CP",B508="SP/RP"),"P","H")</f>
        <v/>
      </c>
      <c r="R508">
        <f>IF(F508="",0,IFNA(VLOOKUP(F508,Trait_Polarity!$A:$C,2,FALSE),0))+IF(G508="",0,IFNA(VLOOKUP(G508,Trait_Polarity!$A:$C,2,FALSE),0))</f>
        <v/>
      </c>
      <c r="S508">
        <f>IF(F508="",0,IFNA(VLOOKUP(F508,Trait_Polarity!$A:$C,3,FALSE),0))+IF(G508="",0,IFNA(VLOOKUP(G508,Trait_Polarity!$A:$C,3,FALSE),0))</f>
        <v/>
      </c>
      <c r="T508">
        <f>IF(Q508="P",0,IFNA(VLOOKUP(IF(C508="","(none)",C508),Secondary_Versatility!$A:$B,2,FALSE),0))</f>
        <v/>
      </c>
      <c r="U508">
        <f>IF(H508="",0,LEN(H508)-LEN(SUBSTITUTE(H508,"|",""))+1)</f>
        <v/>
      </c>
      <c r="V508">
        <f>IF(Q508="P",(N508+O508+P508)/3,0.3*I508+0.3*J508+0.2*K508+0.1*L508+0.1*M508)</f>
        <v/>
      </c>
      <c r="W508">
        <f>IF(Q508="P",IF(F508="",0,IFNA(VLOOKUP(F508,Pitcher_Trait_Coef!$A:$B,2,FALSE),0))+IF(G508="",0,IFNA(VLOOKUP(G508,Pitcher_Trait_Coef!$A:$B,2,FALSE),0)),IF(F508="",0,IFNA(VLOOKUP(F508,Hitter_Trait_Coef!$A:$B,2,FALSE),0))+IF(G508="",0,IFNA(VLOOKUP(G508,Hitter_Trait_Coef!$A:$B,2,FALSE),0)))</f>
        <v/>
      </c>
      <c r="X508">
        <f>IF(Q508="P",IFNA(VLOOKUP(B508,Pitcher_Primary_Coef!$A:$B,2,FALSE),0),IFNA(VLOOKUP(B508,Hitter_Primary_Coef!$A:$B,2,FALSE),0))</f>
        <v/>
      </c>
      <c r="Y508">
        <f>IF(Q508="P",0,IFNA(VLOOKUP(IF(C508="","(none)",C508),Hitter_Secondary_Coef!$A:$B,2,FALSE),0))</f>
        <v/>
      </c>
      <c r="Z508">
        <f>IF(Q508="P",IF(ISNUMBER(SEARCH("2F",H508)),IFNA(VLOOKUP("2F",Pitch_Coef!$A:$B,2,FALSE),0),0)+IF(ISNUMBER(SEARCH("4F",H508)),IFNA(VLOOKUP("4F",Pitch_Coef!$A:$B,2,FALSE),0),0)+IF(ISNUMBER(SEARCH("CB",H508)),IFNA(VLOOKUP("CB",Pitch_Coef!$A:$B,2,FALSE),0),0)+IF(ISNUMBER(SEARCH("CF",H508)),IFNA(VLOOKUP("CF",Pitch_Coef!$A:$B,2,FALSE),0),0)+IF(ISNUMBER(SEARCH("CH",H508)),IFNA(VLOOKUP("CH",Pitch_Coef!$A:$B,2,FALSE),0),0)+IF(ISNUMBER(SEARCH("FK",H508)),IFNA(VLOOKUP("FK",Pitch_Coef!$A:$B,2,FALSE),0),0)+IF(ISNUMBER(SEARCH("SB",H508)),IFNA(VLOOKUP("SB",Pitch_Coef!$A:$B,2,FALSE),0),0)+IF(ISNUMBER(SEARCH("SL",H508)),IFNA(VLOOKUP("SL",Pitch_Coef!$A:$B,2,FALSE),0),0),0)</f>
        <v/>
      </c>
      <c r="AA508">
        <f>IF(Q508="P",16.5944849573+0.2529999141*N508+0.2665900378*O508+0.2632687105*P508+0.0427586837*I508+0.0534777057*J508+0.009015832*K508+0.0204898106*(O508*P508/100)+1.0091022427*U508+1.0968542297*IF(D508="L",1,0)+0.3771555045*IF(D508="S",1,0)-0.2226159177*IF(E508="L",1,0)+1.21385024*R508-1.1652812274*S508+W508+X508+Z508,10.5965166711+0.2825983581*I508+0.2806503532*J508+0.2027213083*K508+0.1147824982*L508+0.0915305332*M508-0.0088454122*(I508*J508/100)-0.0336045706*(K508*L508/100)+2.8497389733*IF(D508="L",1,0)+4.5116226727*IF(D508="S",1,0)-0.6571546448*IF(E508="L",1,0)+0.0850728147*T508+0.0129488446*(T508*T508)+0.1909373936*IF(OR(F508="Utility",G508="Utility"),T508,0)+0.9656824071*R508-1.7517683256*S508+W508+X508+Y508)</f>
        <v/>
      </c>
      <c r="AB508">
        <f>LOOKUP(AA508,Grade_Scale!$A$2:$A$18,Grade_Scale!$B$2:$B$18)</f>
        <v/>
      </c>
      <c r="AC508">
        <f>LOOKUP(AA508,Grade_Scale!$A$2:$A$18,Grade_Scale!$C$2:$C$18)</f>
        <v/>
      </c>
      <c r="AE508">
        <f>IF(AD508="","",AB508-VLOOKUP(AD508,Grade_Scale!$C$2:$E$18,3,FALSE))</f>
        <v/>
      </c>
    </row>
    <row r="509">
      <c r="Q509">
        <f>IF(OR(B509="SP",B509="RP",B509="CP",B509="SP/RP"),"P","H")</f>
        <v/>
      </c>
      <c r="R509">
        <f>IF(F509="",0,IFNA(VLOOKUP(F509,Trait_Polarity!$A:$C,2,FALSE),0))+IF(G509="",0,IFNA(VLOOKUP(G509,Trait_Polarity!$A:$C,2,FALSE),0))</f>
        <v/>
      </c>
      <c r="S509">
        <f>IF(F509="",0,IFNA(VLOOKUP(F509,Trait_Polarity!$A:$C,3,FALSE),0))+IF(G509="",0,IFNA(VLOOKUP(G509,Trait_Polarity!$A:$C,3,FALSE),0))</f>
        <v/>
      </c>
      <c r="T509">
        <f>IF(Q509="P",0,IFNA(VLOOKUP(IF(C509="","(none)",C509),Secondary_Versatility!$A:$B,2,FALSE),0))</f>
        <v/>
      </c>
      <c r="U509">
        <f>IF(H509="",0,LEN(H509)-LEN(SUBSTITUTE(H509,"|",""))+1)</f>
        <v/>
      </c>
      <c r="V509">
        <f>IF(Q509="P",(N509+O509+P509)/3,0.3*I509+0.3*J509+0.2*K509+0.1*L509+0.1*M509)</f>
        <v/>
      </c>
      <c r="W509">
        <f>IF(Q509="P",IF(F509="",0,IFNA(VLOOKUP(F509,Pitcher_Trait_Coef!$A:$B,2,FALSE),0))+IF(G509="",0,IFNA(VLOOKUP(G509,Pitcher_Trait_Coef!$A:$B,2,FALSE),0)),IF(F509="",0,IFNA(VLOOKUP(F509,Hitter_Trait_Coef!$A:$B,2,FALSE),0))+IF(G509="",0,IFNA(VLOOKUP(G509,Hitter_Trait_Coef!$A:$B,2,FALSE),0)))</f>
        <v/>
      </c>
      <c r="X509">
        <f>IF(Q509="P",IFNA(VLOOKUP(B509,Pitcher_Primary_Coef!$A:$B,2,FALSE),0),IFNA(VLOOKUP(B509,Hitter_Primary_Coef!$A:$B,2,FALSE),0))</f>
        <v/>
      </c>
      <c r="Y509">
        <f>IF(Q509="P",0,IFNA(VLOOKUP(IF(C509="","(none)",C509),Hitter_Secondary_Coef!$A:$B,2,FALSE),0))</f>
        <v/>
      </c>
      <c r="Z509">
        <f>IF(Q509="P",IF(ISNUMBER(SEARCH("2F",H509)),IFNA(VLOOKUP("2F",Pitch_Coef!$A:$B,2,FALSE),0),0)+IF(ISNUMBER(SEARCH("4F",H509)),IFNA(VLOOKUP("4F",Pitch_Coef!$A:$B,2,FALSE),0),0)+IF(ISNUMBER(SEARCH("CB",H509)),IFNA(VLOOKUP("CB",Pitch_Coef!$A:$B,2,FALSE),0),0)+IF(ISNUMBER(SEARCH("CF",H509)),IFNA(VLOOKUP("CF",Pitch_Coef!$A:$B,2,FALSE),0),0)+IF(ISNUMBER(SEARCH("CH",H509)),IFNA(VLOOKUP("CH",Pitch_Coef!$A:$B,2,FALSE),0),0)+IF(ISNUMBER(SEARCH("FK",H509)),IFNA(VLOOKUP("FK",Pitch_Coef!$A:$B,2,FALSE),0),0)+IF(ISNUMBER(SEARCH("SB",H509)),IFNA(VLOOKUP("SB",Pitch_Coef!$A:$B,2,FALSE),0),0)+IF(ISNUMBER(SEARCH("SL",H509)),IFNA(VLOOKUP("SL",Pitch_Coef!$A:$B,2,FALSE),0),0),0)</f>
        <v/>
      </c>
      <c r="AA509">
        <f>IF(Q509="P",16.5944849573+0.2529999141*N509+0.2665900378*O509+0.2632687105*P509+0.0427586837*I509+0.0534777057*J509+0.009015832*K509+0.0204898106*(O509*P509/100)+1.0091022427*U509+1.0968542297*IF(D509="L",1,0)+0.3771555045*IF(D509="S",1,0)-0.2226159177*IF(E509="L",1,0)+1.21385024*R509-1.1652812274*S509+W509+X509+Z509,10.5965166711+0.2825983581*I509+0.2806503532*J509+0.2027213083*K509+0.1147824982*L509+0.0915305332*M509-0.0088454122*(I509*J509/100)-0.0336045706*(K509*L509/100)+2.8497389733*IF(D509="L",1,0)+4.5116226727*IF(D509="S",1,0)-0.6571546448*IF(E509="L",1,0)+0.0850728147*T509+0.0129488446*(T509*T509)+0.1909373936*IF(OR(F509="Utility",G509="Utility"),T509,0)+0.9656824071*R509-1.7517683256*S509+W509+X509+Y509)</f>
        <v/>
      </c>
      <c r="AB509">
        <f>LOOKUP(AA509,Grade_Scale!$A$2:$A$18,Grade_Scale!$B$2:$B$18)</f>
        <v/>
      </c>
      <c r="AC509">
        <f>LOOKUP(AA509,Grade_Scale!$A$2:$A$18,Grade_Scale!$C$2:$C$18)</f>
        <v/>
      </c>
      <c r="AE509">
        <f>IF(AD509="","",AB509-VLOOKUP(AD509,Grade_Scale!$C$2:$E$18,3,FALSE))</f>
        <v/>
      </c>
    </row>
    <row r="510">
      <c r="Q510">
        <f>IF(OR(B510="SP",B510="RP",B510="CP",B510="SP/RP"),"P","H")</f>
        <v/>
      </c>
      <c r="R510">
        <f>IF(F510="",0,IFNA(VLOOKUP(F510,Trait_Polarity!$A:$C,2,FALSE),0))+IF(G510="",0,IFNA(VLOOKUP(G510,Trait_Polarity!$A:$C,2,FALSE),0))</f>
        <v/>
      </c>
      <c r="S510">
        <f>IF(F510="",0,IFNA(VLOOKUP(F510,Trait_Polarity!$A:$C,3,FALSE),0))+IF(G510="",0,IFNA(VLOOKUP(G510,Trait_Polarity!$A:$C,3,FALSE),0))</f>
        <v/>
      </c>
      <c r="T510">
        <f>IF(Q510="P",0,IFNA(VLOOKUP(IF(C510="","(none)",C510),Secondary_Versatility!$A:$B,2,FALSE),0))</f>
        <v/>
      </c>
      <c r="U510">
        <f>IF(H510="",0,LEN(H510)-LEN(SUBSTITUTE(H510,"|",""))+1)</f>
        <v/>
      </c>
      <c r="V510">
        <f>IF(Q510="P",(N510+O510+P510)/3,0.3*I510+0.3*J510+0.2*K510+0.1*L510+0.1*M510)</f>
        <v/>
      </c>
      <c r="W510">
        <f>IF(Q510="P",IF(F510="",0,IFNA(VLOOKUP(F510,Pitcher_Trait_Coef!$A:$B,2,FALSE),0))+IF(G510="",0,IFNA(VLOOKUP(G510,Pitcher_Trait_Coef!$A:$B,2,FALSE),0)),IF(F510="",0,IFNA(VLOOKUP(F510,Hitter_Trait_Coef!$A:$B,2,FALSE),0))+IF(G510="",0,IFNA(VLOOKUP(G510,Hitter_Trait_Coef!$A:$B,2,FALSE),0)))</f>
        <v/>
      </c>
      <c r="X510">
        <f>IF(Q510="P",IFNA(VLOOKUP(B510,Pitcher_Primary_Coef!$A:$B,2,FALSE),0),IFNA(VLOOKUP(B510,Hitter_Primary_Coef!$A:$B,2,FALSE),0))</f>
        <v/>
      </c>
      <c r="Y510">
        <f>IF(Q510="P",0,IFNA(VLOOKUP(IF(C510="","(none)",C510),Hitter_Secondary_Coef!$A:$B,2,FALSE),0))</f>
        <v/>
      </c>
      <c r="Z510">
        <f>IF(Q510="P",IF(ISNUMBER(SEARCH("2F",H510)),IFNA(VLOOKUP("2F",Pitch_Coef!$A:$B,2,FALSE),0),0)+IF(ISNUMBER(SEARCH("4F",H510)),IFNA(VLOOKUP("4F",Pitch_Coef!$A:$B,2,FALSE),0),0)+IF(ISNUMBER(SEARCH("CB",H510)),IFNA(VLOOKUP("CB",Pitch_Coef!$A:$B,2,FALSE),0),0)+IF(ISNUMBER(SEARCH("CF",H510)),IFNA(VLOOKUP("CF",Pitch_Coef!$A:$B,2,FALSE),0),0)+IF(ISNUMBER(SEARCH("CH",H510)),IFNA(VLOOKUP("CH",Pitch_Coef!$A:$B,2,FALSE),0),0)+IF(ISNUMBER(SEARCH("FK",H510)),IFNA(VLOOKUP("FK",Pitch_Coef!$A:$B,2,FALSE),0),0)+IF(ISNUMBER(SEARCH("SB",H510)),IFNA(VLOOKUP("SB",Pitch_Coef!$A:$B,2,FALSE),0),0)+IF(ISNUMBER(SEARCH("SL",H510)),IFNA(VLOOKUP("SL",Pitch_Coef!$A:$B,2,FALSE),0),0),0)</f>
        <v/>
      </c>
      <c r="AA510">
        <f>IF(Q510="P",16.5944849573+0.2529999141*N510+0.2665900378*O510+0.2632687105*P510+0.0427586837*I510+0.0534777057*J510+0.009015832*K510+0.0204898106*(O510*P510/100)+1.0091022427*U510+1.0968542297*IF(D510="L",1,0)+0.3771555045*IF(D510="S",1,0)-0.2226159177*IF(E510="L",1,0)+1.21385024*R510-1.1652812274*S510+W510+X510+Z510,10.5965166711+0.2825983581*I510+0.2806503532*J510+0.2027213083*K510+0.1147824982*L510+0.0915305332*M510-0.0088454122*(I510*J510/100)-0.0336045706*(K510*L510/100)+2.8497389733*IF(D510="L",1,0)+4.5116226727*IF(D510="S",1,0)-0.6571546448*IF(E510="L",1,0)+0.0850728147*T510+0.0129488446*(T510*T510)+0.1909373936*IF(OR(F510="Utility",G510="Utility"),T510,0)+0.9656824071*R510-1.7517683256*S510+W510+X510+Y510)</f>
        <v/>
      </c>
      <c r="AB510">
        <f>LOOKUP(AA510,Grade_Scale!$A$2:$A$18,Grade_Scale!$B$2:$B$18)</f>
        <v/>
      </c>
      <c r="AC510">
        <f>LOOKUP(AA510,Grade_Scale!$A$2:$A$18,Grade_Scale!$C$2:$C$18)</f>
        <v/>
      </c>
      <c r="AE510">
        <f>IF(AD510="","",AB510-VLOOKUP(AD510,Grade_Scale!$C$2:$E$18,3,FALSE))</f>
        <v/>
      </c>
    </row>
    <row r="511">
      <c r="Q511">
        <f>IF(OR(B511="SP",B511="RP",B511="CP",B511="SP/RP"),"P","H")</f>
        <v/>
      </c>
      <c r="R511">
        <f>IF(F511="",0,IFNA(VLOOKUP(F511,Trait_Polarity!$A:$C,2,FALSE),0))+IF(G511="",0,IFNA(VLOOKUP(G511,Trait_Polarity!$A:$C,2,FALSE),0))</f>
        <v/>
      </c>
      <c r="S511">
        <f>IF(F511="",0,IFNA(VLOOKUP(F511,Trait_Polarity!$A:$C,3,FALSE),0))+IF(G511="",0,IFNA(VLOOKUP(G511,Trait_Polarity!$A:$C,3,FALSE),0))</f>
        <v/>
      </c>
      <c r="T511">
        <f>IF(Q511="P",0,IFNA(VLOOKUP(IF(C511="","(none)",C511),Secondary_Versatility!$A:$B,2,FALSE),0))</f>
        <v/>
      </c>
      <c r="U511">
        <f>IF(H511="",0,LEN(H511)-LEN(SUBSTITUTE(H511,"|",""))+1)</f>
        <v/>
      </c>
      <c r="V511">
        <f>IF(Q511="P",(N511+O511+P511)/3,0.3*I511+0.3*J511+0.2*K511+0.1*L511+0.1*M511)</f>
        <v/>
      </c>
      <c r="W511">
        <f>IF(Q511="P",IF(F511="",0,IFNA(VLOOKUP(F511,Pitcher_Trait_Coef!$A:$B,2,FALSE),0))+IF(G511="",0,IFNA(VLOOKUP(G511,Pitcher_Trait_Coef!$A:$B,2,FALSE),0)),IF(F511="",0,IFNA(VLOOKUP(F511,Hitter_Trait_Coef!$A:$B,2,FALSE),0))+IF(G511="",0,IFNA(VLOOKUP(G511,Hitter_Trait_Coef!$A:$B,2,FALSE),0)))</f>
        <v/>
      </c>
      <c r="X511">
        <f>IF(Q511="P",IFNA(VLOOKUP(B511,Pitcher_Primary_Coef!$A:$B,2,FALSE),0),IFNA(VLOOKUP(B511,Hitter_Primary_Coef!$A:$B,2,FALSE),0))</f>
        <v/>
      </c>
      <c r="Y511">
        <f>IF(Q511="P",0,IFNA(VLOOKUP(IF(C511="","(none)",C511),Hitter_Secondary_Coef!$A:$B,2,FALSE),0))</f>
        <v/>
      </c>
      <c r="Z511">
        <f>IF(Q511="P",IF(ISNUMBER(SEARCH("2F",H511)),IFNA(VLOOKUP("2F",Pitch_Coef!$A:$B,2,FALSE),0),0)+IF(ISNUMBER(SEARCH("4F",H511)),IFNA(VLOOKUP("4F",Pitch_Coef!$A:$B,2,FALSE),0),0)+IF(ISNUMBER(SEARCH("CB",H511)),IFNA(VLOOKUP("CB",Pitch_Coef!$A:$B,2,FALSE),0),0)+IF(ISNUMBER(SEARCH("CF",H511)),IFNA(VLOOKUP("CF",Pitch_Coef!$A:$B,2,FALSE),0),0)+IF(ISNUMBER(SEARCH("CH",H511)),IFNA(VLOOKUP("CH",Pitch_Coef!$A:$B,2,FALSE),0),0)+IF(ISNUMBER(SEARCH("FK",H511)),IFNA(VLOOKUP("FK",Pitch_Coef!$A:$B,2,FALSE),0),0)+IF(ISNUMBER(SEARCH("SB",H511)),IFNA(VLOOKUP("SB",Pitch_Coef!$A:$B,2,FALSE),0),0)+IF(ISNUMBER(SEARCH("SL",H511)),IFNA(VLOOKUP("SL",Pitch_Coef!$A:$B,2,FALSE),0),0),0)</f>
        <v/>
      </c>
      <c r="AA511">
        <f>IF(Q511="P",16.5944849573+0.2529999141*N511+0.2665900378*O511+0.2632687105*P511+0.0427586837*I511+0.0534777057*J511+0.009015832*K511+0.0204898106*(O511*P511/100)+1.0091022427*U511+1.0968542297*IF(D511="L",1,0)+0.3771555045*IF(D511="S",1,0)-0.2226159177*IF(E511="L",1,0)+1.21385024*R511-1.1652812274*S511+W511+X511+Z511,10.5965166711+0.2825983581*I511+0.2806503532*J511+0.2027213083*K511+0.1147824982*L511+0.0915305332*M511-0.0088454122*(I511*J511/100)-0.0336045706*(K511*L511/100)+2.8497389733*IF(D511="L",1,0)+4.5116226727*IF(D511="S",1,0)-0.6571546448*IF(E511="L",1,0)+0.0850728147*T511+0.0129488446*(T511*T511)+0.1909373936*IF(OR(F511="Utility",G511="Utility"),T511,0)+0.9656824071*R511-1.7517683256*S511+W511+X511+Y511)</f>
        <v/>
      </c>
      <c r="AB511">
        <f>LOOKUP(AA511,Grade_Scale!$A$2:$A$18,Grade_Scale!$B$2:$B$18)</f>
        <v/>
      </c>
      <c r="AC511">
        <f>LOOKUP(AA511,Grade_Scale!$A$2:$A$18,Grade_Scale!$C$2:$C$18)</f>
        <v/>
      </c>
      <c r="AE511">
        <f>IF(AD511="","",AB511-VLOOKUP(AD511,Grade_Scale!$C$2:$E$18,3,FALSE))</f>
        <v/>
      </c>
    </row>
    <row r="512">
      <c r="Q512">
        <f>IF(OR(B512="SP",B512="RP",B512="CP",B512="SP/RP"),"P","H")</f>
        <v/>
      </c>
      <c r="R512">
        <f>IF(F512="",0,IFNA(VLOOKUP(F512,Trait_Polarity!$A:$C,2,FALSE),0))+IF(G512="",0,IFNA(VLOOKUP(G512,Trait_Polarity!$A:$C,2,FALSE),0))</f>
        <v/>
      </c>
      <c r="S512">
        <f>IF(F512="",0,IFNA(VLOOKUP(F512,Trait_Polarity!$A:$C,3,FALSE),0))+IF(G512="",0,IFNA(VLOOKUP(G512,Trait_Polarity!$A:$C,3,FALSE),0))</f>
        <v/>
      </c>
      <c r="T512">
        <f>IF(Q512="P",0,IFNA(VLOOKUP(IF(C512="","(none)",C512),Secondary_Versatility!$A:$B,2,FALSE),0))</f>
        <v/>
      </c>
      <c r="U512">
        <f>IF(H512="",0,LEN(H512)-LEN(SUBSTITUTE(H512,"|",""))+1)</f>
        <v/>
      </c>
      <c r="V512">
        <f>IF(Q512="P",(N512+O512+P512)/3,0.3*I512+0.3*J512+0.2*K512+0.1*L512+0.1*M512)</f>
        <v/>
      </c>
      <c r="W512">
        <f>IF(Q512="P",IF(F512="",0,IFNA(VLOOKUP(F512,Pitcher_Trait_Coef!$A:$B,2,FALSE),0))+IF(G512="",0,IFNA(VLOOKUP(G512,Pitcher_Trait_Coef!$A:$B,2,FALSE),0)),IF(F512="",0,IFNA(VLOOKUP(F512,Hitter_Trait_Coef!$A:$B,2,FALSE),0))+IF(G512="",0,IFNA(VLOOKUP(G512,Hitter_Trait_Coef!$A:$B,2,FALSE),0)))</f>
        <v/>
      </c>
      <c r="X512">
        <f>IF(Q512="P",IFNA(VLOOKUP(B512,Pitcher_Primary_Coef!$A:$B,2,FALSE),0),IFNA(VLOOKUP(B512,Hitter_Primary_Coef!$A:$B,2,FALSE),0))</f>
        <v/>
      </c>
      <c r="Y512">
        <f>IF(Q512="P",0,IFNA(VLOOKUP(IF(C512="","(none)",C512),Hitter_Secondary_Coef!$A:$B,2,FALSE),0))</f>
        <v/>
      </c>
      <c r="Z512">
        <f>IF(Q512="P",IF(ISNUMBER(SEARCH("2F",H512)),IFNA(VLOOKUP("2F",Pitch_Coef!$A:$B,2,FALSE),0),0)+IF(ISNUMBER(SEARCH("4F",H512)),IFNA(VLOOKUP("4F",Pitch_Coef!$A:$B,2,FALSE),0),0)+IF(ISNUMBER(SEARCH("CB",H512)),IFNA(VLOOKUP("CB",Pitch_Coef!$A:$B,2,FALSE),0),0)+IF(ISNUMBER(SEARCH("CF",H512)),IFNA(VLOOKUP("CF",Pitch_Coef!$A:$B,2,FALSE),0),0)+IF(ISNUMBER(SEARCH("CH",H512)),IFNA(VLOOKUP("CH",Pitch_Coef!$A:$B,2,FALSE),0),0)+IF(ISNUMBER(SEARCH("FK",H512)),IFNA(VLOOKUP("FK",Pitch_Coef!$A:$B,2,FALSE),0),0)+IF(ISNUMBER(SEARCH("SB",H512)),IFNA(VLOOKUP("SB",Pitch_Coef!$A:$B,2,FALSE),0),0)+IF(ISNUMBER(SEARCH("SL",H512)),IFNA(VLOOKUP("SL",Pitch_Coef!$A:$B,2,FALSE),0),0),0)</f>
        <v/>
      </c>
      <c r="AA512">
        <f>IF(Q512="P",16.5944849573+0.2529999141*N512+0.2665900378*O512+0.2632687105*P512+0.0427586837*I512+0.0534777057*J512+0.009015832*K512+0.0204898106*(O512*P512/100)+1.0091022427*U512+1.0968542297*IF(D512="L",1,0)+0.3771555045*IF(D512="S",1,0)-0.2226159177*IF(E512="L",1,0)+1.21385024*R512-1.1652812274*S512+W512+X512+Z512,10.5965166711+0.2825983581*I512+0.2806503532*J512+0.2027213083*K512+0.1147824982*L512+0.0915305332*M512-0.0088454122*(I512*J512/100)-0.0336045706*(K512*L512/100)+2.8497389733*IF(D512="L",1,0)+4.5116226727*IF(D512="S",1,0)-0.6571546448*IF(E512="L",1,0)+0.0850728147*T512+0.0129488446*(T512*T512)+0.1909373936*IF(OR(F512="Utility",G512="Utility"),T512,0)+0.9656824071*R512-1.7517683256*S512+W512+X512+Y512)</f>
        <v/>
      </c>
      <c r="AB512">
        <f>LOOKUP(AA512,Grade_Scale!$A$2:$A$18,Grade_Scale!$B$2:$B$18)</f>
        <v/>
      </c>
      <c r="AC512">
        <f>LOOKUP(AA512,Grade_Scale!$A$2:$A$18,Grade_Scale!$C$2:$C$18)</f>
        <v/>
      </c>
      <c r="AE512">
        <f>IF(AD512="","",AB512-VLOOKUP(AD512,Grade_Scale!$C$2:$E$18,3,FALSE))</f>
        <v/>
      </c>
    </row>
    <row r="513">
      <c r="Q513">
        <f>IF(OR(B513="SP",B513="RP",B513="CP",B513="SP/RP"),"P","H")</f>
        <v/>
      </c>
      <c r="R513">
        <f>IF(F513="",0,IFNA(VLOOKUP(F513,Trait_Polarity!$A:$C,2,FALSE),0))+IF(G513="",0,IFNA(VLOOKUP(G513,Trait_Polarity!$A:$C,2,FALSE),0))</f>
        <v/>
      </c>
      <c r="S513">
        <f>IF(F513="",0,IFNA(VLOOKUP(F513,Trait_Polarity!$A:$C,3,FALSE),0))+IF(G513="",0,IFNA(VLOOKUP(G513,Trait_Polarity!$A:$C,3,FALSE),0))</f>
        <v/>
      </c>
      <c r="T513">
        <f>IF(Q513="P",0,IFNA(VLOOKUP(IF(C513="","(none)",C513),Secondary_Versatility!$A:$B,2,FALSE),0))</f>
        <v/>
      </c>
      <c r="U513">
        <f>IF(H513="",0,LEN(H513)-LEN(SUBSTITUTE(H513,"|",""))+1)</f>
        <v/>
      </c>
      <c r="V513">
        <f>IF(Q513="P",(N513+O513+P513)/3,0.3*I513+0.3*J513+0.2*K513+0.1*L513+0.1*M513)</f>
        <v/>
      </c>
      <c r="W513">
        <f>IF(Q513="P",IF(F513="",0,IFNA(VLOOKUP(F513,Pitcher_Trait_Coef!$A:$B,2,FALSE),0))+IF(G513="",0,IFNA(VLOOKUP(G513,Pitcher_Trait_Coef!$A:$B,2,FALSE),0)),IF(F513="",0,IFNA(VLOOKUP(F513,Hitter_Trait_Coef!$A:$B,2,FALSE),0))+IF(G513="",0,IFNA(VLOOKUP(G513,Hitter_Trait_Coef!$A:$B,2,FALSE),0)))</f>
        <v/>
      </c>
      <c r="X513">
        <f>IF(Q513="P",IFNA(VLOOKUP(B513,Pitcher_Primary_Coef!$A:$B,2,FALSE),0),IFNA(VLOOKUP(B513,Hitter_Primary_Coef!$A:$B,2,FALSE),0))</f>
        <v/>
      </c>
      <c r="Y513">
        <f>IF(Q513="P",0,IFNA(VLOOKUP(IF(C513="","(none)",C513),Hitter_Secondary_Coef!$A:$B,2,FALSE),0))</f>
        <v/>
      </c>
      <c r="Z513">
        <f>IF(Q513="P",IF(ISNUMBER(SEARCH("2F",H513)),IFNA(VLOOKUP("2F",Pitch_Coef!$A:$B,2,FALSE),0),0)+IF(ISNUMBER(SEARCH("4F",H513)),IFNA(VLOOKUP("4F",Pitch_Coef!$A:$B,2,FALSE),0),0)+IF(ISNUMBER(SEARCH("CB",H513)),IFNA(VLOOKUP("CB",Pitch_Coef!$A:$B,2,FALSE),0),0)+IF(ISNUMBER(SEARCH("CF",H513)),IFNA(VLOOKUP("CF",Pitch_Coef!$A:$B,2,FALSE),0),0)+IF(ISNUMBER(SEARCH("CH",H513)),IFNA(VLOOKUP("CH",Pitch_Coef!$A:$B,2,FALSE),0),0)+IF(ISNUMBER(SEARCH("FK",H513)),IFNA(VLOOKUP("FK",Pitch_Coef!$A:$B,2,FALSE),0),0)+IF(ISNUMBER(SEARCH("SB",H513)),IFNA(VLOOKUP("SB",Pitch_Coef!$A:$B,2,FALSE),0),0)+IF(ISNUMBER(SEARCH("SL",H513)),IFNA(VLOOKUP("SL",Pitch_Coef!$A:$B,2,FALSE),0),0),0)</f>
        <v/>
      </c>
      <c r="AA513">
        <f>IF(Q513="P",16.5944849573+0.2529999141*N513+0.2665900378*O513+0.2632687105*P513+0.0427586837*I513+0.0534777057*J513+0.009015832*K513+0.0204898106*(O513*P513/100)+1.0091022427*U513+1.0968542297*IF(D513="L",1,0)+0.3771555045*IF(D513="S",1,0)-0.2226159177*IF(E513="L",1,0)+1.21385024*R513-1.1652812274*S513+W513+X513+Z513,10.5965166711+0.2825983581*I513+0.2806503532*J513+0.2027213083*K513+0.1147824982*L513+0.0915305332*M513-0.0088454122*(I513*J513/100)-0.0336045706*(K513*L513/100)+2.8497389733*IF(D513="L",1,0)+4.5116226727*IF(D513="S",1,0)-0.6571546448*IF(E513="L",1,0)+0.0850728147*T513+0.0129488446*(T513*T513)+0.1909373936*IF(OR(F513="Utility",G513="Utility"),T513,0)+0.9656824071*R513-1.7517683256*S513+W513+X513+Y513)</f>
        <v/>
      </c>
      <c r="AB513">
        <f>LOOKUP(AA513,Grade_Scale!$A$2:$A$18,Grade_Scale!$B$2:$B$18)</f>
        <v/>
      </c>
      <c r="AC513">
        <f>LOOKUP(AA513,Grade_Scale!$A$2:$A$18,Grade_Scale!$C$2:$C$18)</f>
        <v/>
      </c>
      <c r="AE513">
        <f>IF(AD513="","",AB513-VLOOKUP(AD513,Grade_Scale!$C$2:$E$18,3,FALSE))</f>
        <v/>
      </c>
    </row>
    <row r="514">
      <c r="Q514">
        <f>IF(OR(B514="SP",B514="RP",B514="CP",B514="SP/RP"),"P","H")</f>
        <v/>
      </c>
      <c r="R514">
        <f>IF(F514="",0,IFNA(VLOOKUP(F514,Trait_Polarity!$A:$C,2,FALSE),0))+IF(G514="",0,IFNA(VLOOKUP(G514,Trait_Polarity!$A:$C,2,FALSE),0))</f>
        <v/>
      </c>
      <c r="S514">
        <f>IF(F514="",0,IFNA(VLOOKUP(F514,Trait_Polarity!$A:$C,3,FALSE),0))+IF(G514="",0,IFNA(VLOOKUP(G514,Trait_Polarity!$A:$C,3,FALSE),0))</f>
        <v/>
      </c>
      <c r="T514">
        <f>IF(Q514="P",0,IFNA(VLOOKUP(IF(C514="","(none)",C514),Secondary_Versatility!$A:$B,2,FALSE),0))</f>
        <v/>
      </c>
      <c r="U514">
        <f>IF(H514="",0,LEN(H514)-LEN(SUBSTITUTE(H514,"|",""))+1)</f>
        <v/>
      </c>
      <c r="V514">
        <f>IF(Q514="P",(N514+O514+P514)/3,0.3*I514+0.3*J514+0.2*K514+0.1*L514+0.1*M514)</f>
        <v/>
      </c>
      <c r="W514">
        <f>IF(Q514="P",IF(F514="",0,IFNA(VLOOKUP(F514,Pitcher_Trait_Coef!$A:$B,2,FALSE),0))+IF(G514="",0,IFNA(VLOOKUP(G514,Pitcher_Trait_Coef!$A:$B,2,FALSE),0)),IF(F514="",0,IFNA(VLOOKUP(F514,Hitter_Trait_Coef!$A:$B,2,FALSE),0))+IF(G514="",0,IFNA(VLOOKUP(G514,Hitter_Trait_Coef!$A:$B,2,FALSE),0)))</f>
        <v/>
      </c>
      <c r="X514">
        <f>IF(Q514="P",IFNA(VLOOKUP(B514,Pitcher_Primary_Coef!$A:$B,2,FALSE),0),IFNA(VLOOKUP(B514,Hitter_Primary_Coef!$A:$B,2,FALSE),0))</f>
        <v/>
      </c>
      <c r="Y514">
        <f>IF(Q514="P",0,IFNA(VLOOKUP(IF(C514="","(none)",C514),Hitter_Secondary_Coef!$A:$B,2,FALSE),0))</f>
        <v/>
      </c>
      <c r="Z514">
        <f>IF(Q514="P",IF(ISNUMBER(SEARCH("2F",H514)),IFNA(VLOOKUP("2F",Pitch_Coef!$A:$B,2,FALSE),0),0)+IF(ISNUMBER(SEARCH("4F",H514)),IFNA(VLOOKUP("4F",Pitch_Coef!$A:$B,2,FALSE),0),0)+IF(ISNUMBER(SEARCH("CB",H514)),IFNA(VLOOKUP("CB",Pitch_Coef!$A:$B,2,FALSE),0),0)+IF(ISNUMBER(SEARCH("CF",H514)),IFNA(VLOOKUP("CF",Pitch_Coef!$A:$B,2,FALSE),0),0)+IF(ISNUMBER(SEARCH("CH",H514)),IFNA(VLOOKUP("CH",Pitch_Coef!$A:$B,2,FALSE),0),0)+IF(ISNUMBER(SEARCH("FK",H514)),IFNA(VLOOKUP("FK",Pitch_Coef!$A:$B,2,FALSE),0),0)+IF(ISNUMBER(SEARCH("SB",H514)),IFNA(VLOOKUP("SB",Pitch_Coef!$A:$B,2,FALSE),0),0)+IF(ISNUMBER(SEARCH("SL",H514)),IFNA(VLOOKUP("SL",Pitch_Coef!$A:$B,2,FALSE),0),0),0)</f>
        <v/>
      </c>
      <c r="AA514">
        <f>IF(Q514="P",16.5944849573+0.2529999141*N514+0.2665900378*O514+0.2632687105*P514+0.0427586837*I514+0.0534777057*J514+0.009015832*K514+0.0204898106*(O514*P514/100)+1.0091022427*U514+1.0968542297*IF(D514="L",1,0)+0.3771555045*IF(D514="S",1,0)-0.2226159177*IF(E514="L",1,0)+1.21385024*R514-1.1652812274*S514+W514+X514+Z514,10.5965166711+0.2825983581*I514+0.2806503532*J514+0.2027213083*K514+0.1147824982*L514+0.0915305332*M514-0.0088454122*(I514*J514/100)-0.0336045706*(K514*L514/100)+2.8497389733*IF(D514="L",1,0)+4.5116226727*IF(D514="S",1,0)-0.6571546448*IF(E514="L",1,0)+0.0850728147*T514+0.0129488446*(T514*T514)+0.1909373936*IF(OR(F514="Utility",G514="Utility"),T514,0)+0.9656824071*R514-1.7517683256*S514+W514+X514+Y514)</f>
        <v/>
      </c>
      <c r="AB514">
        <f>LOOKUP(AA514,Grade_Scale!$A$2:$A$18,Grade_Scale!$B$2:$B$18)</f>
        <v/>
      </c>
      <c r="AC514">
        <f>LOOKUP(AA514,Grade_Scale!$A$2:$A$18,Grade_Scale!$C$2:$C$18)</f>
        <v/>
      </c>
      <c r="AE514">
        <f>IF(AD514="","",AB514-VLOOKUP(AD514,Grade_Scale!$C$2:$E$18,3,FALSE))</f>
        <v/>
      </c>
    </row>
    <row r="515">
      <c r="Q515">
        <f>IF(OR(B515="SP",B515="RP",B515="CP",B515="SP/RP"),"P","H")</f>
        <v/>
      </c>
      <c r="R515">
        <f>IF(F515="",0,IFNA(VLOOKUP(F515,Trait_Polarity!$A:$C,2,FALSE),0))+IF(G515="",0,IFNA(VLOOKUP(G515,Trait_Polarity!$A:$C,2,FALSE),0))</f>
        <v/>
      </c>
      <c r="S515">
        <f>IF(F515="",0,IFNA(VLOOKUP(F515,Trait_Polarity!$A:$C,3,FALSE),0))+IF(G515="",0,IFNA(VLOOKUP(G515,Trait_Polarity!$A:$C,3,FALSE),0))</f>
        <v/>
      </c>
      <c r="T515">
        <f>IF(Q515="P",0,IFNA(VLOOKUP(IF(C515="","(none)",C515),Secondary_Versatility!$A:$B,2,FALSE),0))</f>
        <v/>
      </c>
      <c r="U515">
        <f>IF(H515="",0,LEN(H515)-LEN(SUBSTITUTE(H515,"|",""))+1)</f>
        <v/>
      </c>
      <c r="V515">
        <f>IF(Q515="P",(N515+O515+P515)/3,0.3*I515+0.3*J515+0.2*K515+0.1*L515+0.1*M515)</f>
        <v/>
      </c>
      <c r="W515">
        <f>IF(Q515="P",IF(F515="",0,IFNA(VLOOKUP(F515,Pitcher_Trait_Coef!$A:$B,2,FALSE),0))+IF(G515="",0,IFNA(VLOOKUP(G515,Pitcher_Trait_Coef!$A:$B,2,FALSE),0)),IF(F515="",0,IFNA(VLOOKUP(F515,Hitter_Trait_Coef!$A:$B,2,FALSE),0))+IF(G515="",0,IFNA(VLOOKUP(G515,Hitter_Trait_Coef!$A:$B,2,FALSE),0)))</f>
        <v/>
      </c>
      <c r="X515">
        <f>IF(Q515="P",IFNA(VLOOKUP(B515,Pitcher_Primary_Coef!$A:$B,2,FALSE),0),IFNA(VLOOKUP(B515,Hitter_Primary_Coef!$A:$B,2,FALSE),0))</f>
        <v/>
      </c>
      <c r="Y515">
        <f>IF(Q515="P",0,IFNA(VLOOKUP(IF(C515="","(none)",C515),Hitter_Secondary_Coef!$A:$B,2,FALSE),0))</f>
        <v/>
      </c>
      <c r="Z515">
        <f>IF(Q515="P",IF(ISNUMBER(SEARCH("2F",H515)),IFNA(VLOOKUP("2F",Pitch_Coef!$A:$B,2,FALSE),0),0)+IF(ISNUMBER(SEARCH("4F",H515)),IFNA(VLOOKUP("4F",Pitch_Coef!$A:$B,2,FALSE),0),0)+IF(ISNUMBER(SEARCH("CB",H515)),IFNA(VLOOKUP("CB",Pitch_Coef!$A:$B,2,FALSE),0),0)+IF(ISNUMBER(SEARCH("CF",H515)),IFNA(VLOOKUP("CF",Pitch_Coef!$A:$B,2,FALSE),0),0)+IF(ISNUMBER(SEARCH("CH",H515)),IFNA(VLOOKUP("CH",Pitch_Coef!$A:$B,2,FALSE),0),0)+IF(ISNUMBER(SEARCH("FK",H515)),IFNA(VLOOKUP("FK",Pitch_Coef!$A:$B,2,FALSE),0),0)+IF(ISNUMBER(SEARCH("SB",H515)),IFNA(VLOOKUP("SB",Pitch_Coef!$A:$B,2,FALSE),0),0)+IF(ISNUMBER(SEARCH("SL",H515)),IFNA(VLOOKUP("SL",Pitch_Coef!$A:$B,2,FALSE),0),0),0)</f>
        <v/>
      </c>
      <c r="AA515">
        <f>IF(Q515="P",16.5944849573+0.2529999141*N515+0.2665900378*O515+0.2632687105*P515+0.0427586837*I515+0.0534777057*J515+0.009015832*K515+0.0204898106*(O515*P515/100)+1.0091022427*U515+1.0968542297*IF(D515="L",1,0)+0.3771555045*IF(D515="S",1,0)-0.2226159177*IF(E515="L",1,0)+1.21385024*R515-1.1652812274*S515+W515+X515+Z515,10.5965166711+0.2825983581*I515+0.2806503532*J515+0.2027213083*K515+0.1147824982*L515+0.0915305332*M515-0.0088454122*(I515*J515/100)-0.0336045706*(K515*L515/100)+2.8497389733*IF(D515="L",1,0)+4.5116226727*IF(D515="S",1,0)-0.6571546448*IF(E515="L",1,0)+0.0850728147*T515+0.0129488446*(T515*T515)+0.1909373936*IF(OR(F515="Utility",G515="Utility"),T515,0)+0.9656824071*R515-1.7517683256*S515+W515+X515+Y515)</f>
        <v/>
      </c>
      <c r="AB515">
        <f>LOOKUP(AA515,Grade_Scale!$A$2:$A$18,Grade_Scale!$B$2:$B$18)</f>
        <v/>
      </c>
      <c r="AC515">
        <f>LOOKUP(AA515,Grade_Scale!$A$2:$A$18,Grade_Scale!$C$2:$C$18)</f>
        <v/>
      </c>
      <c r="AE515">
        <f>IF(AD515="","",AB515-VLOOKUP(AD515,Grade_Scale!$C$2:$E$18,3,FALSE))</f>
        <v/>
      </c>
    </row>
    <row r="516">
      <c r="Q516">
        <f>IF(OR(B516="SP",B516="RP",B516="CP",B516="SP/RP"),"P","H")</f>
        <v/>
      </c>
      <c r="R516">
        <f>IF(F516="",0,IFNA(VLOOKUP(F516,Trait_Polarity!$A:$C,2,FALSE),0))+IF(G516="",0,IFNA(VLOOKUP(G516,Trait_Polarity!$A:$C,2,FALSE),0))</f>
        <v/>
      </c>
      <c r="S516">
        <f>IF(F516="",0,IFNA(VLOOKUP(F516,Trait_Polarity!$A:$C,3,FALSE),0))+IF(G516="",0,IFNA(VLOOKUP(G516,Trait_Polarity!$A:$C,3,FALSE),0))</f>
        <v/>
      </c>
      <c r="T516">
        <f>IF(Q516="P",0,IFNA(VLOOKUP(IF(C516="","(none)",C516),Secondary_Versatility!$A:$B,2,FALSE),0))</f>
        <v/>
      </c>
      <c r="U516">
        <f>IF(H516="",0,LEN(H516)-LEN(SUBSTITUTE(H516,"|",""))+1)</f>
        <v/>
      </c>
      <c r="V516">
        <f>IF(Q516="P",(N516+O516+P516)/3,0.3*I516+0.3*J516+0.2*K516+0.1*L516+0.1*M516)</f>
        <v/>
      </c>
      <c r="W516">
        <f>IF(Q516="P",IF(F516="",0,IFNA(VLOOKUP(F516,Pitcher_Trait_Coef!$A:$B,2,FALSE),0))+IF(G516="",0,IFNA(VLOOKUP(G516,Pitcher_Trait_Coef!$A:$B,2,FALSE),0)),IF(F516="",0,IFNA(VLOOKUP(F516,Hitter_Trait_Coef!$A:$B,2,FALSE),0))+IF(G516="",0,IFNA(VLOOKUP(G516,Hitter_Trait_Coef!$A:$B,2,FALSE),0)))</f>
        <v/>
      </c>
      <c r="X516">
        <f>IF(Q516="P",IFNA(VLOOKUP(B516,Pitcher_Primary_Coef!$A:$B,2,FALSE),0),IFNA(VLOOKUP(B516,Hitter_Primary_Coef!$A:$B,2,FALSE),0))</f>
        <v/>
      </c>
      <c r="Y516">
        <f>IF(Q516="P",0,IFNA(VLOOKUP(IF(C516="","(none)",C516),Hitter_Secondary_Coef!$A:$B,2,FALSE),0))</f>
        <v/>
      </c>
      <c r="Z516">
        <f>IF(Q516="P",IF(ISNUMBER(SEARCH("2F",H516)),IFNA(VLOOKUP("2F",Pitch_Coef!$A:$B,2,FALSE),0),0)+IF(ISNUMBER(SEARCH("4F",H516)),IFNA(VLOOKUP("4F",Pitch_Coef!$A:$B,2,FALSE),0),0)+IF(ISNUMBER(SEARCH("CB",H516)),IFNA(VLOOKUP("CB",Pitch_Coef!$A:$B,2,FALSE),0),0)+IF(ISNUMBER(SEARCH("CF",H516)),IFNA(VLOOKUP("CF",Pitch_Coef!$A:$B,2,FALSE),0),0)+IF(ISNUMBER(SEARCH("CH",H516)),IFNA(VLOOKUP("CH",Pitch_Coef!$A:$B,2,FALSE),0),0)+IF(ISNUMBER(SEARCH("FK",H516)),IFNA(VLOOKUP("FK",Pitch_Coef!$A:$B,2,FALSE),0),0)+IF(ISNUMBER(SEARCH("SB",H516)),IFNA(VLOOKUP("SB",Pitch_Coef!$A:$B,2,FALSE),0),0)+IF(ISNUMBER(SEARCH("SL",H516)),IFNA(VLOOKUP("SL",Pitch_Coef!$A:$B,2,FALSE),0),0),0)</f>
        <v/>
      </c>
      <c r="AA516">
        <f>IF(Q516="P",16.5944849573+0.2529999141*N516+0.2665900378*O516+0.2632687105*P516+0.0427586837*I516+0.0534777057*J516+0.009015832*K516+0.0204898106*(O516*P516/100)+1.0091022427*U516+1.0968542297*IF(D516="L",1,0)+0.3771555045*IF(D516="S",1,0)-0.2226159177*IF(E516="L",1,0)+1.21385024*R516-1.1652812274*S516+W516+X516+Z516,10.5965166711+0.2825983581*I516+0.2806503532*J516+0.2027213083*K516+0.1147824982*L516+0.0915305332*M516-0.0088454122*(I516*J516/100)-0.0336045706*(K516*L516/100)+2.8497389733*IF(D516="L",1,0)+4.5116226727*IF(D516="S",1,0)-0.6571546448*IF(E516="L",1,0)+0.0850728147*T516+0.0129488446*(T516*T516)+0.1909373936*IF(OR(F516="Utility",G516="Utility"),T516,0)+0.9656824071*R516-1.7517683256*S516+W516+X516+Y516)</f>
        <v/>
      </c>
      <c r="AB516">
        <f>LOOKUP(AA516,Grade_Scale!$A$2:$A$18,Grade_Scale!$B$2:$B$18)</f>
        <v/>
      </c>
      <c r="AC516">
        <f>LOOKUP(AA516,Grade_Scale!$A$2:$A$18,Grade_Scale!$C$2:$C$18)</f>
        <v/>
      </c>
      <c r="AE516">
        <f>IF(AD516="","",AB516-VLOOKUP(AD516,Grade_Scale!$C$2:$E$18,3,FALSE))</f>
        <v/>
      </c>
    </row>
    <row r="517">
      <c r="Q517">
        <f>IF(OR(B517="SP",B517="RP",B517="CP",B517="SP/RP"),"P","H")</f>
        <v/>
      </c>
      <c r="R517">
        <f>IF(F517="",0,IFNA(VLOOKUP(F517,Trait_Polarity!$A:$C,2,FALSE),0))+IF(G517="",0,IFNA(VLOOKUP(G517,Trait_Polarity!$A:$C,2,FALSE),0))</f>
        <v/>
      </c>
      <c r="S517">
        <f>IF(F517="",0,IFNA(VLOOKUP(F517,Trait_Polarity!$A:$C,3,FALSE),0))+IF(G517="",0,IFNA(VLOOKUP(G517,Trait_Polarity!$A:$C,3,FALSE),0))</f>
        <v/>
      </c>
      <c r="T517">
        <f>IF(Q517="P",0,IFNA(VLOOKUP(IF(C517="","(none)",C517),Secondary_Versatility!$A:$B,2,FALSE),0))</f>
        <v/>
      </c>
      <c r="U517">
        <f>IF(H517="",0,LEN(H517)-LEN(SUBSTITUTE(H517,"|",""))+1)</f>
        <v/>
      </c>
      <c r="V517">
        <f>IF(Q517="P",(N517+O517+P517)/3,0.3*I517+0.3*J517+0.2*K517+0.1*L517+0.1*M517)</f>
        <v/>
      </c>
      <c r="W517">
        <f>IF(Q517="P",IF(F517="",0,IFNA(VLOOKUP(F517,Pitcher_Trait_Coef!$A:$B,2,FALSE),0))+IF(G517="",0,IFNA(VLOOKUP(G517,Pitcher_Trait_Coef!$A:$B,2,FALSE),0)),IF(F517="",0,IFNA(VLOOKUP(F517,Hitter_Trait_Coef!$A:$B,2,FALSE),0))+IF(G517="",0,IFNA(VLOOKUP(G517,Hitter_Trait_Coef!$A:$B,2,FALSE),0)))</f>
        <v/>
      </c>
      <c r="X517">
        <f>IF(Q517="P",IFNA(VLOOKUP(B517,Pitcher_Primary_Coef!$A:$B,2,FALSE),0),IFNA(VLOOKUP(B517,Hitter_Primary_Coef!$A:$B,2,FALSE),0))</f>
        <v/>
      </c>
      <c r="Y517">
        <f>IF(Q517="P",0,IFNA(VLOOKUP(IF(C517="","(none)",C517),Hitter_Secondary_Coef!$A:$B,2,FALSE),0))</f>
        <v/>
      </c>
      <c r="Z517">
        <f>IF(Q517="P",IF(ISNUMBER(SEARCH("2F",H517)),IFNA(VLOOKUP("2F",Pitch_Coef!$A:$B,2,FALSE),0),0)+IF(ISNUMBER(SEARCH("4F",H517)),IFNA(VLOOKUP("4F",Pitch_Coef!$A:$B,2,FALSE),0),0)+IF(ISNUMBER(SEARCH("CB",H517)),IFNA(VLOOKUP("CB",Pitch_Coef!$A:$B,2,FALSE),0),0)+IF(ISNUMBER(SEARCH("CF",H517)),IFNA(VLOOKUP("CF",Pitch_Coef!$A:$B,2,FALSE),0),0)+IF(ISNUMBER(SEARCH("CH",H517)),IFNA(VLOOKUP("CH",Pitch_Coef!$A:$B,2,FALSE),0),0)+IF(ISNUMBER(SEARCH("FK",H517)),IFNA(VLOOKUP("FK",Pitch_Coef!$A:$B,2,FALSE),0),0)+IF(ISNUMBER(SEARCH("SB",H517)),IFNA(VLOOKUP("SB",Pitch_Coef!$A:$B,2,FALSE),0),0)+IF(ISNUMBER(SEARCH("SL",H517)),IFNA(VLOOKUP("SL",Pitch_Coef!$A:$B,2,FALSE),0),0),0)</f>
        <v/>
      </c>
      <c r="AA517">
        <f>IF(Q517="P",16.5944849573+0.2529999141*N517+0.2665900378*O517+0.2632687105*P517+0.0427586837*I517+0.0534777057*J517+0.009015832*K517+0.0204898106*(O517*P517/100)+1.0091022427*U517+1.0968542297*IF(D517="L",1,0)+0.3771555045*IF(D517="S",1,0)-0.2226159177*IF(E517="L",1,0)+1.21385024*R517-1.1652812274*S517+W517+X517+Z517,10.5965166711+0.2825983581*I517+0.2806503532*J517+0.2027213083*K517+0.1147824982*L517+0.0915305332*M517-0.0088454122*(I517*J517/100)-0.0336045706*(K517*L517/100)+2.8497389733*IF(D517="L",1,0)+4.5116226727*IF(D517="S",1,0)-0.6571546448*IF(E517="L",1,0)+0.0850728147*T517+0.0129488446*(T517*T517)+0.1909373936*IF(OR(F517="Utility",G517="Utility"),T517,0)+0.9656824071*R517-1.7517683256*S517+W517+X517+Y517)</f>
        <v/>
      </c>
      <c r="AB517">
        <f>LOOKUP(AA517,Grade_Scale!$A$2:$A$18,Grade_Scale!$B$2:$B$18)</f>
        <v/>
      </c>
      <c r="AC517">
        <f>LOOKUP(AA517,Grade_Scale!$A$2:$A$18,Grade_Scale!$C$2:$C$18)</f>
        <v/>
      </c>
      <c r="AE517">
        <f>IF(AD517="","",AB517-VLOOKUP(AD517,Grade_Scale!$C$2:$E$18,3,FALSE))</f>
        <v/>
      </c>
    </row>
    <row r="518">
      <c r="Q518">
        <f>IF(OR(B518="SP",B518="RP",B518="CP",B518="SP/RP"),"P","H")</f>
        <v/>
      </c>
      <c r="R518">
        <f>IF(F518="",0,IFNA(VLOOKUP(F518,Trait_Polarity!$A:$C,2,FALSE),0))+IF(G518="",0,IFNA(VLOOKUP(G518,Trait_Polarity!$A:$C,2,FALSE),0))</f>
        <v/>
      </c>
      <c r="S518">
        <f>IF(F518="",0,IFNA(VLOOKUP(F518,Trait_Polarity!$A:$C,3,FALSE),0))+IF(G518="",0,IFNA(VLOOKUP(G518,Trait_Polarity!$A:$C,3,FALSE),0))</f>
        <v/>
      </c>
      <c r="T518">
        <f>IF(Q518="P",0,IFNA(VLOOKUP(IF(C518="","(none)",C518),Secondary_Versatility!$A:$B,2,FALSE),0))</f>
        <v/>
      </c>
      <c r="U518">
        <f>IF(H518="",0,LEN(H518)-LEN(SUBSTITUTE(H518,"|",""))+1)</f>
        <v/>
      </c>
      <c r="V518">
        <f>IF(Q518="P",(N518+O518+P518)/3,0.3*I518+0.3*J518+0.2*K518+0.1*L518+0.1*M518)</f>
        <v/>
      </c>
      <c r="W518">
        <f>IF(Q518="P",IF(F518="",0,IFNA(VLOOKUP(F518,Pitcher_Trait_Coef!$A:$B,2,FALSE),0))+IF(G518="",0,IFNA(VLOOKUP(G518,Pitcher_Trait_Coef!$A:$B,2,FALSE),0)),IF(F518="",0,IFNA(VLOOKUP(F518,Hitter_Trait_Coef!$A:$B,2,FALSE),0))+IF(G518="",0,IFNA(VLOOKUP(G518,Hitter_Trait_Coef!$A:$B,2,FALSE),0)))</f>
        <v/>
      </c>
      <c r="X518">
        <f>IF(Q518="P",IFNA(VLOOKUP(B518,Pitcher_Primary_Coef!$A:$B,2,FALSE),0),IFNA(VLOOKUP(B518,Hitter_Primary_Coef!$A:$B,2,FALSE),0))</f>
        <v/>
      </c>
      <c r="Y518">
        <f>IF(Q518="P",0,IFNA(VLOOKUP(IF(C518="","(none)",C518),Hitter_Secondary_Coef!$A:$B,2,FALSE),0))</f>
        <v/>
      </c>
      <c r="Z518">
        <f>IF(Q518="P",IF(ISNUMBER(SEARCH("2F",H518)),IFNA(VLOOKUP("2F",Pitch_Coef!$A:$B,2,FALSE),0),0)+IF(ISNUMBER(SEARCH("4F",H518)),IFNA(VLOOKUP("4F",Pitch_Coef!$A:$B,2,FALSE),0),0)+IF(ISNUMBER(SEARCH("CB",H518)),IFNA(VLOOKUP("CB",Pitch_Coef!$A:$B,2,FALSE),0),0)+IF(ISNUMBER(SEARCH("CF",H518)),IFNA(VLOOKUP("CF",Pitch_Coef!$A:$B,2,FALSE),0),0)+IF(ISNUMBER(SEARCH("CH",H518)),IFNA(VLOOKUP("CH",Pitch_Coef!$A:$B,2,FALSE),0),0)+IF(ISNUMBER(SEARCH("FK",H518)),IFNA(VLOOKUP("FK",Pitch_Coef!$A:$B,2,FALSE),0),0)+IF(ISNUMBER(SEARCH("SB",H518)),IFNA(VLOOKUP("SB",Pitch_Coef!$A:$B,2,FALSE),0),0)+IF(ISNUMBER(SEARCH("SL",H518)),IFNA(VLOOKUP("SL",Pitch_Coef!$A:$B,2,FALSE),0),0),0)</f>
        <v/>
      </c>
      <c r="AA518">
        <f>IF(Q518="P",16.5944849573+0.2529999141*N518+0.2665900378*O518+0.2632687105*P518+0.0427586837*I518+0.0534777057*J518+0.009015832*K518+0.0204898106*(O518*P518/100)+1.0091022427*U518+1.0968542297*IF(D518="L",1,0)+0.3771555045*IF(D518="S",1,0)-0.2226159177*IF(E518="L",1,0)+1.21385024*R518-1.1652812274*S518+W518+X518+Z518,10.5965166711+0.2825983581*I518+0.2806503532*J518+0.2027213083*K518+0.1147824982*L518+0.0915305332*M518-0.0088454122*(I518*J518/100)-0.0336045706*(K518*L518/100)+2.8497389733*IF(D518="L",1,0)+4.5116226727*IF(D518="S",1,0)-0.6571546448*IF(E518="L",1,0)+0.0850728147*T518+0.0129488446*(T518*T518)+0.1909373936*IF(OR(F518="Utility",G518="Utility"),T518,0)+0.9656824071*R518-1.7517683256*S518+W518+X518+Y518)</f>
        <v/>
      </c>
      <c r="AB518">
        <f>LOOKUP(AA518,Grade_Scale!$A$2:$A$18,Grade_Scale!$B$2:$B$18)</f>
        <v/>
      </c>
      <c r="AC518">
        <f>LOOKUP(AA518,Grade_Scale!$A$2:$A$18,Grade_Scale!$C$2:$C$18)</f>
        <v/>
      </c>
      <c r="AE518">
        <f>IF(AD518="","",AB518-VLOOKUP(AD518,Grade_Scale!$C$2:$E$18,3,FALSE))</f>
        <v/>
      </c>
    </row>
    <row r="519">
      <c r="Q519">
        <f>IF(OR(B519="SP",B519="RP",B519="CP",B519="SP/RP"),"P","H")</f>
        <v/>
      </c>
      <c r="R519">
        <f>IF(F519="",0,IFNA(VLOOKUP(F519,Trait_Polarity!$A:$C,2,FALSE),0))+IF(G519="",0,IFNA(VLOOKUP(G519,Trait_Polarity!$A:$C,2,FALSE),0))</f>
        <v/>
      </c>
      <c r="S519">
        <f>IF(F519="",0,IFNA(VLOOKUP(F519,Trait_Polarity!$A:$C,3,FALSE),0))+IF(G519="",0,IFNA(VLOOKUP(G519,Trait_Polarity!$A:$C,3,FALSE),0))</f>
        <v/>
      </c>
      <c r="T519">
        <f>IF(Q519="P",0,IFNA(VLOOKUP(IF(C519="","(none)",C519),Secondary_Versatility!$A:$B,2,FALSE),0))</f>
        <v/>
      </c>
      <c r="U519">
        <f>IF(H519="",0,LEN(H519)-LEN(SUBSTITUTE(H519,"|",""))+1)</f>
        <v/>
      </c>
      <c r="V519">
        <f>IF(Q519="P",(N519+O519+P519)/3,0.3*I519+0.3*J519+0.2*K519+0.1*L519+0.1*M519)</f>
        <v/>
      </c>
      <c r="W519">
        <f>IF(Q519="P",IF(F519="",0,IFNA(VLOOKUP(F519,Pitcher_Trait_Coef!$A:$B,2,FALSE),0))+IF(G519="",0,IFNA(VLOOKUP(G519,Pitcher_Trait_Coef!$A:$B,2,FALSE),0)),IF(F519="",0,IFNA(VLOOKUP(F519,Hitter_Trait_Coef!$A:$B,2,FALSE),0))+IF(G519="",0,IFNA(VLOOKUP(G519,Hitter_Trait_Coef!$A:$B,2,FALSE),0)))</f>
        <v/>
      </c>
      <c r="X519">
        <f>IF(Q519="P",IFNA(VLOOKUP(B519,Pitcher_Primary_Coef!$A:$B,2,FALSE),0),IFNA(VLOOKUP(B519,Hitter_Primary_Coef!$A:$B,2,FALSE),0))</f>
        <v/>
      </c>
      <c r="Y519">
        <f>IF(Q519="P",0,IFNA(VLOOKUP(IF(C519="","(none)",C519),Hitter_Secondary_Coef!$A:$B,2,FALSE),0))</f>
        <v/>
      </c>
      <c r="Z519">
        <f>IF(Q519="P",IF(ISNUMBER(SEARCH("2F",H519)),IFNA(VLOOKUP("2F",Pitch_Coef!$A:$B,2,FALSE),0),0)+IF(ISNUMBER(SEARCH("4F",H519)),IFNA(VLOOKUP("4F",Pitch_Coef!$A:$B,2,FALSE),0),0)+IF(ISNUMBER(SEARCH("CB",H519)),IFNA(VLOOKUP("CB",Pitch_Coef!$A:$B,2,FALSE),0),0)+IF(ISNUMBER(SEARCH("CF",H519)),IFNA(VLOOKUP("CF",Pitch_Coef!$A:$B,2,FALSE),0),0)+IF(ISNUMBER(SEARCH("CH",H519)),IFNA(VLOOKUP("CH",Pitch_Coef!$A:$B,2,FALSE),0),0)+IF(ISNUMBER(SEARCH("FK",H519)),IFNA(VLOOKUP("FK",Pitch_Coef!$A:$B,2,FALSE),0),0)+IF(ISNUMBER(SEARCH("SB",H519)),IFNA(VLOOKUP("SB",Pitch_Coef!$A:$B,2,FALSE),0),0)+IF(ISNUMBER(SEARCH("SL",H519)),IFNA(VLOOKUP("SL",Pitch_Coef!$A:$B,2,FALSE),0),0),0)</f>
        <v/>
      </c>
      <c r="AA519">
        <f>IF(Q519="P",16.5944849573+0.2529999141*N519+0.2665900378*O519+0.2632687105*P519+0.0427586837*I519+0.0534777057*J519+0.009015832*K519+0.0204898106*(O519*P519/100)+1.0091022427*U519+1.0968542297*IF(D519="L",1,0)+0.3771555045*IF(D519="S",1,0)-0.2226159177*IF(E519="L",1,0)+1.21385024*R519-1.1652812274*S519+W519+X519+Z519,10.5965166711+0.2825983581*I519+0.2806503532*J519+0.2027213083*K519+0.1147824982*L519+0.0915305332*M519-0.0088454122*(I519*J519/100)-0.0336045706*(K519*L519/100)+2.8497389733*IF(D519="L",1,0)+4.5116226727*IF(D519="S",1,0)-0.6571546448*IF(E519="L",1,0)+0.0850728147*T519+0.0129488446*(T519*T519)+0.1909373936*IF(OR(F519="Utility",G519="Utility"),T519,0)+0.9656824071*R519-1.7517683256*S519+W519+X519+Y519)</f>
        <v/>
      </c>
      <c r="AB519">
        <f>LOOKUP(AA519,Grade_Scale!$A$2:$A$18,Grade_Scale!$B$2:$B$18)</f>
        <v/>
      </c>
      <c r="AC519">
        <f>LOOKUP(AA519,Grade_Scale!$A$2:$A$18,Grade_Scale!$C$2:$C$18)</f>
        <v/>
      </c>
      <c r="AE519">
        <f>IF(AD519="","",AB519-VLOOKUP(AD519,Grade_Scale!$C$2:$E$18,3,FALSE))</f>
        <v/>
      </c>
    </row>
    <row r="520">
      <c r="Q520">
        <f>IF(OR(B520="SP",B520="RP",B520="CP",B520="SP/RP"),"P","H")</f>
        <v/>
      </c>
      <c r="R520">
        <f>IF(F520="",0,IFNA(VLOOKUP(F520,Trait_Polarity!$A:$C,2,FALSE),0))+IF(G520="",0,IFNA(VLOOKUP(G520,Trait_Polarity!$A:$C,2,FALSE),0))</f>
        <v/>
      </c>
      <c r="S520">
        <f>IF(F520="",0,IFNA(VLOOKUP(F520,Trait_Polarity!$A:$C,3,FALSE),0))+IF(G520="",0,IFNA(VLOOKUP(G520,Trait_Polarity!$A:$C,3,FALSE),0))</f>
        <v/>
      </c>
      <c r="T520">
        <f>IF(Q520="P",0,IFNA(VLOOKUP(IF(C520="","(none)",C520),Secondary_Versatility!$A:$B,2,FALSE),0))</f>
        <v/>
      </c>
      <c r="U520">
        <f>IF(H520="",0,LEN(H520)-LEN(SUBSTITUTE(H520,"|",""))+1)</f>
        <v/>
      </c>
      <c r="V520">
        <f>IF(Q520="P",(N520+O520+P520)/3,0.3*I520+0.3*J520+0.2*K520+0.1*L520+0.1*M520)</f>
        <v/>
      </c>
      <c r="W520">
        <f>IF(Q520="P",IF(F520="",0,IFNA(VLOOKUP(F520,Pitcher_Trait_Coef!$A:$B,2,FALSE),0))+IF(G520="",0,IFNA(VLOOKUP(G520,Pitcher_Trait_Coef!$A:$B,2,FALSE),0)),IF(F520="",0,IFNA(VLOOKUP(F520,Hitter_Trait_Coef!$A:$B,2,FALSE),0))+IF(G520="",0,IFNA(VLOOKUP(G520,Hitter_Trait_Coef!$A:$B,2,FALSE),0)))</f>
        <v/>
      </c>
      <c r="X520">
        <f>IF(Q520="P",IFNA(VLOOKUP(B520,Pitcher_Primary_Coef!$A:$B,2,FALSE),0),IFNA(VLOOKUP(B520,Hitter_Primary_Coef!$A:$B,2,FALSE),0))</f>
        <v/>
      </c>
      <c r="Y520">
        <f>IF(Q520="P",0,IFNA(VLOOKUP(IF(C520="","(none)",C520),Hitter_Secondary_Coef!$A:$B,2,FALSE),0))</f>
        <v/>
      </c>
      <c r="Z520">
        <f>IF(Q520="P",IF(ISNUMBER(SEARCH("2F",H520)),IFNA(VLOOKUP("2F",Pitch_Coef!$A:$B,2,FALSE),0),0)+IF(ISNUMBER(SEARCH("4F",H520)),IFNA(VLOOKUP("4F",Pitch_Coef!$A:$B,2,FALSE),0),0)+IF(ISNUMBER(SEARCH("CB",H520)),IFNA(VLOOKUP("CB",Pitch_Coef!$A:$B,2,FALSE),0),0)+IF(ISNUMBER(SEARCH("CF",H520)),IFNA(VLOOKUP("CF",Pitch_Coef!$A:$B,2,FALSE),0),0)+IF(ISNUMBER(SEARCH("CH",H520)),IFNA(VLOOKUP("CH",Pitch_Coef!$A:$B,2,FALSE),0),0)+IF(ISNUMBER(SEARCH("FK",H520)),IFNA(VLOOKUP("FK",Pitch_Coef!$A:$B,2,FALSE),0),0)+IF(ISNUMBER(SEARCH("SB",H520)),IFNA(VLOOKUP("SB",Pitch_Coef!$A:$B,2,FALSE),0),0)+IF(ISNUMBER(SEARCH("SL",H520)),IFNA(VLOOKUP("SL",Pitch_Coef!$A:$B,2,FALSE),0),0),0)</f>
        <v/>
      </c>
      <c r="AA520">
        <f>IF(Q520="P",16.5944849573+0.2529999141*N520+0.2665900378*O520+0.2632687105*P520+0.0427586837*I520+0.0534777057*J520+0.009015832*K520+0.0204898106*(O520*P520/100)+1.0091022427*U520+1.0968542297*IF(D520="L",1,0)+0.3771555045*IF(D520="S",1,0)-0.2226159177*IF(E520="L",1,0)+1.21385024*R520-1.1652812274*S520+W520+X520+Z520,10.5965166711+0.2825983581*I520+0.2806503532*J520+0.2027213083*K520+0.1147824982*L520+0.0915305332*M520-0.0088454122*(I520*J520/100)-0.0336045706*(K520*L520/100)+2.8497389733*IF(D520="L",1,0)+4.5116226727*IF(D520="S",1,0)-0.6571546448*IF(E520="L",1,0)+0.0850728147*T520+0.0129488446*(T520*T520)+0.1909373936*IF(OR(F520="Utility",G520="Utility"),T520,0)+0.9656824071*R520-1.7517683256*S520+W520+X520+Y520)</f>
        <v/>
      </c>
      <c r="AB520">
        <f>LOOKUP(AA520,Grade_Scale!$A$2:$A$18,Grade_Scale!$B$2:$B$18)</f>
        <v/>
      </c>
      <c r="AC520">
        <f>LOOKUP(AA520,Grade_Scale!$A$2:$A$18,Grade_Scale!$C$2:$C$18)</f>
        <v/>
      </c>
      <c r="AE520">
        <f>IF(AD520="","",AB520-VLOOKUP(AD520,Grade_Scale!$C$2:$E$18,3,FALSE))</f>
        <v/>
      </c>
    </row>
    <row r="521">
      <c r="Q521">
        <f>IF(OR(B521="SP",B521="RP",B521="CP",B521="SP/RP"),"P","H")</f>
        <v/>
      </c>
      <c r="R521">
        <f>IF(F521="",0,IFNA(VLOOKUP(F521,Trait_Polarity!$A:$C,2,FALSE),0))+IF(G521="",0,IFNA(VLOOKUP(G521,Trait_Polarity!$A:$C,2,FALSE),0))</f>
        <v/>
      </c>
      <c r="S521">
        <f>IF(F521="",0,IFNA(VLOOKUP(F521,Trait_Polarity!$A:$C,3,FALSE),0))+IF(G521="",0,IFNA(VLOOKUP(G521,Trait_Polarity!$A:$C,3,FALSE),0))</f>
        <v/>
      </c>
      <c r="T521">
        <f>IF(Q521="P",0,IFNA(VLOOKUP(IF(C521="","(none)",C521),Secondary_Versatility!$A:$B,2,FALSE),0))</f>
        <v/>
      </c>
      <c r="U521">
        <f>IF(H521="",0,LEN(H521)-LEN(SUBSTITUTE(H521,"|",""))+1)</f>
        <v/>
      </c>
      <c r="V521">
        <f>IF(Q521="P",(N521+O521+P521)/3,0.3*I521+0.3*J521+0.2*K521+0.1*L521+0.1*M521)</f>
        <v/>
      </c>
      <c r="W521">
        <f>IF(Q521="P",IF(F521="",0,IFNA(VLOOKUP(F521,Pitcher_Trait_Coef!$A:$B,2,FALSE),0))+IF(G521="",0,IFNA(VLOOKUP(G521,Pitcher_Trait_Coef!$A:$B,2,FALSE),0)),IF(F521="",0,IFNA(VLOOKUP(F521,Hitter_Trait_Coef!$A:$B,2,FALSE),0))+IF(G521="",0,IFNA(VLOOKUP(G521,Hitter_Trait_Coef!$A:$B,2,FALSE),0)))</f>
        <v/>
      </c>
      <c r="X521">
        <f>IF(Q521="P",IFNA(VLOOKUP(B521,Pitcher_Primary_Coef!$A:$B,2,FALSE),0),IFNA(VLOOKUP(B521,Hitter_Primary_Coef!$A:$B,2,FALSE),0))</f>
        <v/>
      </c>
      <c r="Y521">
        <f>IF(Q521="P",0,IFNA(VLOOKUP(IF(C521="","(none)",C521),Hitter_Secondary_Coef!$A:$B,2,FALSE),0))</f>
        <v/>
      </c>
      <c r="Z521">
        <f>IF(Q521="P",IF(ISNUMBER(SEARCH("2F",H521)),IFNA(VLOOKUP("2F",Pitch_Coef!$A:$B,2,FALSE),0),0)+IF(ISNUMBER(SEARCH("4F",H521)),IFNA(VLOOKUP("4F",Pitch_Coef!$A:$B,2,FALSE),0),0)+IF(ISNUMBER(SEARCH("CB",H521)),IFNA(VLOOKUP("CB",Pitch_Coef!$A:$B,2,FALSE),0),0)+IF(ISNUMBER(SEARCH("CF",H521)),IFNA(VLOOKUP("CF",Pitch_Coef!$A:$B,2,FALSE),0),0)+IF(ISNUMBER(SEARCH("CH",H521)),IFNA(VLOOKUP("CH",Pitch_Coef!$A:$B,2,FALSE),0),0)+IF(ISNUMBER(SEARCH("FK",H521)),IFNA(VLOOKUP("FK",Pitch_Coef!$A:$B,2,FALSE),0),0)+IF(ISNUMBER(SEARCH("SB",H521)),IFNA(VLOOKUP("SB",Pitch_Coef!$A:$B,2,FALSE),0),0)+IF(ISNUMBER(SEARCH("SL",H521)),IFNA(VLOOKUP("SL",Pitch_Coef!$A:$B,2,FALSE),0),0),0)</f>
        <v/>
      </c>
      <c r="AA521">
        <f>IF(Q521="P",16.5944849573+0.2529999141*N521+0.2665900378*O521+0.2632687105*P521+0.0427586837*I521+0.0534777057*J521+0.009015832*K521+0.0204898106*(O521*P521/100)+1.0091022427*U521+1.0968542297*IF(D521="L",1,0)+0.3771555045*IF(D521="S",1,0)-0.2226159177*IF(E521="L",1,0)+1.21385024*R521-1.1652812274*S521+W521+X521+Z521,10.5965166711+0.2825983581*I521+0.2806503532*J521+0.2027213083*K521+0.1147824982*L521+0.0915305332*M521-0.0088454122*(I521*J521/100)-0.0336045706*(K521*L521/100)+2.8497389733*IF(D521="L",1,0)+4.5116226727*IF(D521="S",1,0)-0.6571546448*IF(E521="L",1,0)+0.0850728147*T521+0.0129488446*(T521*T521)+0.1909373936*IF(OR(F521="Utility",G521="Utility"),T521,0)+0.9656824071*R521-1.7517683256*S521+W521+X521+Y521)</f>
        <v/>
      </c>
      <c r="AB521">
        <f>LOOKUP(AA521,Grade_Scale!$A$2:$A$18,Grade_Scale!$B$2:$B$18)</f>
        <v/>
      </c>
      <c r="AC521">
        <f>LOOKUP(AA521,Grade_Scale!$A$2:$A$18,Grade_Scale!$C$2:$C$18)</f>
        <v/>
      </c>
      <c r="AE521">
        <f>IF(AD521="","",AB521-VLOOKUP(AD521,Grade_Scale!$C$2:$E$18,3,FALSE))</f>
        <v/>
      </c>
    </row>
    <row r="522">
      <c r="Q522">
        <f>IF(OR(B522="SP",B522="RP",B522="CP",B522="SP/RP"),"P","H")</f>
        <v/>
      </c>
      <c r="R522">
        <f>IF(F522="",0,IFNA(VLOOKUP(F522,Trait_Polarity!$A:$C,2,FALSE),0))+IF(G522="",0,IFNA(VLOOKUP(G522,Trait_Polarity!$A:$C,2,FALSE),0))</f>
        <v/>
      </c>
      <c r="S522">
        <f>IF(F522="",0,IFNA(VLOOKUP(F522,Trait_Polarity!$A:$C,3,FALSE),0))+IF(G522="",0,IFNA(VLOOKUP(G522,Trait_Polarity!$A:$C,3,FALSE),0))</f>
        <v/>
      </c>
      <c r="T522">
        <f>IF(Q522="P",0,IFNA(VLOOKUP(IF(C522="","(none)",C522),Secondary_Versatility!$A:$B,2,FALSE),0))</f>
        <v/>
      </c>
      <c r="U522">
        <f>IF(H522="",0,LEN(H522)-LEN(SUBSTITUTE(H522,"|",""))+1)</f>
        <v/>
      </c>
      <c r="V522">
        <f>IF(Q522="P",(N522+O522+P522)/3,0.3*I522+0.3*J522+0.2*K522+0.1*L522+0.1*M522)</f>
        <v/>
      </c>
      <c r="W522">
        <f>IF(Q522="P",IF(F522="",0,IFNA(VLOOKUP(F522,Pitcher_Trait_Coef!$A:$B,2,FALSE),0))+IF(G522="",0,IFNA(VLOOKUP(G522,Pitcher_Trait_Coef!$A:$B,2,FALSE),0)),IF(F522="",0,IFNA(VLOOKUP(F522,Hitter_Trait_Coef!$A:$B,2,FALSE),0))+IF(G522="",0,IFNA(VLOOKUP(G522,Hitter_Trait_Coef!$A:$B,2,FALSE),0)))</f>
        <v/>
      </c>
      <c r="X522">
        <f>IF(Q522="P",IFNA(VLOOKUP(B522,Pitcher_Primary_Coef!$A:$B,2,FALSE),0),IFNA(VLOOKUP(B522,Hitter_Primary_Coef!$A:$B,2,FALSE),0))</f>
        <v/>
      </c>
      <c r="Y522">
        <f>IF(Q522="P",0,IFNA(VLOOKUP(IF(C522="","(none)",C522),Hitter_Secondary_Coef!$A:$B,2,FALSE),0))</f>
        <v/>
      </c>
      <c r="Z522">
        <f>IF(Q522="P",IF(ISNUMBER(SEARCH("2F",H522)),IFNA(VLOOKUP("2F",Pitch_Coef!$A:$B,2,FALSE),0),0)+IF(ISNUMBER(SEARCH("4F",H522)),IFNA(VLOOKUP("4F",Pitch_Coef!$A:$B,2,FALSE),0),0)+IF(ISNUMBER(SEARCH("CB",H522)),IFNA(VLOOKUP("CB",Pitch_Coef!$A:$B,2,FALSE),0),0)+IF(ISNUMBER(SEARCH("CF",H522)),IFNA(VLOOKUP("CF",Pitch_Coef!$A:$B,2,FALSE),0),0)+IF(ISNUMBER(SEARCH("CH",H522)),IFNA(VLOOKUP("CH",Pitch_Coef!$A:$B,2,FALSE),0),0)+IF(ISNUMBER(SEARCH("FK",H522)),IFNA(VLOOKUP("FK",Pitch_Coef!$A:$B,2,FALSE),0),0)+IF(ISNUMBER(SEARCH("SB",H522)),IFNA(VLOOKUP("SB",Pitch_Coef!$A:$B,2,FALSE),0),0)+IF(ISNUMBER(SEARCH("SL",H522)),IFNA(VLOOKUP("SL",Pitch_Coef!$A:$B,2,FALSE),0),0),0)</f>
        <v/>
      </c>
      <c r="AA522">
        <f>IF(Q522="P",16.5944849573+0.2529999141*N522+0.2665900378*O522+0.2632687105*P522+0.0427586837*I522+0.0534777057*J522+0.009015832*K522+0.0204898106*(O522*P522/100)+1.0091022427*U522+1.0968542297*IF(D522="L",1,0)+0.3771555045*IF(D522="S",1,0)-0.2226159177*IF(E522="L",1,0)+1.21385024*R522-1.1652812274*S522+W522+X522+Z522,10.5965166711+0.2825983581*I522+0.2806503532*J522+0.2027213083*K522+0.1147824982*L522+0.0915305332*M522-0.0088454122*(I522*J522/100)-0.0336045706*(K522*L522/100)+2.8497389733*IF(D522="L",1,0)+4.5116226727*IF(D522="S",1,0)-0.6571546448*IF(E522="L",1,0)+0.0850728147*T522+0.0129488446*(T522*T522)+0.1909373936*IF(OR(F522="Utility",G522="Utility"),T522,0)+0.9656824071*R522-1.7517683256*S522+W522+X522+Y522)</f>
        <v/>
      </c>
      <c r="AB522">
        <f>LOOKUP(AA522,Grade_Scale!$A$2:$A$18,Grade_Scale!$B$2:$B$18)</f>
        <v/>
      </c>
      <c r="AC522">
        <f>LOOKUP(AA522,Grade_Scale!$A$2:$A$18,Grade_Scale!$C$2:$C$18)</f>
        <v/>
      </c>
      <c r="AE522">
        <f>IF(AD522="","",AB522-VLOOKUP(AD522,Grade_Scale!$C$2:$E$18,3,FALSE))</f>
        <v/>
      </c>
    </row>
    <row r="523">
      <c r="Q523">
        <f>IF(OR(B523="SP",B523="RP",B523="CP",B523="SP/RP"),"P","H")</f>
        <v/>
      </c>
      <c r="R523">
        <f>IF(F523="",0,IFNA(VLOOKUP(F523,Trait_Polarity!$A:$C,2,FALSE),0))+IF(G523="",0,IFNA(VLOOKUP(G523,Trait_Polarity!$A:$C,2,FALSE),0))</f>
        <v/>
      </c>
      <c r="S523">
        <f>IF(F523="",0,IFNA(VLOOKUP(F523,Trait_Polarity!$A:$C,3,FALSE),0))+IF(G523="",0,IFNA(VLOOKUP(G523,Trait_Polarity!$A:$C,3,FALSE),0))</f>
        <v/>
      </c>
      <c r="T523">
        <f>IF(Q523="P",0,IFNA(VLOOKUP(IF(C523="","(none)",C523),Secondary_Versatility!$A:$B,2,FALSE),0))</f>
        <v/>
      </c>
      <c r="U523">
        <f>IF(H523="",0,LEN(H523)-LEN(SUBSTITUTE(H523,"|",""))+1)</f>
        <v/>
      </c>
      <c r="V523">
        <f>IF(Q523="P",(N523+O523+P523)/3,0.3*I523+0.3*J523+0.2*K523+0.1*L523+0.1*M523)</f>
        <v/>
      </c>
      <c r="W523">
        <f>IF(Q523="P",IF(F523="",0,IFNA(VLOOKUP(F523,Pitcher_Trait_Coef!$A:$B,2,FALSE),0))+IF(G523="",0,IFNA(VLOOKUP(G523,Pitcher_Trait_Coef!$A:$B,2,FALSE),0)),IF(F523="",0,IFNA(VLOOKUP(F523,Hitter_Trait_Coef!$A:$B,2,FALSE),0))+IF(G523="",0,IFNA(VLOOKUP(G523,Hitter_Trait_Coef!$A:$B,2,FALSE),0)))</f>
        <v/>
      </c>
      <c r="X523">
        <f>IF(Q523="P",IFNA(VLOOKUP(B523,Pitcher_Primary_Coef!$A:$B,2,FALSE),0),IFNA(VLOOKUP(B523,Hitter_Primary_Coef!$A:$B,2,FALSE),0))</f>
        <v/>
      </c>
      <c r="Y523">
        <f>IF(Q523="P",0,IFNA(VLOOKUP(IF(C523="","(none)",C523),Hitter_Secondary_Coef!$A:$B,2,FALSE),0))</f>
        <v/>
      </c>
      <c r="Z523">
        <f>IF(Q523="P",IF(ISNUMBER(SEARCH("2F",H523)),IFNA(VLOOKUP("2F",Pitch_Coef!$A:$B,2,FALSE),0),0)+IF(ISNUMBER(SEARCH("4F",H523)),IFNA(VLOOKUP("4F",Pitch_Coef!$A:$B,2,FALSE),0),0)+IF(ISNUMBER(SEARCH("CB",H523)),IFNA(VLOOKUP("CB",Pitch_Coef!$A:$B,2,FALSE),0),0)+IF(ISNUMBER(SEARCH("CF",H523)),IFNA(VLOOKUP("CF",Pitch_Coef!$A:$B,2,FALSE),0),0)+IF(ISNUMBER(SEARCH("CH",H523)),IFNA(VLOOKUP("CH",Pitch_Coef!$A:$B,2,FALSE),0),0)+IF(ISNUMBER(SEARCH("FK",H523)),IFNA(VLOOKUP("FK",Pitch_Coef!$A:$B,2,FALSE),0),0)+IF(ISNUMBER(SEARCH("SB",H523)),IFNA(VLOOKUP("SB",Pitch_Coef!$A:$B,2,FALSE),0),0)+IF(ISNUMBER(SEARCH("SL",H523)),IFNA(VLOOKUP("SL",Pitch_Coef!$A:$B,2,FALSE),0),0),0)</f>
        <v/>
      </c>
      <c r="AA523">
        <f>IF(Q523="P",16.5944849573+0.2529999141*N523+0.2665900378*O523+0.2632687105*P523+0.0427586837*I523+0.0534777057*J523+0.009015832*K523+0.0204898106*(O523*P523/100)+1.0091022427*U523+1.0968542297*IF(D523="L",1,0)+0.3771555045*IF(D523="S",1,0)-0.2226159177*IF(E523="L",1,0)+1.21385024*R523-1.1652812274*S523+W523+X523+Z523,10.5965166711+0.2825983581*I523+0.2806503532*J523+0.2027213083*K523+0.1147824982*L523+0.0915305332*M523-0.0088454122*(I523*J523/100)-0.0336045706*(K523*L523/100)+2.8497389733*IF(D523="L",1,0)+4.5116226727*IF(D523="S",1,0)-0.6571546448*IF(E523="L",1,0)+0.0850728147*T523+0.0129488446*(T523*T523)+0.1909373936*IF(OR(F523="Utility",G523="Utility"),T523,0)+0.9656824071*R523-1.7517683256*S523+W523+X523+Y523)</f>
        <v/>
      </c>
      <c r="AB523">
        <f>LOOKUP(AA523,Grade_Scale!$A$2:$A$18,Grade_Scale!$B$2:$B$18)</f>
        <v/>
      </c>
      <c r="AC523">
        <f>LOOKUP(AA523,Grade_Scale!$A$2:$A$18,Grade_Scale!$C$2:$C$18)</f>
        <v/>
      </c>
      <c r="AE523">
        <f>IF(AD523="","",AB523-VLOOKUP(AD523,Grade_Scale!$C$2:$E$18,3,FALSE))</f>
        <v/>
      </c>
    </row>
    <row r="524">
      <c r="Q524">
        <f>IF(OR(B524="SP",B524="RP",B524="CP",B524="SP/RP"),"P","H")</f>
        <v/>
      </c>
      <c r="R524">
        <f>IF(F524="",0,IFNA(VLOOKUP(F524,Trait_Polarity!$A:$C,2,FALSE),0))+IF(G524="",0,IFNA(VLOOKUP(G524,Trait_Polarity!$A:$C,2,FALSE),0))</f>
        <v/>
      </c>
      <c r="S524">
        <f>IF(F524="",0,IFNA(VLOOKUP(F524,Trait_Polarity!$A:$C,3,FALSE),0))+IF(G524="",0,IFNA(VLOOKUP(G524,Trait_Polarity!$A:$C,3,FALSE),0))</f>
        <v/>
      </c>
      <c r="T524">
        <f>IF(Q524="P",0,IFNA(VLOOKUP(IF(C524="","(none)",C524),Secondary_Versatility!$A:$B,2,FALSE),0))</f>
        <v/>
      </c>
      <c r="U524">
        <f>IF(H524="",0,LEN(H524)-LEN(SUBSTITUTE(H524,"|",""))+1)</f>
        <v/>
      </c>
      <c r="V524">
        <f>IF(Q524="P",(N524+O524+P524)/3,0.3*I524+0.3*J524+0.2*K524+0.1*L524+0.1*M524)</f>
        <v/>
      </c>
      <c r="W524">
        <f>IF(Q524="P",IF(F524="",0,IFNA(VLOOKUP(F524,Pitcher_Trait_Coef!$A:$B,2,FALSE),0))+IF(G524="",0,IFNA(VLOOKUP(G524,Pitcher_Trait_Coef!$A:$B,2,FALSE),0)),IF(F524="",0,IFNA(VLOOKUP(F524,Hitter_Trait_Coef!$A:$B,2,FALSE),0))+IF(G524="",0,IFNA(VLOOKUP(G524,Hitter_Trait_Coef!$A:$B,2,FALSE),0)))</f>
        <v/>
      </c>
      <c r="X524">
        <f>IF(Q524="P",IFNA(VLOOKUP(B524,Pitcher_Primary_Coef!$A:$B,2,FALSE),0),IFNA(VLOOKUP(B524,Hitter_Primary_Coef!$A:$B,2,FALSE),0))</f>
        <v/>
      </c>
      <c r="Y524">
        <f>IF(Q524="P",0,IFNA(VLOOKUP(IF(C524="","(none)",C524),Hitter_Secondary_Coef!$A:$B,2,FALSE),0))</f>
        <v/>
      </c>
      <c r="Z524">
        <f>IF(Q524="P",IF(ISNUMBER(SEARCH("2F",H524)),IFNA(VLOOKUP("2F",Pitch_Coef!$A:$B,2,FALSE),0),0)+IF(ISNUMBER(SEARCH("4F",H524)),IFNA(VLOOKUP("4F",Pitch_Coef!$A:$B,2,FALSE),0),0)+IF(ISNUMBER(SEARCH("CB",H524)),IFNA(VLOOKUP("CB",Pitch_Coef!$A:$B,2,FALSE),0),0)+IF(ISNUMBER(SEARCH("CF",H524)),IFNA(VLOOKUP("CF",Pitch_Coef!$A:$B,2,FALSE),0),0)+IF(ISNUMBER(SEARCH("CH",H524)),IFNA(VLOOKUP("CH",Pitch_Coef!$A:$B,2,FALSE),0),0)+IF(ISNUMBER(SEARCH("FK",H524)),IFNA(VLOOKUP("FK",Pitch_Coef!$A:$B,2,FALSE),0),0)+IF(ISNUMBER(SEARCH("SB",H524)),IFNA(VLOOKUP("SB",Pitch_Coef!$A:$B,2,FALSE),0),0)+IF(ISNUMBER(SEARCH("SL",H524)),IFNA(VLOOKUP("SL",Pitch_Coef!$A:$B,2,FALSE),0),0),0)</f>
        <v/>
      </c>
      <c r="AA524">
        <f>IF(Q524="P",16.5944849573+0.2529999141*N524+0.2665900378*O524+0.2632687105*P524+0.0427586837*I524+0.0534777057*J524+0.009015832*K524+0.0204898106*(O524*P524/100)+1.0091022427*U524+1.0968542297*IF(D524="L",1,0)+0.3771555045*IF(D524="S",1,0)-0.2226159177*IF(E524="L",1,0)+1.21385024*R524-1.1652812274*S524+W524+X524+Z524,10.5965166711+0.2825983581*I524+0.2806503532*J524+0.2027213083*K524+0.1147824982*L524+0.0915305332*M524-0.0088454122*(I524*J524/100)-0.0336045706*(K524*L524/100)+2.8497389733*IF(D524="L",1,0)+4.5116226727*IF(D524="S",1,0)-0.6571546448*IF(E524="L",1,0)+0.0850728147*T524+0.0129488446*(T524*T524)+0.1909373936*IF(OR(F524="Utility",G524="Utility"),T524,0)+0.9656824071*R524-1.7517683256*S524+W524+X524+Y524)</f>
        <v/>
      </c>
      <c r="AB524">
        <f>LOOKUP(AA524,Grade_Scale!$A$2:$A$18,Grade_Scale!$B$2:$B$18)</f>
        <v/>
      </c>
      <c r="AC524">
        <f>LOOKUP(AA524,Grade_Scale!$A$2:$A$18,Grade_Scale!$C$2:$C$18)</f>
        <v/>
      </c>
      <c r="AE524">
        <f>IF(AD524="","",AB524-VLOOKUP(AD524,Grade_Scale!$C$2:$E$18,3,FALSE))</f>
        <v/>
      </c>
    </row>
    <row r="525">
      <c r="Q525">
        <f>IF(OR(B525="SP",B525="RP",B525="CP",B525="SP/RP"),"P","H")</f>
        <v/>
      </c>
      <c r="R525">
        <f>IF(F525="",0,IFNA(VLOOKUP(F525,Trait_Polarity!$A:$C,2,FALSE),0))+IF(G525="",0,IFNA(VLOOKUP(G525,Trait_Polarity!$A:$C,2,FALSE),0))</f>
        <v/>
      </c>
      <c r="S525">
        <f>IF(F525="",0,IFNA(VLOOKUP(F525,Trait_Polarity!$A:$C,3,FALSE),0))+IF(G525="",0,IFNA(VLOOKUP(G525,Trait_Polarity!$A:$C,3,FALSE),0))</f>
        <v/>
      </c>
      <c r="T525">
        <f>IF(Q525="P",0,IFNA(VLOOKUP(IF(C525="","(none)",C525),Secondary_Versatility!$A:$B,2,FALSE),0))</f>
        <v/>
      </c>
      <c r="U525">
        <f>IF(H525="",0,LEN(H525)-LEN(SUBSTITUTE(H525,"|",""))+1)</f>
        <v/>
      </c>
      <c r="V525">
        <f>IF(Q525="P",(N525+O525+P525)/3,0.3*I525+0.3*J525+0.2*K525+0.1*L525+0.1*M525)</f>
        <v/>
      </c>
      <c r="W525">
        <f>IF(Q525="P",IF(F525="",0,IFNA(VLOOKUP(F525,Pitcher_Trait_Coef!$A:$B,2,FALSE),0))+IF(G525="",0,IFNA(VLOOKUP(G525,Pitcher_Trait_Coef!$A:$B,2,FALSE),0)),IF(F525="",0,IFNA(VLOOKUP(F525,Hitter_Trait_Coef!$A:$B,2,FALSE),0))+IF(G525="",0,IFNA(VLOOKUP(G525,Hitter_Trait_Coef!$A:$B,2,FALSE),0)))</f>
        <v/>
      </c>
      <c r="X525">
        <f>IF(Q525="P",IFNA(VLOOKUP(B525,Pitcher_Primary_Coef!$A:$B,2,FALSE),0),IFNA(VLOOKUP(B525,Hitter_Primary_Coef!$A:$B,2,FALSE),0))</f>
        <v/>
      </c>
      <c r="Y525">
        <f>IF(Q525="P",0,IFNA(VLOOKUP(IF(C525="","(none)",C525),Hitter_Secondary_Coef!$A:$B,2,FALSE),0))</f>
        <v/>
      </c>
      <c r="Z525">
        <f>IF(Q525="P",IF(ISNUMBER(SEARCH("2F",H525)),IFNA(VLOOKUP("2F",Pitch_Coef!$A:$B,2,FALSE),0),0)+IF(ISNUMBER(SEARCH("4F",H525)),IFNA(VLOOKUP("4F",Pitch_Coef!$A:$B,2,FALSE),0),0)+IF(ISNUMBER(SEARCH("CB",H525)),IFNA(VLOOKUP("CB",Pitch_Coef!$A:$B,2,FALSE),0),0)+IF(ISNUMBER(SEARCH("CF",H525)),IFNA(VLOOKUP("CF",Pitch_Coef!$A:$B,2,FALSE),0),0)+IF(ISNUMBER(SEARCH("CH",H525)),IFNA(VLOOKUP("CH",Pitch_Coef!$A:$B,2,FALSE),0),0)+IF(ISNUMBER(SEARCH("FK",H525)),IFNA(VLOOKUP("FK",Pitch_Coef!$A:$B,2,FALSE),0),0)+IF(ISNUMBER(SEARCH("SB",H525)),IFNA(VLOOKUP("SB",Pitch_Coef!$A:$B,2,FALSE),0),0)+IF(ISNUMBER(SEARCH("SL",H525)),IFNA(VLOOKUP("SL",Pitch_Coef!$A:$B,2,FALSE),0),0),0)</f>
        <v/>
      </c>
      <c r="AA525">
        <f>IF(Q525="P",16.5944849573+0.2529999141*N525+0.2665900378*O525+0.2632687105*P525+0.0427586837*I525+0.0534777057*J525+0.009015832*K525+0.0204898106*(O525*P525/100)+1.0091022427*U525+1.0968542297*IF(D525="L",1,0)+0.3771555045*IF(D525="S",1,0)-0.2226159177*IF(E525="L",1,0)+1.21385024*R525-1.1652812274*S525+W525+X525+Z525,10.5965166711+0.2825983581*I525+0.2806503532*J525+0.2027213083*K525+0.1147824982*L525+0.0915305332*M525-0.0088454122*(I525*J525/100)-0.0336045706*(K525*L525/100)+2.8497389733*IF(D525="L",1,0)+4.5116226727*IF(D525="S",1,0)-0.6571546448*IF(E525="L",1,0)+0.0850728147*T525+0.0129488446*(T525*T525)+0.1909373936*IF(OR(F525="Utility",G525="Utility"),T525,0)+0.9656824071*R525-1.7517683256*S525+W525+X525+Y525)</f>
        <v/>
      </c>
      <c r="AB525">
        <f>LOOKUP(AA525,Grade_Scale!$A$2:$A$18,Grade_Scale!$B$2:$B$18)</f>
        <v/>
      </c>
      <c r="AC525">
        <f>LOOKUP(AA525,Grade_Scale!$A$2:$A$18,Grade_Scale!$C$2:$C$18)</f>
        <v/>
      </c>
      <c r="AE525">
        <f>IF(AD525="","",AB525-VLOOKUP(AD525,Grade_Scale!$C$2:$E$18,3,FALSE))</f>
        <v/>
      </c>
    </row>
    <row r="526">
      <c r="Q526">
        <f>IF(OR(B526="SP",B526="RP",B526="CP",B526="SP/RP"),"P","H")</f>
        <v/>
      </c>
      <c r="R526">
        <f>IF(F526="",0,IFNA(VLOOKUP(F526,Trait_Polarity!$A:$C,2,FALSE),0))+IF(G526="",0,IFNA(VLOOKUP(G526,Trait_Polarity!$A:$C,2,FALSE),0))</f>
        <v/>
      </c>
      <c r="S526">
        <f>IF(F526="",0,IFNA(VLOOKUP(F526,Trait_Polarity!$A:$C,3,FALSE),0))+IF(G526="",0,IFNA(VLOOKUP(G526,Trait_Polarity!$A:$C,3,FALSE),0))</f>
        <v/>
      </c>
      <c r="T526">
        <f>IF(Q526="P",0,IFNA(VLOOKUP(IF(C526="","(none)",C526),Secondary_Versatility!$A:$B,2,FALSE),0))</f>
        <v/>
      </c>
      <c r="U526">
        <f>IF(H526="",0,LEN(H526)-LEN(SUBSTITUTE(H526,"|",""))+1)</f>
        <v/>
      </c>
      <c r="V526">
        <f>IF(Q526="P",(N526+O526+P526)/3,0.3*I526+0.3*J526+0.2*K526+0.1*L526+0.1*M526)</f>
        <v/>
      </c>
      <c r="W526">
        <f>IF(Q526="P",IF(F526="",0,IFNA(VLOOKUP(F526,Pitcher_Trait_Coef!$A:$B,2,FALSE),0))+IF(G526="",0,IFNA(VLOOKUP(G526,Pitcher_Trait_Coef!$A:$B,2,FALSE),0)),IF(F526="",0,IFNA(VLOOKUP(F526,Hitter_Trait_Coef!$A:$B,2,FALSE),0))+IF(G526="",0,IFNA(VLOOKUP(G526,Hitter_Trait_Coef!$A:$B,2,FALSE),0)))</f>
        <v/>
      </c>
      <c r="X526">
        <f>IF(Q526="P",IFNA(VLOOKUP(B526,Pitcher_Primary_Coef!$A:$B,2,FALSE),0),IFNA(VLOOKUP(B526,Hitter_Primary_Coef!$A:$B,2,FALSE),0))</f>
        <v/>
      </c>
      <c r="Y526">
        <f>IF(Q526="P",0,IFNA(VLOOKUP(IF(C526="","(none)",C526),Hitter_Secondary_Coef!$A:$B,2,FALSE),0))</f>
        <v/>
      </c>
      <c r="Z526">
        <f>IF(Q526="P",IF(ISNUMBER(SEARCH("2F",H526)),IFNA(VLOOKUP("2F",Pitch_Coef!$A:$B,2,FALSE),0),0)+IF(ISNUMBER(SEARCH("4F",H526)),IFNA(VLOOKUP("4F",Pitch_Coef!$A:$B,2,FALSE),0),0)+IF(ISNUMBER(SEARCH("CB",H526)),IFNA(VLOOKUP("CB",Pitch_Coef!$A:$B,2,FALSE),0),0)+IF(ISNUMBER(SEARCH("CF",H526)),IFNA(VLOOKUP("CF",Pitch_Coef!$A:$B,2,FALSE),0),0)+IF(ISNUMBER(SEARCH("CH",H526)),IFNA(VLOOKUP("CH",Pitch_Coef!$A:$B,2,FALSE),0),0)+IF(ISNUMBER(SEARCH("FK",H526)),IFNA(VLOOKUP("FK",Pitch_Coef!$A:$B,2,FALSE),0),0)+IF(ISNUMBER(SEARCH("SB",H526)),IFNA(VLOOKUP("SB",Pitch_Coef!$A:$B,2,FALSE),0),0)+IF(ISNUMBER(SEARCH("SL",H526)),IFNA(VLOOKUP("SL",Pitch_Coef!$A:$B,2,FALSE),0),0),0)</f>
        <v/>
      </c>
      <c r="AA526">
        <f>IF(Q526="P",16.5944849573+0.2529999141*N526+0.2665900378*O526+0.2632687105*P526+0.0427586837*I526+0.0534777057*J526+0.009015832*K526+0.0204898106*(O526*P526/100)+1.0091022427*U526+1.0968542297*IF(D526="L",1,0)+0.3771555045*IF(D526="S",1,0)-0.2226159177*IF(E526="L",1,0)+1.21385024*R526-1.1652812274*S526+W526+X526+Z526,10.5965166711+0.2825983581*I526+0.2806503532*J526+0.2027213083*K526+0.1147824982*L526+0.0915305332*M526-0.0088454122*(I526*J526/100)-0.0336045706*(K526*L526/100)+2.8497389733*IF(D526="L",1,0)+4.5116226727*IF(D526="S",1,0)-0.6571546448*IF(E526="L",1,0)+0.0850728147*T526+0.0129488446*(T526*T526)+0.1909373936*IF(OR(F526="Utility",G526="Utility"),T526,0)+0.9656824071*R526-1.7517683256*S526+W526+X526+Y526)</f>
        <v/>
      </c>
      <c r="AB526">
        <f>LOOKUP(AA526,Grade_Scale!$A$2:$A$18,Grade_Scale!$B$2:$B$18)</f>
        <v/>
      </c>
      <c r="AC526">
        <f>LOOKUP(AA526,Grade_Scale!$A$2:$A$18,Grade_Scale!$C$2:$C$18)</f>
        <v/>
      </c>
      <c r="AE526">
        <f>IF(AD526="","",AB526-VLOOKUP(AD526,Grade_Scale!$C$2:$E$18,3,FALSE))</f>
        <v/>
      </c>
    </row>
    <row r="527">
      <c r="Q527">
        <f>IF(OR(B527="SP",B527="RP",B527="CP",B527="SP/RP"),"P","H")</f>
        <v/>
      </c>
      <c r="R527">
        <f>IF(F527="",0,IFNA(VLOOKUP(F527,Trait_Polarity!$A:$C,2,FALSE),0))+IF(G527="",0,IFNA(VLOOKUP(G527,Trait_Polarity!$A:$C,2,FALSE),0))</f>
        <v/>
      </c>
      <c r="S527">
        <f>IF(F527="",0,IFNA(VLOOKUP(F527,Trait_Polarity!$A:$C,3,FALSE),0))+IF(G527="",0,IFNA(VLOOKUP(G527,Trait_Polarity!$A:$C,3,FALSE),0))</f>
        <v/>
      </c>
      <c r="T527">
        <f>IF(Q527="P",0,IFNA(VLOOKUP(IF(C527="","(none)",C527),Secondary_Versatility!$A:$B,2,FALSE),0))</f>
        <v/>
      </c>
      <c r="U527">
        <f>IF(H527="",0,LEN(H527)-LEN(SUBSTITUTE(H527,"|",""))+1)</f>
        <v/>
      </c>
      <c r="V527">
        <f>IF(Q527="P",(N527+O527+P527)/3,0.3*I527+0.3*J527+0.2*K527+0.1*L527+0.1*M527)</f>
        <v/>
      </c>
      <c r="W527">
        <f>IF(Q527="P",IF(F527="",0,IFNA(VLOOKUP(F527,Pitcher_Trait_Coef!$A:$B,2,FALSE),0))+IF(G527="",0,IFNA(VLOOKUP(G527,Pitcher_Trait_Coef!$A:$B,2,FALSE),0)),IF(F527="",0,IFNA(VLOOKUP(F527,Hitter_Trait_Coef!$A:$B,2,FALSE),0))+IF(G527="",0,IFNA(VLOOKUP(G527,Hitter_Trait_Coef!$A:$B,2,FALSE),0)))</f>
        <v/>
      </c>
      <c r="X527">
        <f>IF(Q527="P",IFNA(VLOOKUP(B527,Pitcher_Primary_Coef!$A:$B,2,FALSE),0),IFNA(VLOOKUP(B527,Hitter_Primary_Coef!$A:$B,2,FALSE),0))</f>
        <v/>
      </c>
      <c r="Y527">
        <f>IF(Q527="P",0,IFNA(VLOOKUP(IF(C527="","(none)",C527),Hitter_Secondary_Coef!$A:$B,2,FALSE),0))</f>
        <v/>
      </c>
      <c r="Z527">
        <f>IF(Q527="P",IF(ISNUMBER(SEARCH("2F",H527)),IFNA(VLOOKUP("2F",Pitch_Coef!$A:$B,2,FALSE),0),0)+IF(ISNUMBER(SEARCH("4F",H527)),IFNA(VLOOKUP("4F",Pitch_Coef!$A:$B,2,FALSE),0),0)+IF(ISNUMBER(SEARCH("CB",H527)),IFNA(VLOOKUP("CB",Pitch_Coef!$A:$B,2,FALSE),0),0)+IF(ISNUMBER(SEARCH("CF",H527)),IFNA(VLOOKUP("CF",Pitch_Coef!$A:$B,2,FALSE),0),0)+IF(ISNUMBER(SEARCH("CH",H527)),IFNA(VLOOKUP("CH",Pitch_Coef!$A:$B,2,FALSE),0),0)+IF(ISNUMBER(SEARCH("FK",H527)),IFNA(VLOOKUP("FK",Pitch_Coef!$A:$B,2,FALSE),0),0)+IF(ISNUMBER(SEARCH("SB",H527)),IFNA(VLOOKUP("SB",Pitch_Coef!$A:$B,2,FALSE),0),0)+IF(ISNUMBER(SEARCH("SL",H527)),IFNA(VLOOKUP("SL",Pitch_Coef!$A:$B,2,FALSE),0),0),0)</f>
        <v/>
      </c>
      <c r="AA527">
        <f>IF(Q527="P",16.5944849573+0.2529999141*N527+0.2665900378*O527+0.2632687105*P527+0.0427586837*I527+0.0534777057*J527+0.009015832*K527+0.0204898106*(O527*P527/100)+1.0091022427*U527+1.0968542297*IF(D527="L",1,0)+0.3771555045*IF(D527="S",1,0)-0.2226159177*IF(E527="L",1,0)+1.21385024*R527-1.1652812274*S527+W527+X527+Z527,10.5965166711+0.2825983581*I527+0.2806503532*J527+0.2027213083*K527+0.1147824982*L527+0.0915305332*M527-0.0088454122*(I527*J527/100)-0.0336045706*(K527*L527/100)+2.8497389733*IF(D527="L",1,0)+4.5116226727*IF(D527="S",1,0)-0.6571546448*IF(E527="L",1,0)+0.0850728147*T527+0.0129488446*(T527*T527)+0.1909373936*IF(OR(F527="Utility",G527="Utility"),T527,0)+0.9656824071*R527-1.7517683256*S527+W527+X527+Y527)</f>
        <v/>
      </c>
      <c r="AB527">
        <f>LOOKUP(AA527,Grade_Scale!$A$2:$A$18,Grade_Scale!$B$2:$B$18)</f>
        <v/>
      </c>
      <c r="AC527">
        <f>LOOKUP(AA527,Grade_Scale!$A$2:$A$18,Grade_Scale!$C$2:$C$18)</f>
        <v/>
      </c>
      <c r="AE527">
        <f>IF(AD527="","",AB527-VLOOKUP(AD527,Grade_Scale!$C$2:$E$18,3,FALSE))</f>
        <v/>
      </c>
    </row>
    <row r="528">
      <c r="Q528">
        <f>IF(OR(B528="SP",B528="RP",B528="CP",B528="SP/RP"),"P","H")</f>
        <v/>
      </c>
      <c r="R528">
        <f>IF(F528="",0,IFNA(VLOOKUP(F528,Trait_Polarity!$A:$C,2,FALSE),0))+IF(G528="",0,IFNA(VLOOKUP(G528,Trait_Polarity!$A:$C,2,FALSE),0))</f>
        <v/>
      </c>
      <c r="S528">
        <f>IF(F528="",0,IFNA(VLOOKUP(F528,Trait_Polarity!$A:$C,3,FALSE),0))+IF(G528="",0,IFNA(VLOOKUP(G528,Trait_Polarity!$A:$C,3,FALSE),0))</f>
        <v/>
      </c>
      <c r="T528">
        <f>IF(Q528="P",0,IFNA(VLOOKUP(IF(C528="","(none)",C528),Secondary_Versatility!$A:$B,2,FALSE),0))</f>
        <v/>
      </c>
      <c r="U528">
        <f>IF(H528="",0,LEN(H528)-LEN(SUBSTITUTE(H528,"|",""))+1)</f>
        <v/>
      </c>
      <c r="V528">
        <f>IF(Q528="P",(N528+O528+P528)/3,0.3*I528+0.3*J528+0.2*K528+0.1*L528+0.1*M528)</f>
        <v/>
      </c>
      <c r="W528">
        <f>IF(Q528="P",IF(F528="",0,IFNA(VLOOKUP(F528,Pitcher_Trait_Coef!$A:$B,2,FALSE),0))+IF(G528="",0,IFNA(VLOOKUP(G528,Pitcher_Trait_Coef!$A:$B,2,FALSE),0)),IF(F528="",0,IFNA(VLOOKUP(F528,Hitter_Trait_Coef!$A:$B,2,FALSE),0))+IF(G528="",0,IFNA(VLOOKUP(G528,Hitter_Trait_Coef!$A:$B,2,FALSE),0)))</f>
        <v/>
      </c>
      <c r="X528">
        <f>IF(Q528="P",IFNA(VLOOKUP(B528,Pitcher_Primary_Coef!$A:$B,2,FALSE),0),IFNA(VLOOKUP(B528,Hitter_Primary_Coef!$A:$B,2,FALSE),0))</f>
        <v/>
      </c>
      <c r="Y528">
        <f>IF(Q528="P",0,IFNA(VLOOKUP(IF(C528="","(none)",C528),Hitter_Secondary_Coef!$A:$B,2,FALSE),0))</f>
        <v/>
      </c>
      <c r="Z528">
        <f>IF(Q528="P",IF(ISNUMBER(SEARCH("2F",H528)),IFNA(VLOOKUP("2F",Pitch_Coef!$A:$B,2,FALSE),0),0)+IF(ISNUMBER(SEARCH("4F",H528)),IFNA(VLOOKUP("4F",Pitch_Coef!$A:$B,2,FALSE),0),0)+IF(ISNUMBER(SEARCH("CB",H528)),IFNA(VLOOKUP("CB",Pitch_Coef!$A:$B,2,FALSE),0),0)+IF(ISNUMBER(SEARCH("CF",H528)),IFNA(VLOOKUP("CF",Pitch_Coef!$A:$B,2,FALSE),0),0)+IF(ISNUMBER(SEARCH("CH",H528)),IFNA(VLOOKUP("CH",Pitch_Coef!$A:$B,2,FALSE),0),0)+IF(ISNUMBER(SEARCH("FK",H528)),IFNA(VLOOKUP("FK",Pitch_Coef!$A:$B,2,FALSE),0),0)+IF(ISNUMBER(SEARCH("SB",H528)),IFNA(VLOOKUP("SB",Pitch_Coef!$A:$B,2,FALSE),0),0)+IF(ISNUMBER(SEARCH("SL",H528)),IFNA(VLOOKUP("SL",Pitch_Coef!$A:$B,2,FALSE),0),0),0)</f>
        <v/>
      </c>
      <c r="AA528">
        <f>IF(Q528="P",16.5944849573+0.2529999141*N528+0.2665900378*O528+0.2632687105*P528+0.0427586837*I528+0.0534777057*J528+0.009015832*K528+0.0204898106*(O528*P528/100)+1.0091022427*U528+1.0968542297*IF(D528="L",1,0)+0.3771555045*IF(D528="S",1,0)-0.2226159177*IF(E528="L",1,0)+1.21385024*R528-1.1652812274*S528+W528+X528+Z528,10.5965166711+0.2825983581*I528+0.2806503532*J528+0.2027213083*K528+0.1147824982*L528+0.0915305332*M528-0.0088454122*(I528*J528/100)-0.0336045706*(K528*L528/100)+2.8497389733*IF(D528="L",1,0)+4.5116226727*IF(D528="S",1,0)-0.6571546448*IF(E528="L",1,0)+0.0850728147*T528+0.0129488446*(T528*T528)+0.1909373936*IF(OR(F528="Utility",G528="Utility"),T528,0)+0.9656824071*R528-1.7517683256*S528+W528+X528+Y528)</f>
        <v/>
      </c>
      <c r="AB528">
        <f>LOOKUP(AA528,Grade_Scale!$A$2:$A$18,Grade_Scale!$B$2:$B$18)</f>
        <v/>
      </c>
      <c r="AC528">
        <f>LOOKUP(AA528,Grade_Scale!$A$2:$A$18,Grade_Scale!$C$2:$C$18)</f>
        <v/>
      </c>
      <c r="AE528">
        <f>IF(AD528="","",AB528-VLOOKUP(AD528,Grade_Scale!$C$2:$E$18,3,FALSE))</f>
        <v/>
      </c>
    </row>
    <row r="529">
      <c r="Q529">
        <f>IF(OR(B529="SP",B529="RP",B529="CP",B529="SP/RP"),"P","H")</f>
        <v/>
      </c>
      <c r="R529">
        <f>IF(F529="",0,IFNA(VLOOKUP(F529,Trait_Polarity!$A:$C,2,FALSE),0))+IF(G529="",0,IFNA(VLOOKUP(G529,Trait_Polarity!$A:$C,2,FALSE),0))</f>
        <v/>
      </c>
      <c r="S529">
        <f>IF(F529="",0,IFNA(VLOOKUP(F529,Trait_Polarity!$A:$C,3,FALSE),0))+IF(G529="",0,IFNA(VLOOKUP(G529,Trait_Polarity!$A:$C,3,FALSE),0))</f>
        <v/>
      </c>
      <c r="T529">
        <f>IF(Q529="P",0,IFNA(VLOOKUP(IF(C529="","(none)",C529),Secondary_Versatility!$A:$B,2,FALSE),0))</f>
        <v/>
      </c>
      <c r="U529">
        <f>IF(H529="",0,LEN(H529)-LEN(SUBSTITUTE(H529,"|",""))+1)</f>
        <v/>
      </c>
      <c r="V529">
        <f>IF(Q529="P",(N529+O529+P529)/3,0.3*I529+0.3*J529+0.2*K529+0.1*L529+0.1*M529)</f>
        <v/>
      </c>
      <c r="W529">
        <f>IF(Q529="P",IF(F529="",0,IFNA(VLOOKUP(F529,Pitcher_Trait_Coef!$A:$B,2,FALSE),0))+IF(G529="",0,IFNA(VLOOKUP(G529,Pitcher_Trait_Coef!$A:$B,2,FALSE),0)),IF(F529="",0,IFNA(VLOOKUP(F529,Hitter_Trait_Coef!$A:$B,2,FALSE),0))+IF(G529="",0,IFNA(VLOOKUP(G529,Hitter_Trait_Coef!$A:$B,2,FALSE),0)))</f>
        <v/>
      </c>
      <c r="X529">
        <f>IF(Q529="P",IFNA(VLOOKUP(B529,Pitcher_Primary_Coef!$A:$B,2,FALSE),0),IFNA(VLOOKUP(B529,Hitter_Primary_Coef!$A:$B,2,FALSE),0))</f>
        <v/>
      </c>
      <c r="Y529">
        <f>IF(Q529="P",0,IFNA(VLOOKUP(IF(C529="","(none)",C529),Hitter_Secondary_Coef!$A:$B,2,FALSE),0))</f>
        <v/>
      </c>
      <c r="Z529">
        <f>IF(Q529="P",IF(ISNUMBER(SEARCH("2F",H529)),IFNA(VLOOKUP("2F",Pitch_Coef!$A:$B,2,FALSE),0),0)+IF(ISNUMBER(SEARCH("4F",H529)),IFNA(VLOOKUP("4F",Pitch_Coef!$A:$B,2,FALSE),0),0)+IF(ISNUMBER(SEARCH("CB",H529)),IFNA(VLOOKUP("CB",Pitch_Coef!$A:$B,2,FALSE),0),0)+IF(ISNUMBER(SEARCH("CF",H529)),IFNA(VLOOKUP("CF",Pitch_Coef!$A:$B,2,FALSE),0),0)+IF(ISNUMBER(SEARCH("CH",H529)),IFNA(VLOOKUP("CH",Pitch_Coef!$A:$B,2,FALSE),0),0)+IF(ISNUMBER(SEARCH("FK",H529)),IFNA(VLOOKUP("FK",Pitch_Coef!$A:$B,2,FALSE),0),0)+IF(ISNUMBER(SEARCH("SB",H529)),IFNA(VLOOKUP("SB",Pitch_Coef!$A:$B,2,FALSE),0),0)+IF(ISNUMBER(SEARCH("SL",H529)),IFNA(VLOOKUP("SL",Pitch_Coef!$A:$B,2,FALSE),0),0),0)</f>
        <v/>
      </c>
      <c r="AA529">
        <f>IF(Q529="P",16.5944849573+0.2529999141*N529+0.2665900378*O529+0.2632687105*P529+0.0427586837*I529+0.0534777057*J529+0.009015832*K529+0.0204898106*(O529*P529/100)+1.0091022427*U529+1.0968542297*IF(D529="L",1,0)+0.3771555045*IF(D529="S",1,0)-0.2226159177*IF(E529="L",1,0)+1.21385024*R529-1.1652812274*S529+W529+X529+Z529,10.5965166711+0.2825983581*I529+0.2806503532*J529+0.2027213083*K529+0.1147824982*L529+0.0915305332*M529-0.0088454122*(I529*J529/100)-0.0336045706*(K529*L529/100)+2.8497389733*IF(D529="L",1,0)+4.5116226727*IF(D529="S",1,0)-0.6571546448*IF(E529="L",1,0)+0.0850728147*T529+0.0129488446*(T529*T529)+0.1909373936*IF(OR(F529="Utility",G529="Utility"),T529,0)+0.9656824071*R529-1.7517683256*S529+W529+X529+Y529)</f>
        <v/>
      </c>
      <c r="AB529">
        <f>LOOKUP(AA529,Grade_Scale!$A$2:$A$18,Grade_Scale!$B$2:$B$18)</f>
        <v/>
      </c>
      <c r="AC529">
        <f>LOOKUP(AA529,Grade_Scale!$A$2:$A$18,Grade_Scale!$C$2:$C$18)</f>
        <v/>
      </c>
      <c r="AE529">
        <f>IF(AD529="","",AB529-VLOOKUP(AD529,Grade_Scale!$C$2:$E$18,3,FALSE))</f>
        <v/>
      </c>
    </row>
    <row r="530">
      <c r="Q530">
        <f>IF(OR(B530="SP",B530="RP",B530="CP",B530="SP/RP"),"P","H")</f>
        <v/>
      </c>
      <c r="R530">
        <f>IF(F530="",0,IFNA(VLOOKUP(F530,Trait_Polarity!$A:$C,2,FALSE),0))+IF(G530="",0,IFNA(VLOOKUP(G530,Trait_Polarity!$A:$C,2,FALSE),0))</f>
        <v/>
      </c>
      <c r="S530">
        <f>IF(F530="",0,IFNA(VLOOKUP(F530,Trait_Polarity!$A:$C,3,FALSE),0))+IF(G530="",0,IFNA(VLOOKUP(G530,Trait_Polarity!$A:$C,3,FALSE),0))</f>
        <v/>
      </c>
      <c r="T530">
        <f>IF(Q530="P",0,IFNA(VLOOKUP(IF(C530="","(none)",C530),Secondary_Versatility!$A:$B,2,FALSE),0))</f>
        <v/>
      </c>
      <c r="U530">
        <f>IF(H530="",0,LEN(H530)-LEN(SUBSTITUTE(H530,"|",""))+1)</f>
        <v/>
      </c>
      <c r="V530">
        <f>IF(Q530="P",(N530+O530+P530)/3,0.3*I530+0.3*J530+0.2*K530+0.1*L530+0.1*M530)</f>
        <v/>
      </c>
      <c r="W530">
        <f>IF(Q530="P",IF(F530="",0,IFNA(VLOOKUP(F530,Pitcher_Trait_Coef!$A:$B,2,FALSE),0))+IF(G530="",0,IFNA(VLOOKUP(G530,Pitcher_Trait_Coef!$A:$B,2,FALSE),0)),IF(F530="",0,IFNA(VLOOKUP(F530,Hitter_Trait_Coef!$A:$B,2,FALSE),0))+IF(G530="",0,IFNA(VLOOKUP(G530,Hitter_Trait_Coef!$A:$B,2,FALSE),0)))</f>
        <v/>
      </c>
      <c r="X530">
        <f>IF(Q530="P",IFNA(VLOOKUP(B530,Pitcher_Primary_Coef!$A:$B,2,FALSE),0),IFNA(VLOOKUP(B530,Hitter_Primary_Coef!$A:$B,2,FALSE),0))</f>
        <v/>
      </c>
      <c r="Y530">
        <f>IF(Q530="P",0,IFNA(VLOOKUP(IF(C530="","(none)",C530),Hitter_Secondary_Coef!$A:$B,2,FALSE),0))</f>
        <v/>
      </c>
      <c r="Z530">
        <f>IF(Q530="P",IF(ISNUMBER(SEARCH("2F",H530)),IFNA(VLOOKUP("2F",Pitch_Coef!$A:$B,2,FALSE),0),0)+IF(ISNUMBER(SEARCH("4F",H530)),IFNA(VLOOKUP("4F",Pitch_Coef!$A:$B,2,FALSE),0),0)+IF(ISNUMBER(SEARCH("CB",H530)),IFNA(VLOOKUP("CB",Pitch_Coef!$A:$B,2,FALSE),0),0)+IF(ISNUMBER(SEARCH("CF",H530)),IFNA(VLOOKUP("CF",Pitch_Coef!$A:$B,2,FALSE),0),0)+IF(ISNUMBER(SEARCH("CH",H530)),IFNA(VLOOKUP("CH",Pitch_Coef!$A:$B,2,FALSE),0),0)+IF(ISNUMBER(SEARCH("FK",H530)),IFNA(VLOOKUP("FK",Pitch_Coef!$A:$B,2,FALSE),0),0)+IF(ISNUMBER(SEARCH("SB",H530)),IFNA(VLOOKUP("SB",Pitch_Coef!$A:$B,2,FALSE),0),0)+IF(ISNUMBER(SEARCH("SL",H530)),IFNA(VLOOKUP("SL",Pitch_Coef!$A:$B,2,FALSE),0),0),0)</f>
        <v/>
      </c>
      <c r="AA530">
        <f>IF(Q530="P",16.5944849573+0.2529999141*N530+0.2665900378*O530+0.2632687105*P530+0.0427586837*I530+0.0534777057*J530+0.009015832*K530+0.0204898106*(O530*P530/100)+1.0091022427*U530+1.0968542297*IF(D530="L",1,0)+0.3771555045*IF(D530="S",1,0)-0.2226159177*IF(E530="L",1,0)+1.21385024*R530-1.1652812274*S530+W530+X530+Z530,10.5965166711+0.2825983581*I530+0.2806503532*J530+0.2027213083*K530+0.1147824982*L530+0.0915305332*M530-0.0088454122*(I530*J530/100)-0.0336045706*(K530*L530/100)+2.8497389733*IF(D530="L",1,0)+4.5116226727*IF(D530="S",1,0)-0.6571546448*IF(E530="L",1,0)+0.0850728147*T530+0.0129488446*(T530*T530)+0.1909373936*IF(OR(F530="Utility",G530="Utility"),T530,0)+0.9656824071*R530-1.7517683256*S530+W530+X530+Y530)</f>
        <v/>
      </c>
      <c r="AB530">
        <f>LOOKUP(AA530,Grade_Scale!$A$2:$A$18,Grade_Scale!$B$2:$B$18)</f>
        <v/>
      </c>
      <c r="AC530">
        <f>LOOKUP(AA530,Grade_Scale!$A$2:$A$18,Grade_Scale!$C$2:$C$18)</f>
        <v/>
      </c>
      <c r="AE530">
        <f>IF(AD530="","",AB530-VLOOKUP(AD530,Grade_Scale!$C$2:$E$18,3,FALSE))</f>
        <v/>
      </c>
    </row>
    <row r="531">
      <c r="Q531">
        <f>IF(OR(B531="SP",B531="RP",B531="CP",B531="SP/RP"),"P","H")</f>
        <v/>
      </c>
      <c r="R531">
        <f>IF(F531="",0,IFNA(VLOOKUP(F531,Trait_Polarity!$A:$C,2,FALSE),0))+IF(G531="",0,IFNA(VLOOKUP(G531,Trait_Polarity!$A:$C,2,FALSE),0))</f>
        <v/>
      </c>
      <c r="S531">
        <f>IF(F531="",0,IFNA(VLOOKUP(F531,Trait_Polarity!$A:$C,3,FALSE),0))+IF(G531="",0,IFNA(VLOOKUP(G531,Trait_Polarity!$A:$C,3,FALSE),0))</f>
        <v/>
      </c>
      <c r="T531">
        <f>IF(Q531="P",0,IFNA(VLOOKUP(IF(C531="","(none)",C531),Secondary_Versatility!$A:$B,2,FALSE),0))</f>
        <v/>
      </c>
      <c r="U531">
        <f>IF(H531="",0,LEN(H531)-LEN(SUBSTITUTE(H531,"|",""))+1)</f>
        <v/>
      </c>
      <c r="V531">
        <f>IF(Q531="P",(N531+O531+P531)/3,0.3*I531+0.3*J531+0.2*K531+0.1*L531+0.1*M531)</f>
        <v/>
      </c>
      <c r="W531">
        <f>IF(Q531="P",IF(F531="",0,IFNA(VLOOKUP(F531,Pitcher_Trait_Coef!$A:$B,2,FALSE),0))+IF(G531="",0,IFNA(VLOOKUP(G531,Pitcher_Trait_Coef!$A:$B,2,FALSE),0)),IF(F531="",0,IFNA(VLOOKUP(F531,Hitter_Trait_Coef!$A:$B,2,FALSE),0))+IF(G531="",0,IFNA(VLOOKUP(G531,Hitter_Trait_Coef!$A:$B,2,FALSE),0)))</f>
        <v/>
      </c>
      <c r="X531">
        <f>IF(Q531="P",IFNA(VLOOKUP(B531,Pitcher_Primary_Coef!$A:$B,2,FALSE),0),IFNA(VLOOKUP(B531,Hitter_Primary_Coef!$A:$B,2,FALSE),0))</f>
        <v/>
      </c>
      <c r="Y531">
        <f>IF(Q531="P",0,IFNA(VLOOKUP(IF(C531="","(none)",C531),Hitter_Secondary_Coef!$A:$B,2,FALSE),0))</f>
        <v/>
      </c>
      <c r="Z531">
        <f>IF(Q531="P",IF(ISNUMBER(SEARCH("2F",H531)),IFNA(VLOOKUP("2F",Pitch_Coef!$A:$B,2,FALSE),0),0)+IF(ISNUMBER(SEARCH("4F",H531)),IFNA(VLOOKUP("4F",Pitch_Coef!$A:$B,2,FALSE),0),0)+IF(ISNUMBER(SEARCH("CB",H531)),IFNA(VLOOKUP("CB",Pitch_Coef!$A:$B,2,FALSE),0),0)+IF(ISNUMBER(SEARCH("CF",H531)),IFNA(VLOOKUP("CF",Pitch_Coef!$A:$B,2,FALSE),0),0)+IF(ISNUMBER(SEARCH("CH",H531)),IFNA(VLOOKUP("CH",Pitch_Coef!$A:$B,2,FALSE),0),0)+IF(ISNUMBER(SEARCH("FK",H531)),IFNA(VLOOKUP("FK",Pitch_Coef!$A:$B,2,FALSE),0),0)+IF(ISNUMBER(SEARCH("SB",H531)),IFNA(VLOOKUP("SB",Pitch_Coef!$A:$B,2,FALSE),0),0)+IF(ISNUMBER(SEARCH("SL",H531)),IFNA(VLOOKUP("SL",Pitch_Coef!$A:$B,2,FALSE),0),0),0)</f>
        <v/>
      </c>
      <c r="AA531">
        <f>IF(Q531="P",16.5944849573+0.2529999141*N531+0.2665900378*O531+0.2632687105*P531+0.0427586837*I531+0.0534777057*J531+0.009015832*K531+0.0204898106*(O531*P531/100)+1.0091022427*U531+1.0968542297*IF(D531="L",1,0)+0.3771555045*IF(D531="S",1,0)-0.2226159177*IF(E531="L",1,0)+1.21385024*R531-1.1652812274*S531+W531+X531+Z531,10.5965166711+0.2825983581*I531+0.2806503532*J531+0.2027213083*K531+0.1147824982*L531+0.0915305332*M531-0.0088454122*(I531*J531/100)-0.0336045706*(K531*L531/100)+2.8497389733*IF(D531="L",1,0)+4.5116226727*IF(D531="S",1,0)-0.6571546448*IF(E531="L",1,0)+0.0850728147*T531+0.0129488446*(T531*T531)+0.1909373936*IF(OR(F531="Utility",G531="Utility"),T531,0)+0.9656824071*R531-1.7517683256*S531+W531+X531+Y531)</f>
        <v/>
      </c>
      <c r="AB531">
        <f>LOOKUP(AA531,Grade_Scale!$A$2:$A$18,Grade_Scale!$B$2:$B$18)</f>
        <v/>
      </c>
      <c r="AC531">
        <f>LOOKUP(AA531,Grade_Scale!$A$2:$A$18,Grade_Scale!$C$2:$C$18)</f>
        <v/>
      </c>
      <c r="AE531">
        <f>IF(AD531="","",AB531-VLOOKUP(AD531,Grade_Scale!$C$2:$E$18,3,FALSE))</f>
        <v/>
      </c>
    </row>
    <row r="532">
      <c r="Q532">
        <f>IF(OR(B532="SP",B532="RP",B532="CP",B532="SP/RP"),"P","H")</f>
        <v/>
      </c>
      <c r="R532">
        <f>IF(F532="",0,IFNA(VLOOKUP(F532,Trait_Polarity!$A:$C,2,FALSE),0))+IF(G532="",0,IFNA(VLOOKUP(G532,Trait_Polarity!$A:$C,2,FALSE),0))</f>
        <v/>
      </c>
      <c r="S532">
        <f>IF(F532="",0,IFNA(VLOOKUP(F532,Trait_Polarity!$A:$C,3,FALSE),0))+IF(G532="",0,IFNA(VLOOKUP(G532,Trait_Polarity!$A:$C,3,FALSE),0))</f>
        <v/>
      </c>
      <c r="T532">
        <f>IF(Q532="P",0,IFNA(VLOOKUP(IF(C532="","(none)",C532),Secondary_Versatility!$A:$B,2,FALSE),0))</f>
        <v/>
      </c>
      <c r="U532">
        <f>IF(H532="",0,LEN(H532)-LEN(SUBSTITUTE(H532,"|",""))+1)</f>
        <v/>
      </c>
      <c r="V532">
        <f>IF(Q532="P",(N532+O532+P532)/3,0.3*I532+0.3*J532+0.2*K532+0.1*L532+0.1*M532)</f>
        <v/>
      </c>
      <c r="W532">
        <f>IF(Q532="P",IF(F532="",0,IFNA(VLOOKUP(F532,Pitcher_Trait_Coef!$A:$B,2,FALSE),0))+IF(G532="",0,IFNA(VLOOKUP(G532,Pitcher_Trait_Coef!$A:$B,2,FALSE),0)),IF(F532="",0,IFNA(VLOOKUP(F532,Hitter_Trait_Coef!$A:$B,2,FALSE),0))+IF(G532="",0,IFNA(VLOOKUP(G532,Hitter_Trait_Coef!$A:$B,2,FALSE),0)))</f>
        <v/>
      </c>
      <c r="X532">
        <f>IF(Q532="P",IFNA(VLOOKUP(B532,Pitcher_Primary_Coef!$A:$B,2,FALSE),0),IFNA(VLOOKUP(B532,Hitter_Primary_Coef!$A:$B,2,FALSE),0))</f>
        <v/>
      </c>
      <c r="Y532">
        <f>IF(Q532="P",0,IFNA(VLOOKUP(IF(C532="","(none)",C532),Hitter_Secondary_Coef!$A:$B,2,FALSE),0))</f>
        <v/>
      </c>
      <c r="Z532">
        <f>IF(Q532="P",IF(ISNUMBER(SEARCH("2F",H532)),IFNA(VLOOKUP("2F",Pitch_Coef!$A:$B,2,FALSE),0),0)+IF(ISNUMBER(SEARCH("4F",H532)),IFNA(VLOOKUP("4F",Pitch_Coef!$A:$B,2,FALSE),0),0)+IF(ISNUMBER(SEARCH("CB",H532)),IFNA(VLOOKUP("CB",Pitch_Coef!$A:$B,2,FALSE),0),0)+IF(ISNUMBER(SEARCH("CF",H532)),IFNA(VLOOKUP("CF",Pitch_Coef!$A:$B,2,FALSE),0),0)+IF(ISNUMBER(SEARCH("CH",H532)),IFNA(VLOOKUP("CH",Pitch_Coef!$A:$B,2,FALSE),0),0)+IF(ISNUMBER(SEARCH("FK",H532)),IFNA(VLOOKUP("FK",Pitch_Coef!$A:$B,2,FALSE),0),0)+IF(ISNUMBER(SEARCH("SB",H532)),IFNA(VLOOKUP("SB",Pitch_Coef!$A:$B,2,FALSE),0),0)+IF(ISNUMBER(SEARCH("SL",H532)),IFNA(VLOOKUP("SL",Pitch_Coef!$A:$B,2,FALSE),0),0),0)</f>
        <v/>
      </c>
      <c r="AA532">
        <f>IF(Q532="P",16.5944849573+0.2529999141*N532+0.2665900378*O532+0.2632687105*P532+0.0427586837*I532+0.0534777057*J532+0.009015832*K532+0.0204898106*(O532*P532/100)+1.0091022427*U532+1.0968542297*IF(D532="L",1,0)+0.3771555045*IF(D532="S",1,0)-0.2226159177*IF(E532="L",1,0)+1.21385024*R532-1.1652812274*S532+W532+X532+Z532,10.5965166711+0.2825983581*I532+0.2806503532*J532+0.2027213083*K532+0.1147824982*L532+0.0915305332*M532-0.0088454122*(I532*J532/100)-0.0336045706*(K532*L532/100)+2.8497389733*IF(D532="L",1,0)+4.5116226727*IF(D532="S",1,0)-0.6571546448*IF(E532="L",1,0)+0.0850728147*T532+0.0129488446*(T532*T532)+0.1909373936*IF(OR(F532="Utility",G532="Utility"),T532,0)+0.9656824071*R532-1.7517683256*S532+W532+X532+Y532)</f>
        <v/>
      </c>
      <c r="AB532">
        <f>LOOKUP(AA532,Grade_Scale!$A$2:$A$18,Grade_Scale!$B$2:$B$18)</f>
        <v/>
      </c>
      <c r="AC532">
        <f>LOOKUP(AA532,Grade_Scale!$A$2:$A$18,Grade_Scale!$C$2:$C$18)</f>
        <v/>
      </c>
      <c r="AE532">
        <f>IF(AD532="","",AB532-VLOOKUP(AD532,Grade_Scale!$C$2:$E$18,3,FALSE))</f>
        <v/>
      </c>
    </row>
    <row r="533">
      <c r="Q533">
        <f>IF(OR(B533="SP",B533="RP",B533="CP",B533="SP/RP"),"P","H")</f>
        <v/>
      </c>
      <c r="R533">
        <f>IF(F533="",0,IFNA(VLOOKUP(F533,Trait_Polarity!$A:$C,2,FALSE),0))+IF(G533="",0,IFNA(VLOOKUP(G533,Trait_Polarity!$A:$C,2,FALSE),0))</f>
        <v/>
      </c>
      <c r="S533">
        <f>IF(F533="",0,IFNA(VLOOKUP(F533,Trait_Polarity!$A:$C,3,FALSE),0))+IF(G533="",0,IFNA(VLOOKUP(G533,Trait_Polarity!$A:$C,3,FALSE),0))</f>
        <v/>
      </c>
      <c r="T533">
        <f>IF(Q533="P",0,IFNA(VLOOKUP(IF(C533="","(none)",C533),Secondary_Versatility!$A:$B,2,FALSE),0))</f>
        <v/>
      </c>
      <c r="U533">
        <f>IF(H533="",0,LEN(H533)-LEN(SUBSTITUTE(H533,"|",""))+1)</f>
        <v/>
      </c>
      <c r="V533">
        <f>IF(Q533="P",(N533+O533+P533)/3,0.3*I533+0.3*J533+0.2*K533+0.1*L533+0.1*M533)</f>
        <v/>
      </c>
      <c r="W533">
        <f>IF(Q533="P",IF(F533="",0,IFNA(VLOOKUP(F533,Pitcher_Trait_Coef!$A:$B,2,FALSE),0))+IF(G533="",0,IFNA(VLOOKUP(G533,Pitcher_Trait_Coef!$A:$B,2,FALSE),0)),IF(F533="",0,IFNA(VLOOKUP(F533,Hitter_Trait_Coef!$A:$B,2,FALSE),0))+IF(G533="",0,IFNA(VLOOKUP(G533,Hitter_Trait_Coef!$A:$B,2,FALSE),0)))</f>
        <v/>
      </c>
      <c r="X533">
        <f>IF(Q533="P",IFNA(VLOOKUP(B533,Pitcher_Primary_Coef!$A:$B,2,FALSE),0),IFNA(VLOOKUP(B533,Hitter_Primary_Coef!$A:$B,2,FALSE),0))</f>
        <v/>
      </c>
      <c r="Y533">
        <f>IF(Q533="P",0,IFNA(VLOOKUP(IF(C533="","(none)",C533),Hitter_Secondary_Coef!$A:$B,2,FALSE),0))</f>
        <v/>
      </c>
      <c r="Z533">
        <f>IF(Q533="P",IF(ISNUMBER(SEARCH("2F",H533)),IFNA(VLOOKUP("2F",Pitch_Coef!$A:$B,2,FALSE),0),0)+IF(ISNUMBER(SEARCH("4F",H533)),IFNA(VLOOKUP("4F",Pitch_Coef!$A:$B,2,FALSE),0),0)+IF(ISNUMBER(SEARCH("CB",H533)),IFNA(VLOOKUP("CB",Pitch_Coef!$A:$B,2,FALSE),0),0)+IF(ISNUMBER(SEARCH("CF",H533)),IFNA(VLOOKUP("CF",Pitch_Coef!$A:$B,2,FALSE),0),0)+IF(ISNUMBER(SEARCH("CH",H533)),IFNA(VLOOKUP("CH",Pitch_Coef!$A:$B,2,FALSE),0),0)+IF(ISNUMBER(SEARCH("FK",H533)),IFNA(VLOOKUP("FK",Pitch_Coef!$A:$B,2,FALSE),0),0)+IF(ISNUMBER(SEARCH("SB",H533)),IFNA(VLOOKUP("SB",Pitch_Coef!$A:$B,2,FALSE),0),0)+IF(ISNUMBER(SEARCH("SL",H533)),IFNA(VLOOKUP("SL",Pitch_Coef!$A:$B,2,FALSE),0),0),0)</f>
        <v/>
      </c>
      <c r="AA533">
        <f>IF(Q533="P",16.5944849573+0.2529999141*N533+0.2665900378*O533+0.2632687105*P533+0.0427586837*I533+0.0534777057*J533+0.009015832*K533+0.0204898106*(O533*P533/100)+1.0091022427*U533+1.0968542297*IF(D533="L",1,0)+0.3771555045*IF(D533="S",1,0)-0.2226159177*IF(E533="L",1,0)+1.21385024*R533-1.1652812274*S533+W533+X533+Z533,10.5965166711+0.2825983581*I533+0.2806503532*J533+0.2027213083*K533+0.1147824982*L533+0.0915305332*M533-0.0088454122*(I533*J533/100)-0.0336045706*(K533*L533/100)+2.8497389733*IF(D533="L",1,0)+4.5116226727*IF(D533="S",1,0)-0.6571546448*IF(E533="L",1,0)+0.0850728147*T533+0.0129488446*(T533*T533)+0.1909373936*IF(OR(F533="Utility",G533="Utility"),T533,0)+0.9656824071*R533-1.7517683256*S533+W533+X533+Y533)</f>
        <v/>
      </c>
      <c r="AB533">
        <f>LOOKUP(AA533,Grade_Scale!$A$2:$A$18,Grade_Scale!$B$2:$B$18)</f>
        <v/>
      </c>
      <c r="AC533">
        <f>LOOKUP(AA533,Grade_Scale!$A$2:$A$18,Grade_Scale!$C$2:$C$18)</f>
        <v/>
      </c>
      <c r="AE533">
        <f>IF(AD533="","",AB533-VLOOKUP(AD533,Grade_Scale!$C$2:$E$18,3,FALSE))</f>
        <v/>
      </c>
    </row>
    <row r="534">
      <c r="Q534">
        <f>IF(OR(B534="SP",B534="RP",B534="CP",B534="SP/RP"),"P","H")</f>
        <v/>
      </c>
      <c r="R534">
        <f>IF(F534="",0,IFNA(VLOOKUP(F534,Trait_Polarity!$A:$C,2,FALSE),0))+IF(G534="",0,IFNA(VLOOKUP(G534,Trait_Polarity!$A:$C,2,FALSE),0))</f>
        <v/>
      </c>
      <c r="S534">
        <f>IF(F534="",0,IFNA(VLOOKUP(F534,Trait_Polarity!$A:$C,3,FALSE),0))+IF(G534="",0,IFNA(VLOOKUP(G534,Trait_Polarity!$A:$C,3,FALSE),0))</f>
        <v/>
      </c>
      <c r="T534">
        <f>IF(Q534="P",0,IFNA(VLOOKUP(IF(C534="","(none)",C534),Secondary_Versatility!$A:$B,2,FALSE),0))</f>
        <v/>
      </c>
      <c r="U534">
        <f>IF(H534="",0,LEN(H534)-LEN(SUBSTITUTE(H534,"|",""))+1)</f>
        <v/>
      </c>
      <c r="V534">
        <f>IF(Q534="P",(N534+O534+P534)/3,0.3*I534+0.3*J534+0.2*K534+0.1*L534+0.1*M534)</f>
        <v/>
      </c>
      <c r="W534">
        <f>IF(Q534="P",IF(F534="",0,IFNA(VLOOKUP(F534,Pitcher_Trait_Coef!$A:$B,2,FALSE),0))+IF(G534="",0,IFNA(VLOOKUP(G534,Pitcher_Trait_Coef!$A:$B,2,FALSE),0)),IF(F534="",0,IFNA(VLOOKUP(F534,Hitter_Trait_Coef!$A:$B,2,FALSE),0))+IF(G534="",0,IFNA(VLOOKUP(G534,Hitter_Trait_Coef!$A:$B,2,FALSE),0)))</f>
        <v/>
      </c>
      <c r="X534">
        <f>IF(Q534="P",IFNA(VLOOKUP(B534,Pitcher_Primary_Coef!$A:$B,2,FALSE),0),IFNA(VLOOKUP(B534,Hitter_Primary_Coef!$A:$B,2,FALSE),0))</f>
        <v/>
      </c>
      <c r="Y534">
        <f>IF(Q534="P",0,IFNA(VLOOKUP(IF(C534="","(none)",C534),Hitter_Secondary_Coef!$A:$B,2,FALSE),0))</f>
        <v/>
      </c>
      <c r="Z534">
        <f>IF(Q534="P",IF(ISNUMBER(SEARCH("2F",H534)),IFNA(VLOOKUP("2F",Pitch_Coef!$A:$B,2,FALSE),0),0)+IF(ISNUMBER(SEARCH("4F",H534)),IFNA(VLOOKUP("4F",Pitch_Coef!$A:$B,2,FALSE),0),0)+IF(ISNUMBER(SEARCH("CB",H534)),IFNA(VLOOKUP("CB",Pitch_Coef!$A:$B,2,FALSE),0),0)+IF(ISNUMBER(SEARCH("CF",H534)),IFNA(VLOOKUP("CF",Pitch_Coef!$A:$B,2,FALSE),0),0)+IF(ISNUMBER(SEARCH("CH",H534)),IFNA(VLOOKUP("CH",Pitch_Coef!$A:$B,2,FALSE),0),0)+IF(ISNUMBER(SEARCH("FK",H534)),IFNA(VLOOKUP("FK",Pitch_Coef!$A:$B,2,FALSE),0),0)+IF(ISNUMBER(SEARCH("SB",H534)),IFNA(VLOOKUP("SB",Pitch_Coef!$A:$B,2,FALSE),0),0)+IF(ISNUMBER(SEARCH("SL",H534)),IFNA(VLOOKUP("SL",Pitch_Coef!$A:$B,2,FALSE),0),0),0)</f>
        <v/>
      </c>
      <c r="AA534">
        <f>IF(Q534="P",16.5944849573+0.2529999141*N534+0.2665900378*O534+0.2632687105*P534+0.0427586837*I534+0.0534777057*J534+0.009015832*K534+0.0204898106*(O534*P534/100)+1.0091022427*U534+1.0968542297*IF(D534="L",1,0)+0.3771555045*IF(D534="S",1,0)-0.2226159177*IF(E534="L",1,0)+1.21385024*R534-1.1652812274*S534+W534+X534+Z534,10.5965166711+0.2825983581*I534+0.2806503532*J534+0.2027213083*K534+0.1147824982*L534+0.0915305332*M534-0.0088454122*(I534*J534/100)-0.0336045706*(K534*L534/100)+2.8497389733*IF(D534="L",1,0)+4.5116226727*IF(D534="S",1,0)-0.6571546448*IF(E534="L",1,0)+0.0850728147*T534+0.0129488446*(T534*T534)+0.1909373936*IF(OR(F534="Utility",G534="Utility"),T534,0)+0.9656824071*R534-1.7517683256*S534+W534+X534+Y534)</f>
        <v/>
      </c>
      <c r="AB534">
        <f>LOOKUP(AA534,Grade_Scale!$A$2:$A$18,Grade_Scale!$B$2:$B$18)</f>
        <v/>
      </c>
      <c r="AC534">
        <f>LOOKUP(AA534,Grade_Scale!$A$2:$A$18,Grade_Scale!$C$2:$C$18)</f>
        <v/>
      </c>
      <c r="AE534">
        <f>IF(AD534="","",AB534-VLOOKUP(AD534,Grade_Scale!$C$2:$E$18,3,FALSE))</f>
        <v/>
      </c>
    </row>
    <row r="535">
      <c r="Q535">
        <f>IF(OR(B535="SP",B535="RP",B535="CP",B535="SP/RP"),"P","H")</f>
        <v/>
      </c>
      <c r="R535">
        <f>IF(F535="",0,IFNA(VLOOKUP(F535,Trait_Polarity!$A:$C,2,FALSE),0))+IF(G535="",0,IFNA(VLOOKUP(G535,Trait_Polarity!$A:$C,2,FALSE),0))</f>
        <v/>
      </c>
      <c r="S535">
        <f>IF(F535="",0,IFNA(VLOOKUP(F535,Trait_Polarity!$A:$C,3,FALSE),0))+IF(G535="",0,IFNA(VLOOKUP(G535,Trait_Polarity!$A:$C,3,FALSE),0))</f>
        <v/>
      </c>
      <c r="T535">
        <f>IF(Q535="P",0,IFNA(VLOOKUP(IF(C535="","(none)",C535),Secondary_Versatility!$A:$B,2,FALSE),0))</f>
        <v/>
      </c>
      <c r="U535">
        <f>IF(H535="",0,LEN(H535)-LEN(SUBSTITUTE(H535,"|",""))+1)</f>
        <v/>
      </c>
      <c r="V535">
        <f>IF(Q535="P",(N535+O535+P535)/3,0.3*I535+0.3*J535+0.2*K535+0.1*L535+0.1*M535)</f>
        <v/>
      </c>
      <c r="W535">
        <f>IF(Q535="P",IF(F535="",0,IFNA(VLOOKUP(F535,Pitcher_Trait_Coef!$A:$B,2,FALSE),0))+IF(G535="",0,IFNA(VLOOKUP(G535,Pitcher_Trait_Coef!$A:$B,2,FALSE),0)),IF(F535="",0,IFNA(VLOOKUP(F535,Hitter_Trait_Coef!$A:$B,2,FALSE),0))+IF(G535="",0,IFNA(VLOOKUP(G535,Hitter_Trait_Coef!$A:$B,2,FALSE),0)))</f>
        <v/>
      </c>
      <c r="X535">
        <f>IF(Q535="P",IFNA(VLOOKUP(B535,Pitcher_Primary_Coef!$A:$B,2,FALSE),0),IFNA(VLOOKUP(B535,Hitter_Primary_Coef!$A:$B,2,FALSE),0))</f>
        <v/>
      </c>
      <c r="Y535">
        <f>IF(Q535="P",0,IFNA(VLOOKUP(IF(C535="","(none)",C535),Hitter_Secondary_Coef!$A:$B,2,FALSE),0))</f>
        <v/>
      </c>
      <c r="Z535">
        <f>IF(Q535="P",IF(ISNUMBER(SEARCH("2F",H535)),IFNA(VLOOKUP("2F",Pitch_Coef!$A:$B,2,FALSE),0),0)+IF(ISNUMBER(SEARCH("4F",H535)),IFNA(VLOOKUP("4F",Pitch_Coef!$A:$B,2,FALSE),0),0)+IF(ISNUMBER(SEARCH("CB",H535)),IFNA(VLOOKUP("CB",Pitch_Coef!$A:$B,2,FALSE),0),0)+IF(ISNUMBER(SEARCH("CF",H535)),IFNA(VLOOKUP("CF",Pitch_Coef!$A:$B,2,FALSE),0),0)+IF(ISNUMBER(SEARCH("CH",H535)),IFNA(VLOOKUP("CH",Pitch_Coef!$A:$B,2,FALSE),0),0)+IF(ISNUMBER(SEARCH("FK",H535)),IFNA(VLOOKUP("FK",Pitch_Coef!$A:$B,2,FALSE),0),0)+IF(ISNUMBER(SEARCH("SB",H535)),IFNA(VLOOKUP("SB",Pitch_Coef!$A:$B,2,FALSE),0),0)+IF(ISNUMBER(SEARCH("SL",H535)),IFNA(VLOOKUP("SL",Pitch_Coef!$A:$B,2,FALSE),0),0),0)</f>
        <v/>
      </c>
      <c r="AA535">
        <f>IF(Q535="P",16.5944849573+0.2529999141*N535+0.2665900378*O535+0.2632687105*P535+0.0427586837*I535+0.0534777057*J535+0.009015832*K535+0.0204898106*(O535*P535/100)+1.0091022427*U535+1.0968542297*IF(D535="L",1,0)+0.3771555045*IF(D535="S",1,0)-0.2226159177*IF(E535="L",1,0)+1.21385024*R535-1.1652812274*S535+W535+X535+Z535,10.5965166711+0.2825983581*I535+0.2806503532*J535+0.2027213083*K535+0.1147824982*L535+0.0915305332*M535-0.0088454122*(I535*J535/100)-0.0336045706*(K535*L535/100)+2.8497389733*IF(D535="L",1,0)+4.5116226727*IF(D535="S",1,0)-0.6571546448*IF(E535="L",1,0)+0.0850728147*T535+0.0129488446*(T535*T535)+0.1909373936*IF(OR(F535="Utility",G535="Utility"),T535,0)+0.9656824071*R535-1.7517683256*S535+W535+X535+Y535)</f>
        <v/>
      </c>
      <c r="AB535">
        <f>LOOKUP(AA535,Grade_Scale!$A$2:$A$18,Grade_Scale!$B$2:$B$18)</f>
        <v/>
      </c>
      <c r="AC535">
        <f>LOOKUP(AA535,Grade_Scale!$A$2:$A$18,Grade_Scale!$C$2:$C$18)</f>
        <v/>
      </c>
      <c r="AE535">
        <f>IF(AD535="","",AB535-VLOOKUP(AD535,Grade_Scale!$C$2:$E$18,3,FALSE))</f>
        <v/>
      </c>
    </row>
    <row r="536">
      <c r="Q536">
        <f>IF(OR(B536="SP",B536="RP",B536="CP",B536="SP/RP"),"P","H")</f>
        <v/>
      </c>
      <c r="R536">
        <f>IF(F536="",0,IFNA(VLOOKUP(F536,Trait_Polarity!$A:$C,2,FALSE),0))+IF(G536="",0,IFNA(VLOOKUP(G536,Trait_Polarity!$A:$C,2,FALSE),0))</f>
        <v/>
      </c>
      <c r="S536">
        <f>IF(F536="",0,IFNA(VLOOKUP(F536,Trait_Polarity!$A:$C,3,FALSE),0))+IF(G536="",0,IFNA(VLOOKUP(G536,Trait_Polarity!$A:$C,3,FALSE),0))</f>
        <v/>
      </c>
      <c r="T536">
        <f>IF(Q536="P",0,IFNA(VLOOKUP(IF(C536="","(none)",C536),Secondary_Versatility!$A:$B,2,FALSE),0))</f>
        <v/>
      </c>
      <c r="U536">
        <f>IF(H536="",0,LEN(H536)-LEN(SUBSTITUTE(H536,"|",""))+1)</f>
        <v/>
      </c>
      <c r="V536">
        <f>IF(Q536="P",(N536+O536+P536)/3,0.3*I536+0.3*J536+0.2*K536+0.1*L536+0.1*M536)</f>
        <v/>
      </c>
      <c r="W536">
        <f>IF(Q536="P",IF(F536="",0,IFNA(VLOOKUP(F536,Pitcher_Trait_Coef!$A:$B,2,FALSE),0))+IF(G536="",0,IFNA(VLOOKUP(G536,Pitcher_Trait_Coef!$A:$B,2,FALSE),0)),IF(F536="",0,IFNA(VLOOKUP(F536,Hitter_Trait_Coef!$A:$B,2,FALSE),0))+IF(G536="",0,IFNA(VLOOKUP(G536,Hitter_Trait_Coef!$A:$B,2,FALSE),0)))</f>
        <v/>
      </c>
      <c r="X536">
        <f>IF(Q536="P",IFNA(VLOOKUP(B536,Pitcher_Primary_Coef!$A:$B,2,FALSE),0),IFNA(VLOOKUP(B536,Hitter_Primary_Coef!$A:$B,2,FALSE),0))</f>
        <v/>
      </c>
      <c r="Y536">
        <f>IF(Q536="P",0,IFNA(VLOOKUP(IF(C536="","(none)",C536),Hitter_Secondary_Coef!$A:$B,2,FALSE),0))</f>
        <v/>
      </c>
      <c r="Z536">
        <f>IF(Q536="P",IF(ISNUMBER(SEARCH("2F",H536)),IFNA(VLOOKUP("2F",Pitch_Coef!$A:$B,2,FALSE),0),0)+IF(ISNUMBER(SEARCH("4F",H536)),IFNA(VLOOKUP("4F",Pitch_Coef!$A:$B,2,FALSE),0),0)+IF(ISNUMBER(SEARCH("CB",H536)),IFNA(VLOOKUP("CB",Pitch_Coef!$A:$B,2,FALSE),0),0)+IF(ISNUMBER(SEARCH("CF",H536)),IFNA(VLOOKUP("CF",Pitch_Coef!$A:$B,2,FALSE),0),0)+IF(ISNUMBER(SEARCH("CH",H536)),IFNA(VLOOKUP("CH",Pitch_Coef!$A:$B,2,FALSE),0),0)+IF(ISNUMBER(SEARCH("FK",H536)),IFNA(VLOOKUP("FK",Pitch_Coef!$A:$B,2,FALSE),0),0)+IF(ISNUMBER(SEARCH("SB",H536)),IFNA(VLOOKUP("SB",Pitch_Coef!$A:$B,2,FALSE),0),0)+IF(ISNUMBER(SEARCH("SL",H536)),IFNA(VLOOKUP("SL",Pitch_Coef!$A:$B,2,FALSE),0),0),0)</f>
        <v/>
      </c>
      <c r="AA536">
        <f>IF(Q536="P",16.5944849573+0.2529999141*N536+0.2665900378*O536+0.2632687105*P536+0.0427586837*I536+0.0534777057*J536+0.009015832*K536+0.0204898106*(O536*P536/100)+1.0091022427*U536+1.0968542297*IF(D536="L",1,0)+0.3771555045*IF(D536="S",1,0)-0.2226159177*IF(E536="L",1,0)+1.21385024*R536-1.1652812274*S536+W536+X536+Z536,10.5965166711+0.2825983581*I536+0.2806503532*J536+0.2027213083*K536+0.1147824982*L536+0.0915305332*M536-0.0088454122*(I536*J536/100)-0.0336045706*(K536*L536/100)+2.8497389733*IF(D536="L",1,0)+4.5116226727*IF(D536="S",1,0)-0.6571546448*IF(E536="L",1,0)+0.0850728147*T536+0.0129488446*(T536*T536)+0.1909373936*IF(OR(F536="Utility",G536="Utility"),T536,0)+0.9656824071*R536-1.7517683256*S536+W536+X536+Y536)</f>
        <v/>
      </c>
      <c r="AB536">
        <f>LOOKUP(AA536,Grade_Scale!$A$2:$A$18,Grade_Scale!$B$2:$B$18)</f>
        <v/>
      </c>
      <c r="AC536">
        <f>LOOKUP(AA536,Grade_Scale!$A$2:$A$18,Grade_Scale!$C$2:$C$18)</f>
        <v/>
      </c>
      <c r="AE536">
        <f>IF(AD536="","",AB536-VLOOKUP(AD536,Grade_Scale!$C$2:$E$18,3,FALSE))</f>
        <v/>
      </c>
    </row>
    <row r="537">
      <c r="Q537">
        <f>IF(OR(B537="SP",B537="RP",B537="CP",B537="SP/RP"),"P","H")</f>
        <v/>
      </c>
      <c r="R537">
        <f>IF(F537="",0,IFNA(VLOOKUP(F537,Trait_Polarity!$A:$C,2,FALSE),0))+IF(G537="",0,IFNA(VLOOKUP(G537,Trait_Polarity!$A:$C,2,FALSE),0))</f>
        <v/>
      </c>
      <c r="S537">
        <f>IF(F537="",0,IFNA(VLOOKUP(F537,Trait_Polarity!$A:$C,3,FALSE),0))+IF(G537="",0,IFNA(VLOOKUP(G537,Trait_Polarity!$A:$C,3,FALSE),0))</f>
        <v/>
      </c>
      <c r="T537">
        <f>IF(Q537="P",0,IFNA(VLOOKUP(IF(C537="","(none)",C537),Secondary_Versatility!$A:$B,2,FALSE),0))</f>
        <v/>
      </c>
      <c r="U537">
        <f>IF(H537="",0,LEN(H537)-LEN(SUBSTITUTE(H537,"|",""))+1)</f>
        <v/>
      </c>
      <c r="V537">
        <f>IF(Q537="P",(N537+O537+P537)/3,0.3*I537+0.3*J537+0.2*K537+0.1*L537+0.1*M537)</f>
        <v/>
      </c>
      <c r="W537">
        <f>IF(Q537="P",IF(F537="",0,IFNA(VLOOKUP(F537,Pitcher_Trait_Coef!$A:$B,2,FALSE),0))+IF(G537="",0,IFNA(VLOOKUP(G537,Pitcher_Trait_Coef!$A:$B,2,FALSE),0)),IF(F537="",0,IFNA(VLOOKUP(F537,Hitter_Trait_Coef!$A:$B,2,FALSE),0))+IF(G537="",0,IFNA(VLOOKUP(G537,Hitter_Trait_Coef!$A:$B,2,FALSE),0)))</f>
        <v/>
      </c>
      <c r="X537">
        <f>IF(Q537="P",IFNA(VLOOKUP(B537,Pitcher_Primary_Coef!$A:$B,2,FALSE),0),IFNA(VLOOKUP(B537,Hitter_Primary_Coef!$A:$B,2,FALSE),0))</f>
        <v/>
      </c>
      <c r="Y537">
        <f>IF(Q537="P",0,IFNA(VLOOKUP(IF(C537="","(none)",C537),Hitter_Secondary_Coef!$A:$B,2,FALSE),0))</f>
        <v/>
      </c>
      <c r="Z537">
        <f>IF(Q537="P",IF(ISNUMBER(SEARCH("2F",H537)),IFNA(VLOOKUP("2F",Pitch_Coef!$A:$B,2,FALSE),0),0)+IF(ISNUMBER(SEARCH("4F",H537)),IFNA(VLOOKUP("4F",Pitch_Coef!$A:$B,2,FALSE),0),0)+IF(ISNUMBER(SEARCH("CB",H537)),IFNA(VLOOKUP("CB",Pitch_Coef!$A:$B,2,FALSE),0),0)+IF(ISNUMBER(SEARCH("CF",H537)),IFNA(VLOOKUP("CF",Pitch_Coef!$A:$B,2,FALSE),0),0)+IF(ISNUMBER(SEARCH("CH",H537)),IFNA(VLOOKUP("CH",Pitch_Coef!$A:$B,2,FALSE),0),0)+IF(ISNUMBER(SEARCH("FK",H537)),IFNA(VLOOKUP("FK",Pitch_Coef!$A:$B,2,FALSE),0),0)+IF(ISNUMBER(SEARCH("SB",H537)),IFNA(VLOOKUP("SB",Pitch_Coef!$A:$B,2,FALSE),0),0)+IF(ISNUMBER(SEARCH("SL",H537)),IFNA(VLOOKUP("SL",Pitch_Coef!$A:$B,2,FALSE),0),0),0)</f>
        <v/>
      </c>
      <c r="AA537">
        <f>IF(Q537="P",16.5944849573+0.2529999141*N537+0.2665900378*O537+0.2632687105*P537+0.0427586837*I537+0.0534777057*J537+0.009015832*K537+0.0204898106*(O537*P537/100)+1.0091022427*U537+1.0968542297*IF(D537="L",1,0)+0.3771555045*IF(D537="S",1,0)-0.2226159177*IF(E537="L",1,0)+1.21385024*R537-1.1652812274*S537+W537+X537+Z537,10.5965166711+0.2825983581*I537+0.2806503532*J537+0.2027213083*K537+0.1147824982*L537+0.0915305332*M537-0.0088454122*(I537*J537/100)-0.0336045706*(K537*L537/100)+2.8497389733*IF(D537="L",1,0)+4.5116226727*IF(D537="S",1,0)-0.6571546448*IF(E537="L",1,0)+0.0850728147*T537+0.0129488446*(T537*T537)+0.1909373936*IF(OR(F537="Utility",G537="Utility"),T537,0)+0.9656824071*R537-1.7517683256*S537+W537+X537+Y537)</f>
        <v/>
      </c>
      <c r="AB537">
        <f>LOOKUP(AA537,Grade_Scale!$A$2:$A$18,Grade_Scale!$B$2:$B$18)</f>
        <v/>
      </c>
      <c r="AC537">
        <f>LOOKUP(AA537,Grade_Scale!$A$2:$A$18,Grade_Scale!$C$2:$C$18)</f>
        <v/>
      </c>
      <c r="AE537">
        <f>IF(AD537="","",AB537-VLOOKUP(AD537,Grade_Scale!$C$2:$E$18,3,FALSE))</f>
        <v/>
      </c>
    </row>
    <row r="538">
      <c r="Q538">
        <f>IF(OR(B538="SP",B538="RP",B538="CP",B538="SP/RP"),"P","H")</f>
        <v/>
      </c>
      <c r="R538">
        <f>IF(F538="",0,IFNA(VLOOKUP(F538,Trait_Polarity!$A:$C,2,FALSE),0))+IF(G538="",0,IFNA(VLOOKUP(G538,Trait_Polarity!$A:$C,2,FALSE),0))</f>
        <v/>
      </c>
      <c r="S538">
        <f>IF(F538="",0,IFNA(VLOOKUP(F538,Trait_Polarity!$A:$C,3,FALSE),0))+IF(G538="",0,IFNA(VLOOKUP(G538,Trait_Polarity!$A:$C,3,FALSE),0))</f>
        <v/>
      </c>
      <c r="T538">
        <f>IF(Q538="P",0,IFNA(VLOOKUP(IF(C538="","(none)",C538),Secondary_Versatility!$A:$B,2,FALSE),0))</f>
        <v/>
      </c>
      <c r="U538">
        <f>IF(H538="",0,LEN(H538)-LEN(SUBSTITUTE(H538,"|",""))+1)</f>
        <v/>
      </c>
      <c r="V538">
        <f>IF(Q538="P",(N538+O538+P538)/3,0.3*I538+0.3*J538+0.2*K538+0.1*L538+0.1*M538)</f>
        <v/>
      </c>
      <c r="W538">
        <f>IF(Q538="P",IF(F538="",0,IFNA(VLOOKUP(F538,Pitcher_Trait_Coef!$A:$B,2,FALSE),0))+IF(G538="",0,IFNA(VLOOKUP(G538,Pitcher_Trait_Coef!$A:$B,2,FALSE),0)),IF(F538="",0,IFNA(VLOOKUP(F538,Hitter_Trait_Coef!$A:$B,2,FALSE),0))+IF(G538="",0,IFNA(VLOOKUP(G538,Hitter_Trait_Coef!$A:$B,2,FALSE),0)))</f>
        <v/>
      </c>
      <c r="X538">
        <f>IF(Q538="P",IFNA(VLOOKUP(B538,Pitcher_Primary_Coef!$A:$B,2,FALSE),0),IFNA(VLOOKUP(B538,Hitter_Primary_Coef!$A:$B,2,FALSE),0))</f>
        <v/>
      </c>
      <c r="Y538">
        <f>IF(Q538="P",0,IFNA(VLOOKUP(IF(C538="","(none)",C538),Hitter_Secondary_Coef!$A:$B,2,FALSE),0))</f>
        <v/>
      </c>
      <c r="Z538">
        <f>IF(Q538="P",IF(ISNUMBER(SEARCH("2F",H538)),IFNA(VLOOKUP("2F",Pitch_Coef!$A:$B,2,FALSE),0),0)+IF(ISNUMBER(SEARCH("4F",H538)),IFNA(VLOOKUP("4F",Pitch_Coef!$A:$B,2,FALSE),0),0)+IF(ISNUMBER(SEARCH("CB",H538)),IFNA(VLOOKUP("CB",Pitch_Coef!$A:$B,2,FALSE),0),0)+IF(ISNUMBER(SEARCH("CF",H538)),IFNA(VLOOKUP("CF",Pitch_Coef!$A:$B,2,FALSE),0),0)+IF(ISNUMBER(SEARCH("CH",H538)),IFNA(VLOOKUP("CH",Pitch_Coef!$A:$B,2,FALSE),0),0)+IF(ISNUMBER(SEARCH("FK",H538)),IFNA(VLOOKUP("FK",Pitch_Coef!$A:$B,2,FALSE),0),0)+IF(ISNUMBER(SEARCH("SB",H538)),IFNA(VLOOKUP("SB",Pitch_Coef!$A:$B,2,FALSE),0),0)+IF(ISNUMBER(SEARCH("SL",H538)),IFNA(VLOOKUP("SL",Pitch_Coef!$A:$B,2,FALSE),0),0),0)</f>
        <v/>
      </c>
      <c r="AA538">
        <f>IF(Q538="P",16.5944849573+0.2529999141*N538+0.2665900378*O538+0.2632687105*P538+0.0427586837*I538+0.0534777057*J538+0.009015832*K538+0.0204898106*(O538*P538/100)+1.0091022427*U538+1.0968542297*IF(D538="L",1,0)+0.3771555045*IF(D538="S",1,0)-0.2226159177*IF(E538="L",1,0)+1.21385024*R538-1.1652812274*S538+W538+X538+Z538,10.5965166711+0.2825983581*I538+0.2806503532*J538+0.2027213083*K538+0.1147824982*L538+0.0915305332*M538-0.0088454122*(I538*J538/100)-0.0336045706*(K538*L538/100)+2.8497389733*IF(D538="L",1,0)+4.5116226727*IF(D538="S",1,0)-0.6571546448*IF(E538="L",1,0)+0.0850728147*T538+0.0129488446*(T538*T538)+0.1909373936*IF(OR(F538="Utility",G538="Utility"),T538,0)+0.9656824071*R538-1.7517683256*S538+W538+X538+Y538)</f>
        <v/>
      </c>
      <c r="AB538">
        <f>LOOKUP(AA538,Grade_Scale!$A$2:$A$18,Grade_Scale!$B$2:$B$18)</f>
        <v/>
      </c>
      <c r="AC538">
        <f>LOOKUP(AA538,Grade_Scale!$A$2:$A$18,Grade_Scale!$C$2:$C$18)</f>
        <v/>
      </c>
      <c r="AE538">
        <f>IF(AD538="","",AB538-VLOOKUP(AD538,Grade_Scale!$C$2:$E$18,3,FALSE))</f>
        <v/>
      </c>
    </row>
    <row r="539">
      <c r="Q539">
        <f>IF(OR(B539="SP",B539="RP",B539="CP",B539="SP/RP"),"P","H")</f>
        <v/>
      </c>
      <c r="R539">
        <f>IF(F539="",0,IFNA(VLOOKUP(F539,Trait_Polarity!$A:$C,2,FALSE),0))+IF(G539="",0,IFNA(VLOOKUP(G539,Trait_Polarity!$A:$C,2,FALSE),0))</f>
        <v/>
      </c>
      <c r="S539">
        <f>IF(F539="",0,IFNA(VLOOKUP(F539,Trait_Polarity!$A:$C,3,FALSE),0))+IF(G539="",0,IFNA(VLOOKUP(G539,Trait_Polarity!$A:$C,3,FALSE),0))</f>
        <v/>
      </c>
      <c r="T539">
        <f>IF(Q539="P",0,IFNA(VLOOKUP(IF(C539="","(none)",C539),Secondary_Versatility!$A:$B,2,FALSE),0))</f>
        <v/>
      </c>
      <c r="U539">
        <f>IF(H539="",0,LEN(H539)-LEN(SUBSTITUTE(H539,"|",""))+1)</f>
        <v/>
      </c>
      <c r="V539">
        <f>IF(Q539="P",(N539+O539+P539)/3,0.3*I539+0.3*J539+0.2*K539+0.1*L539+0.1*M539)</f>
        <v/>
      </c>
      <c r="W539">
        <f>IF(Q539="P",IF(F539="",0,IFNA(VLOOKUP(F539,Pitcher_Trait_Coef!$A:$B,2,FALSE),0))+IF(G539="",0,IFNA(VLOOKUP(G539,Pitcher_Trait_Coef!$A:$B,2,FALSE),0)),IF(F539="",0,IFNA(VLOOKUP(F539,Hitter_Trait_Coef!$A:$B,2,FALSE),0))+IF(G539="",0,IFNA(VLOOKUP(G539,Hitter_Trait_Coef!$A:$B,2,FALSE),0)))</f>
        <v/>
      </c>
      <c r="X539">
        <f>IF(Q539="P",IFNA(VLOOKUP(B539,Pitcher_Primary_Coef!$A:$B,2,FALSE),0),IFNA(VLOOKUP(B539,Hitter_Primary_Coef!$A:$B,2,FALSE),0))</f>
        <v/>
      </c>
      <c r="Y539">
        <f>IF(Q539="P",0,IFNA(VLOOKUP(IF(C539="","(none)",C539),Hitter_Secondary_Coef!$A:$B,2,FALSE),0))</f>
        <v/>
      </c>
      <c r="Z539">
        <f>IF(Q539="P",IF(ISNUMBER(SEARCH("2F",H539)),IFNA(VLOOKUP("2F",Pitch_Coef!$A:$B,2,FALSE),0),0)+IF(ISNUMBER(SEARCH("4F",H539)),IFNA(VLOOKUP("4F",Pitch_Coef!$A:$B,2,FALSE),0),0)+IF(ISNUMBER(SEARCH("CB",H539)),IFNA(VLOOKUP("CB",Pitch_Coef!$A:$B,2,FALSE),0),0)+IF(ISNUMBER(SEARCH("CF",H539)),IFNA(VLOOKUP("CF",Pitch_Coef!$A:$B,2,FALSE),0),0)+IF(ISNUMBER(SEARCH("CH",H539)),IFNA(VLOOKUP("CH",Pitch_Coef!$A:$B,2,FALSE),0),0)+IF(ISNUMBER(SEARCH("FK",H539)),IFNA(VLOOKUP("FK",Pitch_Coef!$A:$B,2,FALSE),0),0)+IF(ISNUMBER(SEARCH("SB",H539)),IFNA(VLOOKUP("SB",Pitch_Coef!$A:$B,2,FALSE),0),0)+IF(ISNUMBER(SEARCH("SL",H539)),IFNA(VLOOKUP("SL",Pitch_Coef!$A:$B,2,FALSE),0),0),0)</f>
        <v/>
      </c>
      <c r="AA539">
        <f>IF(Q539="P",16.5944849573+0.2529999141*N539+0.2665900378*O539+0.2632687105*P539+0.0427586837*I539+0.0534777057*J539+0.009015832*K539+0.0204898106*(O539*P539/100)+1.0091022427*U539+1.0968542297*IF(D539="L",1,0)+0.3771555045*IF(D539="S",1,0)-0.2226159177*IF(E539="L",1,0)+1.21385024*R539-1.1652812274*S539+W539+X539+Z539,10.5965166711+0.2825983581*I539+0.2806503532*J539+0.2027213083*K539+0.1147824982*L539+0.0915305332*M539-0.0088454122*(I539*J539/100)-0.0336045706*(K539*L539/100)+2.8497389733*IF(D539="L",1,0)+4.5116226727*IF(D539="S",1,0)-0.6571546448*IF(E539="L",1,0)+0.0850728147*T539+0.0129488446*(T539*T539)+0.1909373936*IF(OR(F539="Utility",G539="Utility"),T539,0)+0.9656824071*R539-1.7517683256*S539+W539+X539+Y539)</f>
        <v/>
      </c>
      <c r="AB539">
        <f>LOOKUP(AA539,Grade_Scale!$A$2:$A$18,Grade_Scale!$B$2:$B$18)</f>
        <v/>
      </c>
      <c r="AC539">
        <f>LOOKUP(AA539,Grade_Scale!$A$2:$A$18,Grade_Scale!$C$2:$C$18)</f>
        <v/>
      </c>
      <c r="AE539">
        <f>IF(AD539="","",AB539-VLOOKUP(AD539,Grade_Scale!$C$2:$E$18,3,FALSE))</f>
        <v/>
      </c>
    </row>
    <row r="540">
      <c r="Q540">
        <f>IF(OR(B540="SP",B540="RP",B540="CP",B540="SP/RP"),"P","H")</f>
        <v/>
      </c>
      <c r="R540">
        <f>IF(F540="",0,IFNA(VLOOKUP(F540,Trait_Polarity!$A:$C,2,FALSE),0))+IF(G540="",0,IFNA(VLOOKUP(G540,Trait_Polarity!$A:$C,2,FALSE),0))</f>
        <v/>
      </c>
      <c r="S540">
        <f>IF(F540="",0,IFNA(VLOOKUP(F540,Trait_Polarity!$A:$C,3,FALSE),0))+IF(G540="",0,IFNA(VLOOKUP(G540,Trait_Polarity!$A:$C,3,FALSE),0))</f>
        <v/>
      </c>
      <c r="T540">
        <f>IF(Q540="P",0,IFNA(VLOOKUP(IF(C540="","(none)",C540),Secondary_Versatility!$A:$B,2,FALSE),0))</f>
        <v/>
      </c>
      <c r="U540">
        <f>IF(H540="",0,LEN(H540)-LEN(SUBSTITUTE(H540,"|",""))+1)</f>
        <v/>
      </c>
      <c r="V540">
        <f>IF(Q540="P",(N540+O540+P540)/3,0.3*I540+0.3*J540+0.2*K540+0.1*L540+0.1*M540)</f>
        <v/>
      </c>
      <c r="W540">
        <f>IF(Q540="P",IF(F540="",0,IFNA(VLOOKUP(F540,Pitcher_Trait_Coef!$A:$B,2,FALSE),0))+IF(G540="",0,IFNA(VLOOKUP(G540,Pitcher_Trait_Coef!$A:$B,2,FALSE),0)),IF(F540="",0,IFNA(VLOOKUP(F540,Hitter_Trait_Coef!$A:$B,2,FALSE),0))+IF(G540="",0,IFNA(VLOOKUP(G540,Hitter_Trait_Coef!$A:$B,2,FALSE),0)))</f>
        <v/>
      </c>
      <c r="X540">
        <f>IF(Q540="P",IFNA(VLOOKUP(B540,Pitcher_Primary_Coef!$A:$B,2,FALSE),0),IFNA(VLOOKUP(B540,Hitter_Primary_Coef!$A:$B,2,FALSE),0))</f>
        <v/>
      </c>
      <c r="Y540">
        <f>IF(Q540="P",0,IFNA(VLOOKUP(IF(C540="","(none)",C540),Hitter_Secondary_Coef!$A:$B,2,FALSE),0))</f>
        <v/>
      </c>
      <c r="Z540">
        <f>IF(Q540="P",IF(ISNUMBER(SEARCH("2F",H540)),IFNA(VLOOKUP("2F",Pitch_Coef!$A:$B,2,FALSE),0),0)+IF(ISNUMBER(SEARCH("4F",H540)),IFNA(VLOOKUP("4F",Pitch_Coef!$A:$B,2,FALSE),0),0)+IF(ISNUMBER(SEARCH("CB",H540)),IFNA(VLOOKUP("CB",Pitch_Coef!$A:$B,2,FALSE),0),0)+IF(ISNUMBER(SEARCH("CF",H540)),IFNA(VLOOKUP("CF",Pitch_Coef!$A:$B,2,FALSE),0),0)+IF(ISNUMBER(SEARCH("CH",H540)),IFNA(VLOOKUP("CH",Pitch_Coef!$A:$B,2,FALSE),0),0)+IF(ISNUMBER(SEARCH("FK",H540)),IFNA(VLOOKUP("FK",Pitch_Coef!$A:$B,2,FALSE),0),0)+IF(ISNUMBER(SEARCH("SB",H540)),IFNA(VLOOKUP("SB",Pitch_Coef!$A:$B,2,FALSE),0),0)+IF(ISNUMBER(SEARCH("SL",H540)),IFNA(VLOOKUP("SL",Pitch_Coef!$A:$B,2,FALSE),0),0),0)</f>
        <v/>
      </c>
      <c r="AA540">
        <f>IF(Q540="P",16.5944849573+0.2529999141*N540+0.2665900378*O540+0.2632687105*P540+0.0427586837*I540+0.0534777057*J540+0.009015832*K540+0.0204898106*(O540*P540/100)+1.0091022427*U540+1.0968542297*IF(D540="L",1,0)+0.3771555045*IF(D540="S",1,0)-0.2226159177*IF(E540="L",1,0)+1.21385024*R540-1.1652812274*S540+W540+X540+Z540,10.5965166711+0.2825983581*I540+0.2806503532*J540+0.2027213083*K540+0.1147824982*L540+0.0915305332*M540-0.0088454122*(I540*J540/100)-0.0336045706*(K540*L540/100)+2.8497389733*IF(D540="L",1,0)+4.5116226727*IF(D540="S",1,0)-0.6571546448*IF(E540="L",1,0)+0.0850728147*T540+0.0129488446*(T540*T540)+0.1909373936*IF(OR(F540="Utility",G540="Utility"),T540,0)+0.9656824071*R540-1.7517683256*S540+W540+X540+Y540)</f>
        <v/>
      </c>
      <c r="AB540">
        <f>LOOKUP(AA540,Grade_Scale!$A$2:$A$18,Grade_Scale!$B$2:$B$18)</f>
        <v/>
      </c>
      <c r="AC540">
        <f>LOOKUP(AA540,Grade_Scale!$A$2:$A$18,Grade_Scale!$C$2:$C$18)</f>
        <v/>
      </c>
      <c r="AE540">
        <f>IF(AD540="","",AB540-VLOOKUP(AD540,Grade_Scale!$C$2:$E$18,3,FALSE))</f>
        <v/>
      </c>
    </row>
    <row r="541">
      <c r="Q541">
        <f>IF(OR(B541="SP",B541="RP",B541="CP",B541="SP/RP"),"P","H")</f>
        <v/>
      </c>
      <c r="R541">
        <f>IF(F541="",0,IFNA(VLOOKUP(F541,Trait_Polarity!$A:$C,2,FALSE),0))+IF(G541="",0,IFNA(VLOOKUP(G541,Trait_Polarity!$A:$C,2,FALSE),0))</f>
        <v/>
      </c>
      <c r="S541">
        <f>IF(F541="",0,IFNA(VLOOKUP(F541,Trait_Polarity!$A:$C,3,FALSE),0))+IF(G541="",0,IFNA(VLOOKUP(G541,Trait_Polarity!$A:$C,3,FALSE),0))</f>
        <v/>
      </c>
      <c r="T541">
        <f>IF(Q541="P",0,IFNA(VLOOKUP(IF(C541="","(none)",C541),Secondary_Versatility!$A:$B,2,FALSE),0))</f>
        <v/>
      </c>
      <c r="U541">
        <f>IF(H541="",0,LEN(H541)-LEN(SUBSTITUTE(H541,"|",""))+1)</f>
        <v/>
      </c>
      <c r="V541">
        <f>IF(Q541="P",(N541+O541+P541)/3,0.3*I541+0.3*J541+0.2*K541+0.1*L541+0.1*M541)</f>
        <v/>
      </c>
      <c r="W541">
        <f>IF(Q541="P",IF(F541="",0,IFNA(VLOOKUP(F541,Pitcher_Trait_Coef!$A:$B,2,FALSE),0))+IF(G541="",0,IFNA(VLOOKUP(G541,Pitcher_Trait_Coef!$A:$B,2,FALSE),0)),IF(F541="",0,IFNA(VLOOKUP(F541,Hitter_Trait_Coef!$A:$B,2,FALSE),0))+IF(G541="",0,IFNA(VLOOKUP(G541,Hitter_Trait_Coef!$A:$B,2,FALSE),0)))</f>
        <v/>
      </c>
      <c r="X541">
        <f>IF(Q541="P",IFNA(VLOOKUP(B541,Pitcher_Primary_Coef!$A:$B,2,FALSE),0),IFNA(VLOOKUP(B541,Hitter_Primary_Coef!$A:$B,2,FALSE),0))</f>
        <v/>
      </c>
      <c r="Y541">
        <f>IF(Q541="P",0,IFNA(VLOOKUP(IF(C541="","(none)",C541),Hitter_Secondary_Coef!$A:$B,2,FALSE),0))</f>
        <v/>
      </c>
      <c r="Z541">
        <f>IF(Q541="P",IF(ISNUMBER(SEARCH("2F",H541)),IFNA(VLOOKUP("2F",Pitch_Coef!$A:$B,2,FALSE),0),0)+IF(ISNUMBER(SEARCH("4F",H541)),IFNA(VLOOKUP("4F",Pitch_Coef!$A:$B,2,FALSE),0),0)+IF(ISNUMBER(SEARCH("CB",H541)),IFNA(VLOOKUP("CB",Pitch_Coef!$A:$B,2,FALSE),0),0)+IF(ISNUMBER(SEARCH("CF",H541)),IFNA(VLOOKUP("CF",Pitch_Coef!$A:$B,2,FALSE),0),0)+IF(ISNUMBER(SEARCH("CH",H541)),IFNA(VLOOKUP("CH",Pitch_Coef!$A:$B,2,FALSE),0),0)+IF(ISNUMBER(SEARCH("FK",H541)),IFNA(VLOOKUP("FK",Pitch_Coef!$A:$B,2,FALSE),0),0)+IF(ISNUMBER(SEARCH("SB",H541)),IFNA(VLOOKUP("SB",Pitch_Coef!$A:$B,2,FALSE),0),0)+IF(ISNUMBER(SEARCH("SL",H541)),IFNA(VLOOKUP("SL",Pitch_Coef!$A:$B,2,FALSE),0),0),0)</f>
        <v/>
      </c>
      <c r="AA541">
        <f>IF(Q541="P",16.5944849573+0.2529999141*N541+0.2665900378*O541+0.2632687105*P541+0.0427586837*I541+0.0534777057*J541+0.009015832*K541+0.0204898106*(O541*P541/100)+1.0091022427*U541+1.0968542297*IF(D541="L",1,0)+0.3771555045*IF(D541="S",1,0)-0.2226159177*IF(E541="L",1,0)+1.21385024*R541-1.1652812274*S541+W541+X541+Z541,10.5965166711+0.2825983581*I541+0.2806503532*J541+0.2027213083*K541+0.1147824982*L541+0.0915305332*M541-0.0088454122*(I541*J541/100)-0.0336045706*(K541*L541/100)+2.8497389733*IF(D541="L",1,0)+4.5116226727*IF(D541="S",1,0)-0.6571546448*IF(E541="L",1,0)+0.0850728147*T541+0.0129488446*(T541*T541)+0.1909373936*IF(OR(F541="Utility",G541="Utility"),T541,0)+0.9656824071*R541-1.7517683256*S541+W541+X541+Y541)</f>
        <v/>
      </c>
      <c r="AB541">
        <f>LOOKUP(AA541,Grade_Scale!$A$2:$A$18,Grade_Scale!$B$2:$B$18)</f>
        <v/>
      </c>
      <c r="AC541">
        <f>LOOKUP(AA541,Grade_Scale!$A$2:$A$18,Grade_Scale!$C$2:$C$18)</f>
        <v/>
      </c>
      <c r="AE541">
        <f>IF(AD541="","",AB541-VLOOKUP(AD541,Grade_Scale!$C$2:$E$18,3,FALSE))</f>
        <v/>
      </c>
    </row>
    <row r="542">
      <c r="Q542">
        <f>IF(OR(B542="SP",B542="RP",B542="CP",B542="SP/RP"),"P","H")</f>
        <v/>
      </c>
      <c r="R542">
        <f>IF(F542="",0,IFNA(VLOOKUP(F542,Trait_Polarity!$A:$C,2,FALSE),0))+IF(G542="",0,IFNA(VLOOKUP(G542,Trait_Polarity!$A:$C,2,FALSE),0))</f>
        <v/>
      </c>
      <c r="S542">
        <f>IF(F542="",0,IFNA(VLOOKUP(F542,Trait_Polarity!$A:$C,3,FALSE),0))+IF(G542="",0,IFNA(VLOOKUP(G542,Trait_Polarity!$A:$C,3,FALSE),0))</f>
        <v/>
      </c>
      <c r="T542">
        <f>IF(Q542="P",0,IFNA(VLOOKUP(IF(C542="","(none)",C542),Secondary_Versatility!$A:$B,2,FALSE),0))</f>
        <v/>
      </c>
      <c r="U542">
        <f>IF(H542="",0,LEN(H542)-LEN(SUBSTITUTE(H542,"|",""))+1)</f>
        <v/>
      </c>
      <c r="V542">
        <f>IF(Q542="P",(N542+O542+P542)/3,0.3*I542+0.3*J542+0.2*K542+0.1*L542+0.1*M542)</f>
        <v/>
      </c>
      <c r="W542">
        <f>IF(Q542="P",IF(F542="",0,IFNA(VLOOKUP(F542,Pitcher_Trait_Coef!$A:$B,2,FALSE),0))+IF(G542="",0,IFNA(VLOOKUP(G542,Pitcher_Trait_Coef!$A:$B,2,FALSE),0)),IF(F542="",0,IFNA(VLOOKUP(F542,Hitter_Trait_Coef!$A:$B,2,FALSE),0))+IF(G542="",0,IFNA(VLOOKUP(G542,Hitter_Trait_Coef!$A:$B,2,FALSE),0)))</f>
        <v/>
      </c>
      <c r="X542">
        <f>IF(Q542="P",IFNA(VLOOKUP(B542,Pitcher_Primary_Coef!$A:$B,2,FALSE),0),IFNA(VLOOKUP(B542,Hitter_Primary_Coef!$A:$B,2,FALSE),0))</f>
        <v/>
      </c>
      <c r="Y542">
        <f>IF(Q542="P",0,IFNA(VLOOKUP(IF(C542="","(none)",C542),Hitter_Secondary_Coef!$A:$B,2,FALSE),0))</f>
        <v/>
      </c>
      <c r="Z542">
        <f>IF(Q542="P",IF(ISNUMBER(SEARCH("2F",H542)),IFNA(VLOOKUP("2F",Pitch_Coef!$A:$B,2,FALSE),0),0)+IF(ISNUMBER(SEARCH("4F",H542)),IFNA(VLOOKUP("4F",Pitch_Coef!$A:$B,2,FALSE),0),0)+IF(ISNUMBER(SEARCH("CB",H542)),IFNA(VLOOKUP("CB",Pitch_Coef!$A:$B,2,FALSE),0),0)+IF(ISNUMBER(SEARCH("CF",H542)),IFNA(VLOOKUP("CF",Pitch_Coef!$A:$B,2,FALSE),0),0)+IF(ISNUMBER(SEARCH("CH",H542)),IFNA(VLOOKUP("CH",Pitch_Coef!$A:$B,2,FALSE),0),0)+IF(ISNUMBER(SEARCH("FK",H542)),IFNA(VLOOKUP("FK",Pitch_Coef!$A:$B,2,FALSE),0),0)+IF(ISNUMBER(SEARCH("SB",H542)),IFNA(VLOOKUP("SB",Pitch_Coef!$A:$B,2,FALSE),0),0)+IF(ISNUMBER(SEARCH("SL",H542)),IFNA(VLOOKUP("SL",Pitch_Coef!$A:$B,2,FALSE),0),0),0)</f>
        <v/>
      </c>
      <c r="AA542">
        <f>IF(Q542="P",16.5944849573+0.2529999141*N542+0.2665900378*O542+0.2632687105*P542+0.0427586837*I542+0.0534777057*J542+0.009015832*K542+0.0204898106*(O542*P542/100)+1.0091022427*U542+1.0968542297*IF(D542="L",1,0)+0.3771555045*IF(D542="S",1,0)-0.2226159177*IF(E542="L",1,0)+1.21385024*R542-1.1652812274*S542+W542+X542+Z542,10.5965166711+0.2825983581*I542+0.2806503532*J542+0.2027213083*K542+0.1147824982*L542+0.0915305332*M542-0.0088454122*(I542*J542/100)-0.0336045706*(K542*L542/100)+2.8497389733*IF(D542="L",1,0)+4.5116226727*IF(D542="S",1,0)-0.6571546448*IF(E542="L",1,0)+0.0850728147*T542+0.0129488446*(T542*T542)+0.1909373936*IF(OR(F542="Utility",G542="Utility"),T542,0)+0.9656824071*R542-1.7517683256*S542+W542+X542+Y542)</f>
        <v/>
      </c>
      <c r="AB542">
        <f>LOOKUP(AA542,Grade_Scale!$A$2:$A$18,Grade_Scale!$B$2:$B$18)</f>
        <v/>
      </c>
      <c r="AC542">
        <f>LOOKUP(AA542,Grade_Scale!$A$2:$A$18,Grade_Scale!$C$2:$C$18)</f>
        <v/>
      </c>
      <c r="AE542">
        <f>IF(AD542="","",AB542-VLOOKUP(AD542,Grade_Scale!$C$2:$E$18,3,FALSE))</f>
        <v/>
      </c>
    </row>
    <row r="543">
      <c r="Q543">
        <f>IF(OR(B543="SP",B543="RP",B543="CP",B543="SP/RP"),"P","H")</f>
        <v/>
      </c>
      <c r="R543">
        <f>IF(F543="",0,IFNA(VLOOKUP(F543,Trait_Polarity!$A:$C,2,FALSE),0))+IF(G543="",0,IFNA(VLOOKUP(G543,Trait_Polarity!$A:$C,2,FALSE),0))</f>
        <v/>
      </c>
      <c r="S543">
        <f>IF(F543="",0,IFNA(VLOOKUP(F543,Trait_Polarity!$A:$C,3,FALSE),0))+IF(G543="",0,IFNA(VLOOKUP(G543,Trait_Polarity!$A:$C,3,FALSE),0))</f>
        <v/>
      </c>
      <c r="T543">
        <f>IF(Q543="P",0,IFNA(VLOOKUP(IF(C543="","(none)",C543),Secondary_Versatility!$A:$B,2,FALSE),0))</f>
        <v/>
      </c>
      <c r="U543">
        <f>IF(H543="",0,LEN(H543)-LEN(SUBSTITUTE(H543,"|",""))+1)</f>
        <v/>
      </c>
      <c r="V543">
        <f>IF(Q543="P",(N543+O543+P543)/3,0.3*I543+0.3*J543+0.2*K543+0.1*L543+0.1*M543)</f>
        <v/>
      </c>
      <c r="W543">
        <f>IF(Q543="P",IF(F543="",0,IFNA(VLOOKUP(F543,Pitcher_Trait_Coef!$A:$B,2,FALSE),0))+IF(G543="",0,IFNA(VLOOKUP(G543,Pitcher_Trait_Coef!$A:$B,2,FALSE),0)),IF(F543="",0,IFNA(VLOOKUP(F543,Hitter_Trait_Coef!$A:$B,2,FALSE),0))+IF(G543="",0,IFNA(VLOOKUP(G543,Hitter_Trait_Coef!$A:$B,2,FALSE),0)))</f>
        <v/>
      </c>
      <c r="X543">
        <f>IF(Q543="P",IFNA(VLOOKUP(B543,Pitcher_Primary_Coef!$A:$B,2,FALSE),0),IFNA(VLOOKUP(B543,Hitter_Primary_Coef!$A:$B,2,FALSE),0))</f>
        <v/>
      </c>
      <c r="Y543">
        <f>IF(Q543="P",0,IFNA(VLOOKUP(IF(C543="","(none)",C543),Hitter_Secondary_Coef!$A:$B,2,FALSE),0))</f>
        <v/>
      </c>
      <c r="Z543">
        <f>IF(Q543="P",IF(ISNUMBER(SEARCH("2F",H543)),IFNA(VLOOKUP("2F",Pitch_Coef!$A:$B,2,FALSE),0),0)+IF(ISNUMBER(SEARCH("4F",H543)),IFNA(VLOOKUP("4F",Pitch_Coef!$A:$B,2,FALSE),0),0)+IF(ISNUMBER(SEARCH("CB",H543)),IFNA(VLOOKUP("CB",Pitch_Coef!$A:$B,2,FALSE),0),0)+IF(ISNUMBER(SEARCH("CF",H543)),IFNA(VLOOKUP("CF",Pitch_Coef!$A:$B,2,FALSE),0),0)+IF(ISNUMBER(SEARCH("CH",H543)),IFNA(VLOOKUP("CH",Pitch_Coef!$A:$B,2,FALSE),0),0)+IF(ISNUMBER(SEARCH("FK",H543)),IFNA(VLOOKUP("FK",Pitch_Coef!$A:$B,2,FALSE),0),0)+IF(ISNUMBER(SEARCH("SB",H543)),IFNA(VLOOKUP("SB",Pitch_Coef!$A:$B,2,FALSE),0),0)+IF(ISNUMBER(SEARCH("SL",H543)),IFNA(VLOOKUP("SL",Pitch_Coef!$A:$B,2,FALSE),0),0),0)</f>
        <v/>
      </c>
      <c r="AA543">
        <f>IF(Q543="P",16.5944849573+0.2529999141*N543+0.2665900378*O543+0.2632687105*P543+0.0427586837*I543+0.0534777057*J543+0.009015832*K543+0.0204898106*(O543*P543/100)+1.0091022427*U543+1.0968542297*IF(D543="L",1,0)+0.3771555045*IF(D543="S",1,0)-0.2226159177*IF(E543="L",1,0)+1.21385024*R543-1.1652812274*S543+W543+X543+Z543,10.5965166711+0.2825983581*I543+0.2806503532*J543+0.2027213083*K543+0.1147824982*L543+0.0915305332*M543-0.0088454122*(I543*J543/100)-0.0336045706*(K543*L543/100)+2.8497389733*IF(D543="L",1,0)+4.5116226727*IF(D543="S",1,0)-0.6571546448*IF(E543="L",1,0)+0.0850728147*T543+0.0129488446*(T543*T543)+0.1909373936*IF(OR(F543="Utility",G543="Utility"),T543,0)+0.9656824071*R543-1.7517683256*S543+W543+X543+Y543)</f>
        <v/>
      </c>
      <c r="AB543">
        <f>LOOKUP(AA543,Grade_Scale!$A$2:$A$18,Grade_Scale!$B$2:$B$18)</f>
        <v/>
      </c>
      <c r="AC543">
        <f>LOOKUP(AA543,Grade_Scale!$A$2:$A$18,Grade_Scale!$C$2:$C$18)</f>
        <v/>
      </c>
      <c r="AE543">
        <f>IF(AD543="","",AB543-VLOOKUP(AD543,Grade_Scale!$C$2:$E$18,3,FALSE))</f>
        <v/>
      </c>
    </row>
    <row r="544">
      <c r="Q544">
        <f>IF(OR(B544="SP",B544="RP",B544="CP",B544="SP/RP"),"P","H")</f>
        <v/>
      </c>
      <c r="R544">
        <f>IF(F544="",0,IFNA(VLOOKUP(F544,Trait_Polarity!$A:$C,2,FALSE),0))+IF(G544="",0,IFNA(VLOOKUP(G544,Trait_Polarity!$A:$C,2,FALSE),0))</f>
        <v/>
      </c>
      <c r="S544">
        <f>IF(F544="",0,IFNA(VLOOKUP(F544,Trait_Polarity!$A:$C,3,FALSE),0))+IF(G544="",0,IFNA(VLOOKUP(G544,Trait_Polarity!$A:$C,3,FALSE),0))</f>
        <v/>
      </c>
      <c r="T544">
        <f>IF(Q544="P",0,IFNA(VLOOKUP(IF(C544="","(none)",C544),Secondary_Versatility!$A:$B,2,FALSE),0))</f>
        <v/>
      </c>
      <c r="U544">
        <f>IF(H544="",0,LEN(H544)-LEN(SUBSTITUTE(H544,"|",""))+1)</f>
        <v/>
      </c>
      <c r="V544">
        <f>IF(Q544="P",(N544+O544+P544)/3,0.3*I544+0.3*J544+0.2*K544+0.1*L544+0.1*M544)</f>
        <v/>
      </c>
      <c r="W544">
        <f>IF(Q544="P",IF(F544="",0,IFNA(VLOOKUP(F544,Pitcher_Trait_Coef!$A:$B,2,FALSE),0))+IF(G544="",0,IFNA(VLOOKUP(G544,Pitcher_Trait_Coef!$A:$B,2,FALSE),0)),IF(F544="",0,IFNA(VLOOKUP(F544,Hitter_Trait_Coef!$A:$B,2,FALSE),0))+IF(G544="",0,IFNA(VLOOKUP(G544,Hitter_Trait_Coef!$A:$B,2,FALSE),0)))</f>
        <v/>
      </c>
      <c r="X544">
        <f>IF(Q544="P",IFNA(VLOOKUP(B544,Pitcher_Primary_Coef!$A:$B,2,FALSE),0),IFNA(VLOOKUP(B544,Hitter_Primary_Coef!$A:$B,2,FALSE),0))</f>
        <v/>
      </c>
      <c r="Y544">
        <f>IF(Q544="P",0,IFNA(VLOOKUP(IF(C544="","(none)",C544),Hitter_Secondary_Coef!$A:$B,2,FALSE),0))</f>
        <v/>
      </c>
      <c r="Z544">
        <f>IF(Q544="P",IF(ISNUMBER(SEARCH("2F",H544)),IFNA(VLOOKUP("2F",Pitch_Coef!$A:$B,2,FALSE),0),0)+IF(ISNUMBER(SEARCH("4F",H544)),IFNA(VLOOKUP("4F",Pitch_Coef!$A:$B,2,FALSE),0),0)+IF(ISNUMBER(SEARCH("CB",H544)),IFNA(VLOOKUP("CB",Pitch_Coef!$A:$B,2,FALSE),0),0)+IF(ISNUMBER(SEARCH("CF",H544)),IFNA(VLOOKUP("CF",Pitch_Coef!$A:$B,2,FALSE),0),0)+IF(ISNUMBER(SEARCH("CH",H544)),IFNA(VLOOKUP("CH",Pitch_Coef!$A:$B,2,FALSE),0),0)+IF(ISNUMBER(SEARCH("FK",H544)),IFNA(VLOOKUP("FK",Pitch_Coef!$A:$B,2,FALSE),0),0)+IF(ISNUMBER(SEARCH("SB",H544)),IFNA(VLOOKUP("SB",Pitch_Coef!$A:$B,2,FALSE),0),0)+IF(ISNUMBER(SEARCH("SL",H544)),IFNA(VLOOKUP("SL",Pitch_Coef!$A:$B,2,FALSE),0),0),0)</f>
        <v/>
      </c>
      <c r="AA544">
        <f>IF(Q544="P",16.5944849573+0.2529999141*N544+0.2665900378*O544+0.2632687105*P544+0.0427586837*I544+0.0534777057*J544+0.009015832*K544+0.0204898106*(O544*P544/100)+1.0091022427*U544+1.0968542297*IF(D544="L",1,0)+0.3771555045*IF(D544="S",1,0)-0.2226159177*IF(E544="L",1,0)+1.21385024*R544-1.1652812274*S544+W544+X544+Z544,10.5965166711+0.2825983581*I544+0.2806503532*J544+0.2027213083*K544+0.1147824982*L544+0.0915305332*M544-0.0088454122*(I544*J544/100)-0.0336045706*(K544*L544/100)+2.8497389733*IF(D544="L",1,0)+4.5116226727*IF(D544="S",1,0)-0.6571546448*IF(E544="L",1,0)+0.0850728147*T544+0.0129488446*(T544*T544)+0.1909373936*IF(OR(F544="Utility",G544="Utility"),T544,0)+0.9656824071*R544-1.7517683256*S544+W544+X544+Y544)</f>
        <v/>
      </c>
      <c r="AB544">
        <f>LOOKUP(AA544,Grade_Scale!$A$2:$A$18,Grade_Scale!$B$2:$B$18)</f>
        <v/>
      </c>
      <c r="AC544">
        <f>LOOKUP(AA544,Grade_Scale!$A$2:$A$18,Grade_Scale!$C$2:$C$18)</f>
        <v/>
      </c>
      <c r="AE544">
        <f>IF(AD544="","",AB544-VLOOKUP(AD544,Grade_Scale!$C$2:$E$18,3,FALSE))</f>
        <v/>
      </c>
    </row>
    <row r="545">
      <c r="Q545">
        <f>IF(OR(B545="SP",B545="RP",B545="CP",B545="SP/RP"),"P","H")</f>
        <v/>
      </c>
      <c r="R545">
        <f>IF(F545="",0,IFNA(VLOOKUP(F545,Trait_Polarity!$A:$C,2,FALSE),0))+IF(G545="",0,IFNA(VLOOKUP(G545,Trait_Polarity!$A:$C,2,FALSE),0))</f>
        <v/>
      </c>
      <c r="S545">
        <f>IF(F545="",0,IFNA(VLOOKUP(F545,Trait_Polarity!$A:$C,3,FALSE),0))+IF(G545="",0,IFNA(VLOOKUP(G545,Trait_Polarity!$A:$C,3,FALSE),0))</f>
        <v/>
      </c>
      <c r="T545">
        <f>IF(Q545="P",0,IFNA(VLOOKUP(IF(C545="","(none)",C545),Secondary_Versatility!$A:$B,2,FALSE),0))</f>
        <v/>
      </c>
      <c r="U545">
        <f>IF(H545="",0,LEN(H545)-LEN(SUBSTITUTE(H545,"|",""))+1)</f>
        <v/>
      </c>
      <c r="V545">
        <f>IF(Q545="P",(N545+O545+P545)/3,0.3*I545+0.3*J545+0.2*K545+0.1*L545+0.1*M545)</f>
        <v/>
      </c>
      <c r="W545">
        <f>IF(Q545="P",IF(F545="",0,IFNA(VLOOKUP(F545,Pitcher_Trait_Coef!$A:$B,2,FALSE),0))+IF(G545="",0,IFNA(VLOOKUP(G545,Pitcher_Trait_Coef!$A:$B,2,FALSE),0)),IF(F545="",0,IFNA(VLOOKUP(F545,Hitter_Trait_Coef!$A:$B,2,FALSE),0))+IF(G545="",0,IFNA(VLOOKUP(G545,Hitter_Trait_Coef!$A:$B,2,FALSE),0)))</f>
        <v/>
      </c>
      <c r="X545">
        <f>IF(Q545="P",IFNA(VLOOKUP(B545,Pitcher_Primary_Coef!$A:$B,2,FALSE),0),IFNA(VLOOKUP(B545,Hitter_Primary_Coef!$A:$B,2,FALSE),0))</f>
        <v/>
      </c>
      <c r="Y545">
        <f>IF(Q545="P",0,IFNA(VLOOKUP(IF(C545="","(none)",C545),Hitter_Secondary_Coef!$A:$B,2,FALSE),0))</f>
        <v/>
      </c>
      <c r="Z545">
        <f>IF(Q545="P",IF(ISNUMBER(SEARCH("2F",H545)),IFNA(VLOOKUP("2F",Pitch_Coef!$A:$B,2,FALSE),0),0)+IF(ISNUMBER(SEARCH("4F",H545)),IFNA(VLOOKUP("4F",Pitch_Coef!$A:$B,2,FALSE),0),0)+IF(ISNUMBER(SEARCH("CB",H545)),IFNA(VLOOKUP("CB",Pitch_Coef!$A:$B,2,FALSE),0),0)+IF(ISNUMBER(SEARCH("CF",H545)),IFNA(VLOOKUP("CF",Pitch_Coef!$A:$B,2,FALSE),0),0)+IF(ISNUMBER(SEARCH("CH",H545)),IFNA(VLOOKUP("CH",Pitch_Coef!$A:$B,2,FALSE),0),0)+IF(ISNUMBER(SEARCH("FK",H545)),IFNA(VLOOKUP("FK",Pitch_Coef!$A:$B,2,FALSE),0),0)+IF(ISNUMBER(SEARCH("SB",H545)),IFNA(VLOOKUP("SB",Pitch_Coef!$A:$B,2,FALSE),0),0)+IF(ISNUMBER(SEARCH("SL",H545)),IFNA(VLOOKUP("SL",Pitch_Coef!$A:$B,2,FALSE),0),0),0)</f>
        <v/>
      </c>
      <c r="AA545">
        <f>IF(Q545="P",16.5944849573+0.2529999141*N545+0.2665900378*O545+0.2632687105*P545+0.0427586837*I545+0.0534777057*J545+0.009015832*K545+0.0204898106*(O545*P545/100)+1.0091022427*U545+1.0968542297*IF(D545="L",1,0)+0.3771555045*IF(D545="S",1,0)-0.2226159177*IF(E545="L",1,0)+1.21385024*R545-1.1652812274*S545+W545+X545+Z545,10.5965166711+0.2825983581*I545+0.2806503532*J545+0.2027213083*K545+0.1147824982*L545+0.0915305332*M545-0.0088454122*(I545*J545/100)-0.0336045706*(K545*L545/100)+2.8497389733*IF(D545="L",1,0)+4.5116226727*IF(D545="S",1,0)-0.6571546448*IF(E545="L",1,0)+0.0850728147*T545+0.0129488446*(T545*T545)+0.1909373936*IF(OR(F545="Utility",G545="Utility"),T545,0)+0.9656824071*R545-1.7517683256*S545+W545+X545+Y545)</f>
        <v/>
      </c>
      <c r="AB545">
        <f>LOOKUP(AA545,Grade_Scale!$A$2:$A$18,Grade_Scale!$B$2:$B$18)</f>
        <v/>
      </c>
      <c r="AC545">
        <f>LOOKUP(AA545,Grade_Scale!$A$2:$A$18,Grade_Scale!$C$2:$C$18)</f>
        <v/>
      </c>
      <c r="AE545">
        <f>IF(AD545="","",AB545-VLOOKUP(AD545,Grade_Scale!$C$2:$E$18,3,FALSE))</f>
        <v/>
      </c>
    </row>
    <row r="546">
      <c r="Q546">
        <f>IF(OR(B546="SP",B546="RP",B546="CP",B546="SP/RP"),"P","H")</f>
        <v/>
      </c>
      <c r="R546">
        <f>IF(F546="",0,IFNA(VLOOKUP(F546,Trait_Polarity!$A:$C,2,FALSE),0))+IF(G546="",0,IFNA(VLOOKUP(G546,Trait_Polarity!$A:$C,2,FALSE),0))</f>
        <v/>
      </c>
      <c r="S546">
        <f>IF(F546="",0,IFNA(VLOOKUP(F546,Trait_Polarity!$A:$C,3,FALSE),0))+IF(G546="",0,IFNA(VLOOKUP(G546,Trait_Polarity!$A:$C,3,FALSE),0))</f>
        <v/>
      </c>
      <c r="T546">
        <f>IF(Q546="P",0,IFNA(VLOOKUP(IF(C546="","(none)",C546),Secondary_Versatility!$A:$B,2,FALSE),0))</f>
        <v/>
      </c>
      <c r="U546">
        <f>IF(H546="",0,LEN(H546)-LEN(SUBSTITUTE(H546,"|",""))+1)</f>
        <v/>
      </c>
      <c r="V546">
        <f>IF(Q546="P",(N546+O546+P546)/3,0.3*I546+0.3*J546+0.2*K546+0.1*L546+0.1*M546)</f>
        <v/>
      </c>
      <c r="W546">
        <f>IF(Q546="P",IF(F546="",0,IFNA(VLOOKUP(F546,Pitcher_Trait_Coef!$A:$B,2,FALSE),0))+IF(G546="",0,IFNA(VLOOKUP(G546,Pitcher_Trait_Coef!$A:$B,2,FALSE),0)),IF(F546="",0,IFNA(VLOOKUP(F546,Hitter_Trait_Coef!$A:$B,2,FALSE),0))+IF(G546="",0,IFNA(VLOOKUP(G546,Hitter_Trait_Coef!$A:$B,2,FALSE),0)))</f>
        <v/>
      </c>
      <c r="X546">
        <f>IF(Q546="P",IFNA(VLOOKUP(B546,Pitcher_Primary_Coef!$A:$B,2,FALSE),0),IFNA(VLOOKUP(B546,Hitter_Primary_Coef!$A:$B,2,FALSE),0))</f>
        <v/>
      </c>
      <c r="Y546">
        <f>IF(Q546="P",0,IFNA(VLOOKUP(IF(C546="","(none)",C546),Hitter_Secondary_Coef!$A:$B,2,FALSE),0))</f>
        <v/>
      </c>
      <c r="Z546">
        <f>IF(Q546="P",IF(ISNUMBER(SEARCH("2F",H546)),IFNA(VLOOKUP("2F",Pitch_Coef!$A:$B,2,FALSE),0),0)+IF(ISNUMBER(SEARCH("4F",H546)),IFNA(VLOOKUP("4F",Pitch_Coef!$A:$B,2,FALSE),0),0)+IF(ISNUMBER(SEARCH("CB",H546)),IFNA(VLOOKUP("CB",Pitch_Coef!$A:$B,2,FALSE),0),0)+IF(ISNUMBER(SEARCH("CF",H546)),IFNA(VLOOKUP("CF",Pitch_Coef!$A:$B,2,FALSE),0),0)+IF(ISNUMBER(SEARCH("CH",H546)),IFNA(VLOOKUP("CH",Pitch_Coef!$A:$B,2,FALSE),0),0)+IF(ISNUMBER(SEARCH("FK",H546)),IFNA(VLOOKUP("FK",Pitch_Coef!$A:$B,2,FALSE),0),0)+IF(ISNUMBER(SEARCH("SB",H546)),IFNA(VLOOKUP("SB",Pitch_Coef!$A:$B,2,FALSE),0),0)+IF(ISNUMBER(SEARCH("SL",H546)),IFNA(VLOOKUP("SL",Pitch_Coef!$A:$B,2,FALSE),0),0),0)</f>
        <v/>
      </c>
      <c r="AA546">
        <f>IF(Q546="P",16.5944849573+0.2529999141*N546+0.2665900378*O546+0.2632687105*P546+0.0427586837*I546+0.0534777057*J546+0.009015832*K546+0.0204898106*(O546*P546/100)+1.0091022427*U546+1.0968542297*IF(D546="L",1,0)+0.3771555045*IF(D546="S",1,0)-0.2226159177*IF(E546="L",1,0)+1.21385024*R546-1.1652812274*S546+W546+X546+Z546,10.5965166711+0.2825983581*I546+0.2806503532*J546+0.2027213083*K546+0.1147824982*L546+0.0915305332*M546-0.0088454122*(I546*J546/100)-0.0336045706*(K546*L546/100)+2.8497389733*IF(D546="L",1,0)+4.5116226727*IF(D546="S",1,0)-0.6571546448*IF(E546="L",1,0)+0.0850728147*T546+0.0129488446*(T546*T546)+0.1909373936*IF(OR(F546="Utility",G546="Utility"),T546,0)+0.9656824071*R546-1.7517683256*S546+W546+X546+Y546)</f>
        <v/>
      </c>
      <c r="AB546">
        <f>LOOKUP(AA546,Grade_Scale!$A$2:$A$18,Grade_Scale!$B$2:$B$18)</f>
        <v/>
      </c>
      <c r="AC546">
        <f>LOOKUP(AA546,Grade_Scale!$A$2:$A$18,Grade_Scale!$C$2:$C$18)</f>
        <v/>
      </c>
      <c r="AE546">
        <f>IF(AD546="","",AB546-VLOOKUP(AD546,Grade_Scale!$C$2:$E$18,3,FALSE))</f>
        <v/>
      </c>
    </row>
    <row r="547">
      <c r="Q547">
        <f>IF(OR(B547="SP",B547="RP",B547="CP",B547="SP/RP"),"P","H")</f>
        <v/>
      </c>
      <c r="R547">
        <f>IF(F547="",0,IFNA(VLOOKUP(F547,Trait_Polarity!$A:$C,2,FALSE),0))+IF(G547="",0,IFNA(VLOOKUP(G547,Trait_Polarity!$A:$C,2,FALSE),0))</f>
        <v/>
      </c>
      <c r="S547">
        <f>IF(F547="",0,IFNA(VLOOKUP(F547,Trait_Polarity!$A:$C,3,FALSE),0))+IF(G547="",0,IFNA(VLOOKUP(G547,Trait_Polarity!$A:$C,3,FALSE),0))</f>
        <v/>
      </c>
      <c r="T547">
        <f>IF(Q547="P",0,IFNA(VLOOKUP(IF(C547="","(none)",C547),Secondary_Versatility!$A:$B,2,FALSE),0))</f>
        <v/>
      </c>
      <c r="U547">
        <f>IF(H547="",0,LEN(H547)-LEN(SUBSTITUTE(H547,"|",""))+1)</f>
        <v/>
      </c>
      <c r="V547">
        <f>IF(Q547="P",(N547+O547+P547)/3,0.3*I547+0.3*J547+0.2*K547+0.1*L547+0.1*M547)</f>
        <v/>
      </c>
      <c r="W547">
        <f>IF(Q547="P",IF(F547="",0,IFNA(VLOOKUP(F547,Pitcher_Trait_Coef!$A:$B,2,FALSE),0))+IF(G547="",0,IFNA(VLOOKUP(G547,Pitcher_Trait_Coef!$A:$B,2,FALSE),0)),IF(F547="",0,IFNA(VLOOKUP(F547,Hitter_Trait_Coef!$A:$B,2,FALSE),0))+IF(G547="",0,IFNA(VLOOKUP(G547,Hitter_Trait_Coef!$A:$B,2,FALSE),0)))</f>
        <v/>
      </c>
      <c r="X547">
        <f>IF(Q547="P",IFNA(VLOOKUP(B547,Pitcher_Primary_Coef!$A:$B,2,FALSE),0),IFNA(VLOOKUP(B547,Hitter_Primary_Coef!$A:$B,2,FALSE),0))</f>
        <v/>
      </c>
      <c r="Y547">
        <f>IF(Q547="P",0,IFNA(VLOOKUP(IF(C547="","(none)",C547),Hitter_Secondary_Coef!$A:$B,2,FALSE),0))</f>
        <v/>
      </c>
      <c r="Z547">
        <f>IF(Q547="P",IF(ISNUMBER(SEARCH("2F",H547)),IFNA(VLOOKUP("2F",Pitch_Coef!$A:$B,2,FALSE),0),0)+IF(ISNUMBER(SEARCH("4F",H547)),IFNA(VLOOKUP("4F",Pitch_Coef!$A:$B,2,FALSE),0),0)+IF(ISNUMBER(SEARCH("CB",H547)),IFNA(VLOOKUP("CB",Pitch_Coef!$A:$B,2,FALSE),0),0)+IF(ISNUMBER(SEARCH("CF",H547)),IFNA(VLOOKUP("CF",Pitch_Coef!$A:$B,2,FALSE),0),0)+IF(ISNUMBER(SEARCH("CH",H547)),IFNA(VLOOKUP("CH",Pitch_Coef!$A:$B,2,FALSE),0),0)+IF(ISNUMBER(SEARCH("FK",H547)),IFNA(VLOOKUP("FK",Pitch_Coef!$A:$B,2,FALSE),0),0)+IF(ISNUMBER(SEARCH("SB",H547)),IFNA(VLOOKUP("SB",Pitch_Coef!$A:$B,2,FALSE),0),0)+IF(ISNUMBER(SEARCH("SL",H547)),IFNA(VLOOKUP("SL",Pitch_Coef!$A:$B,2,FALSE),0),0),0)</f>
        <v/>
      </c>
      <c r="AA547">
        <f>IF(Q547="P",16.5944849573+0.2529999141*N547+0.2665900378*O547+0.2632687105*P547+0.0427586837*I547+0.0534777057*J547+0.009015832*K547+0.0204898106*(O547*P547/100)+1.0091022427*U547+1.0968542297*IF(D547="L",1,0)+0.3771555045*IF(D547="S",1,0)-0.2226159177*IF(E547="L",1,0)+1.21385024*R547-1.1652812274*S547+W547+X547+Z547,10.5965166711+0.2825983581*I547+0.2806503532*J547+0.2027213083*K547+0.1147824982*L547+0.0915305332*M547-0.0088454122*(I547*J547/100)-0.0336045706*(K547*L547/100)+2.8497389733*IF(D547="L",1,0)+4.5116226727*IF(D547="S",1,0)-0.6571546448*IF(E547="L",1,0)+0.0850728147*T547+0.0129488446*(T547*T547)+0.1909373936*IF(OR(F547="Utility",G547="Utility"),T547,0)+0.9656824071*R547-1.7517683256*S547+W547+X547+Y547)</f>
        <v/>
      </c>
      <c r="AB547">
        <f>LOOKUP(AA547,Grade_Scale!$A$2:$A$18,Grade_Scale!$B$2:$B$18)</f>
        <v/>
      </c>
      <c r="AC547">
        <f>LOOKUP(AA547,Grade_Scale!$A$2:$A$18,Grade_Scale!$C$2:$C$18)</f>
        <v/>
      </c>
      <c r="AE547">
        <f>IF(AD547="","",AB547-VLOOKUP(AD547,Grade_Scale!$C$2:$E$18,3,FALSE))</f>
        <v/>
      </c>
    </row>
    <row r="548">
      <c r="Q548">
        <f>IF(OR(B548="SP",B548="RP",B548="CP",B548="SP/RP"),"P","H")</f>
        <v/>
      </c>
      <c r="R548">
        <f>IF(F548="",0,IFNA(VLOOKUP(F548,Trait_Polarity!$A:$C,2,FALSE),0))+IF(G548="",0,IFNA(VLOOKUP(G548,Trait_Polarity!$A:$C,2,FALSE),0))</f>
        <v/>
      </c>
      <c r="S548">
        <f>IF(F548="",0,IFNA(VLOOKUP(F548,Trait_Polarity!$A:$C,3,FALSE),0))+IF(G548="",0,IFNA(VLOOKUP(G548,Trait_Polarity!$A:$C,3,FALSE),0))</f>
        <v/>
      </c>
      <c r="T548">
        <f>IF(Q548="P",0,IFNA(VLOOKUP(IF(C548="","(none)",C548),Secondary_Versatility!$A:$B,2,FALSE),0))</f>
        <v/>
      </c>
      <c r="U548">
        <f>IF(H548="",0,LEN(H548)-LEN(SUBSTITUTE(H548,"|",""))+1)</f>
        <v/>
      </c>
      <c r="V548">
        <f>IF(Q548="P",(N548+O548+P548)/3,0.3*I548+0.3*J548+0.2*K548+0.1*L548+0.1*M548)</f>
        <v/>
      </c>
      <c r="W548">
        <f>IF(Q548="P",IF(F548="",0,IFNA(VLOOKUP(F548,Pitcher_Trait_Coef!$A:$B,2,FALSE),0))+IF(G548="",0,IFNA(VLOOKUP(G548,Pitcher_Trait_Coef!$A:$B,2,FALSE),0)),IF(F548="",0,IFNA(VLOOKUP(F548,Hitter_Trait_Coef!$A:$B,2,FALSE),0))+IF(G548="",0,IFNA(VLOOKUP(G548,Hitter_Trait_Coef!$A:$B,2,FALSE),0)))</f>
        <v/>
      </c>
      <c r="X548">
        <f>IF(Q548="P",IFNA(VLOOKUP(B548,Pitcher_Primary_Coef!$A:$B,2,FALSE),0),IFNA(VLOOKUP(B548,Hitter_Primary_Coef!$A:$B,2,FALSE),0))</f>
        <v/>
      </c>
      <c r="Y548">
        <f>IF(Q548="P",0,IFNA(VLOOKUP(IF(C548="","(none)",C548),Hitter_Secondary_Coef!$A:$B,2,FALSE),0))</f>
        <v/>
      </c>
      <c r="Z548">
        <f>IF(Q548="P",IF(ISNUMBER(SEARCH("2F",H548)),IFNA(VLOOKUP("2F",Pitch_Coef!$A:$B,2,FALSE),0),0)+IF(ISNUMBER(SEARCH("4F",H548)),IFNA(VLOOKUP("4F",Pitch_Coef!$A:$B,2,FALSE),0),0)+IF(ISNUMBER(SEARCH("CB",H548)),IFNA(VLOOKUP("CB",Pitch_Coef!$A:$B,2,FALSE),0),0)+IF(ISNUMBER(SEARCH("CF",H548)),IFNA(VLOOKUP("CF",Pitch_Coef!$A:$B,2,FALSE),0),0)+IF(ISNUMBER(SEARCH("CH",H548)),IFNA(VLOOKUP("CH",Pitch_Coef!$A:$B,2,FALSE),0),0)+IF(ISNUMBER(SEARCH("FK",H548)),IFNA(VLOOKUP("FK",Pitch_Coef!$A:$B,2,FALSE),0),0)+IF(ISNUMBER(SEARCH("SB",H548)),IFNA(VLOOKUP("SB",Pitch_Coef!$A:$B,2,FALSE),0),0)+IF(ISNUMBER(SEARCH("SL",H548)),IFNA(VLOOKUP("SL",Pitch_Coef!$A:$B,2,FALSE),0),0),0)</f>
        <v/>
      </c>
      <c r="AA548">
        <f>IF(Q548="P",16.5944849573+0.2529999141*N548+0.2665900378*O548+0.2632687105*P548+0.0427586837*I548+0.0534777057*J548+0.009015832*K548+0.0204898106*(O548*P548/100)+1.0091022427*U548+1.0968542297*IF(D548="L",1,0)+0.3771555045*IF(D548="S",1,0)-0.2226159177*IF(E548="L",1,0)+1.21385024*R548-1.1652812274*S548+W548+X548+Z548,10.5965166711+0.2825983581*I548+0.2806503532*J548+0.2027213083*K548+0.1147824982*L548+0.0915305332*M548-0.0088454122*(I548*J548/100)-0.0336045706*(K548*L548/100)+2.8497389733*IF(D548="L",1,0)+4.5116226727*IF(D548="S",1,0)-0.6571546448*IF(E548="L",1,0)+0.0850728147*T548+0.0129488446*(T548*T548)+0.1909373936*IF(OR(F548="Utility",G548="Utility"),T548,0)+0.9656824071*R548-1.7517683256*S548+W548+X548+Y548)</f>
        <v/>
      </c>
      <c r="AB548">
        <f>LOOKUP(AA548,Grade_Scale!$A$2:$A$18,Grade_Scale!$B$2:$B$18)</f>
        <v/>
      </c>
      <c r="AC548">
        <f>LOOKUP(AA548,Grade_Scale!$A$2:$A$18,Grade_Scale!$C$2:$C$18)</f>
        <v/>
      </c>
      <c r="AE548">
        <f>IF(AD548="","",AB548-VLOOKUP(AD548,Grade_Scale!$C$2:$E$18,3,FALSE))</f>
        <v/>
      </c>
    </row>
    <row r="549">
      <c r="Q549">
        <f>IF(OR(B549="SP",B549="RP",B549="CP",B549="SP/RP"),"P","H")</f>
        <v/>
      </c>
      <c r="R549">
        <f>IF(F549="",0,IFNA(VLOOKUP(F549,Trait_Polarity!$A:$C,2,FALSE),0))+IF(G549="",0,IFNA(VLOOKUP(G549,Trait_Polarity!$A:$C,2,FALSE),0))</f>
        <v/>
      </c>
      <c r="S549">
        <f>IF(F549="",0,IFNA(VLOOKUP(F549,Trait_Polarity!$A:$C,3,FALSE),0))+IF(G549="",0,IFNA(VLOOKUP(G549,Trait_Polarity!$A:$C,3,FALSE),0))</f>
        <v/>
      </c>
      <c r="T549">
        <f>IF(Q549="P",0,IFNA(VLOOKUP(IF(C549="","(none)",C549),Secondary_Versatility!$A:$B,2,FALSE),0))</f>
        <v/>
      </c>
      <c r="U549">
        <f>IF(H549="",0,LEN(H549)-LEN(SUBSTITUTE(H549,"|",""))+1)</f>
        <v/>
      </c>
      <c r="V549">
        <f>IF(Q549="P",(N549+O549+P549)/3,0.3*I549+0.3*J549+0.2*K549+0.1*L549+0.1*M549)</f>
        <v/>
      </c>
      <c r="W549">
        <f>IF(Q549="P",IF(F549="",0,IFNA(VLOOKUP(F549,Pitcher_Trait_Coef!$A:$B,2,FALSE),0))+IF(G549="",0,IFNA(VLOOKUP(G549,Pitcher_Trait_Coef!$A:$B,2,FALSE),0)),IF(F549="",0,IFNA(VLOOKUP(F549,Hitter_Trait_Coef!$A:$B,2,FALSE),0))+IF(G549="",0,IFNA(VLOOKUP(G549,Hitter_Trait_Coef!$A:$B,2,FALSE),0)))</f>
        <v/>
      </c>
      <c r="X549">
        <f>IF(Q549="P",IFNA(VLOOKUP(B549,Pitcher_Primary_Coef!$A:$B,2,FALSE),0),IFNA(VLOOKUP(B549,Hitter_Primary_Coef!$A:$B,2,FALSE),0))</f>
        <v/>
      </c>
      <c r="Y549">
        <f>IF(Q549="P",0,IFNA(VLOOKUP(IF(C549="","(none)",C549),Hitter_Secondary_Coef!$A:$B,2,FALSE),0))</f>
        <v/>
      </c>
      <c r="Z549">
        <f>IF(Q549="P",IF(ISNUMBER(SEARCH("2F",H549)),IFNA(VLOOKUP("2F",Pitch_Coef!$A:$B,2,FALSE),0),0)+IF(ISNUMBER(SEARCH("4F",H549)),IFNA(VLOOKUP("4F",Pitch_Coef!$A:$B,2,FALSE),0),0)+IF(ISNUMBER(SEARCH("CB",H549)),IFNA(VLOOKUP("CB",Pitch_Coef!$A:$B,2,FALSE),0),0)+IF(ISNUMBER(SEARCH("CF",H549)),IFNA(VLOOKUP("CF",Pitch_Coef!$A:$B,2,FALSE),0),0)+IF(ISNUMBER(SEARCH("CH",H549)),IFNA(VLOOKUP("CH",Pitch_Coef!$A:$B,2,FALSE),0),0)+IF(ISNUMBER(SEARCH("FK",H549)),IFNA(VLOOKUP("FK",Pitch_Coef!$A:$B,2,FALSE),0),0)+IF(ISNUMBER(SEARCH("SB",H549)),IFNA(VLOOKUP("SB",Pitch_Coef!$A:$B,2,FALSE),0),0)+IF(ISNUMBER(SEARCH("SL",H549)),IFNA(VLOOKUP("SL",Pitch_Coef!$A:$B,2,FALSE),0),0),0)</f>
        <v/>
      </c>
      <c r="AA549">
        <f>IF(Q549="P",16.5944849573+0.2529999141*N549+0.2665900378*O549+0.2632687105*P549+0.0427586837*I549+0.0534777057*J549+0.009015832*K549+0.0204898106*(O549*P549/100)+1.0091022427*U549+1.0968542297*IF(D549="L",1,0)+0.3771555045*IF(D549="S",1,0)-0.2226159177*IF(E549="L",1,0)+1.21385024*R549-1.1652812274*S549+W549+X549+Z549,10.5965166711+0.2825983581*I549+0.2806503532*J549+0.2027213083*K549+0.1147824982*L549+0.0915305332*M549-0.0088454122*(I549*J549/100)-0.0336045706*(K549*L549/100)+2.8497389733*IF(D549="L",1,0)+4.5116226727*IF(D549="S",1,0)-0.6571546448*IF(E549="L",1,0)+0.0850728147*T549+0.0129488446*(T549*T549)+0.1909373936*IF(OR(F549="Utility",G549="Utility"),T549,0)+0.9656824071*R549-1.7517683256*S549+W549+X549+Y549)</f>
        <v/>
      </c>
      <c r="AB549">
        <f>LOOKUP(AA549,Grade_Scale!$A$2:$A$18,Grade_Scale!$B$2:$B$18)</f>
        <v/>
      </c>
      <c r="AC549">
        <f>LOOKUP(AA549,Grade_Scale!$A$2:$A$18,Grade_Scale!$C$2:$C$18)</f>
        <v/>
      </c>
      <c r="AE549">
        <f>IF(AD549="","",AB549-VLOOKUP(AD549,Grade_Scale!$C$2:$E$18,3,FALSE))</f>
        <v/>
      </c>
    </row>
    <row r="550">
      <c r="Q550">
        <f>IF(OR(B550="SP",B550="RP",B550="CP",B550="SP/RP"),"P","H")</f>
        <v/>
      </c>
      <c r="R550">
        <f>IF(F550="",0,IFNA(VLOOKUP(F550,Trait_Polarity!$A:$C,2,FALSE),0))+IF(G550="",0,IFNA(VLOOKUP(G550,Trait_Polarity!$A:$C,2,FALSE),0))</f>
        <v/>
      </c>
      <c r="S550">
        <f>IF(F550="",0,IFNA(VLOOKUP(F550,Trait_Polarity!$A:$C,3,FALSE),0))+IF(G550="",0,IFNA(VLOOKUP(G550,Trait_Polarity!$A:$C,3,FALSE),0))</f>
        <v/>
      </c>
      <c r="T550">
        <f>IF(Q550="P",0,IFNA(VLOOKUP(IF(C550="","(none)",C550),Secondary_Versatility!$A:$B,2,FALSE),0))</f>
        <v/>
      </c>
      <c r="U550">
        <f>IF(H550="",0,LEN(H550)-LEN(SUBSTITUTE(H550,"|",""))+1)</f>
        <v/>
      </c>
      <c r="V550">
        <f>IF(Q550="P",(N550+O550+P550)/3,0.3*I550+0.3*J550+0.2*K550+0.1*L550+0.1*M550)</f>
        <v/>
      </c>
      <c r="W550">
        <f>IF(Q550="P",IF(F550="",0,IFNA(VLOOKUP(F550,Pitcher_Trait_Coef!$A:$B,2,FALSE),0))+IF(G550="",0,IFNA(VLOOKUP(G550,Pitcher_Trait_Coef!$A:$B,2,FALSE),0)),IF(F550="",0,IFNA(VLOOKUP(F550,Hitter_Trait_Coef!$A:$B,2,FALSE),0))+IF(G550="",0,IFNA(VLOOKUP(G550,Hitter_Trait_Coef!$A:$B,2,FALSE),0)))</f>
        <v/>
      </c>
      <c r="X550">
        <f>IF(Q550="P",IFNA(VLOOKUP(B550,Pitcher_Primary_Coef!$A:$B,2,FALSE),0),IFNA(VLOOKUP(B550,Hitter_Primary_Coef!$A:$B,2,FALSE),0))</f>
        <v/>
      </c>
      <c r="Y550">
        <f>IF(Q550="P",0,IFNA(VLOOKUP(IF(C550="","(none)",C550),Hitter_Secondary_Coef!$A:$B,2,FALSE),0))</f>
        <v/>
      </c>
      <c r="Z550">
        <f>IF(Q550="P",IF(ISNUMBER(SEARCH("2F",H550)),IFNA(VLOOKUP("2F",Pitch_Coef!$A:$B,2,FALSE),0),0)+IF(ISNUMBER(SEARCH("4F",H550)),IFNA(VLOOKUP("4F",Pitch_Coef!$A:$B,2,FALSE),0),0)+IF(ISNUMBER(SEARCH("CB",H550)),IFNA(VLOOKUP("CB",Pitch_Coef!$A:$B,2,FALSE),0),0)+IF(ISNUMBER(SEARCH("CF",H550)),IFNA(VLOOKUP("CF",Pitch_Coef!$A:$B,2,FALSE),0),0)+IF(ISNUMBER(SEARCH("CH",H550)),IFNA(VLOOKUP("CH",Pitch_Coef!$A:$B,2,FALSE),0),0)+IF(ISNUMBER(SEARCH("FK",H550)),IFNA(VLOOKUP("FK",Pitch_Coef!$A:$B,2,FALSE),0),0)+IF(ISNUMBER(SEARCH("SB",H550)),IFNA(VLOOKUP("SB",Pitch_Coef!$A:$B,2,FALSE),0),0)+IF(ISNUMBER(SEARCH("SL",H550)),IFNA(VLOOKUP("SL",Pitch_Coef!$A:$B,2,FALSE),0),0),0)</f>
        <v/>
      </c>
      <c r="AA550">
        <f>IF(Q550="P",16.5944849573+0.2529999141*N550+0.2665900378*O550+0.2632687105*P550+0.0427586837*I550+0.0534777057*J550+0.009015832*K550+0.0204898106*(O550*P550/100)+1.0091022427*U550+1.0968542297*IF(D550="L",1,0)+0.3771555045*IF(D550="S",1,0)-0.2226159177*IF(E550="L",1,0)+1.21385024*R550-1.1652812274*S550+W550+X550+Z550,10.5965166711+0.2825983581*I550+0.2806503532*J550+0.2027213083*K550+0.1147824982*L550+0.0915305332*M550-0.0088454122*(I550*J550/100)-0.0336045706*(K550*L550/100)+2.8497389733*IF(D550="L",1,0)+4.5116226727*IF(D550="S",1,0)-0.6571546448*IF(E550="L",1,0)+0.0850728147*T550+0.0129488446*(T550*T550)+0.1909373936*IF(OR(F550="Utility",G550="Utility"),T550,0)+0.9656824071*R550-1.7517683256*S550+W550+X550+Y550)</f>
        <v/>
      </c>
      <c r="AB550">
        <f>LOOKUP(AA550,Grade_Scale!$A$2:$A$18,Grade_Scale!$B$2:$B$18)</f>
        <v/>
      </c>
      <c r="AC550">
        <f>LOOKUP(AA550,Grade_Scale!$A$2:$A$18,Grade_Scale!$C$2:$C$18)</f>
        <v/>
      </c>
      <c r="AE550">
        <f>IF(AD550="","",AB550-VLOOKUP(AD550,Grade_Scale!$C$2:$E$18,3,FALSE))</f>
        <v/>
      </c>
    </row>
    <row r="551">
      <c r="Q551">
        <f>IF(OR(B551="SP",B551="RP",B551="CP",B551="SP/RP"),"P","H")</f>
        <v/>
      </c>
      <c r="R551">
        <f>IF(F551="",0,IFNA(VLOOKUP(F551,Trait_Polarity!$A:$C,2,FALSE),0))+IF(G551="",0,IFNA(VLOOKUP(G551,Trait_Polarity!$A:$C,2,FALSE),0))</f>
        <v/>
      </c>
      <c r="S551">
        <f>IF(F551="",0,IFNA(VLOOKUP(F551,Trait_Polarity!$A:$C,3,FALSE),0))+IF(G551="",0,IFNA(VLOOKUP(G551,Trait_Polarity!$A:$C,3,FALSE),0))</f>
        <v/>
      </c>
      <c r="T551">
        <f>IF(Q551="P",0,IFNA(VLOOKUP(IF(C551="","(none)",C551),Secondary_Versatility!$A:$B,2,FALSE),0))</f>
        <v/>
      </c>
      <c r="U551">
        <f>IF(H551="",0,LEN(H551)-LEN(SUBSTITUTE(H551,"|",""))+1)</f>
        <v/>
      </c>
      <c r="V551">
        <f>IF(Q551="P",(N551+O551+P551)/3,0.3*I551+0.3*J551+0.2*K551+0.1*L551+0.1*M551)</f>
        <v/>
      </c>
      <c r="W551">
        <f>IF(Q551="P",IF(F551="",0,IFNA(VLOOKUP(F551,Pitcher_Trait_Coef!$A:$B,2,FALSE),0))+IF(G551="",0,IFNA(VLOOKUP(G551,Pitcher_Trait_Coef!$A:$B,2,FALSE),0)),IF(F551="",0,IFNA(VLOOKUP(F551,Hitter_Trait_Coef!$A:$B,2,FALSE),0))+IF(G551="",0,IFNA(VLOOKUP(G551,Hitter_Trait_Coef!$A:$B,2,FALSE),0)))</f>
        <v/>
      </c>
      <c r="X551">
        <f>IF(Q551="P",IFNA(VLOOKUP(B551,Pitcher_Primary_Coef!$A:$B,2,FALSE),0),IFNA(VLOOKUP(B551,Hitter_Primary_Coef!$A:$B,2,FALSE),0))</f>
        <v/>
      </c>
      <c r="Y551">
        <f>IF(Q551="P",0,IFNA(VLOOKUP(IF(C551="","(none)",C551),Hitter_Secondary_Coef!$A:$B,2,FALSE),0))</f>
        <v/>
      </c>
      <c r="Z551">
        <f>IF(Q551="P",IF(ISNUMBER(SEARCH("2F",H551)),IFNA(VLOOKUP("2F",Pitch_Coef!$A:$B,2,FALSE),0),0)+IF(ISNUMBER(SEARCH("4F",H551)),IFNA(VLOOKUP("4F",Pitch_Coef!$A:$B,2,FALSE),0),0)+IF(ISNUMBER(SEARCH("CB",H551)),IFNA(VLOOKUP("CB",Pitch_Coef!$A:$B,2,FALSE),0),0)+IF(ISNUMBER(SEARCH("CF",H551)),IFNA(VLOOKUP("CF",Pitch_Coef!$A:$B,2,FALSE),0),0)+IF(ISNUMBER(SEARCH("CH",H551)),IFNA(VLOOKUP("CH",Pitch_Coef!$A:$B,2,FALSE),0),0)+IF(ISNUMBER(SEARCH("FK",H551)),IFNA(VLOOKUP("FK",Pitch_Coef!$A:$B,2,FALSE),0),0)+IF(ISNUMBER(SEARCH("SB",H551)),IFNA(VLOOKUP("SB",Pitch_Coef!$A:$B,2,FALSE),0),0)+IF(ISNUMBER(SEARCH("SL",H551)),IFNA(VLOOKUP("SL",Pitch_Coef!$A:$B,2,FALSE),0),0),0)</f>
        <v/>
      </c>
      <c r="AA551">
        <f>IF(Q551="P",16.5944849573+0.2529999141*N551+0.2665900378*O551+0.2632687105*P551+0.0427586837*I551+0.0534777057*J551+0.009015832*K551+0.0204898106*(O551*P551/100)+1.0091022427*U551+1.0968542297*IF(D551="L",1,0)+0.3771555045*IF(D551="S",1,0)-0.2226159177*IF(E551="L",1,0)+1.21385024*R551-1.1652812274*S551+W551+X551+Z551,10.5965166711+0.2825983581*I551+0.2806503532*J551+0.2027213083*K551+0.1147824982*L551+0.0915305332*M551-0.0088454122*(I551*J551/100)-0.0336045706*(K551*L551/100)+2.8497389733*IF(D551="L",1,0)+4.5116226727*IF(D551="S",1,0)-0.6571546448*IF(E551="L",1,0)+0.0850728147*T551+0.0129488446*(T551*T551)+0.1909373936*IF(OR(F551="Utility",G551="Utility"),T551,0)+0.9656824071*R551-1.7517683256*S551+W551+X551+Y551)</f>
        <v/>
      </c>
      <c r="AB551">
        <f>LOOKUP(AA551,Grade_Scale!$A$2:$A$18,Grade_Scale!$B$2:$B$18)</f>
        <v/>
      </c>
      <c r="AC551">
        <f>LOOKUP(AA551,Grade_Scale!$A$2:$A$18,Grade_Scale!$C$2:$C$18)</f>
        <v/>
      </c>
      <c r="AE551">
        <f>IF(AD551="","",AB551-VLOOKUP(AD551,Grade_Scale!$C$2:$E$18,3,FALSE))</f>
        <v/>
      </c>
    </row>
    <row r="552">
      <c r="Q552">
        <f>IF(OR(B552="SP",B552="RP",B552="CP",B552="SP/RP"),"P","H")</f>
        <v/>
      </c>
      <c r="R552">
        <f>IF(F552="",0,IFNA(VLOOKUP(F552,Trait_Polarity!$A:$C,2,FALSE),0))+IF(G552="",0,IFNA(VLOOKUP(G552,Trait_Polarity!$A:$C,2,FALSE),0))</f>
        <v/>
      </c>
      <c r="S552">
        <f>IF(F552="",0,IFNA(VLOOKUP(F552,Trait_Polarity!$A:$C,3,FALSE),0))+IF(G552="",0,IFNA(VLOOKUP(G552,Trait_Polarity!$A:$C,3,FALSE),0))</f>
        <v/>
      </c>
      <c r="T552">
        <f>IF(Q552="P",0,IFNA(VLOOKUP(IF(C552="","(none)",C552),Secondary_Versatility!$A:$B,2,FALSE),0))</f>
        <v/>
      </c>
      <c r="U552">
        <f>IF(H552="",0,LEN(H552)-LEN(SUBSTITUTE(H552,"|",""))+1)</f>
        <v/>
      </c>
      <c r="V552">
        <f>IF(Q552="P",(N552+O552+P552)/3,0.3*I552+0.3*J552+0.2*K552+0.1*L552+0.1*M552)</f>
        <v/>
      </c>
      <c r="W552">
        <f>IF(Q552="P",IF(F552="",0,IFNA(VLOOKUP(F552,Pitcher_Trait_Coef!$A:$B,2,FALSE),0))+IF(G552="",0,IFNA(VLOOKUP(G552,Pitcher_Trait_Coef!$A:$B,2,FALSE),0)),IF(F552="",0,IFNA(VLOOKUP(F552,Hitter_Trait_Coef!$A:$B,2,FALSE),0))+IF(G552="",0,IFNA(VLOOKUP(G552,Hitter_Trait_Coef!$A:$B,2,FALSE),0)))</f>
        <v/>
      </c>
      <c r="X552">
        <f>IF(Q552="P",IFNA(VLOOKUP(B552,Pitcher_Primary_Coef!$A:$B,2,FALSE),0),IFNA(VLOOKUP(B552,Hitter_Primary_Coef!$A:$B,2,FALSE),0))</f>
        <v/>
      </c>
      <c r="Y552">
        <f>IF(Q552="P",0,IFNA(VLOOKUP(IF(C552="","(none)",C552),Hitter_Secondary_Coef!$A:$B,2,FALSE),0))</f>
        <v/>
      </c>
      <c r="Z552">
        <f>IF(Q552="P",IF(ISNUMBER(SEARCH("2F",H552)),IFNA(VLOOKUP("2F",Pitch_Coef!$A:$B,2,FALSE),0),0)+IF(ISNUMBER(SEARCH("4F",H552)),IFNA(VLOOKUP("4F",Pitch_Coef!$A:$B,2,FALSE),0),0)+IF(ISNUMBER(SEARCH("CB",H552)),IFNA(VLOOKUP("CB",Pitch_Coef!$A:$B,2,FALSE),0),0)+IF(ISNUMBER(SEARCH("CF",H552)),IFNA(VLOOKUP("CF",Pitch_Coef!$A:$B,2,FALSE),0),0)+IF(ISNUMBER(SEARCH("CH",H552)),IFNA(VLOOKUP("CH",Pitch_Coef!$A:$B,2,FALSE),0),0)+IF(ISNUMBER(SEARCH("FK",H552)),IFNA(VLOOKUP("FK",Pitch_Coef!$A:$B,2,FALSE),0),0)+IF(ISNUMBER(SEARCH("SB",H552)),IFNA(VLOOKUP("SB",Pitch_Coef!$A:$B,2,FALSE),0),0)+IF(ISNUMBER(SEARCH("SL",H552)),IFNA(VLOOKUP("SL",Pitch_Coef!$A:$B,2,FALSE),0),0),0)</f>
        <v/>
      </c>
      <c r="AA552">
        <f>IF(Q552="P",16.5944849573+0.2529999141*N552+0.2665900378*O552+0.2632687105*P552+0.0427586837*I552+0.0534777057*J552+0.009015832*K552+0.0204898106*(O552*P552/100)+1.0091022427*U552+1.0968542297*IF(D552="L",1,0)+0.3771555045*IF(D552="S",1,0)-0.2226159177*IF(E552="L",1,0)+1.21385024*R552-1.1652812274*S552+W552+X552+Z552,10.5965166711+0.2825983581*I552+0.2806503532*J552+0.2027213083*K552+0.1147824982*L552+0.0915305332*M552-0.0088454122*(I552*J552/100)-0.0336045706*(K552*L552/100)+2.8497389733*IF(D552="L",1,0)+4.5116226727*IF(D552="S",1,0)-0.6571546448*IF(E552="L",1,0)+0.0850728147*T552+0.0129488446*(T552*T552)+0.1909373936*IF(OR(F552="Utility",G552="Utility"),T552,0)+0.9656824071*R552-1.7517683256*S552+W552+X552+Y552)</f>
        <v/>
      </c>
      <c r="AB552">
        <f>LOOKUP(AA552,Grade_Scale!$A$2:$A$18,Grade_Scale!$B$2:$B$18)</f>
        <v/>
      </c>
      <c r="AC552">
        <f>LOOKUP(AA552,Grade_Scale!$A$2:$A$18,Grade_Scale!$C$2:$C$18)</f>
        <v/>
      </c>
      <c r="AE552">
        <f>IF(AD552="","",AB552-VLOOKUP(AD552,Grade_Scale!$C$2:$E$18,3,FALSE))</f>
        <v/>
      </c>
    </row>
    <row r="553">
      <c r="Q553">
        <f>IF(OR(B553="SP",B553="RP",B553="CP",B553="SP/RP"),"P","H")</f>
        <v/>
      </c>
      <c r="R553">
        <f>IF(F553="",0,IFNA(VLOOKUP(F553,Trait_Polarity!$A:$C,2,FALSE),0))+IF(G553="",0,IFNA(VLOOKUP(G553,Trait_Polarity!$A:$C,2,FALSE),0))</f>
        <v/>
      </c>
      <c r="S553">
        <f>IF(F553="",0,IFNA(VLOOKUP(F553,Trait_Polarity!$A:$C,3,FALSE),0))+IF(G553="",0,IFNA(VLOOKUP(G553,Trait_Polarity!$A:$C,3,FALSE),0))</f>
        <v/>
      </c>
      <c r="T553">
        <f>IF(Q553="P",0,IFNA(VLOOKUP(IF(C553="","(none)",C553),Secondary_Versatility!$A:$B,2,FALSE),0))</f>
        <v/>
      </c>
      <c r="U553">
        <f>IF(H553="",0,LEN(H553)-LEN(SUBSTITUTE(H553,"|",""))+1)</f>
        <v/>
      </c>
      <c r="V553">
        <f>IF(Q553="P",(N553+O553+P553)/3,0.3*I553+0.3*J553+0.2*K553+0.1*L553+0.1*M553)</f>
        <v/>
      </c>
      <c r="W553">
        <f>IF(Q553="P",IF(F553="",0,IFNA(VLOOKUP(F553,Pitcher_Trait_Coef!$A:$B,2,FALSE),0))+IF(G553="",0,IFNA(VLOOKUP(G553,Pitcher_Trait_Coef!$A:$B,2,FALSE),0)),IF(F553="",0,IFNA(VLOOKUP(F553,Hitter_Trait_Coef!$A:$B,2,FALSE),0))+IF(G553="",0,IFNA(VLOOKUP(G553,Hitter_Trait_Coef!$A:$B,2,FALSE),0)))</f>
        <v/>
      </c>
      <c r="X553">
        <f>IF(Q553="P",IFNA(VLOOKUP(B553,Pitcher_Primary_Coef!$A:$B,2,FALSE),0),IFNA(VLOOKUP(B553,Hitter_Primary_Coef!$A:$B,2,FALSE),0))</f>
        <v/>
      </c>
      <c r="Y553">
        <f>IF(Q553="P",0,IFNA(VLOOKUP(IF(C553="","(none)",C553),Hitter_Secondary_Coef!$A:$B,2,FALSE),0))</f>
        <v/>
      </c>
      <c r="Z553">
        <f>IF(Q553="P",IF(ISNUMBER(SEARCH("2F",H553)),IFNA(VLOOKUP("2F",Pitch_Coef!$A:$B,2,FALSE),0),0)+IF(ISNUMBER(SEARCH("4F",H553)),IFNA(VLOOKUP("4F",Pitch_Coef!$A:$B,2,FALSE),0),0)+IF(ISNUMBER(SEARCH("CB",H553)),IFNA(VLOOKUP("CB",Pitch_Coef!$A:$B,2,FALSE),0),0)+IF(ISNUMBER(SEARCH("CF",H553)),IFNA(VLOOKUP("CF",Pitch_Coef!$A:$B,2,FALSE),0),0)+IF(ISNUMBER(SEARCH("CH",H553)),IFNA(VLOOKUP("CH",Pitch_Coef!$A:$B,2,FALSE),0),0)+IF(ISNUMBER(SEARCH("FK",H553)),IFNA(VLOOKUP("FK",Pitch_Coef!$A:$B,2,FALSE),0),0)+IF(ISNUMBER(SEARCH("SB",H553)),IFNA(VLOOKUP("SB",Pitch_Coef!$A:$B,2,FALSE),0),0)+IF(ISNUMBER(SEARCH("SL",H553)),IFNA(VLOOKUP("SL",Pitch_Coef!$A:$B,2,FALSE),0),0),0)</f>
        <v/>
      </c>
      <c r="AA553">
        <f>IF(Q553="P",16.5944849573+0.2529999141*N553+0.2665900378*O553+0.2632687105*P553+0.0427586837*I553+0.0534777057*J553+0.009015832*K553+0.0204898106*(O553*P553/100)+1.0091022427*U553+1.0968542297*IF(D553="L",1,0)+0.3771555045*IF(D553="S",1,0)-0.2226159177*IF(E553="L",1,0)+1.21385024*R553-1.1652812274*S553+W553+X553+Z553,10.5965166711+0.2825983581*I553+0.2806503532*J553+0.2027213083*K553+0.1147824982*L553+0.0915305332*M553-0.0088454122*(I553*J553/100)-0.0336045706*(K553*L553/100)+2.8497389733*IF(D553="L",1,0)+4.5116226727*IF(D553="S",1,0)-0.6571546448*IF(E553="L",1,0)+0.0850728147*T553+0.0129488446*(T553*T553)+0.1909373936*IF(OR(F553="Utility",G553="Utility"),T553,0)+0.9656824071*R553-1.7517683256*S553+W553+X553+Y553)</f>
        <v/>
      </c>
      <c r="AB553">
        <f>LOOKUP(AA553,Grade_Scale!$A$2:$A$18,Grade_Scale!$B$2:$B$18)</f>
        <v/>
      </c>
      <c r="AC553">
        <f>LOOKUP(AA553,Grade_Scale!$A$2:$A$18,Grade_Scale!$C$2:$C$18)</f>
        <v/>
      </c>
      <c r="AE553">
        <f>IF(AD553="","",AB553-VLOOKUP(AD553,Grade_Scale!$C$2:$E$18,3,FALSE))</f>
        <v/>
      </c>
    </row>
    <row r="554">
      <c r="Q554">
        <f>IF(OR(B554="SP",B554="RP",B554="CP",B554="SP/RP"),"P","H")</f>
        <v/>
      </c>
      <c r="R554">
        <f>IF(F554="",0,IFNA(VLOOKUP(F554,Trait_Polarity!$A:$C,2,FALSE),0))+IF(G554="",0,IFNA(VLOOKUP(G554,Trait_Polarity!$A:$C,2,FALSE),0))</f>
        <v/>
      </c>
      <c r="S554">
        <f>IF(F554="",0,IFNA(VLOOKUP(F554,Trait_Polarity!$A:$C,3,FALSE),0))+IF(G554="",0,IFNA(VLOOKUP(G554,Trait_Polarity!$A:$C,3,FALSE),0))</f>
        <v/>
      </c>
      <c r="T554">
        <f>IF(Q554="P",0,IFNA(VLOOKUP(IF(C554="","(none)",C554),Secondary_Versatility!$A:$B,2,FALSE),0))</f>
        <v/>
      </c>
      <c r="U554">
        <f>IF(H554="",0,LEN(H554)-LEN(SUBSTITUTE(H554,"|",""))+1)</f>
        <v/>
      </c>
      <c r="V554">
        <f>IF(Q554="P",(N554+O554+P554)/3,0.3*I554+0.3*J554+0.2*K554+0.1*L554+0.1*M554)</f>
        <v/>
      </c>
      <c r="W554">
        <f>IF(Q554="P",IF(F554="",0,IFNA(VLOOKUP(F554,Pitcher_Trait_Coef!$A:$B,2,FALSE),0))+IF(G554="",0,IFNA(VLOOKUP(G554,Pitcher_Trait_Coef!$A:$B,2,FALSE),0)),IF(F554="",0,IFNA(VLOOKUP(F554,Hitter_Trait_Coef!$A:$B,2,FALSE),0))+IF(G554="",0,IFNA(VLOOKUP(G554,Hitter_Trait_Coef!$A:$B,2,FALSE),0)))</f>
        <v/>
      </c>
      <c r="X554">
        <f>IF(Q554="P",IFNA(VLOOKUP(B554,Pitcher_Primary_Coef!$A:$B,2,FALSE),0),IFNA(VLOOKUP(B554,Hitter_Primary_Coef!$A:$B,2,FALSE),0))</f>
        <v/>
      </c>
      <c r="Y554">
        <f>IF(Q554="P",0,IFNA(VLOOKUP(IF(C554="","(none)",C554),Hitter_Secondary_Coef!$A:$B,2,FALSE),0))</f>
        <v/>
      </c>
      <c r="Z554">
        <f>IF(Q554="P",IF(ISNUMBER(SEARCH("2F",H554)),IFNA(VLOOKUP("2F",Pitch_Coef!$A:$B,2,FALSE),0),0)+IF(ISNUMBER(SEARCH("4F",H554)),IFNA(VLOOKUP("4F",Pitch_Coef!$A:$B,2,FALSE),0),0)+IF(ISNUMBER(SEARCH("CB",H554)),IFNA(VLOOKUP("CB",Pitch_Coef!$A:$B,2,FALSE),0),0)+IF(ISNUMBER(SEARCH("CF",H554)),IFNA(VLOOKUP("CF",Pitch_Coef!$A:$B,2,FALSE),0),0)+IF(ISNUMBER(SEARCH("CH",H554)),IFNA(VLOOKUP("CH",Pitch_Coef!$A:$B,2,FALSE),0),0)+IF(ISNUMBER(SEARCH("FK",H554)),IFNA(VLOOKUP("FK",Pitch_Coef!$A:$B,2,FALSE),0),0)+IF(ISNUMBER(SEARCH("SB",H554)),IFNA(VLOOKUP("SB",Pitch_Coef!$A:$B,2,FALSE),0),0)+IF(ISNUMBER(SEARCH("SL",H554)),IFNA(VLOOKUP("SL",Pitch_Coef!$A:$B,2,FALSE),0),0),0)</f>
        <v/>
      </c>
      <c r="AA554">
        <f>IF(Q554="P",16.5944849573+0.2529999141*N554+0.2665900378*O554+0.2632687105*P554+0.0427586837*I554+0.0534777057*J554+0.009015832*K554+0.0204898106*(O554*P554/100)+1.0091022427*U554+1.0968542297*IF(D554="L",1,0)+0.3771555045*IF(D554="S",1,0)-0.2226159177*IF(E554="L",1,0)+1.21385024*R554-1.1652812274*S554+W554+X554+Z554,10.5965166711+0.2825983581*I554+0.2806503532*J554+0.2027213083*K554+0.1147824982*L554+0.0915305332*M554-0.0088454122*(I554*J554/100)-0.0336045706*(K554*L554/100)+2.8497389733*IF(D554="L",1,0)+4.5116226727*IF(D554="S",1,0)-0.6571546448*IF(E554="L",1,0)+0.0850728147*T554+0.0129488446*(T554*T554)+0.1909373936*IF(OR(F554="Utility",G554="Utility"),T554,0)+0.9656824071*R554-1.7517683256*S554+W554+X554+Y554)</f>
        <v/>
      </c>
      <c r="AB554">
        <f>LOOKUP(AA554,Grade_Scale!$A$2:$A$18,Grade_Scale!$B$2:$B$18)</f>
        <v/>
      </c>
      <c r="AC554">
        <f>LOOKUP(AA554,Grade_Scale!$A$2:$A$18,Grade_Scale!$C$2:$C$18)</f>
        <v/>
      </c>
      <c r="AE554">
        <f>IF(AD554="","",AB554-VLOOKUP(AD554,Grade_Scale!$C$2:$E$18,3,FALSE))</f>
        <v/>
      </c>
    </row>
    <row r="555">
      <c r="Q555">
        <f>IF(OR(B555="SP",B555="RP",B555="CP",B555="SP/RP"),"P","H")</f>
        <v/>
      </c>
      <c r="R555">
        <f>IF(F555="",0,IFNA(VLOOKUP(F555,Trait_Polarity!$A:$C,2,FALSE),0))+IF(G555="",0,IFNA(VLOOKUP(G555,Trait_Polarity!$A:$C,2,FALSE),0))</f>
        <v/>
      </c>
      <c r="S555">
        <f>IF(F555="",0,IFNA(VLOOKUP(F555,Trait_Polarity!$A:$C,3,FALSE),0))+IF(G555="",0,IFNA(VLOOKUP(G555,Trait_Polarity!$A:$C,3,FALSE),0))</f>
        <v/>
      </c>
      <c r="T555">
        <f>IF(Q555="P",0,IFNA(VLOOKUP(IF(C555="","(none)",C555),Secondary_Versatility!$A:$B,2,FALSE),0))</f>
        <v/>
      </c>
      <c r="U555">
        <f>IF(H555="",0,LEN(H555)-LEN(SUBSTITUTE(H555,"|",""))+1)</f>
        <v/>
      </c>
      <c r="V555">
        <f>IF(Q555="P",(N555+O555+P555)/3,0.3*I555+0.3*J555+0.2*K555+0.1*L555+0.1*M555)</f>
        <v/>
      </c>
      <c r="W555">
        <f>IF(Q555="P",IF(F555="",0,IFNA(VLOOKUP(F555,Pitcher_Trait_Coef!$A:$B,2,FALSE),0))+IF(G555="",0,IFNA(VLOOKUP(G555,Pitcher_Trait_Coef!$A:$B,2,FALSE),0)),IF(F555="",0,IFNA(VLOOKUP(F555,Hitter_Trait_Coef!$A:$B,2,FALSE),0))+IF(G555="",0,IFNA(VLOOKUP(G555,Hitter_Trait_Coef!$A:$B,2,FALSE),0)))</f>
        <v/>
      </c>
      <c r="X555">
        <f>IF(Q555="P",IFNA(VLOOKUP(B555,Pitcher_Primary_Coef!$A:$B,2,FALSE),0),IFNA(VLOOKUP(B555,Hitter_Primary_Coef!$A:$B,2,FALSE),0))</f>
        <v/>
      </c>
      <c r="Y555">
        <f>IF(Q555="P",0,IFNA(VLOOKUP(IF(C555="","(none)",C555),Hitter_Secondary_Coef!$A:$B,2,FALSE),0))</f>
        <v/>
      </c>
      <c r="Z555">
        <f>IF(Q555="P",IF(ISNUMBER(SEARCH("2F",H555)),IFNA(VLOOKUP("2F",Pitch_Coef!$A:$B,2,FALSE),0),0)+IF(ISNUMBER(SEARCH("4F",H555)),IFNA(VLOOKUP("4F",Pitch_Coef!$A:$B,2,FALSE),0),0)+IF(ISNUMBER(SEARCH("CB",H555)),IFNA(VLOOKUP("CB",Pitch_Coef!$A:$B,2,FALSE),0),0)+IF(ISNUMBER(SEARCH("CF",H555)),IFNA(VLOOKUP("CF",Pitch_Coef!$A:$B,2,FALSE),0),0)+IF(ISNUMBER(SEARCH("CH",H555)),IFNA(VLOOKUP("CH",Pitch_Coef!$A:$B,2,FALSE),0),0)+IF(ISNUMBER(SEARCH("FK",H555)),IFNA(VLOOKUP("FK",Pitch_Coef!$A:$B,2,FALSE),0),0)+IF(ISNUMBER(SEARCH("SB",H555)),IFNA(VLOOKUP("SB",Pitch_Coef!$A:$B,2,FALSE),0),0)+IF(ISNUMBER(SEARCH("SL",H555)),IFNA(VLOOKUP("SL",Pitch_Coef!$A:$B,2,FALSE),0),0),0)</f>
        <v/>
      </c>
      <c r="AA555">
        <f>IF(Q555="P",16.5944849573+0.2529999141*N555+0.2665900378*O555+0.2632687105*P555+0.0427586837*I555+0.0534777057*J555+0.009015832*K555+0.0204898106*(O555*P555/100)+1.0091022427*U555+1.0968542297*IF(D555="L",1,0)+0.3771555045*IF(D555="S",1,0)-0.2226159177*IF(E555="L",1,0)+1.21385024*R555-1.1652812274*S555+W555+X555+Z555,10.5965166711+0.2825983581*I555+0.2806503532*J555+0.2027213083*K555+0.1147824982*L555+0.0915305332*M555-0.0088454122*(I555*J555/100)-0.0336045706*(K555*L555/100)+2.8497389733*IF(D555="L",1,0)+4.5116226727*IF(D555="S",1,0)-0.6571546448*IF(E555="L",1,0)+0.0850728147*T555+0.0129488446*(T555*T555)+0.1909373936*IF(OR(F555="Utility",G555="Utility"),T555,0)+0.9656824071*R555-1.7517683256*S555+W555+X555+Y555)</f>
        <v/>
      </c>
      <c r="AB555">
        <f>LOOKUP(AA555,Grade_Scale!$A$2:$A$18,Grade_Scale!$B$2:$B$18)</f>
        <v/>
      </c>
      <c r="AC555">
        <f>LOOKUP(AA555,Grade_Scale!$A$2:$A$18,Grade_Scale!$C$2:$C$18)</f>
        <v/>
      </c>
      <c r="AE555">
        <f>IF(AD555="","",AB555-VLOOKUP(AD555,Grade_Scale!$C$2:$E$18,3,FALSE))</f>
        <v/>
      </c>
    </row>
    <row r="556">
      <c r="Q556">
        <f>IF(OR(B556="SP",B556="RP",B556="CP",B556="SP/RP"),"P","H")</f>
        <v/>
      </c>
      <c r="R556">
        <f>IF(F556="",0,IFNA(VLOOKUP(F556,Trait_Polarity!$A:$C,2,FALSE),0))+IF(G556="",0,IFNA(VLOOKUP(G556,Trait_Polarity!$A:$C,2,FALSE),0))</f>
        <v/>
      </c>
      <c r="S556">
        <f>IF(F556="",0,IFNA(VLOOKUP(F556,Trait_Polarity!$A:$C,3,FALSE),0))+IF(G556="",0,IFNA(VLOOKUP(G556,Trait_Polarity!$A:$C,3,FALSE),0))</f>
        <v/>
      </c>
      <c r="T556">
        <f>IF(Q556="P",0,IFNA(VLOOKUP(IF(C556="","(none)",C556),Secondary_Versatility!$A:$B,2,FALSE),0))</f>
        <v/>
      </c>
      <c r="U556">
        <f>IF(H556="",0,LEN(H556)-LEN(SUBSTITUTE(H556,"|",""))+1)</f>
        <v/>
      </c>
      <c r="V556">
        <f>IF(Q556="P",(N556+O556+P556)/3,0.3*I556+0.3*J556+0.2*K556+0.1*L556+0.1*M556)</f>
        <v/>
      </c>
      <c r="W556">
        <f>IF(Q556="P",IF(F556="",0,IFNA(VLOOKUP(F556,Pitcher_Trait_Coef!$A:$B,2,FALSE),0))+IF(G556="",0,IFNA(VLOOKUP(G556,Pitcher_Trait_Coef!$A:$B,2,FALSE),0)),IF(F556="",0,IFNA(VLOOKUP(F556,Hitter_Trait_Coef!$A:$B,2,FALSE),0))+IF(G556="",0,IFNA(VLOOKUP(G556,Hitter_Trait_Coef!$A:$B,2,FALSE),0)))</f>
        <v/>
      </c>
      <c r="X556">
        <f>IF(Q556="P",IFNA(VLOOKUP(B556,Pitcher_Primary_Coef!$A:$B,2,FALSE),0),IFNA(VLOOKUP(B556,Hitter_Primary_Coef!$A:$B,2,FALSE),0))</f>
        <v/>
      </c>
      <c r="Y556">
        <f>IF(Q556="P",0,IFNA(VLOOKUP(IF(C556="","(none)",C556),Hitter_Secondary_Coef!$A:$B,2,FALSE),0))</f>
        <v/>
      </c>
      <c r="Z556">
        <f>IF(Q556="P",IF(ISNUMBER(SEARCH("2F",H556)),IFNA(VLOOKUP("2F",Pitch_Coef!$A:$B,2,FALSE),0),0)+IF(ISNUMBER(SEARCH("4F",H556)),IFNA(VLOOKUP("4F",Pitch_Coef!$A:$B,2,FALSE),0),0)+IF(ISNUMBER(SEARCH("CB",H556)),IFNA(VLOOKUP("CB",Pitch_Coef!$A:$B,2,FALSE),0),0)+IF(ISNUMBER(SEARCH("CF",H556)),IFNA(VLOOKUP("CF",Pitch_Coef!$A:$B,2,FALSE),0),0)+IF(ISNUMBER(SEARCH("CH",H556)),IFNA(VLOOKUP("CH",Pitch_Coef!$A:$B,2,FALSE),0),0)+IF(ISNUMBER(SEARCH("FK",H556)),IFNA(VLOOKUP("FK",Pitch_Coef!$A:$B,2,FALSE),0),0)+IF(ISNUMBER(SEARCH("SB",H556)),IFNA(VLOOKUP("SB",Pitch_Coef!$A:$B,2,FALSE),0),0)+IF(ISNUMBER(SEARCH("SL",H556)),IFNA(VLOOKUP("SL",Pitch_Coef!$A:$B,2,FALSE),0),0),0)</f>
        <v/>
      </c>
      <c r="AA556">
        <f>IF(Q556="P",16.5944849573+0.2529999141*N556+0.2665900378*O556+0.2632687105*P556+0.0427586837*I556+0.0534777057*J556+0.009015832*K556+0.0204898106*(O556*P556/100)+1.0091022427*U556+1.0968542297*IF(D556="L",1,0)+0.3771555045*IF(D556="S",1,0)-0.2226159177*IF(E556="L",1,0)+1.21385024*R556-1.1652812274*S556+W556+X556+Z556,10.5965166711+0.2825983581*I556+0.2806503532*J556+0.2027213083*K556+0.1147824982*L556+0.0915305332*M556-0.0088454122*(I556*J556/100)-0.0336045706*(K556*L556/100)+2.8497389733*IF(D556="L",1,0)+4.5116226727*IF(D556="S",1,0)-0.6571546448*IF(E556="L",1,0)+0.0850728147*T556+0.0129488446*(T556*T556)+0.1909373936*IF(OR(F556="Utility",G556="Utility"),T556,0)+0.9656824071*R556-1.7517683256*S556+W556+X556+Y556)</f>
        <v/>
      </c>
      <c r="AB556">
        <f>LOOKUP(AA556,Grade_Scale!$A$2:$A$18,Grade_Scale!$B$2:$B$18)</f>
        <v/>
      </c>
      <c r="AC556">
        <f>LOOKUP(AA556,Grade_Scale!$A$2:$A$18,Grade_Scale!$C$2:$C$18)</f>
        <v/>
      </c>
      <c r="AE556">
        <f>IF(AD556="","",AB556-VLOOKUP(AD556,Grade_Scale!$C$2:$E$18,3,FALSE))</f>
        <v/>
      </c>
    </row>
    <row r="557">
      <c r="Q557">
        <f>IF(OR(B557="SP",B557="RP",B557="CP",B557="SP/RP"),"P","H")</f>
        <v/>
      </c>
      <c r="R557">
        <f>IF(F557="",0,IFNA(VLOOKUP(F557,Trait_Polarity!$A:$C,2,FALSE),0))+IF(G557="",0,IFNA(VLOOKUP(G557,Trait_Polarity!$A:$C,2,FALSE),0))</f>
        <v/>
      </c>
      <c r="S557">
        <f>IF(F557="",0,IFNA(VLOOKUP(F557,Trait_Polarity!$A:$C,3,FALSE),0))+IF(G557="",0,IFNA(VLOOKUP(G557,Trait_Polarity!$A:$C,3,FALSE),0))</f>
        <v/>
      </c>
      <c r="T557">
        <f>IF(Q557="P",0,IFNA(VLOOKUP(IF(C557="","(none)",C557),Secondary_Versatility!$A:$B,2,FALSE),0))</f>
        <v/>
      </c>
      <c r="U557">
        <f>IF(H557="",0,LEN(H557)-LEN(SUBSTITUTE(H557,"|",""))+1)</f>
        <v/>
      </c>
      <c r="V557">
        <f>IF(Q557="P",(N557+O557+P557)/3,0.3*I557+0.3*J557+0.2*K557+0.1*L557+0.1*M557)</f>
        <v/>
      </c>
      <c r="W557">
        <f>IF(Q557="P",IF(F557="",0,IFNA(VLOOKUP(F557,Pitcher_Trait_Coef!$A:$B,2,FALSE),0))+IF(G557="",0,IFNA(VLOOKUP(G557,Pitcher_Trait_Coef!$A:$B,2,FALSE),0)),IF(F557="",0,IFNA(VLOOKUP(F557,Hitter_Trait_Coef!$A:$B,2,FALSE),0))+IF(G557="",0,IFNA(VLOOKUP(G557,Hitter_Trait_Coef!$A:$B,2,FALSE),0)))</f>
        <v/>
      </c>
      <c r="X557">
        <f>IF(Q557="P",IFNA(VLOOKUP(B557,Pitcher_Primary_Coef!$A:$B,2,FALSE),0),IFNA(VLOOKUP(B557,Hitter_Primary_Coef!$A:$B,2,FALSE),0))</f>
        <v/>
      </c>
      <c r="Y557">
        <f>IF(Q557="P",0,IFNA(VLOOKUP(IF(C557="","(none)",C557),Hitter_Secondary_Coef!$A:$B,2,FALSE),0))</f>
        <v/>
      </c>
      <c r="Z557">
        <f>IF(Q557="P",IF(ISNUMBER(SEARCH("2F",H557)),IFNA(VLOOKUP("2F",Pitch_Coef!$A:$B,2,FALSE),0),0)+IF(ISNUMBER(SEARCH("4F",H557)),IFNA(VLOOKUP("4F",Pitch_Coef!$A:$B,2,FALSE),0),0)+IF(ISNUMBER(SEARCH("CB",H557)),IFNA(VLOOKUP("CB",Pitch_Coef!$A:$B,2,FALSE),0),0)+IF(ISNUMBER(SEARCH("CF",H557)),IFNA(VLOOKUP("CF",Pitch_Coef!$A:$B,2,FALSE),0),0)+IF(ISNUMBER(SEARCH("CH",H557)),IFNA(VLOOKUP("CH",Pitch_Coef!$A:$B,2,FALSE),0),0)+IF(ISNUMBER(SEARCH("FK",H557)),IFNA(VLOOKUP("FK",Pitch_Coef!$A:$B,2,FALSE),0),0)+IF(ISNUMBER(SEARCH("SB",H557)),IFNA(VLOOKUP("SB",Pitch_Coef!$A:$B,2,FALSE),0),0)+IF(ISNUMBER(SEARCH("SL",H557)),IFNA(VLOOKUP("SL",Pitch_Coef!$A:$B,2,FALSE),0),0),0)</f>
        <v/>
      </c>
      <c r="AA557">
        <f>IF(Q557="P",16.5944849573+0.2529999141*N557+0.2665900378*O557+0.2632687105*P557+0.0427586837*I557+0.0534777057*J557+0.009015832*K557+0.0204898106*(O557*P557/100)+1.0091022427*U557+1.0968542297*IF(D557="L",1,0)+0.3771555045*IF(D557="S",1,0)-0.2226159177*IF(E557="L",1,0)+1.21385024*R557-1.1652812274*S557+W557+X557+Z557,10.5965166711+0.2825983581*I557+0.2806503532*J557+0.2027213083*K557+0.1147824982*L557+0.0915305332*M557-0.0088454122*(I557*J557/100)-0.0336045706*(K557*L557/100)+2.8497389733*IF(D557="L",1,0)+4.5116226727*IF(D557="S",1,0)-0.6571546448*IF(E557="L",1,0)+0.0850728147*T557+0.0129488446*(T557*T557)+0.1909373936*IF(OR(F557="Utility",G557="Utility"),T557,0)+0.9656824071*R557-1.7517683256*S557+W557+X557+Y557)</f>
        <v/>
      </c>
      <c r="AB557">
        <f>LOOKUP(AA557,Grade_Scale!$A$2:$A$18,Grade_Scale!$B$2:$B$18)</f>
        <v/>
      </c>
      <c r="AC557">
        <f>LOOKUP(AA557,Grade_Scale!$A$2:$A$18,Grade_Scale!$C$2:$C$18)</f>
        <v/>
      </c>
      <c r="AE557">
        <f>IF(AD557="","",AB557-VLOOKUP(AD557,Grade_Scale!$C$2:$E$18,3,FALSE))</f>
        <v/>
      </c>
    </row>
    <row r="558">
      <c r="Q558">
        <f>IF(OR(B558="SP",B558="RP",B558="CP",B558="SP/RP"),"P","H")</f>
        <v/>
      </c>
      <c r="R558">
        <f>IF(F558="",0,IFNA(VLOOKUP(F558,Trait_Polarity!$A:$C,2,FALSE),0))+IF(G558="",0,IFNA(VLOOKUP(G558,Trait_Polarity!$A:$C,2,FALSE),0))</f>
        <v/>
      </c>
      <c r="S558">
        <f>IF(F558="",0,IFNA(VLOOKUP(F558,Trait_Polarity!$A:$C,3,FALSE),0))+IF(G558="",0,IFNA(VLOOKUP(G558,Trait_Polarity!$A:$C,3,FALSE),0))</f>
        <v/>
      </c>
      <c r="T558">
        <f>IF(Q558="P",0,IFNA(VLOOKUP(IF(C558="","(none)",C558),Secondary_Versatility!$A:$B,2,FALSE),0))</f>
        <v/>
      </c>
      <c r="U558">
        <f>IF(H558="",0,LEN(H558)-LEN(SUBSTITUTE(H558,"|",""))+1)</f>
        <v/>
      </c>
      <c r="V558">
        <f>IF(Q558="P",(N558+O558+P558)/3,0.3*I558+0.3*J558+0.2*K558+0.1*L558+0.1*M558)</f>
        <v/>
      </c>
      <c r="W558">
        <f>IF(Q558="P",IF(F558="",0,IFNA(VLOOKUP(F558,Pitcher_Trait_Coef!$A:$B,2,FALSE),0))+IF(G558="",0,IFNA(VLOOKUP(G558,Pitcher_Trait_Coef!$A:$B,2,FALSE),0)),IF(F558="",0,IFNA(VLOOKUP(F558,Hitter_Trait_Coef!$A:$B,2,FALSE),0))+IF(G558="",0,IFNA(VLOOKUP(G558,Hitter_Trait_Coef!$A:$B,2,FALSE),0)))</f>
        <v/>
      </c>
      <c r="X558">
        <f>IF(Q558="P",IFNA(VLOOKUP(B558,Pitcher_Primary_Coef!$A:$B,2,FALSE),0),IFNA(VLOOKUP(B558,Hitter_Primary_Coef!$A:$B,2,FALSE),0))</f>
        <v/>
      </c>
      <c r="Y558">
        <f>IF(Q558="P",0,IFNA(VLOOKUP(IF(C558="","(none)",C558),Hitter_Secondary_Coef!$A:$B,2,FALSE),0))</f>
        <v/>
      </c>
      <c r="Z558">
        <f>IF(Q558="P",IF(ISNUMBER(SEARCH("2F",H558)),IFNA(VLOOKUP("2F",Pitch_Coef!$A:$B,2,FALSE),0),0)+IF(ISNUMBER(SEARCH("4F",H558)),IFNA(VLOOKUP("4F",Pitch_Coef!$A:$B,2,FALSE),0),0)+IF(ISNUMBER(SEARCH("CB",H558)),IFNA(VLOOKUP("CB",Pitch_Coef!$A:$B,2,FALSE),0),0)+IF(ISNUMBER(SEARCH("CF",H558)),IFNA(VLOOKUP("CF",Pitch_Coef!$A:$B,2,FALSE),0),0)+IF(ISNUMBER(SEARCH("CH",H558)),IFNA(VLOOKUP("CH",Pitch_Coef!$A:$B,2,FALSE),0),0)+IF(ISNUMBER(SEARCH("FK",H558)),IFNA(VLOOKUP("FK",Pitch_Coef!$A:$B,2,FALSE),0),0)+IF(ISNUMBER(SEARCH("SB",H558)),IFNA(VLOOKUP("SB",Pitch_Coef!$A:$B,2,FALSE),0),0)+IF(ISNUMBER(SEARCH("SL",H558)),IFNA(VLOOKUP("SL",Pitch_Coef!$A:$B,2,FALSE),0),0),0)</f>
        <v/>
      </c>
      <c r="AA558">
        <f>IF(Q558="P",16.5944849573+0.2529999141*N558+0.2665900378*O558+0.2632687105*P558+0.0427586837*I558+0.0534777057*J558+0.009015832*K558+0.0204898106*(O558*P558/100)+1.0091022427*U558+1.0968542297*IF(D558="L",1,0)+0.3771555045*IF(D558="S",1,0)-0.2226159177*IF(E558="L",1,0)+1.21385024*R558-1.1652812274*S558+W558+X558+Z558,10.5965166711+0.2825983581*I558+0.2806503532*J558+0.2027213083*K558+0.1147824982*L558+0.0915305332*M558-0.0088454122*(I558*J558/100)-0.0336045706*(K558*L558/100)+2.8497389733*IF(D558="L",1,0)+4.5116226727*IF(D558="S",1,0)-0.6571546448*IF(E558="L",1,0)+0.0850728147*T558+0.0129488446*(T558*T558)+0.1909373936*IF(OR(F558="Utility",G558="Utility"),T558,0)+0.9656824071*R558-1.7517683256*S558+W558+X558+Y558)</f>
        <v/>
      </c>
      <c r="AB558">
        <f>LOOKUP(AA558,Grade_Scale!$A$2:$A$18,Grade_Scale!$B$2:$B$18)</f>
        <v/>
      </c>
      <c r="AC558">
        <f>LOOKUP(AA558,Grade_Scale!$A$2:$A$18,Grade_Scale!$C$2:$C$18)</f>
        <v/>
      </c>
      <c r="AE558">
        <f>IF(AD558="","",AB558-VLOOKUP(AD558,Grade_Scale!$C$2:$E$18,3,FALSE))</f>
        <v/>
      </c>
    </row>
    <row r="559">
      <c r="Q559">
        <f>IF(OR(B559="SP",B559="RP",B559="CP",B559="SP/RP"),"P","H")</f>
        <v/>
      </c>
      <c r="R559">
        <f>IF(F559="",0,IFNA(VLOOKUP(F559,Trait_Polarity!$A:$C,2,FALSE),0))+IF(G559="",0,IFNA(VLOOKUP(G559,Trait_Polarity!$A:$C,2,FALSE),0))</f>
        <v/>
      </c>
      <c r="S559">
        <f>IF(F559="",0,IFNA(VLOOKUP(F559,Trait_Polarity!$A:$C,3,FALSE),0))+IF(G559="",0,IFNA(VLOOKUP(G559,Trait_Polarity!$A:$C,3,FALSE),0))</f>
        <v/>
      </c>
      <c r="T559">
        <f>IF(Q559="P",0,IFNA(VLOOKUP(IF(C559="","(none)",C559),Secondary_Versatility!$A:$B,2,FALSE),0))</f>
        <v/>
      </c>
      <c r="U559">
        <f>IF(H559="",0,LEN(H559)-LEN(SUBSTITUTE(H559,"|",""))+1)</f>
        <v/>
      </c>
      <c r="V559">
        <f>IF(Q559="P",(N559+O559+P559)/3,0.3*I559+0.3*J559+0.2*K559+0.1*L559+0.1*M559)</f>
        <v/>
      </c>
      <c r="W559">
        <f>IF(Q559="P",IF(F559="",0,IFNA(VLOOKUP(F559,Pitcher_Trait_Coef!$A:$B,2,FALSE),0))+IF(G559="",0,IFNA(VLOOKUP(G559,Pitcher_Trait_Coef!$A:$B,2,FALSE),0)),IF(F559="",0,IFNA(VLOOKUP(F559,Hitter_Trait_Coef!$A:$B,2,FALSE),0))+IF(G559="",0,IFNA(VLOOKUP(G559,Hitter_Trait_Coef!$A:$B,2,FALSE),0)))</f>
        <v/>
      </c>
      <c r="X559">
        <f>IF(Q559="P",IFNA(VLOOKUP(B559,Pitcher_Primary_Coef!$A:$B,2,FALSE),0),IFNA(VLOOKUP(B559,Hitter_Primary_Coef!$A:$B,2,FALSE),0))</f>
        <v/>
      </c>
      <c r="Y559">
        <f>IF(Q559="P",0,IFNA(VLOOKUP(IF(C559="","(none)",C559),Hitter_Secondary_Coef!$A:$B,2,FALSE),0))</f>
        <v/>
      </c>
      <c r="Z559">
        <f>IF(Q559="P",IF(ISNUMBER(SEARCH("2F",H559)),IFNA(VLOOKUP("2F",Pitch_Coef!$A:$B,2,FALSE),0),0)+IF(ISNUMBER(SEARCH("4F",H559)),IFNA(VLOOKUP("4F",Pitch_Coef!$A:$B,2,FALSE),0),0)+IF(ISNUMBER(SEARCH("CB",H559)),IFNA(VLOOKUP("CB",Pitch_Coef!$A:$B,2,FALSE),0),0)+IF(ISNUMBER(SEARCH("CF",H559)),IFNA(VLOOKUP("CF",Pitch_Coef!$A:$B,2,FALSE),0),0)+IF(ISNUMBER(SEARCH("CH",H559)),IFNA(VLOOKUP("CH",Pitch_Coef!$A:$B,2,FALSE),0),0)+IF(ISNUMBER(SEARCH("FK",H559)),IFNA(VLOOKUP("FK",Pitch_Coef!$A:$B,2,FALSE),0),0)+IF(ISNUMBER(SEARCH("SB",H559)),IFNA(VLOOKUP("SB",Pitch_Coef!$A:$B,2,FALSE),0),0)+IF(ISNUMBER(SEARCH("SL",H559)),IFNA(VLOOKUP("SL",Pitch_Coef!$A:$B,2,FALSE),0),0),0)</f>
        <v/>
      </c>
      <c r="AA559">
        <f>IF(Q559="P",16.5944849573+0.2529999141*N559+0.2665900378*O559+0.2632687105*P559+0.0427586837*I559+0.0534777057*J559+0.009015832*K559+0.0204898106*(O559*P559/100)+1.0091022427*U559+1.0968542297*IF(D559="L",1,0)+0.3771555045*IF(D559="S",1,0)-0.2226159177*IF(E559="L",1,0)+1.21385024*R559-1.1652812274*S559+W559+X559+Z559,10.5965166711+0.2825983581*I559+0.2806503532*J559+0.2027213083*K559+0.1147824982*L559+0.0915305332*M559-0.0088454122*(I559*J559/100)-0.0336045706*(K559*L559/100)+2.8497389733*IF(D559="L",1,0)+4.5116226727*IF(D559="S",1,0)-0.6571546448*IF(E559="L",1,0)+0.0850728147*T559+0.0129488446*(T559*T559)+0.1909373936*IF(OR(F559="Utility",G559="Utility"),T559,0)+0.9656824071*R559-1.7517683256*S559+W559+X559+Y559)</f>
        <v/>
      </c>
      <c r="AB559">
        <f>LOOKUP(AA559,Grade_Scale!$A$2:$A$18,Grade_Scale!$B$2:$B$18)</f>
        <v/>
      </c>
      <c r="AC559">
        <f>LOOKUP(AA559,Grade_Scale!$A$2:$A$18,Grade_Scale!$C$2:$C$18)</f>
        <v/>
      </c>
      <c r="AE559">
        <f>IF(AD559="","",AB559-VLOOKUP(AD559,Grade_Scale!$C$2:$E$18,3,FALSE))</f>
        <v/>
      </c>
    </row>
    <row r="560">
      <c r="Q560">
        <f>IF(OR(B560="SP",B560="RP",B560="CP",B560="SP/RP"),"P","H")</f>
        <v/>
      </c>
      <c r="R560">
        <f>IF(F560="",0,IFNA(VLOOKUP(F560,Trait_Polarity!$A:$C,2,FALSE),0))+IF(G560="",0,IFNA(VLOOKUP(G560,Trait_Polarity!$A:$C,2,FALSE),0))</f>
        <v/>
      </c>
      <c r="S560">
        <f>IF(F560="",0,IFNA(VLOOKUP(F560,Trait_Polarity!$A:$C,3,FALSE),0))+IF(G560="",0,IFNA(VLOOKUP(G560,Trait_Polarity!$A:$C,3,FALSE),0))</f>
        <v/>
      </c>
      <c r="T560">
        <f>IF(Q560="P",0,IFNA(VLOOKUP(IF(C560="","(none)",C560),Secondary_Versatility!$A:$B,2,FALSE),0))</f>
        <v/>
      </c>
      <c r="U560">
        <f>IF(H560="",0,LEN(H560)-LEN(SUBSTITUTE(H560,"|",""))+1)</f>
        <v/>
      </c>
      <c r="V560">
        <f>IF(Q560="P",(N560+O560+P560)/3,0.3*I560+0.3*J560+0.2*K560+0.1*L560+0.1*M560)</f>
        <v/>
      </c>
      <c r="W560">
        <f>IF(Q560="P",IF(F560="",0,IFNA(VLOOKUP(F560,Pitcher_Trait_Coef!$A:$B,2,FALSE),0))+IF(G560="",0,IFNA(VLOOKUP(G560,Pitcher_Trait_Coef!$A:$B,2,FALSE),0)),IF(F560="",0,IFNA(VLOOKUP(F560,Hitter_Trait_Coef!$A:$B,2,FALSE),0))+IF(G560="",0,IFNA(VLOOKUP(G560,Hitter_Trait_Coef!$A:$B,2,FALSE),0)))</f>
        <v/>
      </c>
      <c r="X560">
        <f>IF(Q560="P",IFNA(VLOOKUP(B560,Pitcher_Primary_Coef!$A:$B,2,FALSE),0),IFNA(VLOOKUP(B560,Hitter_Primary_Coef!$A:$B,2,FALSE),0))</f>
        <v/>
      </c>
      <c r="Y560">
        <f>IF(Q560="P",0,IFNA(VLOOKUP(IF(C560="","(none)",C560),Hitter_Secondary_Coef!$A:$B,2,FALSE),0))</f>
        <v/>
      </c>
      <c r="Z560">
        <f>IF(Q560="P",IF(ISNUMBER(SEARCH("2F",H560)),IFNA(VLOOKUP("2F",Pitch_Coef!$A:$B,2,FALSE),0),0)+IF(ISNUMBER(SEARCH("4F",H560)),IFNA(VLOOKUP("4F",Pitch_Coef!$A:$B,2,FALSE),0),0)+IF(ISNUMBER(SEARCH("CB",H560)),IFNA(VLOOKUP("CB",Pitch_Coef!$A:$B,2,FALSE),0),0)+IF(ISNUMBER(SEARCH("CF",H560)),IFNA(VLOOKUP("CF",Pitch_Coef!$A:$B,2,FALSE),0),0)+IF(ISNUMBER(SEARCH("CH",H560)),IFNA(VLOOKUP("CH",Pitch_Coef!$A:$B,2,FALSE),0),0)+IF(ISNUMBER(SEARCH("FK",H560)),IFNA(VLOOKUP("FK",Pitch_Coef!$A:$B,2,FALSE),0),0)+IF(ISNUMBER(SEARCH("SB",H560)),IFNA(VLOOKUP("SB",Pitch_Coef!$A:$B,2,FALSE),0),0)+IF(ISNUMBER(SEARCH("SL",H560)),IFNA(VLOOKUP("SL",Pitch_Coef!$A:$B,2,FALSE),0),0),0)</f>
        <v/>
      </c>
      <c r="AA560">
        <f>IF(Q560="P",16.5944849573+0.2529999141*N560+0.2665900378*O560+0.2632687105*P560+0.0427586837*I560+0.0534777057*J560+0.009015832*K560+0.0204898106*(O560*P560/100)+1.0091022427*U560+1.0968542297*IF(D560="L",1,0)+0.3771555045*IF(D560="S",1,0)-0.2226159177*IF(E560="L",1,0)+1.21385024*R560-1.1652812274*S560+W560+X560+Z560,10.5965166711+0.2825983581*I560+0.2806503532*J560+0.2027213083*K560+0.1147824982*L560+0.0915305332*M560-0.0088454122*(I560*J560/100)-0.0336045706*(K560*L560/100)+2.8497389733*IF(D560="L",1,0)+4.5116226727*IF(D560="S",1,0)-0.6571546448*IF(E560="L",1,0)+0.0850728147*T560+0.0129488446*(T560*T560)+0.1909373936*IF(OR(F560="Utility",G560="Utility"),T560,0)+0.9656824071*R560-1.7517683256*S560+W560+X560+Y560)</f>
        <v/>
      </c>
      <c r="AB560">
        <f>LOOKUP(AA560,Grade_Scale!$A$2:$A$18,Grade_Scale!$B$2:$B$18)</f>
        <v/>
      </c>
      <c r="AC560">
        <f>LOOKUP(AA560,Grade_Scale!$A$2:$A$18,Grade_Scale!$C$2:$C$18)</f>
        <v/>
      </c>
      <c r="AE560">
        <f>IF(AD560="","",AB560-VLOOKUP(AD560,Grade_Scale!$C$2:$E$18,3,FALSE))</f>
        <v/>
      </c>
    </row>
    <row r="561">
      <c r="Q561">
        <f>IF(OR(B561="SP",B561="RP",B561="CP",B561="SP/RP"),"P","H")</f>
        <v/>
      </c>
      <c r="R561">
        <f>IF(F561="",0,IFNA(VLOOKUP(F561,Trait_Polarity!$A:$C,2,FALSE),0))+IF(G561="",0,IFNA(VLOOKUP(G561,Trait_Polarity!$A:$C,2,FALSE),0))</f>
        <v/>
      </c>
      <c r="S561">
        <f>IF(F561="",0,IFNA(VLOOKUP(F561,Trait_Polarity!$A:$C,3,FALSE),0))+IF(G561="",0,IFNA(VLOOKUP(G561,Trait_Polarity!$A:$C,3,FALSE),0))</f>
        <v/>
      </c>
      <c r="T561">
        <f>IF(Q561="P",0,IFNA(VLOOKUP(IF(C561="","(none)",C561),Secondary_Versatility!$A:$B,2,FALSE),0))</f>
        <v/>
      </c>
      <c r="U561">
        <f>IF(H561="",0,LEN(H561)-LEN(SUBSTITUTE(H561,"|",""))+1)</f>
        <v/>
      </c>
      <c r="V561">
        <f>IF(Q561="P",(N561+O561+P561)/3,0.3*I561+0.3*J561+0.2*K561+0.1*L561+0.1*M561)</f>
        <v/>
      </c>
      <c r="W561">
        <f>IF(Q561="P",IF(F561="",0,IFNA(VLOOKUP(F561,Pitcher_Trait_Coef!$A:$B,2,FALSE),0))+IF(G561="",0,IFNA(VLOOKUP(G561,Pitcher_Trait_Coef!$A:$B,2,FALSE),0)),IF(F561="",0,IFNA(VLOOKUP(F561,Hitter_Trait_Coef!$A:$B,2,FALSE),0))+IF(G561="",0,IFNA(VLOOKUP(G561,Hitter_Trait_Coef!$A:$B,2,FALSE),0)))</f>
        <v/>
      </c>
      <c r="X561">
        <f>IF(Q561="P",IFNA(VLOOKUP(B561,Pitcher_Primary_Coef!$A:$B,2,FALSE),0),IFNA(VLOOKUP(B561,Hitter_Primary_Coef!$A:$B,2,FALSE),0))</f>
        <v/>
      </c>
      <c r="Y561">
        <f>IF(Q561="P",0,IFNA(VLOOKUP(IF(C561="","(none)",C561),Hitter_Secondary_Coef!$A:$B,2,FALSE),0))</f>
        <v/>
      </c>
      <c r="Z561">
        <f>IF(Q561="P",IF(ISNUMBER(SEARCH("2F",H561)),IFNA(VLOOKUP("2F",Pitch_Coef!$A:$B,2,FALSE),0),0)+IF(ISNUMBER(SEARCH("4F",H561)),IFNA(VLOOKUP("4F",Pitch_Coef!$A:$B,2,FALSE),0),0)+IF(ISNUMBER(SEARCH("CB",H561)),IFNA(VLOOKUP("CB",Pitch_Coef!$A:$B,2,FALSE),0),0)+IF(ISNUMBER(SEARCH("CF",H561)),IFNA(VLOOKUP("CF",Pitch_Coef!$A:$B,2,FALSE),0),0)+IF(ISNUMBER(SEARCH("CH",H561)),IFNA(VLOOKUP("CH",Pitch_Coef!$A:$B,2,FALSE),0),0)+IF(ISNUMBER(SEARCH("FK",H561)),IFNA(VLOOKUP("FK",Pitch_Coef!$A:$B,2,FALSE),0),0)+IF(ISNUMBER(SEARCH("SB",H561)),IFNA(VLOOKUP("SB",Pitch_Coef!$A:$B,2,FALSE),0),0)+IF(ISNUMBER(SEARCH("SL",H561)),IFNA(VLOOKUP("SL",Pitch_Coef!$A:$B,2,FALSE),0),0),0)</f>
        <v/>
      </c>
      <c r="AA561">
        <f>IF(Q561="P",16.5944849573+0.2529999141*N561+0.2665900378*O561+0.2632687105*P561+0.0427586837*I561+0.0534777057*J561+0.009015832*K561+0.0204898106*(O561*P561/100)+1.0091022427*U561+1.0968542297*IF(D561="L",1,0)+0.3771555045*IF(D561="S",1,0)-0.2226159177*IF(E561="L",1,0)+1.21385024*R561-1.1652812274*S561+W561+X561+Z561,10.5965166711+0.2825983581*I561+0.2806503532*J561+0.2027213083*K561+0.1147824982*L561+0.0915305332*M561-0.0088454122*(I561*J561/100)-0.0336045706*(K561*L561/100)+2.8497389733*IF(D561="L",1,0)+4.5116226727*IF(D561="S",1,0)-0.6571546448*IF(E561="L",1,0)+0.0850728147*T561+0.0129488446*(T561*T561)+0.1909373936*IF(OR(F561="Utility",G561="Utility"),T561,0)+0.9656824071*R561-1.7517683256*S561+W561+X561+Y561)</f>
        <v/>
      </c>
      <c r="AB561">
        <f>LOOKUP(AA561,Grade_Scale!$A$2:$A$18,Grade_Scale!$B$2:$B$18)</f>
        <v/>
      </c>
      <c r="AC561">
        <f>LOOKUP(AA561,Grade_Scale!$A$2:$A$18,Grade_Scale!$C$2:$C$18)</f>
        <v/>
      </c>
      <c r="AE561">
        <f>IF(AD561="","",AB561-VLOOKUP(AD561,Grade_Scale!$C$2:$E$18,3,FALSE))</f>
        <v/>
      </c>
    </row>
    <row r="562">
      <c r="Q562">
        <f>IF(OR(B562="SP",B562="RP",B562="CP",B562="SP/RP"),"P","H")</f>
        <v/>
      </c>
      <c r="R562">
        <f>IF(F562="",0,IFNA(VLOOKUP(F562,Trait_Polarity!$A:$C,2,FALSE),0))+IF(G562="",0,IFNA(VLOOKUP(G562,Trait_Polarity!$A:$C,2,FALSE),0))</f>
        <v/>
      </c>
      <c r="S562">
        <f>IF(F562="",0,IFNA(VLOOKUP(F562,Trait_Polarity!$A:$C,3,FALSE),0))+IF(G562="",0,IFNA(VLOOKUP(G562,Trait_Polarity!$A:$C,3,FALSE),0))</f>
        <v/>
      </c>
      <c r="T562">
        <f>IF(Q562="P",0,IFNA(VLOOKUP(IF(C562="","(none)",C562),Secondary_Versatility!$A:$B,2,FALSE),0))</f>
        <v/>
      </c>
      <c r="U562">
        <f>IF(H562="",0,LEN(H562)-LEN(SUBSTITUTE(H562,"|",""))+1)</f>
        <v/>
      </c>
      <c r="V562">
        <f>IF(Q562="P",(N562+O562+P562)/3,0.3*I562+0.3*J562+0.2*K562+0.1*L562+0.1*M562)</f>
        <v/>
      </c>
      <c r="W562">
        <f>IF(Q562="P",IF(F562="",0,IFNA(VLOOKUP(F562,Pitcher_Trait_Coef!$A:$B,2,FALSE),0))+IF(G562="",0,IFNA(VLOOKUP(G562,Pitcher_Trait_Coef!$A:$B,2,FALSE),0)),IF(F562="",0,IFNA(VLOOKUP(F562,Hitter_Trait_Coef!$A:$B,2,FALSE),0))+IF(G562="",0,IFNA(VLOOKUP(G562,Hitter_Trait_Coef!$A:$B,2,FALSE),0)))</f>
        <v/>
      </c>
      <c r="X562">
        <f>IF(Q562="P",IFNA(VLOOKUP(B562,Pitcher_Primary_Coef!$A:$B,2,FALSE),0),IFNA(VLOOKUP(B562,Hitter_Primary_Coef!$A:$B,2,FALSE),0))</f>
        <v/>
      </c>
      <c r="Y562">
        <f>IF(Q562="P",0,IFNA(VLOOKUP(IF(C562="","(none)",C562),Hitter_Secondary_Coef!$A:$B,2,FALSE),0))</f>
        <v/>
      </c>
      <c r="Z562">
        <f>IF(Q562="P",IF(ISNUMBER(SEARCH("2F",H562)),IFNA(VLOOKUP("2F",Pitch_Coef!$A:$B,2,FALSE),0),0)+IF(ISNUMBER(SEARCH("4F",H562)),IFNA(VLOOKUP("4F",Pitch_Coef!$A:$B,2,FALSE),0),0)+IF(ISNUMBER(SEARCH("CB",H562)),IFNA(VLOOKUP("CB",Pitch_Coef!$A:$B,2,FALSE),0),0)+IF(ISNUMBER(SEARCH("CF",H562)),IFNA(VLOOKUP("CF",Pitch_Coef!$A:$B,2,FALSE),0),0)+IF(ISNUMBER(SEARCH("CH",H562)),IFNA(VLOOKUP("CH",Pitch_Coef!$A:$B,2,FALSE),0),0)+IF(ISNUMBER(SEARCH("FK",H562)),IFNA(VLOOKUP("FK",Pitch_Coef!$A:$B,2,FALSE),0),0)+IF(ISNUMBER(SEARCH("SB",H562)),IFNA(VLOOKUP("SB",Pitch_Coef!$A:$B,2,FALSE),0),0)+IF(ISNUMBER(SEARCH("SL",H562)),IFNA(VLOOKUP("SL",Pitch_Coef!$A:$B,2,FALSE),0),0),0)</f>
        <v/>
      </c>
      <c r="AA562">
        <f>IF(Q562="P",16.5944849573+0.2529999141*N562+0.2665900378*O562+0.2632687105*P562+0.0427586837*I562+0.0534777057*J562+0.009015832*K562+0.0204898106*(O562*P562/100)+1.0091022427*U562+1.0968542297*IF(D562="L",1,0)+0.3771555045*IF(D562="S",1,0)-0.2226159177*IF(E562="L",1,0)+1.21385024*R562-1.1652812274*S562+W562+X562+Z562,10.5965166711+0.2825983581*I562+0.2806503532*J562+0.2027213083*K562+0.1147824982*L562+0.0915305332*M562-0.0088454122*(I562*J562/100)-0.0336045706*(K562*L562/100)+2.8497389733*IF(D562="L",1,0)+4.5116226727*IF(D562="S",1,0)-0.6571546448*IF(E562="L",1,0)+0.0850728147*T562+0.0129488446*(T562*T562)+0.1909373936*IF(OR(F562="Utility",G562="Utility"),T562,0)+0.9656824071*R562-1.7517683256*S562+W562+X562+Y562)</f>
        <v/>
      </c>
      <c r="AB562">
        <f>LOOKUP(AA562,Grade_Scale!$A$2:$A$18,Grade_Scale!$B$2:$B$18)</f>
        <v/>
      </c>
      <c r="AC562">
        <f>LOOKUP(AA562,Grade_Scale!$A$2:$A$18,Grade_Scale!$C$2:$C$18)</f>
        <v/>
      </c>
      <c r="AE562">
        <f>IF(AD562="","",AB562-VLOOKUP(AD562,Grade_Scale!$C$2:$E$18,3,FALSE))</f>
        <v/>
      </c>
    </row>
    <row r="563">
      <c r="Q563">
        <f>IF(OR(B563="SP",B563="RP",B563="CP",B563="SP/RP"),"P","H")</f>
        <v/>
      </c>
      <c r="R563">
        <f>IF(F563="",0,IFNA(VLOOKUP(F563,Trait_Polarity!$A:$C,2,FALSE),0))+IF(G563="",0,IFNA(VLOOKUP(G563,Trait_Polarity!$A:$C,2,FALSE),0))</f>
        <v/>
      </c>
      <c r="S563">
        <f>IF(F563="",0,IFNA(VLOOKUP(F563,Trait_Polarity!$A:$C,3,FALSE),0))+IF(G563="",0,IFNA(VLOOKUP(G563,Trait_Polarity!$A:$C,3,FALSE),0))</f>
        <v/>
      </c>
      <c r="T563">
        <f>IF(Q563="P",0,IFNA(VLOOKUP(IF(C563="","(none)",C563),Secondary_Versatility!$A:$B,2,FALSE),0))</f>
        <v/>
      </c>
      <c r="U563">
        <f>IF(H563="",0,LEN(H563)-LEN(SUBSTITUTE(H563,"|",""))+1)</f>
        <v/>
      </c>
      <c r="V563">
        <f>IF(Q563="P",(N563+O563+P563)/3,0.3*I563+0.3*J563+0.2*K563+0.1*L563+0.1*M563)</f>
        <v/>
      </c>
      <c r="W563">
        <f>IF(Q563="P",IF(F563="",0,IFNA(VLOOKUP(F563,Pitcher_Trait_Coef!$A:$B,2,FALSE),0))+IF(G563="",0,IFNA(VLOOKUP(G563,Pitcher_Trait_Coef!$A:$B,2,FALSE),0)),IF(F563="",0,IFNA(VLOOKUP(F563,Hitter_Trait_Coef!$A:$B,2,FALSE),0))+IF(G563="",0,IFNA(VLOOKUP(G563,Hitter_Trait_Coef!$A:$B,2,FALSE),0)))</f>
        <v/>
      </c>
      <c r="X563">
        <f>IF(Q563="P",IFNA(VLOOKUP(B563,Pitcher_Primary_Coef!$A:$B,2,FALSE),0),IFNA(VLOOKUP(B563,Hitter_Primary_Coef!$A:$B,2,FALSE),0))</f>
        <v/>
      </c>
      <c r="Y563">
        <f>IF(Q563="P",0,IFNA(VLOOKUP(IF(C563="","(none)",C563),Hitter_Secondary_Coef!$A:$B,2,FALSE),0))</f>
        <v/>
      </c>
      <c r="Z563">
        <f>IF(Q563="P",IF(ISNUMBER(SEARCH("2F",H563)),IFNA(VLOOKUP("2F",Pitch_Coef!$A:$B,2,FALSE),0),0)+IF(ISNUMBER(SEARCH("4F",H563)),IFNA(VLOOKUP("4F",Pitch_Coef!$A:$B,2,FALSE),0),0)+IF(ISNUMBER(SEARCH("CB",H563)),IFNA(VLOOKUP("CB",Pitch_Coef!$A:$B,2,FALSE),0),0)+IF(ISNUMBER(SEARCH("CF",H563)),IFNA(VLOOKUP("CF",Pitch_Coef!$A:$B,2,FALSE),0),0)+IF(ISNUMBER(SEARCH("CH",H563)),IFNA(VLOOKUP("CH",Pitch_Coef!$A:$B,2,FALSE),0),0)+IF(ISNUMBER(SEARCH("FK",H563)),IFNA(VLOOKUP("FK",Pitch_Coef!$A:$B,2,FALSE),0),0)+IF(ISNUMBER(SEARCH("SB",H563)),IFNA(VLOOKUP("SB",Pitch_Coef!$A:$B,2,FALSE),0),0)+IF(ISNUMBER(SEARCH("SL",H563)),IFNA(VLOOKUP("SL",Pitch_Coef!$A:$B,2,FALSE),0),0),0)</f>
        <v/>
      </c>
      <c r="AA563">
        <f>IF(Q563="P",16.5944849573+0.2529999141*N563+0.2665900378*O563+0.2632687105*P563+0.0427586837*I563+0.0534777057*J563+0.009015832*K563+0.0204898106*(O563*P563/100)+1.0091022427*U563+1.0968542297*IF(D563="L",1,0)+0.3771555045*IF(D563="S",1,0)-0.2226159177*IF(E563="L",1,0)+1.21385024*R563-1.1652812274*S563+W563+X563+Z563,10.5965166711+0.2825983581*I563+0.2806503532*J563+0.2027213083*K563+0.1147824982*L563+0.0915305332*M563-0.0088454122*(I563*J563/100)-0.0336045706*(K563*L563/100)+2.8497389733*IF(D563="L",1,0)+4.5116226727*IF(D563="S",1,0)-0.6571546448*IF(E563="L",1,0)+0.0850728147*T563+0.0129488446*(T563*T563)+0.1909373936*IF(OR(F563="Utility",G563="Utility"),T563,0)+0.9656824071*R563-1.7517683256*S563+W563+X563+Y563)</f>
        <v/>
      </c>
      <c r="AB563">
        <f>LOOKUP(AA563,Grade_Scale!$A$2:$A$18,Grade_Scale!$B$2:$B$18)</f>
        <v/>
      </c>
      <c r="AC563">
        <f>LOOKUP(AA563,Grade_Scale!$A$2:$A$18,Grade_Scale!$C$2:$C$18)</f>
        <v/>
      </c>
      <c r="AE563">
        <f>IF(AD563="","",AB563-VLOOKUP(AD563,Grade_Scale!$C$2:$E$18,3,FALSE))</f>
        <v/>
      </c>
    </row>
    <row r="564">
      <c r="Q564">
        <f>IF(OR(B564="SP",B564="RP",B564="CP",B564="SP/RP"),"P","H")</f>
        <v/>
      </c>
      <c r="R564">
        <f>IF(F564="",0,IFNA(VLOOKUP(F564,Trait_Polarity!$A:$C,2,FALSE),0))+IF(G564="",0,IFNA(VLOOKUP(G564,Trait_Polarity!$A:$C,2,FALSE),0))</f>
        <v/>
      </c>
      <c r="S564">
        <f>IF(F564="",0,IFNA(VLOOKUP(F564,Trait_Polarity!$A:$C,3,FALSE),0))+IF(G564="",0,IFNA(VLOOKUP(G564,Trait_Polarity!$A:$C,3,FALSE),0))</f>
        <v/>
      </c>
      <c r="T564">
        <f>IF(Q564="P",0,IFNA(VLOOKUP(IF(C564="","(none)",C564),Secondary_Versatility!$A:$B,2,FALSE),0))</f>
        <v/>
      </c>
      <c r="U564">
        <f>IF(H564="",0,LEN(H564)-LEN(SUBSTITUTE(H564,"|",""))+1)</f>
        <v/>
      </c>
      <c r="V564">
        <f>IF(Q564="P",(N564+O564+P564)/3,0.3*I564+0.3*J564+0.2*K564+0.1*L564+0.1*M564)</f>
        <v/>
      </c>
      <c r="W564">
        <f>IF(Q564="P",IF(F564="",0,IFNA(VLOOKUP(F564,Pitcher_Trait_Coef!$A:$B,2,FALSE),0))+IF(G564="",0,IFNA(VLOOKUP(G564,Pitcher_Trait_Coef!$A:$B,2,FALSE),0)),IF(F564="",0,IFNA(VLOOKUP(F564,Hitter_Trait_Coef!$A:$B,2,FALSE),0))+IF(G564="",0,IFNA(VLOOKUP(G564,Hitter_Trait_Coef!$A:$B,2,FALSE),0)))</f>
        <v/>
      </c>
      <c r="X564">
        <f>IF(Q564="P",IFNA(VLOOKUP(B564,Pitcher_Primary_Coef!$A:$B,2,FALSE),0),IFNA(VLOOKUP(B564,Hitter_Primary_Coef!$A:$B,2,FALSE),0))</f>
        <v/>
      </c>
      <c r="Y564">
        <f>IF(Q564="P",0,IFNA(VLOOKUP(IF(C564="","(none)",C564),Hitter_Secondary_Coef!$A:$B,2,FALSE),0))</f>
        <v/>
      </c>
      <c r="Z564">
        <f>IF(Q564="P",IF(ISNUMBER(SEARCH("2F",H564)),IFNA(VLOOKUP("2F",Pitch_Coef!$A:$B,2,FALSE),0),0)+IF(ISNUMBER(SEARCH("4F",H564)),IFNA(VLOOKUP("4F",Pitch_Coef!$A:$B,2,FALSE),0),0)+IF(ISNUMBER(SEARCH("CB",H564)),IFNA(VLOOKUP("CB",Pitch_Coef!$A:$B,2,FALSE),0),0)+IF(ISNUMBER(SEARCH("CF",H564)),IFNA(VLOOKUP("CF",Pitch_Coef!$A:$B,2,FALSE),0),0)+IF(ISNUMBER(SEARCH("CH",H564)),IFNA(VLOOKUP("CH",Pitch_Coef!$A:$B,2,FALSE),0),0)+IF(ISNUMBER(SEARCH("FK",H564)),IFNA(VLOOKUP("FK",Pitch_Coef!$A:$B,2,FALSE),0),0)+IF(ISNUMBER(SEARCH("SB",H564)),IFNA(VLOOKUP("SB",Pitch_Coef!$A:$B,2,FALSE),0),0)+IF(ISNUMBER(SEARCH("SL",H564)),IFNA(VLOOKUP("SL",Pitch_Coef!$A:$B,2,FALSE),0),0),0)</f>
        <v/>
      </c>
      <c r="AA564">
        <f>IF(Q564="P",16.5944849573+0.2529999141*N564+0.2665900378*O564+0.2632687105*P564+0.0427586837*I564+0.0534777057*J564+0.009015832*K564+0.0204898106*(O564*P564/100)+1.0091022427*U564+1.0968542297*IF(D564="L",1,0)+0.3771555045*IF(D564="S",1,0)-0.2226159177*IF(E564="L",1,0)+1.21385024*R564-1.1652812274*S564+W564+X564+Z564,10.5965166711+0.2825983581*I564+0.2806503532*J564+0.2027213083*K564+0.1147824982*L564+0.0915305332*M564-0.0088454122*(I564*J564/100)-0.0336045706*(K564*L564/100)+2.8497389733*IF(D564="L",1,0)+4.5116226727*IF(D564="S",1,0)-0.6571546448*IF(E564="L",1,0)+0.0850728147*T564+0.0129488446*(T564*T564)+0.1909373936*IF(OR(F564="Utility",G564="Utility"),T564,0)+0.9656824071*R564-1.7517683256*S564+W564+X564+Y564)</f>
        <v/>
      </c>
      <c r="AB564">
        <f>LOOKUP(AA564,Grade_Scale!$A$2:$A$18,Grade_Scale!$B$2:$B$18)</f>
        <v/>
      </c>
      <c r="AC564">
        <f>LOOKUP(AA564,Grade_Scale!$A$2:$A$18,Grade_Scale!$C$2:$C$18)</f>
        <v/>
      </c>
      <c r="AE564">
        <f>IF(AD564="","",AB564-VLOOKUP(AD564,Grade_Scale!$C$2:$E$18,3,FALSE))</f>
        <v/>
      </c>
    </row>
    <row r="565">
      <c r="Q565">
        <f>IF(OR(B565="SP",B565="RP",B565="CP",B565="SP/RP"),"P","H")</f>
        <v/>
      </c>
      <c r="R565">
        <f>IF(F565="",0,IFNA(VLOOKUP(F565,Trait_Polarity!$A:$C,2,FALSE),0))+IF(G565="",0,IFNA(VLOOKUP(G565,Trait_Polarity!$A:$C,2,FALSE),0))</f>
        <v/>
      </c>
      <c r="S565">
        <f>IF(F565="",0,IFNA(VLOOKUP(F565,Trait_Polarity!$A:$C,3,FALSE),0))+IF(G565="",0,IFNA(VLOOKUP(G565,Trait_Polarity!$A:$C,3,FALSE),0))</f>
        <v/>
      </c>
      <c r="T565">
        <f>IF(Q565="P",0,IFNA(VLOOKUP(IF(C565="","(none)",C565),Secondary_Versatility!$A:$B,2,FALSE),0))</f>
        <v/>
      </c>
      <c r="U565">
        <f>IF(H565="",0,LEN(H565)-LEN(SUBSTITUTE(H565,"|",""))+1)</f>
        <v/>
      </c>
      <c r="V565">
        <f>IF(Q565="P",(N565+O565+P565)/3,0.3*I565+0.3*J565+0.2*K565+0.1*L565+0.1*M565)</f>
        <v/>
      </c>
      <c r="W565">
        <f>IF(Q565="P",IF(F565="",0,IFNA(VLOOKUP(F565,Pitcher_Trait_Coef!$A:$B,2,FALSE),0))+IF(G565="",0,IFNA(VLOOKUP(G565,Pitcher_Trait_Coef!$A:$B,2,FALSE),0)),IF(F565="",0,IFNA(VLOOKUP(F565,Hitter_Trait_Coef!$A:$B,2,FALSE),0))+IF(G565="",0,IFNA(VLOOKUP(G565,Hitter_Trait_Coef!$A:$B,2,FALSE),0)))</f>
        <v/>
      </c>
      <c r="X565">
        <f>IF(Q565="P",IFNA(VLOOKUP(B565,Pitcher_Primary_Coef!$A:$B,2,FALSE),0),IFNA(VLOOKUP(B565,Hitter_Primary_Coef!$A:$B,2,FALSE),0))</f>
        <v/>
      </c>
      <c r="Y565">
        <f>IF(Q565="P",0,IFNA(VLOOKUP(IF(C565="","(none)",C565),Hitter_Secondary_Coef!$A:$B,2,FALSE),0))</f>
        <v/>
      </c>
      <c r="Z565">
        <f>IF(Q565="P",IF(ISNUMBER(SEARCH("2F",H565)),IFNA(VLOOKUP("2F",Pitch_Coef!$A:$B,2,FALSE),0),0)+IF(ISNUMBER(SEARCH("4F",H565)),IFNA(VLOOKUP("4F",Pitch_Coef!$A:$B,2,FALSE),0),0)+IF(ISNUMBER(SEARCH("CB",H565)),IFNA(VLOOKUP("CB",Pitch_Coef!$A:$B,2,FALSE),0),0)+IF(ISNUMBER(SEARCH("CF",H565)),IFNA(VLOOKUP("CF",Pitch_Coef!$A:$B,2,FALSE),0),0)+IF(ISNUMBER(SEARCH("CH",H565)),IFNA(VLOOKUP("CH",Pitch_Coef!$A:$B,2,FALSE),0),0)+IF(ISNUMBER(SEARCH("FK",H565)),IFNA(VLOOKUP("FK",Pitch_Coef!$A:$B,2,FALSE),0),0)+IF(ISNUMBER(SEARCH("SB",H565)),IFNA(VLOOKUP("SB",Pitch_Coef!$A:$B,2,FALSE),0),0)+IF(ISNUMBER(SEARCH("SL",H565)),IFNA(VLOOKUP("SL",Pitch_Coef!$A:$B,2,FALSE),0),0),0)</f>
        <v/>
      </c>
      <c r="AA565">
        <f>IF(Q565="P",16.5944849573+0.2529999141*N565+0.2665900378*O565+0.2632687105*P565+0.0427586837*I565+0.0534777057*J565+0.009015832*K565+0.0204898106*(O565*P565/100)+1.0091022427*U565+1.0968542297*IF(D565="L",1,0)+0.3771555045*IF(D565="S",1,0)-0.2226159177*IF(E565="L",1,0)+1.21385024*R565-1.1652812274*S565+W565+X565+Z565,10.5965166711+0.2825983581*I565+0.2806503532*J565+0.2027213083*K565+0.1147824982*L565+0.0915305332*M565-0.0088454122*(I565*J565/100)-0.0336045706*(K565*L565/100)+2.8497389733*IF(D565="L",1,0)+4.5116226727*IF(D565="S",1,0)-0.6571546448*IF(E565="L",1,0)+0.0850728147*T565+0.0129488446*(T565*T565)+0.1909373936*IF(OR(F565="Utility",G565="Utility"),T565,0)+0.9656824071*R565-1.7517683256*S565+W565+X565+Y565)</f>
        <v/>
      </c>
      <c r="AB565">
        <f>LOOKUP(AA565,Grade_Scale!$A$2:$A$18,Grade_Scale!$B$2:$B$18)</f>
        <v/>
      </c>
      <c r="AC565">
        <f>LOOKUP(AA565,Grade_Scale!$A$2:$A$18,Grade_Scale!$C$2:$C$18)</f>
        <v/>
      </c>
      <c r="AE565">
        <f>IF(AD565="","",AB565-VLOOKUP(AD565,Grade_Scale!$C$2:$E$18,3,FALSE))</f>
        <v/>
      </c>
    </row>
    <row r="566">
      <c r="Q566">
        <f>IF(OR(B566="SP",B566="RP",B566="CP",B566="SP/RP"),"P","H")</f>
        <v/>
      </c>
      <c r="R566">
        <f>IF(F566="",0,IFNA(VLOOKUP(F566,Trait_Polarity!$A:$C,2,FALSE),0))+IF(G566="",0,IFNA(VLOOKUP(G566,Trait_Polarity!$A:$C,2,FALSE),0))</f>
        <v/>
      </c>
      <c r="S566">
        <f>IF(F566="",0,IFNA(VLOOKUP(F566,Trait_Polarity!$A:$C,3,FALSE),0))+IF(G566="",0,IFNA(VLOOKUP(G566,Trait_Polarity!$A:$C,3,FALSE),0))</f>
        <v/>
      </c>
      <c r="T566">
        <f>IF(Q566="P",0,IFNA(VLOOKUP(IF(C566="","(none)",C566),Secondary_Versatility!$A:$B,2,FALSE),0))</f>
        <v/>
      </c>
      <c r="U566">
        <f>IF(H566="",0,LEN(H566)-LEN(SUBSTITUTE(H566,"|",""))+1)</f>
        <v/>
      </c>
      <c r="V566">
        <f>IF(Q566="P",(N566+O566+P566)/3,0.3*I566+0.3*J566+0.2*K566+0.1*L566+0.1*M566)</f>
        <v/>
      </c>
      <c r="W566">
        <f>IF(Q566="P",IF(F566="",0,IFNA(VLOOKUP(F566,Pitcher_Trait_Coef!$A:$B,2,FALSE),0))+IF(G566="",0,IFNA(VLOOKUP(G566,Pitcher_Trait_Coef!$A:$B,2,FALSE),0)),IF(F566="",0,IFNA(VLOOKUP(F566,Hitter_Trait_Coef!$A:$B,2,FALSE),0))+IF(G566="",0,IFNA(VLOOKUP(G566,Hitter_Trait_Coef!$A:$B,2,FALSE),0)))</f>
        <v/>
      </c>
      <c r="X566">
        <f>IF(Q566="P",IFNA(VLOOKUP(B566,Pitcher_Primary_Coef!$A:$B,2,FALSE),0),IFNA(VLOOKUP(B566,Hitter_Primary_Coef!$A:$B,2,FALSE),0))</f>
        <v/>
      </c>
      <c r="Y566">
        <f>IF(Q566="P",0,IFNA(VLOOKUP(IF(C566="","(none)",C566),Hitter_Secondary_Coef!$A:$B,2,FALSE),0))</f>
        <v/>
      </c>
      <c r="Z566">
        <f>IF(Q566="P",IF(ISNUMBER(SEARCH("2F",H566)),IFNA(VLOOKUP("2F",Pitch_Coef!$A:$B,2,FALSE),0),0)+IF(ISNUMBER(SEARCH("4F",H566)),IFNA(VLOOKUP("4F",Pitch_Coef!$A:$B,2,FALSE),0),0)+IF(ISNUMBER(SEARCH("CB",H566)),IFNA(VLOOKUP("CB",Pitch_Coef!$A:$B,2,FALSE),0),0)+IF(ISNUMBER(SEARCH("CF",H566)),IFNA(VLOOKUP("CF",Pitch_Coef!$A:$B,2,FALSE),0),0)+IF(ISNUMBER(SEARCH("CH",H566)),IFNA(VLOOKUP("CH",Pitch_Coef!$A:$B,2,FALSE),0),0)+IF(ISNUMBER(SEARCH("FK",H566)),IFNA(VLOOKUP("FK",Pitch_Coef!$A:$B,2,FALSE),0),0)+IF(ISNUMBER(SEARCH("SB",H566)),IFNA(VLOOKUP("SB",Pitch_Coef!$A:$B,2,FALSE),0),0)+IF(ISNUMBER(SEARCH("SL",H566)),IFNA(VLOOKUP("SL",Pitch_Coef!$A:$B,2,FALSE),0),0),0)</f>
        <v/>
      </c>
      <c r="AA566">
        <f>IF(Q566="P",16.5944849573+0.2529999141*N566+0.2665900378*O566+0.2632687105*P566+0.0427586837*I566+0.0534777057*J566+0.009015832*K566+0.0204898106*(O566*P566/100)+1.0091022427*U566+1.0968542297*IF(D566="L",1,0)+0.3771555045*IF(D566="S",1,0)-0.2226159177*IF(E566="L",1,0)+1.21385024*R566-1.1652812274*S566+W566+X566+Z566,10.5965166711+0.2825983581*I566+0.2806503532*J566+0.2027213083*K566+0.1147824982*L566+0.0915305332*M566-0.0088454122*(I566*J566/100)-0.0336045706*(K566*L566/100)+2.8497389733*IF(D566="L",1,0)+4.5116226727*IF(D566="S",1,0)-0.6571546448*IF(E566="L",1,0)+0.0850728147*T566+0.0129488446*(T566*T566)+0.1909373936*IF(OR(F566="Utility",G566="Utility"),T566,0)+0.9656824071*R566-1.7517683256*S566+W566+X566+Y566)</f>
        <v/>
      </c>
      <c r="AB566">
        <f>LOOKUP(AA566,Grade_Scale!$A$2:$A$18,Grade_Scale!$B$2:$B$18)</f>
        <v/>
      </c>
      <c r="AC566">
        <f>LOOKUP(AA566,Grade_Scale!$A$2:$A$18,Grade_Scale!$C$2:$C$18)</f>
        <v/>
      </c>
      <c r="AE566">
        <f>IF(AD566="","",AB566-VLOOKUP(AD566,Grade_Scale!$C$2:$E$18,3,FALSE))</f>
        <v/>
      </c>
    </row>
    <row r="567">
      <c r="Q567">
        <f>IF(OR(B567="SP",B567="RP",B567="CP",B567="SP/RP"),"P","H")</f>
        <v/>
      </c>
      <c r="R567">
        <f>IF(F567="",0,IFNA(VLOOKUP(F567,Trait_Polarity!$A:$C,2,FALSE),0))+IF(G567="",0,IFNA(VLOOKUP(G567,Trait_Polarity!$A:$C,2,FALSE),0))</f>
        <v/>
      </c>
      <c r="S567">
        <f>IF(F567="",0,IFNA(VLOOKUP(F567,Trait_Polarity!$A:$C,3,FALSE),0))+IF(G567="",0,IFNA(VLOOKUP(G567,Trait_Polarity!$A:$C,3,FALSE),0))</f>
        <v/>
      </c>
      <c r="T567">
        <f>IF(Q567="P",0,IFNA(VLOOKUP(IF(C567="","(none)",C567),Secondary_Versatility!$A:$B,2,FALSE),0))</f>
        <v/>
      </c>
      <c r="U567">
        <f>IF(H567="",0,LEN(H567)-LEN(SUBSTITUTE(H567,"|",""))+1)</f>
        <v/>
      </c>
      <c r="V567">
        <f>IF(Q567="P",(N567+O567+P567)/3,0.3*I567+0.3*J567+0.2*K567+0.1*L567+0.1*M567)</f>
        <v/>
      </c>
      <c r="W567">
        <f>IF(Q567="P",IF(F567="",0,IFNA(VLOOKUP(F567,Pitcher_Trait_Coef!$A:$B,2,FALSE),0))+IF(G567="",0,IFNA(VLOOKUP(G567,Pitcher_Trait_Coef!$A:$B,2,FALSE),0)),IF(F567="",0,IFNA(VLOOKUP(F567,Hitter_Trait_Coef!$A:$B,2,FALSE),0))+IF(G567="",0,IFNA(VLOOKUP(G567,Hitter_Trait_Coef!$A:$B,2,FALSE),0)))</f>
        <v/>
      </c>
      <c r="X567">
        <f>IF(Q567="P",IFNA(VLOOKUP(B567,Pitcher_Primary_Coef!$A:$B,2,FALSE),0),IFNA(VLOOKUP(B567,Hitter_Primary_Coef!$A:$B,2,FALSE),0))</f>
        <v/>
      </c>
      <c r="Y567">
        <f>IF(Q567="P",0,IFNA(VLOOKUP(IF(C567="","(none)",C567),Hitter_Secondary_Coef!$A:$B,2,FALSE),0))</f>
        <v/>
      </c>
      <c r="Z567">
        <f>IF(Q567="P",IF(ISNUMBER(SEARCH("2F",H567)),IFNA(VLOOKUP("2F",Pitch_Coef!$A:$B,2,FALSE),0),0)+IF(ISNUMBER(SEARCH("4F",H567)),IFNA(VLOOKUP("4F",Pitch_Coef!$A:$B,2,FALSE),0),0)+IF(ISNUMBER(SEARCH("CB",H567)),IFNA(VLOOKUP("CB",Pitch_Coef!$A:$B,2,FALSE),0),0)+IF(ISNUMBER(SEARCH("CF",H567)),IFNA(VLOOKUP("CF",Pitch_Coef!$A:$B,2,FALSE),0),0)+IF(ISNUMBER(SEARCH("CH",H567)),IFNA(VLOOKUP("CH",Pitch_Coef!$A:$B,2,FALSE),0),0)+IF(ISNUMBER(SEARCH("FK",H567)),IFNA(VLOOKUP("FK",Pitch_Coef!$A:$B,2,FALSE),0),0)+IF(ISNUMBER(SEARCH("SB",H567)),IFNA(VLOOKUP("SB",Pitch_Coef!$A:$B,2,FALSE),0),0)+IF(ISNUMBER(SEARCH("SL",H567)),IFNA(VLOOKUP("SL",Pitch_Coef!$A:$B,2,FALSE),0),0),0)</f>
        <v/>
      </c>
      <c r="AA567">
        <f>IF(Q567="P",16.5944849573+0.2529999141*N567+0.2665900378*O567+0.2632687105*P567+0.0427586837*I567+0.0534777057*J567+0.009015832*K567+0.0204898106*(O567*P567/100)+1.0091022427*U567+1.0968542297*IF(D567="L",1,0)+0.3771555045*IF(D567="S",1,0)-0.2226159177*IF(E567="L",1,0)+1.21385024*R567-1.1652812274*S567+W567+X567+Z567,10.5965166711+0.2825983581*I567+0.2806503532*J567+0.2027213083*K567+0.1147824982*L567+0.0915305332*M567-0.0088454122*(I567*J567/100)-0.0336045706*(K567*L567/100)+2.8497389733*IF(D567="L",1,0)+4.5116226727*IF(D567="S",1,0)-0.6571546448*IF(E567="L",1,0)+0.0850728147*T567+0.0129488446*(T567*T567)+0.1909373936*IF(OR(F567="Utility",G567="Utility"),T567,0)+0.9656824071*R567-1.7517683256*S567+W567+X567+Y567)</f>
        <v/>
      </c>
      <c r="AB567">
        <f>LOOKUP(AA567,Grade_Scale!$A$2:$A$18,Grade_Scale!$B$2:$B$18)</f>
        <v/>
      </c>
      <c r="AC567">
        <f>LOOKUP(AA567,Grade_Scale!$A$2:$A$18,Grade_Scale!$C$2:$C$18)</f>
        <v/>
      </c>
      <c r="AE567">
        <f>IF(AD567="","",AB567-VLOOKUP(AD567,Grade_Scale!$C$2:$E$18,3,FALSE))</f>
        <v/>
      </c>
    </row>
    <row r="568">
      <c r="Q568">
        <f>IF(OR(B568="SP",B568="RP",B568="CP",B568="SP/RP"),"P","H")</f>
        <v/>
      </c>
      <c r="R568">
        <f>IF(F568="",0,IFNA(VLOOKUP(F568,Trait_Polarity!$A:$C,2,FALSE),0))+IF(G568="",0,IFNA(VLOOKUP(G568,Trait_Polarity!$A:$C,2,FALSE),0))</f>
        <v/>
      </c>
      <c r="S568">
        <f>IF(F568="",0,IFNA(VLOOKUP(F568,Trait_Polarity!$A:$C,3,FALSE),0))+IF(G568="",0,IFNA(VLOOKUP(G568,Trait_Polarity!$A:$C,3,FALSE),0))</f>
        <v/>
      </c>
      <c r="T568">
        <f>IF(Q568="P",0,IFNA(VLOOKUP(IF(C568="","(none)",C568),Secondary_Versatility!$A:$B,2,FALSE),0))</f>
        <v/>
      </c>
      <c r="U568">
        <f>IF(H568="",0,LEN(H568)-LEN(SUBSTITUTE(H568,"|",""))+1)</f>
        <v/>
      </c>
      <c r="V568">
        <f>IF(Q568="P",(N568+O568+P568)/3,0.3*I568+0.3*J568+0.2*K568+0.1*L568+0.1*M568)</f>
        <v/>
      </c>
      <c r="W568">
        <f>IF(Q568="P",IF(F568="",0,IFNA(VLOOKUP(F568,Pitcher_Trait_Coef!$A:$B,2,FALSE),0))+IF(G568="",0,IFNA(VLOOKUP(G568,Pitcher_Trait_Coef!$A:$B,2,FALSE),0)),IF(F568="",0,IFNA(VLOOKUP(F568,Hitter_Trait_Coef!$A:$B,2,FALSE),0))+IF(G568="",0,IFNA(VLOOKUP(G568,Hitter_Trait_Coef!$A:$B,2,FALSE),0)))</f>
        <v/>
      </c>
      <c r="X568">
        <f>IF(Q568="P",IFNA(VLOOKUP(B568,Pitcher_Primary_Coef!$A:$B,2,FALSE),0),IFNA(VLOOKUP(B568,Hitter_Primary_Coef!$A:$B,2,FALSE),0))</f>
        <v/>
      </c>
      <c r="Y568">
        <f>IF(Q568="P",0,IFNA(VLOOKUP(IF(C568="","(none)",C568),Hitter_Secondary_Coef!$A:$B,2,FALSE),0))</f>
        <v/>
      </c>
      <c r="Z568">
        <f>IF(Q568="P",IF(ISNUMBER(SEARCH("2F",H568)),IFNA(VLOOKUP("2F",Pitch_Coef!$A:$B,2,FALSE),0),0)+IF(ISNUMBER(SEARCH("4F",H568)),IFNA(VLOOKUP("4F",Pitch_Coef!$A:$B,2,FALSE),0),0)+IF(ISNUMBER(SEARCH("CB",H568)),IFNA(VLOOKUP("CB",Pitch_Coef!$A:$B,2,FALSE),0),0)+IF(ISNUMBER(SEARCH("CF",H568)),IFNA(VLOOKUP("CF",Pitch_Coef!$A:$B,2,FALSE),0),0)+IF(ISNUMBER(SEARCH("CH",H568)),IFNA(VLOOKUP("CH",Pitch_Coef!$A:$B,2,FALSE),0),0)+IF(ISNUMBER(SEARCH("FK",H568)),IFNA(VLOOKUP("FK",Pitch_Coef!$A:$B,2,FALSE),0),0)+IF(ISNUMBER(SEARCH("SB",H568)),IFNA(VLOOKUP("SB",Pitch_Coef!$A:$B,2,FALSE),0),0)+IF(ISNUMBER(SEARCH("SL",H568)),IFNA(VLOOKUP("SL",Pitch_Coef!$A:$B,2,FALSE),0),0),0)</f>
        <v/>
      </c>
      <c r="AA568">
        <f>IF(Q568="P",16.5944849573+0.2529999141*N568+0.2665900378*O568+0.2632687105*P568+0.0427586837*I568+0.0534777057*J568+0.009015832*K568+0.0204898106*(O568*P568/100)+1.0091022427*U568+1.0968542297*IF(D568="L",1,0)+0.3771555045*IF(D568="S",1,0)-0.2226159177*IF(E568="L",1,0)+1.21385024*R568-1.1652812274*S568+W568+X568+Z568,10.5965166711+0.2825983581*I568+0.2806503532*J568+0.2027213083*K568+0.1147824982*L568+0.0915305332*M568-0.0088454122*(I568*J568/100)-0.0336045706*(K568*L568/100)+2.8497389733*IF(D568="L",1,0)+4.5116226727*IF(D568="S",1,0)-0.6571546448*IF(E568="L",1,0)+0.0850728147*T568+0.0129488446*(T568*T568)+0.1909373936*IF(OR(F568="Utility",G568="Utility"),T568,0)+0.9656824071*R568-1.7517683256*S568+W568+X568+Y568)</f>
        <v/>
      </c>
      <c r="AB568">
        <f>LOOKUP(AA568,Grade_Scale!$A$2:$A$18,Grade_Scale!$B$2:$B$18)</f>
        <v/>
      </c>
      <c r="AC568">
        <f>LOOKUP(AA568,Grade_Scale!$A$2:$A$18,Grade_Scale!$C$2:$C$18)</f>
        <v/>
      </c>
      <c r="AE568">
        <f>IF(AD568="","",AB568-VLOOKUP(AD568,Grade_Scale!$C$2:$E$18,3,FALSE))</f>
        <v/>
      </c>
    </row>
    <row r="569">
      <c r="Q569">
        <f>IF(OR(B569="SP",B569="RP",B569="CP",B569="SP/RP"),"P","H")</f>
        <v/>
      </c>
      <c r="R569">
        <f>IF(F569="",0,IFNA(VLOOKUP(F569,Trait_Polarity!$A:$C,2,FALSE),0))+IF(G569="",0,IFNA(VLOOKUP(G569,Trait_Polarity!$A:$C,2,FALSE),0))</f>
        <v/>
      </c>
      <c r="S569">
        <f>IF(F569="",0,IFNA(VLOOKUP(F569,Trait_Polarity!$A:$C,3,FALSE),0))+IF(G569="",0,IFNA(VLOOKUP(G569,Trait_Polarity!$A:$C,3,FALSE),0))</f>
        <v/>
      </c>
      <c r="T569">
        <f>IF(Q569="P",0,IFNA(VLOOKUP(IF(C569="","(none)",C569),Secondary_Versatility!$A:$B,2,FALSE),0))</f>
        <v/>
      </c>
      <c r="U569">
        <f>IF(H569="",0,LEN(H569)-LEN(SUBSTITUTE(H569,"|",""))+1)</f>
        <v/>
      </c>
      <c r="V569">
        <f>IF(Q569="P",(N569+O569+P569)/3,0.3*I569+0.3*J569+0.2*K569+0.1*L569+0.1*M569)</f>
        <v/>
      </c>
      <c r="W569">
        <f>IF(Q569="P",IF(F569="",0,IFNA(VLOOKUP(F569,Pitcher_Trait_Coef!$A:$B,2,FALSE),0))+IF(G569="",0,IFNA(VLOOKUP(G569,Pitcher_Trait_Coef!$A:$B,2,FALSE),0)),IF(F569="",0,IFNA(VLOOKUP(F569,Hitter_Trait_Coef!$A:$B,2,FALSE),0))+IF(G569="",0,IFNA(VLOOKUP(G569,Hitter_Trait_Coef!$A:$B,2,FALSE),0)))</f>
        <v/>
      </c>
      <c r="X569">
        <f>IF(Q569="P",IFNA(VLOOKUP(B569,Pitcher_Primary_Coef!$A:$B,2,FALSE),0),IFNA(VLOOKUP(B569,Hitter_Primary_Coef!$A:$B,2,FALSE),0))</f>
        <v/>
      </c>
      <c r="Y569">
        <f>IF(Q569="P",0,IFNA(VLOOKUP(IF(C569="","(none)",C569),Hitter_Secondary_Coef!$A:$B,2,FALSE),0))</f>
        <v/>
      </c>
      <c r="Z569">
        <f>IF(Q569="P",IF(ISNUMBER(SEARCH("2F",H569)),IFNA(VLOOKUP("2F",Pitch_Coef!$A:$B,2,FALSE),0),0)+IF(ISNUMBER(SEARCH("4F",H569)),IFNA(VLOOKUP("4F",Pitch_Coef!$A:$B,2,FALSE),0),0)+IF(ISNUMBER(SEARCH("CB",H569)),IFNA(VLOOKUP("CB",Pitch_Coef!$A:$B,2,FALSE),0),0)+IF(ISNUMBER(SEARCH("CF",H569)),IFNA(VLOOKUP("CF",Pitch_Coef!$A:$B,2,FALSE),0),0)+IF(ISNUMBER(SEARCH("CH",H569)),IFNA(VLOOKUP("CH",Pitch_Coef!$A:$B,2,FALSE),0),0)+IF(ISNUMBER(SEARCH("FK",H569)),IFNA(VLOOKUP("FK",Pitch_Coef!$A:$B,2,FALSE),0),0)+IF(ISNUMBER(SEARCH("SB",H569)),IFNA(VLOOKUP("SB",Pitch_Coef!$A:$B,2,FALSE),0),0)+IF(ISNUMBER(SEARCH("SL",H569)),IFNA(VLOOKUP("SL",Pitch_Coef!$A:$B,2,FALSE),0),0),0)</f>
        <v/>
      </c>
      <c r="AA569">
        <f>IF(Q569="P",16.5944849573+0.2529999141*N569+0.2665900378*O569+0.2632687105*P569+0.0427586837*I569+0.0534777057*J569+0.009015832*K569+0.0204898106*(O569*P569/100)+1.0091022427*U569+1.0968542297*IF(D569="L",1,0)+0.3771555045*IF(D569="S",1,0)-0.2226159177*IF(E569="L",1,0)+1.21385024*R569-1.1652812274*S569+W569+X569+Z569,10.5965166711+0.2825983581*I569+0.2806503532*J569+0.2027213083*K569+0.1147824982*L569+0.0915305332*M569-0.0088454122*(I569*J569/100)-0.0336045706*(K569*L569/100)+2.8497389733*IF(D569="L",1,0)+4.5116226727*IF(D569="S",1,0)-0.6571546448*IF(E569="L",1,0)+0.0850728147*T569+0.0129488446*(T569*T569)+0.1909373936*IF(OR(F569="Utility",G569="Utility"),T569,0)+0.9656824071*R569-1.7517683256*S569+W569+X569+Y569)</f>
        <v/>
      </c>
      <c r="AB569">
        <f>LOOKUP(AA569,Grade_Scale!$A$2:$A$18,Grade_Scale!$B$2:$B$18)</f>
        <v/>
      </c>
      <c r="AC569">
        <f>LOOKUP(AA569,Grade_Scale!$A$2:$A$18,Grade_Scale!$C$2:$C$18)</f>
        <v/>
      </c>
      <c r="AE569">
        <f>IF(AD569="","",AB569-VLOOKUP(AD569,Grade_Scale!$C$2:$E$18,3,FALSE))</f>
        <v/>
      </c>
    </row>
    <row r="570">
      <c r="Q570">
        <f>IF(OR(B570="SP",B570="RP",B570="CP",B570="SP/RP"),"P","H")</f>
        <v/>
      </c>
      <c r="R570">
        <f>IF(F570="",0,IFNA(VLOOKUP(F570,Trait_Polarity!$A:$C,2,FALSE),0))+IF(G570="",0,IFNA(VLOOKUP(G570,Trait_Polarity!$A:$C,2,FALSE),0))</f>
        <v/>
      </c>
      <c r="S570">
        <f>IF(F570="",0,IFNA(VLOOKUP(F570,Trait_Polarity!$A:$C,3,FALSE),0))+IF(G570="",0,IFNA(VLOOKUP(G570,Trait_Polarity!$A:$C,3,FALSE),0))</f>
        <v/>
      </c>
      <c r="T570">
        <f>IF(Q570="P",0,IFNA(VLOOKUP(IF(C570="","(none)",C570),Secondary_Versatility!$A:$B,2,FALSE),0))</f>
        <v/>
      </c>
      <c r="U570">
        <f>IF(H570="",0,LEN(H570)-LEN(SUBSTITUTE(H570,"|",""))+1)</f>
        <v/>
      </c>
      <c r="V570">
        <f>IF(Q570="P",(N570+O570+P570)/3,0.3*I570+0.3*J570+0.2*K570+0.1*L570+0.1*M570)</f>
        <v/>
      </c>
      <c r="W570">
        <f>IF(Q570="P",IF(F570="",0,IFNA(VLOOKUP(F570,Pitcher_Trait_Coef!$A:$B,2,FALSE),0))+IF(G570="",0,IFNA(VLOOKUP(G570,Pitcher_Trait_Coef!$A:$B,2,FALSE),0)),IF(F570="",0,IFNA(VLOOKUP(F570,Hitter_Trait_Coef!$A:$B,2,FALSE),0))+IF(G570="",0,IFNA(VLOOKUP(G570,Hitter_Trait_Coef!$A:$B,2,FALSE),0)))</f>
        <v/>
      </c>
      <c r="X570">
        <f>IF(Q570="P",IFNA(VLOOKUP(B570,Pitcher_Primary_Coef!$A:$B,2,FALSE),0),IFNA(VLOOKUP(B570,Hitter_Primary_Coef!$A:$B,2,FALSE),0))</f>
        <v/>
      </c>
      <c r="Y570">
        <f>IF(Q570="P",0,IFNA(VLOOKUP(IF(C570="","(none)",C570),Hitter_Secondary_Coef!$A:$B,2,FALSE),0))</f>
        <v/>
      </c>
      <c r="Z570">
        <f>IF(Q570="P",IF(ISNUMBER(SEARCH("2F",H570)),IFNA(VLOOKUP("2F",Pitch_Coef!$A:$B,2,FALSE),0),0)+IF(ISNUMBER(SEARCH("4F",H570)),IFNA(VLOOKUP("4F",Pitch_Coef!$A:$B,2,FALSE),0),0)+IF(ISNUMBER(SEARCH("CB",H570)),IFNA(VLOOKUP("CB",Pitch_Coef!$A:$B,2,FALSE),0),0)+IF(ISNUMBER(SEARCH("CF",H570)),IFNA(VLOOKUP("CF",Pitch_Coef!$A:$B,2,FALSE),0),0)+IF(ISNUMBER(SEARCH("CH",H570)),IFNA(VLOOKUP("CH",Pitch_Coef!$A:$B,2,FALSE),0),0)+IF(ISNUMBER(SEARCH("FK",H570)),IFNA(VLOOKUP("FK",Pitch_Coef!$A:$B,2,FALSE),0),0)+IF(ISNUMBER(SEARCH("SB",H570)),IFNA(VLOOKUP("SB",Pitch_Coef!$A:$B,2,FALSE),0),0)+IF(ISNUMBER(SEARCH("SL",H570)),IFNA(VLOOKUP("SL",Pitch_Coef!$A:$B,2,FALSE),0),0),0)</f>
        <v/>
      </c>
      <c r="AA570">
        <f>IF(Q570="P",16.5944849573+0.2529999141*N570+0.2665900378*O570+0.2632687105*P570+0.0427586837*I570+0.0534777057*J570+0.009015832*K570+0.0204898106*(O570*P570/100)+1.0091022427*U570+1.0968542297*IF(D570="L",1,0)+0.3771555045*IF(D570="S",1,0)-0.2226159177*IF(E570="L",1,0)+1.21385024*R570-1.1652812274*S570+W570+X570+Z570,10.5965166711+0.2825983581*I570+0.2806503532*J570+0.2027213083*K570+0.1147824982*L570+0.0915305332*M570-0.0088454122*(I570*J570/100)-0.0336045706*(K570*L570/100)+2.8497389733*IF(D570="L",1,0)+4.5116226727*IF(D570="S",1,0)-0.6571546448*IF(E570="L",1,0)+0.0850728147*T570+0.0129488446*(T570*T570)+0.1909373936*IF(OR(F570="Utility",G570="Utility"),T570,0)+0.9656824071*R570-1.7517683256*S570+W570+X570+Y570)</f>
        <v/>
      </c>
      <c r="AB570">
        <f>LOOKUP(AA570,Grade_Scale!$A$2:$A$18,Grade_Scale!$B$2:$B$18)</f>
        <v/>
      </c>
      <c r="AC570">
        <f>LOOKUP(AA570,Grade_Scale!$A$2:$A$18,Grade_Scale!$C$2:$C$18)</f>
        <v/>
      </c>
      <c r="AE570">
        <f>IF(AD570="","",AB570-VLOOKUP(AD570,Grade_Scale!$C$2:$E$18,3,FALSE))</f>
        <v/>
      </c>
    </row>
    <row r="571">
      <c r="Q571">
        <f>IF(OR(B571="SP",B571="RP",B571="CP",B571="SP/RP"),"P","H")</f>
        <v/>
      </c>
      <c r="R571">
        <f>IF(F571="",0,IFNA(VLOOKUP(F571,Trait_Polarity!$A:$C,2,FALSE),0))+IF(G571="",0,IFNA(VLOOKUP(G571,Trait_Polarity!$A:$C,2,FALSE),0))</f>
        <v/>
      </c>
      <c r="S571">
        <f>IF(F571="",0,IFNA(VLOOKUP(F571,Trait_Polarity!$A:$C,3,FALSE),0))+IF(G571="",0,IFNA(VLOOKUP(G571,Trait_Polarity!$A:$C,3,FALSE),0))</f>
        <v/>
      </c>
      <c r="T571">
        <f>IF(Q571="P",0,IFNA(VLOOKUP(IF(C571="","(none)",C571),Secondary_Versatility!$A:$B,2,FALSE),0))</f>
        <v/>
      </c>
      <c r="U571">
        <f>IF(H571="",0,LEN(H571)-LEN(SUBSTITUTE(H571,"|",""))+1)</f>
        <v/>
      </c>
      <c r="V571">
        <f>IF(Q571="P",(N571+O571+P571)/3,0.3*I571+0.3*J571+0.2*K571+0.1*L571+0.1*M571)</f>
        <v/>
      </c>
      <c r="W571">
        <f>IF(Q571="P",IF(F571="",0,IFNA(VLOOKUP(F571,Pitcher_Trait_Coef!$A:$B,2,FALSE),0))+IF(G571="",0,IFNA(VLOOKUP(G571,Pitcher_Trait_Coef!$A:$B,2,FALSE),0)),IF(F571="",0,IFNA(VLOOKUP(F571,Hitter_Trait_Coef!$A:$B,2,FALSE),0))+IF(G571="",0,IFNA(VLOOKUP(G571,Hitter_Trait_Coef!$A:$B,2,FALSE),0)))</f>
        <v/>
      </c>
      <c r="X571">
        <f>IF(Q571="P",IFNA(VLOOKUP(B571,Pitcher_Primary_Coef!$A:$B,2,FALSE),0),IFNA(VLOOKUP(B571,Hitter_Primary_Coef!$A:$B,2,FALSE),0))</f>
        <v/>
      </c>
      <c r="Y571">
        <f>IF(Q571="P",0,IFNA(VLOOKUP(IF(C571="","(none)",C571),Hitter_Secondary_Coef!$A:$B,2,FALSE),0))</f>
        <v/>
      </c>
      <c r="Z571">
        <f>IF(Q571="P",IF(ISNUMBER(SEARCH("2F",H571)),IFNA(VLOOKUP("2F",Pitch_Coef!$A:$B,2,FALSE),0),0)+IF(ISNUMBER(SEARCH("4F",H571)),IFNA(VLOOKUP("4F",Pitch_Coef!$A:$B,2,FALSE),0),0)+IF(ISNUMBER(SEARCH("CB",H571)),IFNA(VLOOKUP("CB",Pitch_Coef!$A:$B,2,FALSE),0),0)+IF(ISNUMBER(SEARCH("CF",H571)),IFNA(VLOOKUP("CF",Pitch_Coef!$A:$B,2,FALSE),0),0)+IF(ISNUMBER(SEARCH("CH",H571)),IFNA(VLOOKUP("CH",Pitch_Coef!$A:$B,2,FALSE),0),0)+IF(ISNUMBER(SEARCH("FK",H571)),IFNA(VLOOKUP("FK",Pitch_Coef!$A:$B,2,FALSE),0),0)+IF(ISNUMBER(SEARCH("SB",H571)),IFNA(VLOOKUP("SB",Pitch_Coef!$A:$B,2,FALSE),0),0)+IF(ISNUMBER(SEARCH("SL",H571)),IFNA(VLOOKUP("SL",Pitch_Coef!$A:$B,2,FALSE),0),0),0)</f>
        <v/>
      </c>
      <c r="AA571">
        <f>IF(Q571="P",16.5944849573+0.2529999141*N571+0.2665900378*O571+0.2632687105*P571+0.0427586837*I571+0.0534777057*J571+0.009015832*K571+0.0204898106*(O571*P571/100)+1.0091022427*U571+1.0968542297*IF(D571="L",1,0)+0.3771555045*IF(D571="S",1,0)-0.2226159177*IF(E571="L",1,0)+1.21385024*R571-1.1652812274*S571+W571+X571+Z571,10.5965166711+0.2825983581*I571+0.2806503532*J571+0.2027213083*K571+0.1147824982*L571+0.0915305332*M571-0.0088454122*(I571*J571/100)-0.0336045706*(K571*L571/100)+2.8497389733*IF(D571="L",1,0)+4.5116226727*IF(D571="S",1,0)-0.6571546448*IF(E571="L",1,0)+0.0850728147*T571+0.0129488446*(T571*T571)+0.1909373936*IF(OR(F571="Utility",G571="Utility"),T571,0)+0.9656824071*R571-1.7517683256*S571+W571+X571+Y571)</f>
        <v/>
      </c>
      <c r="AB571">
        <f>LOOKUP(AA571,Grade_Scale!$A$2:$A$18,Grade_Scale!$B$2:$B$18)</f>
        <v/>
      </c>
      <c r="AC571">
        <f>LOOKUP(AA571,Grade_Scale!$A$2:$A$18,Grade_Scale!$C$2:$C$18)</f>
        <v/>
      </c>
      <c r="AE571">
        <f>IF(AD571="","",AB571-VLOOKUP(AD571,Grade_Scale!$C$2:$E$18,3,FALSE))</f>
        <v/>
      </c>
    </row>
    <row r="572">
      <c r="Q572">
        <f>IF(OR(B572="SP",B572="RP",B572="CP",B572="SP/RP"),"P","H")</f>
        <v/>
      </c>
      <c r="R572">
        <f>IF(F572="",0,IFNA(VLOOKUP(F572,Trait_Polarity!$A:$C,2,FALSE),0))+IF(G572="",0,IFNA(VLOOKUP(G572,Trait_Polarity!$A:$C,2,FALSE),0))</f>
        <v/>
      </c>
      <c r="S572">
        <f>IF(F572="",0,IFNA(VLOOKUP(F572,Trait_Polarity!$A:$C,3,FALSE),0))+IF(G572="",0,IFNA(VLOOKUP(G572,Trait_Polarity!$A:$C,3,FALSE),0))</f>
        <v/>
      </c>
      <c r="T572">
        <f>IF(Q572="P",0,IFNA(VLOOKUP(IF(C572="","(none)",C572),Secondary_Versatility!$A:$B,2,FALSE),0))</f>
        <v/>
      </c>
      <c r="U572">
        <f>IF(H572="",0,LEN(H572)-LEN(SUBSTITUTE(H572,"|",""))+1)</f>
        <v/>
      </c>
      <c r="V572">
        <f>IF(Q572="P",(N572+O572+P572)/3,0.3*I572+0.3*J572+0.2*K572+0.1*L572+0.1*M572)</f>
        <v/>
      </c>
      <c r="W572">
        <f>IF(Q572="P",IF(F572="",0,IFNA(VLOOKUP(F572,Pitcher_Trait_Coef!$A:$B,2,FALSE),0))+IF(G572="",0,IFNA(VLOOKUP(G572,Pitcher_Trait_Coef!$A:$B,2,FALSE),0)),IF(F572="",0,IFNA(VLOOKUP(F572,Hitter_Trait_Coef!$A:$B,2,FALSE),0))+IF(G572="",0,IFNA(VLOOKUP(G572,Hitter_Trait_Coef!$A:$B,2,FALSE),0)))</f>
        <v/>
      </c>
      <c r="X572">
        <f>IF(Q572="P",IFNA(VLOOKUP(B572,Pitcher_Primary_Coef!$A:$B,2,FALSE),0),IFNA(VLOOKUP(B572,Hitter_Primary_Coef!$A:$B,2,FALSE),0))</f>
        <v/>
      </c>
      <c r="Y572">
        <f>IF(Q572="P",0,IFNA(VLOOKUP(IF(C572="","(none)",C572),Hitter_Secondary_Coef!$A:$B,2,FALSE),0))</f>
        <v/>
      </c>
      <c r="Z572">
        <f>IF(Q572="P",IF(ISNUMBER(SEARCH("2F",H572)),IFNA(VLOOKUP("2F",Pitch_Coef!$A:$B,2,FALSE),0),0)+IF(ISNUMBER(SEARCH("4F",H572)),IFNA(VLOOKUP("4F",Pitch_Coef!$A:$B,2,FALSE),0),0)+IF(ISNUMBER(SEARCH("CB",H572)),IFNA(VLOOKUP("CB",Pitch_Coef!$A:$B,2,FALSE),0),0)+IF(ISNUMBER(SEARCH("CF",H572)),IFNA(VLOOKUP("CF",Pitch_Coef!$A:$B,2,FALSE),0),0)+IF(ISNUMBER(SEARCH("CH",H572)),IFNA(VLOOKUP("CH",Pitch_Coef!$A:$B,2,FALSE),0),0)+IF(ISNUMBER(SEARCH("FK",H572)),IFNA(VLOOKUP("FK",Pitch_Coef!$A:$B,2,FALSE),0),0)+IF(ISNUMBER(SEARCH("SB",H572)),IFNA(VLOOKUP("SB",Pitch_Coef!$A:$B,2,FALSE),0),0)+IF(ISNUMBER(SEARCH("SL",H572)),IFNA(VLOOKUP("SL",Pitch_Coef!$A:$B,2,FALSE),0),0),0)</f>
        <v/>
      </c>
      <c r="AA572">
        <f>IF(Q572="P",16.5944849573+0.2529999141*N572+0.2665900378*O572+0.2632687105*P572+0.0427586837*I572+0.0534777057*J572+0.009015832*K572+0.0204898106*(O572*P572/100)+1.0091022427*U572+1.0968542297*IF(D572="L",1,0)+0.3771555045*IF(D572="S",1,0)-0.2226159177*IF(E572="L",1,0)+1.21385024*R572-1.1652812274*S572+W572+X572+Z572,10.5965166711+0.2825983581*I572+0.2806503532*J572+0.2027213083*K572+0.1147824982*L572+0.0915305332*M572-0.0088454122*(I572*J572/100)-0.0336045706*(K572*L572/100)+2.8497389733*IF(D572="L",1,0)+4.5116226727*IF(D572="S",1,0)-0.6571546448*IF(E572="L",1,0)+0.0850728147*T572+0.0129488446*(T572*T572)+0.1909373936*IF(OR(F572="Utility",G572="Utility"),T572,0)+0.9656824071*R572-1.7517683256*S572+W572+X572+Y572)</f>
        <v/>
      </c>
      <c r="AB572">
        <f>LOOKUP(AA572,Grade_Scale!$A$2:$A$18,Grade_Scale!$B$2:$B$18)</f>
        <v/>
      </c>
      <c r="AC572">
        <f>LOOKUP(AA572,Grade_Scale!$A$2:$A$18,Grade_Scale!$C$2:$C$18)</f>
        <v/>
      </c>
      <c r="AE572">
        <f>IF(AD572="","",AB572-VLOOKUP(AD572,Grade_Scale!$C$2:$E$18,3,FALSE))</f>
        <v/>
      </c>
    </row>
    <row r="573">
      <c r="Q573">
        <f>IF(OR(B573="SP",B573="RP",B573="CP",B573="SP/RP"),"P","H")</f>
        <v/>
      </c>
      <c r="R573">
        <f>IF(F573="",0,IFNA(VLOOKUP(F573,Trait_Polarity!$A:$C,2,FALSE),0))+IF(G573="",0,IFNA(VLOOKUP(G573,Trait_Polarity!$A:$C,2,FALSE),0))</f>
        <v/>
      </c>
      <c r="S573">
        <f>IF(F573="",0,IFNA(VLOOKUP(F573,Trait_Polarity!$A:$C,3,FALSE),0))+IF(G573="",0,IFNA(VLOOKUP(G573,Trait_Polarity!$A:$C,3,FALSE),0))</f>
        <v/>
      </c>
      <c r="T573">
        <f>IF(Q573="P",0,IFNA(VLOOKUP(IF(C573="","(none)",C573),Secondary_Versatility!$A:$B,2,FALSE),0))</f>
        <v/>
      </c>
      <c r="U573">
        <f>IF(H573="",0,LEN(H573)-LEN(SUBSTITUTE(H573,"|",""))+1)</f>
        <v/>
      </c>
      <c r="V573">
        <f>IF(Q573="P",(N573+O573+P573)/3,0.3*I573+0.3*J573+0.2*K573+0.1*L573+0.1*M573)</f>
        <v/>
      </c>
      <c r="W573">
        <f>IF(Q573="P",IF(F573="",0,IFNA(VLOOKUP(F573,Pitcher_Trait_Coef!$A:$B,2,FALSE),0))+IF(G573="",0,IFNA(VLOOKUP(G573,Pitcher_Trait_Coef!$A:$B,2,FALSE),0)),IF(F573="",0,IFNA(VLOOKUP(F573,Hitter_Trait_Coef!$A:$B,2,FALSE),0))+IF(G573="",0,IFNA(VLOOKUP(G573,Hitter_Trait_Coef!$A:$B,2,FALSE),0)))</f>
        <v/>
      </c>
      <c r="X573">
        <f>IF(Q573="P",IFNA(VLOOKUP(B573,Pitcher_Primary_Coef!$A:$B,2,FALSE),0),IFNA(VLOOKUP(B573,Hitter_Primary_Coef!$A:$B,2,FALSE),0))</f>
        <v/>
      </c>
      <c r="Y573">
        <f>IF(Q573="P",0,IFNA(VLOOKUP(IF(C573="","(none)",C573),Hitter_Secondary_Coef!$A:$B,2,FALSE),0))</f>
        <v/>
      </c>
      <c r="Z573">
        <f>IF(Q573="P",IF(ISNUMBER(SEARCH("2F",H573)),IFNA(VLOOKUP("2F",Pitch_Coef!$A:$B,2,FALSE),0),0)+IF(ISNUMBER(SEARCH("4F",H573)),IFNA(VLOOKUP("4F",Pitch_Coef!$A:$B,2,FALSE),0),0)+IF(ISNUMBER(SEARCH("CB",H573)),IFNA(VLOOKUP("CB",Pitch_Coef!$A:$B,2,FALSE),0),0)+IF(ISNUMBER(SEARCH("CF",H573)),IFNA(VLOOKUP("CF",Pitch_Coef!$A:$B,2,FALSE),0),0)+IF(ISNUMBER(SEARCH("CH",H573)),IFNA(VLOOKUP("CH",Pitch_Coef!$A:$B,2,FALSE),0),0)+IF(ISNUMBER(SEARCH("FK",H573)),IFNA(VLOOKUP("FK",Pitch_Coef!$A:$B,2,FALSE),0),0)+IF(ISNUMBER(SEARCH("SB",H573)),IFNA(VLOOKUP("SB",Pitch_Coef!$A:$B,2,FALSE),0),0)+IF(ISNUMBER(SEARCH("SL",H573)),IFNA(VLOOKUP("SL",Pitch_Coef!$A:$B,2,FALSE),0),0),0)</f>
        <v/>
      </c>
      <c r="AA573">
        <f>IF(Q573="P",16.5944849573+0.2529999141*N573+0.2665900378*O573+0.2632687105*P573+0.0427586837*I573+0.0534777057*J573+0.009015832*K573+0.0204898106*(O573*P573/100)+1.0091022427*U573+1.0968542297*IF(D573="L",1,0)+0.3771555045*IF(D573="S",1,0)-0.2226159177*IF(E573="L",1,0)+1.21385024*R573-1.1652812274*S573+W573+X573+Z573,10.5965166711+0.2825983581*I573+0.2806503532*J573+0.2027213083*K573+0.1147824982*L573+0.0915305332*M573-0.0088454122*(I573*J573/100)-0.0336045706*(K573*L573/100)+2.8497389733*IF(D573="L",1,0)+4.5116226727*IF(D573="S",1,0)-0.6571546448*IF(E573="L",1,0)+0.0850728147*T573+0.0129488446*(T573*T573)+0.1909373936*IF(OR(F573="Utility",G573="Utility"),T573,0)+0.9656824071*R573-1.7517683256*S573+W573+X573+Y573)</f>
        <v/>
      </c>
      <c r="AB573">
        <f>LOOKUP(AA573,Grade_Scale!$A$2:$A$18,Grade_Scale!$B$2:$B$18)</f>
        <v/>
      </c>
      <c r="AC573">
        <f>LOOKUP(AA573,Grade_Scale!$A$2:$A$18,Grade_Scale!$C$2:$C$18)</f>
        <v/>
      </c>
      <c r="AE573">
        <f>IF(AD573="","",AB573-VLOOKUP(AD573,Grade_Scale!$C$2:$E$18,3,FALSE))</f>
        <v/>
      </c>
    </row>
    <row r="574">
      <c r="Q574">
        <f>IF(OR(B574="SP",B574="RP",B574="CP",B574="SP/RP"),"P","H")</f>
        <v/>
      </c>
      <c r="R574">
        <f>IF(F574="",0,IFNA(VLOOKUP(F574,Trait_Polarity!$A:$C,2,FALSE),0))+IF(G574="",0,IFNA(VLOOKUP(G574,Trait_Polarity!$A:$C,2,FALSE),0))</f>
        <v/>
      </c>
      <c r="S574">
        <f>IF(F574="",0,IFNA(VLOOKUP(F574,Trait_Polarity!$A:$C,3,FALSE),0))+IF(G574="",0,IFNA(VLOOKUP(G574,Trait_Polarity!$A:$C,3,FALSE),0))</f>
        <v/>
      </c>
      <c r="T574">
        <f>IF(Q574="P",0,IFNA(VLOOKUP(IF(C574="","(none)",C574),Secondary_Versatility!$A:$B,2,FALSE),0))</f>
        <v/>
      </c>
      <c r="U574">
        <f>IF(H574="",0,LEN(H574)-LEN(SUBSTITUTE(H574,"|",""))+1)</f>
        <v/>
      </c>
      <c r="V574">
        <f>IF(Q574="P",(N574+O574+P574)/3,0.3*I574+0.3*J574+0.2*K574+0.1*L574+0.1*M574)</f>
        <v/>
      </c>
      <c r="W574">
        <f>IF(Q574="P",IF(F574="",0,IFNA(VLOOKUP(F574,Pitcher_Trait_Coef!$A:$B,2,FALSE),0))+IF(G574="",0,IFNA(VLOOKUP(G574,Pitcher_Trait_Coef!$A:$B,2,FALSE),0)),IF(F574="",0,IFNA(VLOOKUP(F574,Hitter_Trait_Coef!$A:$B,2,FALSE),0))+IF(G574="",0,IFNA(VLOOKUP(G574,Hitter_Trait_Coef!$A:$B,2,FALSE),0)))</f>
        <v/>
      </c>
      <c r="X574">
        <f>IF(Q574="P",IFNA(VLOOKUP(B574,Pitcher_Primary_Coef!$A:$B,2,FALSE),0),IFNA(VLOOKUP(B574,Hitter_Primary_Coef!$A:$B,2,FALSE),0))</f>
        <v/>
      </c>
      <c r="Y574">
        <f>IF(Q574="P",0,IFNA(VLOOKUP(IF(C574="","(none)",C574),Hitter_Secondary_Coef!$A:$B,2,FALSE),0))</f>
        <v/>
      </c>
      <c r="Z574">
        <f>IF(Q574="P",IF(ISNUMBER(SEARCH("2F",H574)),IFNA(VLOOKUP("2F",Pitch_Coef!$A:$B,2,FALSE),0),0)+IF(ISNUMBER(SEARCH("4F",H574)),IFNA(VLOOKUP("4F",Pitch_Coef!$A:$B,2,FALSE),0),0)+IF(ISNUMBER(SEARCH("CB",H574)),IFNA(VLOOKUP("CB",Pitch_Coef!$A:$B,2,FALSE),0),0)+IF(ISNUMBER(SEARCH("CF",H574)),IFNA(VLOOKUP("CF",Pitch_Coef!$A:$B,2,FALSE),0),0)+IF(ISNUMBER(SEARCH("CH",H574)),IFNA(VLOOKUP("CH",Pitch_Coef!$A:$B,2,FALSE),0),0)+IF(ISNUMBER(SEARCH("FK",H574)),IFNA(VLOOKUP("FK",Pitch_Coef!$A:$B,2,FALSE),0),0)+IF(ISNUMBER(SEARCH("SB",H574)),IFNA(VLOOKUP("SB",Pitch_Coef!$A:$B,2,FALSE),0),0)+IF(ISNUMBER(SEARCH("SL",H574)),IFNA(VLOOKUP("SL",Pitch_Coef!$A:$B,2,FALSE),0),0),0)</f>
        <v/>
      </c>
      <c r="AA574">
        <f>IF(Q574="P",16.5944849573+0.2529999141*N574+0.2665900378*O574+0.2632687105*P574+0.0427586837*I574+0.0534777057*J574+0.009015832*K574+0.0204898106*(O574*P574/100)+1.0091022427*U574+1.0968542297*IF(D574="L",1,0)+0.3771555045*IF(D574="S",1,0)-0.2226159177*IF(E574="L",1,0)+1.21385024*R574-1.1652812274*S574+W574+X574+Z574,10.5965166711+0.2825983581*I574+0.2806503532*J574+0.2027213083*K574+0.1147824982*L574+0.0915305332*M574-0.0088454122*(I574*J574/100)-0.0336045706*(K574*L574/100)+2.8497389733*IF(D574="L",1,0)+4.5116226727*IF(D574="S",1,0)-0.6571546448*IF(E574="L",1,0)+0.0850728147*T574+0.0129488446*(T574*T574)+0.1909373936*IF(OR(F574="Utility",G574="Utility"),T574,0)+0.9656824071*R574-1.7517683256*S574+W574+X574+Y574)</f>
        <v/>
      </c>
      <c r="AB574">
        <f>LOOKUP(AA574,Grade_Scale!$A$2:$A$18,Grade_Scale!$B$2:$B$18)</f>
        <v/>
      </c>
      <c r="AC574">
        <f>LOOKUP(AA574,Grade_Scale!$A$2:$A$18,Grade_Scale!$C$2:$C$18)</f>
        <v/>
      </c>
      <c r="AE574">
        <f>IF(AD574="","",AB574-VLOOKUP(AD574,Grade_Scale!$C$2:$E$18,3,FALSE))</f>
        <v/>
      </c>
    </row>
    <row r="575">
      <c r="Q575">
        <f>IF(OR(B575="SP",B575="RP",B575="CP",B575="SP/RP"),"P","H")</f>
        <v/>
      </c>
      <c r="R575">
        <f>IF(F575="",0,IFNA(VLOOKUP(F575,Trait_Polarity!$A:$C,2,FALSE),0))+IF(G575="",0,IFNA(VLOOKUP(G575,Trait_Polarity!$A:$C,2,FALSE),0))</f>
        <v/>
      </c>
      <c r="S575">
        <f>IF(F575="",0,IFNA(VLOOKUP(F575,Trait_Polarity!$A:$C,3,FALSE),0))+IF(G575="",0,IFNA(VLOOKUP(G575,Trait_Polarity!$A:$C,3,FALSE),0))</f>
        <v/>
      </c>
      <c r="T575">
        <f>IF(Q575="P",0,IFNA(VLOOKUP(IF(C575="","(none)",C575),Secondary_Versatility!$A:$B,2,FALSE),0))</f>
        <v/>
      </c>
      <c r="U575">
        <f>IF(H575="",0,LEN(H575)-LEN(SUBSTITUTE(H575,"|",""))+1)</f>
        <v/>
      </c>
      <c r="V575">
        <f>IF(Q575="P",(N575+O575+P575)/3,0.3*I575+0.3*J575+0.2*K575+0.1*L575+0.1*M575)</f>
        <v/>
      </c>
      <c r="W575">
        <f>IF(Q575="P",IF(F575="",0,IFNA(VLOOKUP(F575,Pitcher_Trait_Coef!$A:$B,2,FALSE),0))+IF(G575="",0,IFNA(VLOOKUP(G575,Pitcher_Trait_Coef!$A:$B,2,FALSE),0)),IF(F575="",0,IFNA(VLOOKUP(F575,Hitter_Trait_Coef!$A:$B,2,FALSE),0))+IF(G575="",0,IFNA(VLOOKUP(G575,Hitter_Trait_Coef!$A:$B,2,FALSE),0)))</f>
        <v/>
      </c>
      <c r="X575">
        <f>IF(Q575="P",IFNA(VLOOKUP(B575,Pitcher_Primary_Coef!$A:$B,2,FALSE),0),IFNA(VLOOKUP(B575,Hitter_Primary_Coef!$A:$B,2,FALSE),0))</f>
        <v/>
      </c>
      <c r="Y575">
        <f>IF(Q575="P",0,IFNA(VLOOKUP(IF(C575="","(none)",C575),Hitter_Secondary_Coef!$A:$B,2,FALSE),0))</f>
        <v/>
      </c>
      <c r="Z575">
        <f>IF(Q575="P",IF(ISNUMBER(SEARCH("2F",H575)),IFNA(VLOOKUP("2F",Pitch_Coef!$A:$B,2,FALSE),0),0)+IF(ISNUMBER(SEARCH("4F",H575)),IFNA(VLOOKUP("4F",Pitch_Coef!$A:$B,2,FALSE),0),0)+IF(ISNUMBER(SEARCH("CB",H575)),IFNA(VLOOKUP("CB",Pitch_Coef!$A:$B,2,FALSE),0),0)+IF(ISNUMBER(SEARCH("CF",H575)),IFNA(VLOOKUP("CF",Pitch_Coef!$A:$B,2,FALSE),0),0)+IF(ISNUMBER(SEARCH("CH",H575)),IFNA(VLOOKUP("CH",Pitch_Coef!$A:$B,2,FALSE),0),0)+IF(ISNUMBER(SEARCH("FK",H575)),IFNA(VLOOKUP("FK",Pitch_Coef!$A:$B,2,FALSE),0),0)+IF(ISNUMBER(SEARCH("SB",H575)),IFNA(VLOOKUP("SB",Pitch_Coef!$A:$B,2,FALSE),0),0)+IF(ISNUMBER(SEARCH("SL",H575)),IFNA(VLOOKUP("SL",Pitch_Coef!$A:$B,2,FALSE),0),0),0)</f>
        <v/>
      </c>
      <c r="AA575">
        <f>IF(Q575="P",16.5944849573+0.2529999141*N575+0.2665900378*O575+0.2632687105*P575+0.0427586837*I575+0.0534777057*J575+0.009015832*K575+0.0204898106*(O575*P575/100)+1.0091022427*U575+1.0968542297*IF(D575="L",1,0)+0.3771555045*IF(D575="S",1,0)-0.2226159177*IF(E575="L",1,0)+1.21385024*R575-1.1652812274*S575+W575+X575+Z575,10.5965166711+0.2825983581*I575+0.2806503532*J575+0.2027213083*K575+0.1147824982*L575+0.0915305332*M575-0.0088454122*(I575*J575/100)-0.0336045706*(K575*L575/100)+2.8497389733*IF(D575="L",1,0)+4.5116226727*IF(D575="S",1,0)-0.6571546448*IF(E575="L",1,0)+0.0850728147*T575+0.0129488446*(T575*T575)+0.1909373936*IF(OR(F575="Utility",G575="Utility"),T575,0)+0.9656824071*R575-1.7517683256*S575+W575+X575+Y575)</f>
        <v/>
      </c>
      <c r="AB575">
        <f>LOOKUP(AA575,Grade_Scale!$A$2:$A$18,Grade_Scale!$B$2:$B$18)</f>
        <v/>
      </c>
      <c r="AC575">
        <f>LOOKUP(AA575,Grade_Scale!$A$2:$A$18,Grade_Scale!$C$2:$C$18)</f>
        <v/>
      </c>
      <c r="AE575">
        <f>IF(AD575="","",AB575-VLOOKUP(AD575,Grade_Scale!$C$2:$E$18,3,FALSE))</f>
        <v/>
      </c>
    </row>
    <row r="576">
      <c r="Q576">
        <f>IF(OR(B576="SP",B576="RP",B576="CP",B576="SP/RP"),"P","H")</f>
        <v/>
      </c>
      <c r="R576">
        <f>IF(F576="",0,IFNA(VLOOKUP(F576,Trait_Polarity!$A:$C,2,FALSE),0))+IF(G576="",0,IFNA(VLOOKUP(G576,Trait_Polarity!$A:$C,2,FALSE),0))</f>
        <v/>
      </c>
      <c r="S576">
        <f>IF(F576="",0,IFNA(VLOOKUP(F576,Trait_Polarity!$A:$C,3,FALSE),0))+IF(G576="",0,IFNA(VLOOKUP(G576,Trait_Polarity!$A:$C,3,FALSE),0))</f>
        <v/>
      </c>
      <c r="T576">
        <f>IF(Q576="P",0,IFNA(VLOOKUP(IF(C576="","(none)",C576),Secondary_Versatility!$A:$B,2,FALSE),0))</f>
        <v/>
      </c>
      <c r="U576">
        <f>IF(H576="",0,LEN(H576)-LEN(SUBSTITUTE(H576,"|",""))+1)</f>
        <v/>
      </c>
      <c r="V576">
        <f>IF(Q576="P",(N576+O576+P576)/3,0.3*I576+0.3*J576+0.2*K576+0.1*L576+0.1*M576)</f>
        <v/>
      </c>
      <c r="W576">
        <f>IF(Q576="P",IF(F576="",0,IFNA(VLOOKUP(F576,Pitcher_Trait_Coef!$A:$B,2,FALSE),0))+IF(G576="",0,IFNA(VLOOKUP(G576,Pitcher_Trait_Coef!$A:$B,2,FALSE),0)),IF(F576="",0,IFNA(VLOOKUP(F576,Hitter_Trait_Coef!$A:$B,2,FALSE),0))+IF(G576="",0,IFNA(VLOOKUP(G576,Hitter_Trait_Coef!$A:$B,2,FALSE),0)))</f>
        <v/>
      </c>
      <c r="X576">
        <f>IF(Q576="P",IFNA(VLOOKUP(B576,Pitcher_Primary_Coef!$A:$B,2,FALSE),0),IFNA(VLOOKUP(B576,Hitter_Primary_Coef!$A:$B,2,FALSE),0))</f>
        <v/>
      </c>
      <c r="Y576">
        <f>IF(Q576="P",0,IFNA(VLOOKUP(IF(C576="","(none)",C576),Hitter_Secondary_Coef!$A:$B,2,FALSE),0))</f>
        <v/>
      </c>
      <c r="Z576">
        <f>IF(Q576="P",IF(ISNUMBER(SEARCH("2F",H576)),IFNA(VLOOKUP("2F",Pitch_Coef!$A:$B,2,FALSE),0),0)+IF(ISNUMBER(SEARCH("4F",H576)),IFNA(VLOOKUP("4F",Pitch_Coef!$A:$B,2,FALSE),0),0)+IF(ISNUMBER(SEARCH("CB",H576)),IFNA(VLOOKUP("CB",Pitch_Coef!$A:$B,2,FALSE),0),0)+IF(ISNUMBER(SEARCH("CF",H576)),IFNA(VLOOKUP("CF",Pitch_Coef!$A:$B,2,FALSE),0),0)+IF(ISNUMBER(SEARCH("CH",H576)),IFNA(VLOOKUP("CH",Pitch_Coef!$A:$B,2,FALSE),0),0)+IF(ISNUMBER(SEARCH("FK",H576)),IFNA(VLOOKUP("FK",Pitch_Coef!$A:$B,2,FALSE),0),0)+IF(ISNUMBER(SEARCH("SB",H576)),IFNA(VLOOKUP("SB",Pitch_Coef!$A:$B,2,FALSE),0),0)+IF(ISNUMBER(SEARCH("SL",H576)),IFNA(VLOOKUP("SL",Pitch_Coef!$A:$B,2,FALSE),0),0),0)</f>
        <v/>
      </c>
      <c r="AA576">
        <f>IF(Q576="P",16.5944849573+0.2529999141*N576+0.2665900378*O576+0.2632687105*P576+0.0427586837*I576+0.0534777057*J576+0.009015832*K576+0.0204898106*(O576*P576/100)+1.0091022427*U576+1.0968542297*IF(D576="L",1,0)+0.3771555045*IF(D576="S",1,0)-0.2226159177*IF(E576="L",1,0)+1.21385024*R576-1.1652812274*S576+W576+X576+Z576,10.5965166711+0.2825983581*I576+0.2806503532*J576+0.2027213083*K576+0.1147824982*L576+0.0915305332*M576-0.0088454122*(I576*J576/100)-0.0336045706*(K576*L576/100)+2.8497389733*IF(D576="L",1,0)+4.5116226727*IF(D576="S",1,0)-0.6571546448*IF(E576="L",1,0)+0.0850728147*T576+0.0129488446*(T576*T576)+0.1909373936*IF(OR(F576="Utility",G576="Utility"),T576,0)+0.9656824071*R576-1.7517683256*S576+W576+X576+Y576)</f>
        <v/>
      </c>
      <c r="AB576">
        <f>LOOKUP(AA576,Grade_Scale!$A$2:$A$18,Grade_Scale!$B$2:$B$18)</f>
        <v/>
      </c>
      <c r="AC576">
        <f>LOOKUP(AA576,Grade_Scale!$A$2:$A$18,Grade_Scale!$C$2:$C$18)</f>
        <v/>
      </c>
      <c r="AE576">
        <f>IF(AD576="","",AB576-VLOOKUP(AD576,Grade_Scale!$C$2:$E$18,3,FALSE))</f>
        <v/>
      </c>
    </row>
    <row r="577">
      <c r="Q577">
        <f>IF(OR(B577="SP",B577="RP",B577="CP",B577="SP/RP"),"P","H")</f>
        <v/>
      </c>
      <c r="R577">
        <f>IF(F577="",0,IFNA(VLOOKUP(F577,Trait_Polarity!$A:$C,2,FALSE),0))+IF(G577="",0,IFNA(VLOOKUP(G577,Trait_Polarity!$A:$C,2,FALSE),0))</f>
        <v/>
      </c>
      <c r="S577">
        <f>IF(F577="",0,IFNA(VLOOKUP(F577,Trait_Polarity!$A:$C,3,FALSE),0))+IF(G577="",0,IFNA(VLOOKUP(G577,Trait_Polarity!$A:$C,3,FALSE),0))</f>
        <v/>
      </c>
      <c r="T577">
        <f>IF(Q577="P",0,IFNA(VLOOKUP(IF(C577="","(none)",C577),Secondary_Versatility!$A:$B,2,FALSE),0))</f>
        <v/>
      </c>
      <c r="U577">
        <f>IF(H577="",0,LEN(H577)-LEN(SUBSTITUTE(H577,"|",""))+1)</f>
        <v/>
      </c>
      <c r="V577">
        <f>IF(Q577="P",(N577+O577+P577)/3,0.3*I577+0.3*J577+0.2*K577+0.1*L577+0.1*M577)</f>
        <v/>
      </c>
      <c r="W577">
        <f>IF(Q577="P",IF(F577="",0,IFNA(VLOOKUP(F577,Pitcher_Trait_Coef!$A:$B,2,FALSE),0))+IF(G577="",0,IFNA(VLOOKUP(G577,Pitcher_Trait_Coef!$A:$B,2,FALSE),0)),IF(F577="",0,IFNA(VLOOKUP(F577,Hitter_Trait_Coef!$A:$B,2,FALSE),0))+IF(G577="",0,IFNA(VLOOKUP(G577,Hitter_Trait_Coef!$A:$B,2,FALSE),0)))</f>
        <v/>
      </c>
      <c r="X577">
        <f>IF(Q577="P",IFNA(VLOOKUP(B577,Pitcher_Primary_Coef!$A:$B,2,FALSE),0),IFNA(VLOOKUP(B577,Hitter_Primary_Coef!$A:$B,2,FALSE),0))</f>
        <v/>
      </c>
      <c r="Y577">
        <f>IF(Q577="P",0,IFNA(VLOOKUP(IF(C577="","(none)",C577),Hitter_Secondary_Coef!$A:$B,2,FALSE),0))</f>
        <v/>
      </c>
      <c r="Z577">
        <f>IF(Q577="P",IF(ISNUMBER(SEARCH("2F",H577)),IFNA(VLOOKUP("2F",Pitch_Coef!$A:$B,2,FALSE),0),0)+IF(ISNUMBER(SEARCH("4F",H577)),IFNA(VLOOKUP("4F",Pitch_Coef!$A:$B,2,FALSE),0),0)+IF(ISNUMBER(SEARCH("CB",H577)),IFNA(VLOOKUP("CB",Pitch_Coef!$A:$B,2,FALSE),0),0)+IF(ISNUMBER(SEARCH("CF",H577)),IFNA(VLOOKUP("CF",Pitch_Coef!$A:$B,2,FALSE),0),0)+IF(ISNUMBER(SEARCH("CH",H577)),IFNA(VLOOKUP("CH",Pitch_Coef!$A:$B,2,FALSE),0),0)+IF(ISNUMBER(SEARCH("FK",H577)),IFNA(VLOOKUP("FK",Pitch_Coef!$A:$B,2,FALSE),0),0)+IF(ISNUMBER(SEARCH("SB",H577)),IFNA(VLOOKUP("SB",Pitch_Coef!$A:$B,2,FALSE),0),0)+IF(ISNUMBER(SEARCH("SL",H577)),IFNA(VLOOKUP("SL",Pitch_Coef!$A:$B,2,FALSE),0),0),0)</f>
        <v/>
      </c>
      <c r="AA577">
        <f>IF(Q577="P",16.5944849573+0.2529999141*N577+0.2665900378*O577+0.2632687105*P577+0.0427586837*I577+0.0534777057*J577+0.009015832*K577+0.0204898106*(O577*P577/100)+1.0091022427*U577+1.0968542297*IF(D577="L",1,0)+0.3771555045*IF(D577="S",1,0)-0.2226159177*IF(E577="L",1,0)+1.21385024*R577-1.1652812274*S577+W577+X577+Z577,10.5965166711+0.2825983581*I577+0.2806503532*J577+0.2027213083*K577+0.1147824982*L577+0.0915305332*M577-0.0088454122*(I577*J577/100)-0.0336045706*(K577*L577/100)+2.8497389733*IF(D577="L",1,0)+4.5116226727*IF(D577="S",1,0)-0.6571546448*IF(E577="L",1,0)+0.0850728147*T577+0.0129488446*(T577*T577)+0.1909373936*IF(OR(F577="Utility",G577="Utility"),T577,0)+0.9656824071*R577-1.7517683256*S577+W577+X577+Y577)</f>
        <v/>
      </c>
      <c r="AB577">
        <f>LOOKUP(AA577,Grade_Scale!$A$2:$A$18,Grade_Scale!$B$2:$B$18)</f>
        <v/>
      </c>
      <c r="AC577">
        <f>LOOKUP(AA577,Grade_Scale!$A$2:$A$18,Grade_Scale!$C$2:$C$18)</f>
        <v/>
      </c>
      <c r="AE577">
        <f>IF(AD577="","",AB577-VLOOKUP(AD577,Grade_Scale!$C$2:$E$18,3,FALSE))</f>
        <v/>
      </c>
    </row>
    <row r="578">
      <c r="Q578">
        <f>IF(OR(B578="SP",B578="RP",B578="CP",B578="SP/RP"),"P","H")</f>
        <v/>
      </c>
      <c r="R578">
        <f>IF(F578="",0,IFNA(VLOOKUP(F578,Trait_Polarity!$A:$C,2,FALSE),0))+IF(G578="",0,IFNA(VLOOKUP(G578,Trait_Polarity!$A:$C,2,FALSE),0))</f>
        <v/>
      </c>
      <c r="S578">
        <f>IF(F578="",0,IFNA(VLOOKUP(F578,Trait_Polarity!$A:$C,3,FALSE),0))+IF(G578="",0,IFNA(VLOOKUP(G578,Trait_Polarity!$A:$C,3,FALSE),0))</f>
        <v/>
      </c>
      <c r="T578">
        <f>IF(Q578="P",0,IFNA(VLOOKUP(IF(C578="","(none)",C578),Secondary_Versatility!$A:$B,2,FALSE),0))</f>
        <v/>
      </c>
      <c r="U578">
        <f>IF(H578="",0,LEN(H578)-LEN(SUBSTITUTE(H578,"|",""))+1)</f>
        <v/>
      </c>
      <c r="V578">
        <f>IF(Q578="P",(N578+O578+P578)/3,0.3*I578+0.3*J578+0.2*K578+0.1*L578+0.1*M578)</f>
        <v/>
      </c>
      <c r="W578">
        <f>IF(Q578="P",IF(F578="",0,IFNA(VLOOKUP(F578,Pitcher_Trait_Coef!$A:$B,2,FALSE),0))+IF(G578="",0,IFNA(VLOOKUP(G578,Pitcher_Trait_Coef!$A:$B,2,FALSE),0)),IF(F578="",0,IFNA(VLOOKUP(F578,Hitter_Trait_Coef!$A:$B,2,FALSE),0))+IF(G578="",0,IFNA(VLOOKUP(G578,Hitter_Trait_Coef!$A:$B,2,FALSE),0)))</f>
        <v/>
      </c>
      <c r="X578">
        <f>IF(Q578="P",IFNA(VLOOKUP(B578,Pitcher_Primary_Coef!$A:$B,2,FALSE),0),IFNA(VLOOKUP(B578,Hitter_Primary_Coef!$A:$B,2,FALSE),0))</f>
        <v/>
      </c>
      <c r="Y578">
        <f>IF(Q578="P",0,IFNA(VLOOKUP(IF(C578="","(none)",C578),Hitter_Secondary_Coef!$A:$B,2,FALSE),0))</f>
        <v/>
      </c>
      <c r="Z578">
        <f>IF(Q578="P",IF(ISNUMBER(SEARCH("2F",H578)),IFNA(VLOOKUP("2F",Pitch_Coef!$A:$B,2,FALSE),0),0)+IF(ISNUMBER(SEARCH("4F",H578)),IFNA(VLOOKUP("4F",Pitch_Coef!$A:$B,2,FALSE),0),0)+IF(ISNUMBER(SEARCH("CB",H578)),IFNA(VLOOKUP("CB",Pitch_Coef!$A:$B,2,FALSE),0),0)+IF(ISNUMBER(SEARCH("CF",H578)),IFNA(VLOOKUP("CF",Pitch_Coef!$A:$B,2,FALSE),0),0)+IF(ISNUMBER(SEARCH("CH",H578)),IFNA(VLOOKUP("CH",Pitch_Coef!$A:$B,2,FALSE),0),0)+IF(ISNUMBER(SEARCH("FK",H578)),IFNA(VLOOKUP("FK",Pitch_Coef!$A:$B,2,FALSE),0),0)+IF(ISNUMBER(SEARCH("SB",H578)),IFNA(VLOOKUP("SB",Pitch_Coef!$A:$B,2,FALSE),0),0)+IF(ISNUMBER(SEARCH("SL",H578)),IFNA(VLOOKUP("SL",Pitch_Coef!$A:$B,2,FALSE),0),0),0)</f>
        <v/>
      </c>
      <c r="AA578">
        <f>IF(Q578="P",16.5944849573+0.2529999141*N578+0.2665900378*O578+0.2632687105*P578+0.0427586837*I578+0.0534777057*J578+0.009015832*K578+0.0204898106*(O578*P578/100)+1.0091022427*U578+1.0968542297*IF(D578="L",1,0)+0.3771555045*IF(D578="S",1,0)-0.2226159177*IF(E578="L",1,0)+1.21385024*R578-1.1652812274*S578+W578+X578+Z578,10.5965166711+0.2825983581*I578+0.2806503532*J578+0.2027213083*K578+0.1147824982*L578+0.0915305332*M578-0.0088454122*(I578*J578/100)-0.0336045706*(K578*L578/100)+2.8497389733*IF(D578="L",1,0)+4.5116226727*IF(D578="S",1,0)-0.6571546448*IF(E578="L",1,0)+0.0850728147*T578+0.0129488446*(T578*T578)+0.1909373936*IF(OR(F578="Utility",G578="Utility"),T578,0)+0.9656824071*R578-1.7517683256*S578+W578+X578+Y578)</f>
        <v/>
      </c>
      <c r="AB578">
        <f>LOOKUP(AA578,Grade_Scale!$A$2:$A$18,Grade_Scale!$B$2:$B$18)</f>
        <v/>
      </c>
      <c r="AC578">
        <f>LOOKUP(AA578,Grade_Scale!$A$2:$A$18,Grade_Scale!$C$2:$C$18)</f>
        <v/>
      </c>
      <c r="AE578">
        <f>IF(AD578="","",AB578-VLOOKUP(AD578,Grade_Scale!$C$2:$E$18,3,FALSE))</f>
        <v/>
      </c>
    </row>
    <row r="579">
      <c r="Q579">
        <f>IF(OR(B579="SP",B579="RP",B579="CP",B579="SP/RP"),"P","H")</f>
        <v/>
      </c>
      <c r="R579">
        <f>IF(F579="",0,IFNA(VLOOKUP(F579,Trait_Polarity!$A:$C,2,FALSE),0))+IF(G579="",0,IFNA(VLOOKUP(G579,Trait_Polarity!$A:$C,2,FALSE),0))</f>
        <v/>
      </c>
      <c r="S579">
        <f>IF(F579="",0,IFNA(VLOOKUP(F579,Trait_Polarity!$A:$C,3,FALSE),0))+IF(G579="",0,IFNA(VLOOKUP(G579,Trait_Polarity!$A:$C,3,FALSE),0))</f>
        <v/>
      </c>
      <c r="T579">
        <f>IF(Q579="P",0,IFNA(VLOOKUP(IF(C579="","(none)",C579),Secondary_Versatility!$A:$B,2,FALSE),0))</f>
        <v/>
      </c>
      <c r="U579">
        <f>IF(H579="",0,LEN(H579)-LEN(SUBSTITUTE(H579,"|",""))+1)</f>
        <v/>
      </c>
      <c r="V579">
        <f>IF(Q579="P",(N579+O579+P579)/3,0.3*I579+0.3*J579+0.2*K579+0.1*L579+0.1*M579)</f>
        <v/>
      </c>
      <c r="W579">
        <f>IF(Q579="P",IF(F579="",0,IFNA(VLOOKUP(F579,Pitcher_Trait_Coef!$A:$B,2,FALSE),0))+IF(G579="",0,IFNA(VLOOKUP(G579,Pitcher_Trait_Coef!$A:$B,2,FALSE),0)),IF(F579="",0,IFNA(VLOOKUP(F579,Hitter_Trait_Coef!$A:$B,2,FALSE),0))+IF(G579="",0,IFNA(VLOOKUP(G579,Hitter_Trait_Coef!$A:$B,2,FALSE),0)))</f>
        <v/>
      </c>
      <c r="X579">
        <f>IF(Q579="P",IFNA(VLOOKUP(B579,Pitcher_Primary_Coef!$A:$B,2,FALSE),0),IFNA(VLOOKUP(B579,Hitter_Primary_Coef!$A:$B,2,FALSE),0))</f>
        <v/>
      </c>
      <c r="Y579">
        <f>IF(Q579="P",0,IFNA(VLOOKUP(IF(C579="","(none)",C579),Hitter_Secondary_Coef!$A:$B,2,FALSE),0))</f>
        <v/>
      </c>
      <c r="Z579">
        <f>IF(Q579="P",IF(ISNUMBER(SEARCH("2F",H579)),IFNA(VLOOKUP("2F",Pitch_Coef!$A:$B,2,FALSE),0),0)+IF(ISNUMBER(SEARCH("4F",H579)),IFNA(VLOOKUP("4F",Pitch_Coef!$A:$B,2,FALSE),0),0)+IF(ISNUMBER(SEARCH("CB",H579)),IFNA(VLOOKUP("CB",Pitch_Coef!$A:$B,2,FALSE),0),0)+IF(ISNUMBER(SEARCH("CF",H579)),IFNA(VLOOKUP("CF",Pitch_Coef!$A:$B,2,FALSE),0),0)+IF(ISNUMBER(SEARCH("CH",H579)),IFNA(VLOOKUP("CH",Pitch_Coef!$A:$B,2,FALSE),0),0)+IF(ISNUMBER(SEARCH("FK",H579)),IFNA(VLOOKUP("FK",Pitch_Coef!$A:$B,2,FALSE),0),0)+IF(ISNUMBER(SEARCH("SB",H579)),IFNA(VLOOKUP("SB",Pitch_Coef!$A:$B,2,FALSE),0),0)+IF(ISNUMBER(SEARCH("SL",H579)),IFNA(VLOOKUP("SL",Pitch_Coef!$A:$B,2,FALSE),0),0),0)</f>
        <v/>
      </c>
      <c r="AA579">
        <f>IF(Q579="P",16.5944849573+0.2529999141*N579+0.2665900378*O579+0.2632687105*P579+0.0427586837*I579+0.0534777057*J579+0.009015832*K579+0.0204898106*(O579*P579/100)+1.0091022427*U579+1.0968542297*IF(D579="L",1,0)+0.3771555045*IF(D579="S",1,0)-0.2226159177*IF(E579="L",1,0)+1.21385024*R579-1.1652812274*S579+W579+X579+Z579,10.5965166711+0.2825983581*I579+0.2806503532*J579+0.2027213083*K579+0.1147824982*L579+0.0915305332*M579-0.0088454122*(I579*J579/100)-0.0336045706*(K579*L579/100)+2.8497389733*IF(D579="L",1,0)+4.5116226727*IF(D579="S",1,0)-0.6571546448*IF(E579="L",1,0)+0.0850728147*T579+0.0129488446*(T579*T579)+0.1909373936*IF(OR(F579="Utility",G579="Utility"),T579,0)+0.9656824071*R579-1.7517683256*S579+W579+X579+Y579)</f>
        <v/>
      </c>
      <c r="AB579">
        <f>LOOKUP(AA579,Grade_Scale!$A$2:$A$18,Grade_Scale!$B$2:$B$18)</f>
        <v/>
      </c>
      <c r="AC579">
        <f>LOOKUP(AA579,Grade_Scale!$A$2:$A$18,Grade_Scale!$C$2:$C$18)</f>
        <v/>
      </c>
      <c r="AE579">
        <f>IF(AD579="","",AB579-VLOOKUP(AD579,Grade_Scale!$C$2:$E$18,3,FALSE))</f>
        <v/>
      </c>
    </row>
    <row r="580">
      <c r="Q580">
        <f>IF(OR(B580="SP",B580="RP",B580="CP",B580="SP/RP"),"P","H")</f>
        <v/>
      </c>
      <c r="R580">
        <f>IF(F580="",0,IFNA(VLOOKUP(F580,Trait_Polarity!$A:$C,2,FALSE),0))+IF(G580="",0,IFNA(VLOOKUP(G580,Trait_Polarity!$A:$C,2,FALSE),0))</f>
        <v/>
      </c>
      <c r="S580">
        <f>IF(F580="",0,IFNA(VLOOKUP(F580,Trait_Polarity!$A:$C,3,FALSE),0))+IF(G580="",0,IFNA(VLOOKUP(G580,Trait_Polarity!$A:$C,3,FALSE),0))</f>
        <v/>
      </c>
      <c r="T580">
        <f>IF(Q580="P",0,IFNA(VLOOKUP(IF(C580="","(none)",C580),Secondary_Versatility!$A:$B,2,FALSE),0))</f>
        <v/>
      </c>
      <c r="U580">
        <f>IF(H580="",0,LEN(H580)-LEN(SUBSTITUTE(H580,"|",""))+1)</f>
        <v/>
      </c>
      <c r="V580">
        <f>IF(Q580="P",(N580+O580+P580)/3,0.3*I580+0.3*J580+0.2*K580+0.1*L580+0.1*M580)</f>
        <v/>
      </c>
      <c r="W580">
        <f>IF(Q580="P",IF(F580="",0,IFNA(VLOOKUP(F580,Pitcher_Trait_Coef!$A:$B,2,FALSE),0))+IF(G580="",0,IFNA(VLOOKUP(G580,Pitcher_Trait_Coef!$A:$B,2,FALSE),0)),IF(F580="",0,IFNA(VLOOKUP(F580,Hitter_Trait_Coef!$A:$B,2,FALSE),0))+IF(G580="",0,IFNA(VLOOKUP(G580,Hitter_Trait_Coef!$A:$B,2,FALSE),0)))</f>
        <v/>
      </c>
      <c r="X580">
        <f>IF(Q580="P",IFNA(VLOOKUP(B580,Pitcher_Primary_Coef!$A:$B,2,FALSE),0),IFNA(VLOOKUP(B580,Hitter_Primary_Coef!$A:$B,2,FALSE),0))</f>
        <v/>
      </c>
      <c r="Y580">
        <f>IF(Q580="P",0,IFNA(VLOOKUP(IF(C580="","(none)",C580),Hitter_Secondary_Coef!$A:$B,2,FALSE),0))</f>
        <v/>
      </c>
      <c r="Z580">
        <f>IF(Q580="P",IF(ISNUMBER(SEARCH("2F",H580)),IFNA(VLOOKUP("2F",Pitch_Coef!$A:$B,2,FALSE),0),0)+IF(ISNUMBER(SEARCH("4F",H580)),IFNA(VLOOKUP("4F",Pitch_Coef!$A:$B,2,FALSE),0),0)+IF(ISNUMBER(SEARCH("CB",H580)),IFNA(VLOOKUP("CB",Pitch_Coef!$A:$B,2,FALSE),0),0)+IF(ISNUMBER(SEARCH("CF",H580)),IFNA(VLOOKUP("CF",Pitch_Coef!$A:$B,2,FALSE),0),0)+IF(ISNUMBER(SEARCH("CH",H580)),IFNA(VLOOKUP("CH",Pitch_Coef!$A:$B,2,FALSE),0),0)+IF(ISNUMBER(SEARCH("FK",H580)),IFNA(VLOOKUP("FK",Pitch_Coef!$A:$B,2,FALSE),0),0)+IF(ISNUMBER(SEARCH("SB",H580)),IFNA(VLOOKUP("SB",Pitch_Coef!$A:$B,2,FALSE),0),0)+IF(ISNUMBER(SEARCH("SL",H580)),IFNA(VLOOKUP("SL",Pitch_Coef!$A:$B,2,FALSE),0),0),0)</f>
        <v/>
      </c>
      <c r="AA580">
        <f>IF(Q580="P",16.5944849573+0.2529999141*N580+0.2665900378*O580+0.2632687105*P580+0.0427586837*I580+0.0534777057*J580+0.009015832*K580+0.0204898106*(O580*P580/100)+1.0091022427*U580+1.0968542297*IF(D580="L",1,0)+0.3771555045*IF(D580="S",1,0)-0.2226159177*IF(E580="L",1,0)+1.21385024*R580-1.1652812274*S580+W580+X580+Z580,10.5965166711+0.2825983581*I580+0.2806503532*J580+0.2027213083*K580+0.1147824982*L580+0.0915305332*M580-0.0088454122*(I580*J580/100)-0.0336045706*(K580*L580/100)+2.8497389733*IF(D580="L",1,0)+4.5116226727*IF(D580="S",1,0)-0.6571546448*IF(E580="L",1,0)+0.0850728147*T580+0.0129488446*(T580*T580)+0.1909373936*IF(OR(F580="Utility",G580="Utility"),T580,0)+0.9656824071*R580-1.7517683256*S580+W580+X580+Y580)</f>
        <v/>
      </c>
      <c r="AB580">
        <f>LOOKUP(AA580,Grade_Scale!$A$2:$A$18,Grade_Scale!$B$2:$B$18)</f>
        <v/>
      </c>
      <c r="AC580">
        <f>LOOKUP(AA580,Grade_Scale!$A$2:$A$18,Grade_Scale!$C$2:$C$18)</f>
        <v/>
      </c>
      <c r="AE580">
        <f>IF(AD580="","",AB580-VLOOKUP(AD580,Grade_Scale!$C$2:$E$18,3,FALSE))</f>
        <v/>
      </c>
    </row>
    <row r="581">
      <c r="Q581">
        <f>IF(OR(B581="SP",B581="RP",B581="CP",B581="SP/RP"),"P","H")</f>
        <v/>
      </c>
      <c r="R581">
        <f>IF(F581="",0,IFNA(VLOOKUP(F581,Trait_Polarity!$A:$C,2,FALSE),0))+IF(G581="",0,IFNA(VLOOKUP(G581,Trait_Polarity!$A:$C,2,FALSE),0))</f>
        <v/>
      </c>
      <c r="S581">
        <f>IF(F581="",0,IFNA(VLOOKUP(F581,Trait_Polarity!$A:$C,3,FALSE),0))+IF(G581="",0,IFNA(VLOOKUP(G581,Trait_Polarity!$A:$C,3,FALSE),0))</f>
        <v/>
      </c>
      <c r="T581">
        <f>IF(Q581="P",0,IFNA(VLOOKUP(IF(C581="","(none)",C581),Secondary_Versatility!$A:$B,2,FALSE),0))</f>
        <v/>
      </c>
      <c r="U581">
        <f>IF(H581="",0,LEN(H581)-LEN(SUBSTITUTE(H581,"|",""))+1)</f>
        <v/>
      </c>
      <c r="V581">
        <f>IF(Q581="P",(N581+O581+P581)/3,0.3*I581+0.3*J581+0.2*K581+0.1*L581+0.1*M581)</f>
        <v/>
      </c>
      <c r="W581">
        <f>IF(Q581="P",IF(F581="",0,IFNA(VLOOKUP(F581,Pitcher_Trait_Coef!$A:$B,2,FALSE),0))+IF(G581="",0,IFNA(VLOOKUP(G581,Pitcher_Trait_Coef!$A:$B,2,FALSE),0)),IF(F581="",0,IFNA(VLOOKUP(F581,Hitter_Trait_Coef!$A:$B,2,FALSE),0))+IF(G581="",0,IFNA(VLOOKUP(G581,Hitter_Trait_Coef!$A:$B,2,FALSE),0)))</f>
        <v/>
      </c>
      <c r="X581">
        <f>IF(Q581="P",IFNA(VLOOKUP(B581,Pitcher_Primary_Coef!$A:$B,2,FALSE),0),IFNA(VLOOKUP(B581,Hitter_Primary_Coef!$A:$B,2,FALSE),0))</f>
        <v/>
      </c>
      <c r="Y581">
        <f>IF(Q581="P",0,IFNA(VLOOKUP(IF(C581="","(none)",C581),Hitter_Secondary_Coef!$A:$B,2,FALSE),0))</f>
        <v/>
      </c>
      <c r="Z581">
        <f>IF(Q581="P",IF(ISNUMBER(SEARCH("2F",H581)),IFNA(VLOOKUP("2F",Pitch_Coef!$A:$B,2,FALSE),0),0)+IF(ISNUMBER(SEARCH("4F",H581)),IFNA(VLOOKUP("4F",Pitch_Coef!$A:$B,2,FALSE),0),0)+IF(ISNUMBER(SEARCH("CB",H581)),IFNA(VLOOKUP("CB",Pitch_Coef!$A:$B,2,FALSE),0),0)+IF(ISNUMBER(SEARCH("CF",H581)),IFNA(VLOOKUP("CF",Pitch_Coef!$A:$B,2,FALSE),0),0)+IF(ISNUMBER(SEARCH("CH",H581)),IFNA(VLOOKUP("CH",Pitch_Coef!$A:$B,2,FALSE),0),0)+IF(ISNUMBER(SEARCH("FK",H581)),IFNA(VLOOKUP("FK",Pitch_Coef!$A:$B,2,FALSE),0),0)+IF(ISNUMBER(SEARCH("SB",H581)),IFNA(VLOOKUP("SB",Pitch_Coef!$A:$B,2,FALSE),0),0)+IF(ISNUMBER(SEARCH("SL",H581)),IFNA(VLOOKUP("SL",Pitch_Coef!$A:$B,2,FALSE),0),0),0)</f>
        <v/>
      </c>
      <c r="AA581">
        <f>IF(Q581="P",16.5944849573+0.2529999141*N581+0.2665900378*O581+0.2632687105*P581+0.0427586837*I581+0.0534777057*J581+0.009015832*K581+0.0204898106*(O581*P581/100)+1.0091022427*U581+1.0968542297*IF(D581="L",1,0)+0.3771555045*IF(D581="S",1,0)-0.2226159177*IF(E581="L",1,0)+1.21385024*R581-1.1652812274*S581+W581+X581+Z581,10.5965166711+0.2825983581*I581+0.2806503532*J581+0.2027213083*K581+0.1147824982*L581+0.0915305332*M581-0.0088454122*(I581*J581/100)-0.0336045706*(K581*L581/100)+2.8497389733*IF(D581="L",1,0)+4.5116226727*IF(D581="S",1,0)-0.6571546448*IF(E581="L",1,0)+0.0850728147*T581+0.0129488446*(T581*T581)+0.1909373936*IF(OR(F581="Utility",G581="Utility"),T581,0)+0.9656824071*R581-1.7517683256*S581+W581+X581+Y581)</f>
        <v/>
      </c>
      <c r="AB581">
        <f>LOOKUP(AA581,Grade_Scale!$A$2:$A$18,Grade_Scale!$B$2:$B$18)</f>
        <v/>
      </c>
      <c r="AC581">
        <f>LOOKUP(AA581,Grade_Scale!$A$2:$A$18,Grade_Scale!$C$2:$C$18)</f>
        <v/>
      </c>
      <c r="AE581">
        <f>IF(AD581="","",AB581-VLOOKUP(AD581,Grade_Scale!$C$2:$E$18,3,FALSE))</f>
        <v/>
      </c>
    </row>
    <row r="582">
      <c r="Q582">
        <f>IF(OR(B582="SP",B582="RP",B582="CP",B582="SP/RP"),"P","H")</f>
        <v/>
      </c>
      <c r="R582">
        <f>IF(F582="",0,IFNA(VLOOKUP(F582,Trait_Polarity!$A:$C,2,FALSE),0))+IF(G582="",0,IFNA(VLOOKUP(G582,Trait_Polarity!$A:$C,2,FALSE),0))</f>
        <v/>
      </c>
      <c r="S582">
        <f>IF(F582="",0,IFNA(VLOOKUP(F582,Trait_Polarity!$A:$C,3,FALSE),0))+IF(G582="",0,IFNA(VLOOKUP(G582,Trait_Polarity!$A:$C,3,FALSE),0))</f>
        <v/>
      </c>
      <c r="T582">
        <f>IF(Q582="P",0,IFNA(VLOOKUP(IF(C582="","(none)",C582),Secondary_Versatility!$A:$B,2,FALSE),0))</f>
        <v/>
      </c>
      <c r="U582">
        <f>IF(H582="",0,LEN(H582)-LEN(SUBSTITUTE(H582,"|",""))+1)</f>
        <v/>
      </c>
      <c r="V582">
        <f>IF(Q582="P",(N582+O582+P582)/3,0.3*I582+0.3*J582+0.2*K582+0.1*L582+0.1*M582)</f>
        <v/>
      </c>
      <c r="W582">
        <f>IF(Q582="P",IF(F582="",0,IFNA(VLOOKUP(F582,Pitcher_Trait_Coef!$A:$B,2,FALSE),0))+IF(G582="",0,IFNA(VLOOKUP(G582,Pitcher_Trait_Coef!$A:$B,2,FALSE),0)),IF(F582="",0,IFNA(VLOOKUP(F582,Hitter_Trait_Coef!$A:$B,2,FALSE),0))+IF(G582="",0,IFNA(VLOOKUP(G582,Hitter_Trait_Coef!$A:$B,2,FALSE),0)))</f>
        <v/>
      </c>
      <c r="X582">
        <f>IF(Q582="P",IFNA(VLOOKUP(B582,Pitcher_Primary_Coef!$A:$B,2,FALSE),0),IFNA(VLOOKUP(B582,Hitter_Primary_Coef!$A:$B,2,FALSE),0))</f>
        <v/>
      </c>
      <c r="Y582">
        <f>IF(Q582="P",0,IFNA(VLOOKUP(IF(C582="","(none)",C582),Hitter_Secondary_Coef!$A:$B,2,FALSE),0))</f>
        <v/>
      </c>
      <c r="Z582">
        <f>IF(Q582="P",IF(ISNUMBER(SEARCH("2F",H582)),IFNA(VLOOKUP("2F",Pitch_Coef!$A:$B,2,FALSE),0),0)+IF(ISNUMBER(SEARCH("4F",H582)),IFNA(VLOOKUP("4F",Pitch_Coef!$A:$B,2,FALSE),0),0)+IF(ISNUMBER(SEARCH("CB",H582)),IFNA(VLOOKUP("CB",Pitch_Coef!$A:$B,2,FALSE),0),0)+IF(ISNUMBER(SEARCH("CF",H582)),IFNA(VLOOKUP("CF",Pitch_Coef!$A:$B,2,FALSE),0),0)+IF(ISNUMBER(SEARCH("CH",H582)),IFNA(VLOOKUP("CH",Pitch_Coef!$A:$B,2,FALSE),0),0)+IF(ISNUMBER(SEARCH("FK",H582)),IFNA(VLOOKUP("FK",Pitch_Coef!$A:$B,2,FALSE),0),0)+IF(ISNUMBER(SEARCH("SB",H582)),IFNA(VLOOKUP("SB",Pitch_Coef!$A:$B,2,FALSE),0),0)+IF(ISNUMBER(SEARCH("SL",H582)),IFNA(VLOOKUP("SL",Pitch_Coef!$A:$B,2,FALSE),0),0),0)</f>
        <v/>
      </c>
      <c r="AA582">
        <f>IF(Q582="P",16.5944849573+0.2529999141*N582+0.2665900378*O582+0.2632687105*P582+0.0427586837*I582+0.0534777057*J582+0.009015832*K582+0.0204898106*(O582*P582/100)+1.0091022427*U582+1.0968542297*IF(D582="L",1,0)+0.3771555045*IF(D582="S",1,0)-0.2226159177*IF(E582="L",1,0)+1.21385024*R582-1.1652812274*S582+W582+X582+Z582,10.5965166711+0.2825983581*I582+0.2806503532*J582+0.2027213083*K582+0.1147824982*L582+0.0915305332*M582-0.0088454122*(I582*J582/100)-0.0336045706*(K582*L582/100)+2.8497389733*IF(D582="L",1,0)+4.5116226727*IF(D582="S",1,0)-0.6571546448*IF(E582="L",1,0)+0.0850728147*T582+0.0129488446*(T582*T582)+0.1909373936*IF(OR(F582="Utility",G582="Utility"),T582,0)+0.9656824071*R582-1.7517683256*S582+W582+X582+Y582)</f>
        <v/>
      </c>
      <c r="AB582">
        <f>LOOKUP(AA582,Grade_Scale!$A$2:$A$18,Grade_Scale!$B$2:$B$18)</f>
        <v/>
      </c>
      <c r="AC582">
        <f>LOOKUP(AA582,Grade_Scale!$A$2:$A$18,Grade_Scale!$C$2:$C$18)</f>
        <v/>
      </c>
      <c r="AE582">
        <f>IF(AD582="","",AB582-VLOOKUP(AD582,Grade_Scale!$C$2:$E$18,3,FALSE))</f>
        <v/>
      </c>
    </row>
    <row r="583">
      <c r="Q583">
        <f>IF(OR(B583="SP",B583="RP",B583="CP",B583="SP/RP"),"P","H")</f>
        <v/>
      </c>
      <c r="R583">
        <f>IF(F583="",0,IFNA(VLOOKUP(F583,Trait_Polarity!$A:$C,2,FALSE),0))+IF(G583="",0,IFNA(VLOOKUP(G583,Trait_Polarity!$A:$C,2,FALSE),0))</f>
        <v/>
      </c>
      <c r="S583">
        <f>IF(F583="",0,IFNA(VLOOKUP(F583,Trait_Polarity!$A:$C,3,FALSE),0))+IF(G583="",0,IFNA(VLOOKUP(G583,Trait_Polarity!$A:$C,3,FALSE),0))</f>
        <v/>
      </c>
      <c r="T583">
        <f>IF(Q583="P",0,IFNA(VLOOKUP(IF(C583="","(none)",C583),Secondary_Versatility!$A:$B,2,FALSE),0))</f>
        <v/>
      </c>
      <c r="U583">
        <f>IF(H583="",0,LEN(H583)-LEN(SUBSTITUTE(H583,"|",""))+1)</f>
        <v/>
      </c>
      <c r="V583">
        <f>IF(Q583="P",(N583+O583+P583)/3,0.3*I583+0.3*J583+0.2*K583+0.1*L583+0.1*M583)</f>
        <v/>
      </c>
      <c r="W583">
        <f>IF(Q583="P",IF(F583="",0,IFNA(VLOOKUP(F583,Pitcher_Trait_Coef!$A:$B,2,FALSE),0))+IF(G583="",0,IFNA(VLOOKUP(G583,Pitcher_Trait_Coef!$A:$B,2,FALSE),0)),IF(F583="",0,IFNA(VLOOKUP(F583,Hitter_Trait_Coef!$A:$B,2,FALSE),0))+IF(G583="",0,IFNA(VLOOKUP(G583,Hitter_Trait_Coef!$A:$B,2,FALSE),0)))</f>
        <v/>
      </c>
      <c r="X583">
        <f>IF(Q583="P",IFNA(VLOOKUP(B583,Pitcher_Primary_Coef!$A:$B,2,FALSE),0),IFNA(VLOOKUP(B583,Hitter_Primary_Coef!$A:$B,2,FALSE),0))</f>
        <v/>
      </c>
      <c r="Y583">
        <f>IF(Q583="P",0,IFNA(VLOOKUP(IF(C583="","(none)",C583),Hitter_Secondary_Coef!$A:$B,2,FALSE),0))</f>
        <v/>
      </c>
      <c r="Z583">
        <f>IF(Q583="P",IF(ISNUMBER(SEARCH("2F",H583)),IFNA(VLOOKUP("2F",Pitch_Coef!$A:$B,2,FALSE),0),0)+IF(ISNUMBER(SEARCH("4F",H583)),IFNA(VLOOKUP("4F",Pitch_Coef!$A:$B,2,FALSE),0),0)+IF(ISNUMBER(SEARCH("CB",H583)),IFNA(VLOOKUP("CB",Pitch_Coef!$A:$B,2,FALSE),0),0)+IF(ISNUMBER(SEARCH("CF",H583)),IFNA(VLOOKUP("CF",Pitch_Coef!$A:$B,2,FALSE),0),0)+IF(ISNUMBER(SEARCH("CH",H583)),IFNA(VLOOKUP("CH",Pitch_Coef!$A:$B,2,FALSE),0),0)+IF(ISNUMBER(SEARCH("FK",H583)),IFNA(VLOOKUP("FK",Pitch_Coef!$A:$B,2,FALSE),0),0)+IF(ISNUMBER(SEARCH("SB",H583)),IFNA(VLOOKUP("SB",Pitch_Coef!$A:$B,2,FALSE),0),0)+IF(ISNUMBER(SEARCH("SL",H583)),IFNA(VLOOKUP("SL",Pitch_Coef!$A:$B,2,FALSE),0),0),0)</f>
        <v/>
      </c>
      <c r="AA583">
        <f>IF(Q583="P",16.5944849573+0.2529999141*N583+0.2665900378*O583+0.2632687105*P583+0.0427586837*I583+0.0534777057*J583+0.009015832*K583+0.0204898106*(O583*P583/100)+1.0091022427*U583+1.0968542297*IF(D583="L",1,0)+0.3771555045*IF(D583="S",1,0)-0.2226159177*IF(E583="L",1,0)+1.21385024*R583-1.1652812274*S583+W583+X583+Z583,10.5965166711+0.2825983581*I583+0.2806503532*J583+0.2027213083*K583+0.1147824982*L583+0.0915305332*M583-0.0088454122*(I583*J583/100)-0.0336045706*(K583*L583/100)+2.8497389733*IF(D583="L",1,0)+4.5116226727*IF(D583="S",1,0)-0.6571546448*IF(E583="L",1,0)+0.0850728147*T583+0.0129488446*(T583*T583)+0.1909373936*IF(OR(F583="Utility",G583="Utility"),T583,0)+0.9656824071*R583-1.7517683256*S583+W583+X583+Y583)</f>
        <v/>
      </c>
      <c r="AB583">
        <f>LOOKUP(AA583,Grade_Scale!$A$2:$A$18,Grade_Scale!$B$2:$B$18)</f>
        <v/>
      </c>
      <c r="AC583">
        <f>LOOKUP(AA583,Grade_Scale!$A$2:$A$18,Grade_Scale!$C$2:$C$18)</f>
        <v/>
      </c>
      <c r="AE583">
        <f>IF(AD583="","",AB583-VLOOKUP(AD583,Grade_Scale!$C$2:$E$18,3,FALSE))</f>
        <v/>
      </c>
    </row>
    <row r="584">
      <c r="Q584">
        <f>IF(OR(B584="SP",B584="RP",B584="CP",B584="SP/RP"),"P","H")</f>
        <v/>
      </c>
      <c r="R584">
        <f>IF(F584="",0,IFNA(VLOOKUP(F584,Trait_Polarity!$A:$C,2,FALSE),0))+IF(G584="",0,IFNA(VLOOKUP(G584,Trait_Polarity!$A:$C,2,FALSE),0))</f>
        <v/>
      </c>
      <c r="S584">
        <f>IF(F584="",0,IFNA(VLOOKUP(F584,Trait_Polarity!$A:$C,3,FALSE),0))+IF(G584="",0,IFNA(VLOOKUP(G584,Trait_Polarity!$A:$C,3,FALSE),0))</f>
        <v/>
      </c>
      <c r="T584">
        <f>IF(Q584="P",0,IFNA(VLOOKUP(IF(C584="","(none)",C584),Secondary_Versatility!$A:$B,2,FALSE),0))</f>
        <v/>
      </c>
      <c r="U584">
        <f>IF(H584="",0,LEN(H584)-LEN(SUBSTITUTE(H584,"|",""))+1)</f>
        <v/>
      </c>
      <c r="V584">
        <f>IF(Q584="P",(N584+O584+P584)/3,0.3*I584+0.3*J584+0.2*K584+0.1*L584+0.1*M584)</f>
        <v/>
      </c>
      <c r="W584">
        <f>IF(Q584="P",IF(F584="",0,IFNA(VLOOKUP(F584,Pitcher_Trait_Coef!$A:$B,2,FALSE),0))+IF(G584="",0,IFNA(VLOOKUP(G584,Pitcher_Trait_Coef!$A:$B,2,FALSE),0)),IF(F584="",0,IFNA(VLOOKUP(F584,Hitter_Trait_Coef!$A:$B,2,FALSE),0))+IF(G584="",0,IFNA(VLOOKUP(G584,Hitter_Trait_Coef!$A:$B,2,FALSE),0)))</f>
        <v/>
      </c>
      <c r="X584">
        <f>IF(Q584="P",IFNA(VLOOKUP(B584,Pitcher_Primary_Coef!$A:$B,2,FALSE),0),IFNA(VLOOKUP(B584,Hitter_Primary_Coef!$A:$B,2,FALSE),0))</f>
        <v/>
      </c>
      <c r="Y584">
        <f>IF(Q584="P",0,IFNA(VLOOKUP(IF(C584="","(none)",C584),Hitter_Secondary_Coef!$A:$B,2,FALSE),0))</f>
        <v/>
      </c>
      <c r="Z584">
        <f>IF(Q584="P",IF(ISNUMBER(SEARCH("2F",H584)),IFNA(VLOOKUP("2F",Pitch_Coef!$A:$B,2,FALSE),0),0)+IF(ISNUMBER(SEARCH("4F",H584)),IFNA(VLOOKUP("4F",Pitch_Coef!$A:$B,2,FALSE),0),0)+IF(ISNUMBER(SEARCH("CB",H584)),IFNA(VLOOKUP("CB",Pitch_Coef!$A:$B,2,FALSE),0),0)+IF(ISNUMBER(SEARCH("CF",H584)),IFNA(VLOOKUP("CF",Pitch_Coef!$A:$B,2,FALSE),0),0)+IF(ISNUMBER(SEARCH("CH",H584)),IFNA(VLOOKUP("CH",Pitch_Coef!$A:$B,2,FALSE),0),0)+IF(ISNUMBER(SEARCH("FK",H584)),IFNA(VLOOKUP("FK",Pitch_Coef!$A:$B,2,FALSE),0),0)+IF(ISNUMBER(SEARCH("SB",H584)),IFNA(VLOOKUP("SB",Pitch_Coef!$A:$B,2,FALSE),0),0)+IF(ISNUMBER(SEARCH("SL",H584)),IFNA(VLOOKUP("SL",Pitch_Coef!$A:$B,2,FALSE),0),0),0)</f>
        <v/>
      </c>
      <c r="AA584">
        <f>IF(Q584="P",16.5944849573+0.2529999141*N584+0.2665900378*O584+0.2632687105*P584+0.0427586837*I584+0.0534777057*J584+0.009015832*K584+0.0204898106*(O584*P584/100)+1.0091022427*U584+1.0968542297*IF(D584="L",1,0)+0.3771555045*IF(D584="S",1,0)-0.2226159177*IF(E584="L",1,0)+1.21385024*R584-1.1652812274*S584+W584+X584+Z584,10.5965166711+0.2825983581*I584+0.2806503532*J584+0.2027213083*K584+0.1147824982*L584+0.0915305332*M584-0.0088454122*(I584*J584/100)-0.0336045706*(K584*L584/100)+2.8497389733*IF(D584="L",1,0)+4.5116226727*IF(D584="S",1,0)-0.6571546448*IF(E584="L",1,0)+0.0850728147*T584+0.0129488446*(T584*T584)+0.1909373936*IF(OR(F584="Utility",G584="Utility"),T584,0)+0.9656824071*R584-1.7517683256*S584+W584+X584+Y584)</f>
        <v/>
      </c>
      <c r="AB584">
        <f>LOOKUP(AA584,Grade_Scale!$A$2:$A$18,Grade_Scale!$B$2:$B$18)</f>
        <v/>
      </c>
      <c r="AC584">
        <f>LOOKUP(AA584,Grade_Scale!$A$2:$A$18,Grade_Scale!$C$2:$C$18)</f>
        <v/>
      </c>
      <c r="AE584">
        <f>IF(AD584="","",AB584-VLOOKUP(AD584,Grade_Scale!$C$2:$E$18,3,FALSE))</f>
        <v/>
      </c>
    </row>
    <row r="585">
      <c r="Q585">
        <f>IF(OR(B585="SP",B585="RP",B585="CP",B585="SP/RP"),"P","H")</f>
        <v/>
      </c>
      <c r="R585">
        <f>IF(F585="",0,IFNA(VLOOKUP(F585,Trait_Polarity!$A:$C,2,FALSE),0))+IF(G585="",0,IFNA(VLOOKUP(G585,Trait_Polarity!$A:$C,2,FALSE),0))</f>
        <v/>
      </c>
      <c r="S585">
        <f>IF(F585="",0,IFNA(VLOOKUP(F585,Trait_Polarity!$A:$C,3,FALSE),0))+IF(G585="",0,IFNA(VLOOKUP(G585,Trait_Polarity!$A:$C,3,FALSE),0))</f>
        <v/>
      </c>
      <c r="T585">
        <f>IF(Q585="P",0,IFNA(VLOOKUP(IF(C585="","(none)",C585),Secondary_Versatility!$A:$B,2,FALSE),0))</f>
        <v/>
      </c>
      <c r="U585">
        <f>IF(H585="",0,LEN(H585)-LEN(SUBSTITUTE(H585,"|",""))+1)</f>
        <v/>
      </c>
      <c r="V585">
        <f>IF(Q585="P",(N585+O585+P585)/3,0.3*I585+0.3*J585+0.2*K585+0.1*L585+0.1*M585)</f>
        <v/>
      </c>
      <c r="W585">
        <f>IF(Q585="P",IF(F585="",0,IFNA(VLOOKUP(F585,Pitcher_Trait_Coef!$A:$B,2,FALSE),0))+IF(G585="",0,IFNA(VLOOKUP(G585,Pitcher_Trait_Coef!$A:$B,2,FALSE),0)),IF(F585="",0,IFNA(VLOOKUP(F585,Hitter_Trait_Coef!$A:$B,2,FALSE),0))+IF(G585="",0,IFNA(VLOOKUP(G585,Hitter_Trait_Coef!$A:$B,2,FALSE),0)))</f>
        <v/>
      </c>
      <c r="X585">
        <f>IF(Q585="P",IFNA(VLOOKUP(B585,Pitcher_Primary_Coef!$A:$B,2,FALSE),0),IFNA(VLOOKUP(B585,Hitter_Primary_Coef!$A:$B,2,FALSE),0))</f>
        <v/>
      </c>
      <c r="Y585">
        <f>IF(Q585="P",0,IFNA(VLOOKUP(IF(C585="","(none)",C585),Hitter_Secondary_Coef!$A:$B,2,FALSE),0))</f>
        <v/>
      </c>
      <c r="Z585">
        <f>IF(Q585="P",IF(ISNUMBER(SEARCH("2F",H585)),IFNA(VLOOKUP("2F",Pitch_Coef!$A:$B,2,FALSE),0),0)+IF(ISNUMBER(SEARCH("4F",H585)),IFNA(VLOOKUP("4F",Pitch_Coef!$A:$B,2,FALSE),0),0)+IF(ISNUMBER(SEARCH("CB",H585)),IFNA(VLOOKUP("CB",Pitch_Coef!$A:$B,2,FALSE),0),0)+IF(ISNUMBER(SEARCH("CF",H585)),IFNA(VLOOKUP("CF",Pitch_Coef!$A:$B,2,FALSE),0),0)+IF(ISNUMBER(SEARCH("CH",H585)),IFNA(VLOOKUP("CH",Pitch_Coef!$A:$B,2,FALSE),0),0)+IF(ISNUMBER(SEARCH("FK",H585)),IFNA(VLOOKUP("FK",Pitch_Coef!$A:$B,2,FALSE),0),0)+IF(ISNUMBER(SEARCH("SB",H585)),IFNA(VLOOKUP("SB",Pitch_Coef!$A:$B,2,FALSE),0),0)+IF(ISNUMBER(SEARCH("SL",H585)),IFNA(VLOOKUP("SL",Pitch_Coef!$A:$B,2,FALSE),0),0),0)</f>
        <v/>
      </c>
      <c r="AA585">
        <f>IF(Q585="P",16.5944849573+0.2529999141*N585+0.2665900378*O585+0.2632687105*P585+0.0427586837*I585+0.0534777057*J585+0.009015832*K585+0.0204898106*(O585*P585/100)+1.0091022427*U585+1.0968542297*IF(D585="L",1,0)+0.3771555045*IF(D585="S",1,0)-0.2226159177*IF(E585="L",1,0)+1.21385024*R585-1.1652812274*S585+W585+X585+Z585,10.5965166711+0.2825983581*I585+0.2806503532*J585+0.2027213083*K585+0.1147824982*L585+0.0915305332*M585-0.0088454122*(I585*J585/100)-0.0336045706*(K585*L585/100)+2.8497389733*IF(D585="L",1,0)+4.5116226727*IF(D585="S",1,0)-0.6571546448*IF(E585="L",1,0)+0.0850728147*T585+0.0129488446*(T585*T585)+0.1909373936*IF(OR(F585="Utility",G585="Utility"),T585,0)+0.9656824071*R585-1.7517683256*S585+W585+X585+Y585)</f>
        <v/>
      </c>
      <c r="AB585">
        <f>LOOKUP(AA585,Grade_Scale!$A$2:$A$18,Grade_Scale!$B$2:$B$18)</f>
        <v/>
      </c>
      <c r="AC585">
        <f>LOOKUP(AA585,Grade_Scale!$A$2:$A$18,Grade_Scale!$C$2:$C$18)</f>
        <v/>
      </c>
      <c r="AE585">
        <f>IF(AD585="","",AB585-VLOOKUP(AD585,Grade_Scale!$C$2:$E$18,3,FALSE))</f>
        <v/>
      </c>
    </row>
    <row r="586">
      <c r="Q586">
        <f>IF(OR(B586="SP",B586="RP",B586="CP",B586="SP/RP"),"P","H")</f>
        <v/>
      </c>
      <c r="R586">
        <f>IF(F586="",0,IFNA(VLOOKUP(F586,Trait_Polarity!$A:$C,2,FALSE),0))+IF(G586="",0,IFNA(VLOOKUP(G586,Trait_Polarity!$A:$C,2,FALSE),0))</f>
        <v/>
      </c>
      <c r="S586">
        <f>IF(F586="",0,IFNA(VLOOKUP(F586,Trait_Polarity!$A:$C,3,FALSE),0))+IF(G586="",0,IFNA(VLOOKUP(G586,Trait_Polarity!$A:$C,3,FALSE),0))</f>
        <v/>
      </c>
      <c r="T586">
        <f>IF(Q586="P",0,IFNA(VLOOKUP(IF(C586="","(none)",C586),Secondary_Versatility!$A:$B,2,FALSE),0))</f>
        <v/>
      </c>
      <c r="U586">
        <f>IF(H586="",0,LEN(H586)-LEN(SUBSTITUTE(H586,"|",""))+1)</f>
        <v/>
      </c>
      <c r="V586">
        <f>IF(Q586="P",(N586+O586+P586)/3,0.3*I586+0.3*J586+0.2*K586+0.1*L586+0.1*M586)</f>
        <v/>
      </c>
      <c r="W586">
        <f>IF(Q586="P",IF(F586="",0,IFNA(VLOOKUP(F586,Pitcher_Trait_Coef!$A:$B,2,FALSE),0))+IF(G586="",0,IFNA(VLOOKUP(G586,Pitcher_Trait_Coef!$A:$B,2,FALSE),0)),IF(F586="",0,IFNA(VLOOKUP(F586,Hitter_Trait_Coef!$A:$B,2,FALSE),0))+IF(G586="",0,IFNA(VLOOKUP(G586,Hitter_Trait_Coef!$A:$B,2,FALSE),0)))</f>
        <v/>
      </c>
      <c r="X586">
        <f>IF(Q586="P",IFNA(VLOOKUP(B586,Pitcher_Primary_Coef!$A:$B,2,FALSE),0),IFNA(VLOOKUP(B586,Hitter_Primary_Coef!$A:$B,2,FALSE),0))</f>
        <v/>
      </c>
      <c r="Y586">
        <f>IF(Q586="P",0,IFNA(VLOOKUP(IF(C586="","(none)",C586),Hitter_Secondary_Coef!$A:$B,2,FALSE),0))</f>
        <v/>
      </c>
      <c r="Z586">
        <f>IF(Q586="P",IF(ISNUMBER(SEARCH("2F",H586)),IFNA(VLOOKUP("2F",Pitch_Coef!$A:$B,2,FALSE),0),0)+IF(ISNUMBER(SEARCH("4F",H586)),IFNA(VLOOKUP("4F",Pitch_Coef!$A:$B,2,FALSE),0),0)+IF(ISNUMBER(SEARCH("CB",H586)),IFNA(VLOOKUP("CB",Pitch_Coef!$A:$B,2,FALSE),0),0)+IF(ISNUMBER(SEARCH("CF",H586)),IFNA(VLOOKUP("CF",Pitch_Coef!$A:$B,2,FALSE),0),0)+IF(ISNUMBER(SEARCH("CH",H586)),IFNA(VLOOKUP("CH",Pitch_Coef!$A:$B,2,FALSE),0),0)+IF(ISNUMBER(SEARCH("FK",H586)),IFNA(VLOOKUP("FK",Pitch_Coef!$A:$B,2,FALSE),0),0)+IF(ISNUMBER(SEARCH("SB",H586)),IFNA(VLOOKUP("SB",Pitch_Coef!$A:$B,2,FALSE),0),0)+IF(ISNUMBER(SEARCH("SL",H586)),IFNA(VLOOKUP("SL",Pitch_Coef!$A:$B,2,FALSE),0),0),0)</f>
        <v/>
      </c>
      <c r="AA586">
        <f>IF(Q586="P",16.5944849573+0.2529999141*N586+0.2665900378*O586+0.2632687105*P586+0.0427586837*I586+0.0534777057*J586+0.009015832*K586+0.0204898106*(O586*P586/100)+1.0091022427*U586+1.0968542297*IF(D586="L",1,0)+0.3771555045*IF(D586="S",1,0)-0.2226159177*IF(E586="L",1,0)+1.21385024*R586-1.1652812274*S586+W586+X586+Z586,10.5965166711+0.2825983581*I586+0.2806503532*J586+0.2027213083*K586+0.1147824982*L586+0.0915305332*M586-0.0088454122*(I586*J586/100)-0.0336045706*(K586*L586/100)+2.8497389733*IF(D586="L",1,0)+4.5116226727*IF(D586="S",1,0)-0.6571546448*IF(E586="L",1,0)+0.0850728147*T586+0.0129488446*(T586*T586)+0.1909373936*IF(OR(F586="Utility",G586="Utility"),T586,0)+0.9656824071*R586-1.7517683256*S586+W586+X586+Y586)</f>
        <v/>
      </c>
      <c r="AB586">
        <f>LOOKUP(AA586,Grade_Scale!$A$2:$A$18,Grade_Scale!$B$2:$B$18)</f>
        <v/>
      </c>
      <c r="AC586">
        <f>LOOKUP(AA586,Grade_Scale!$A$2:$A$18,Grade_Scale!$C$2:$C$18)</f>
        <v/>
      </c>
      <c r="AE586">
        <f>IF(AD586="","",AB586-VLOOKUP(AD586,Grade_Scale!$C$2:$E$18,3,FALSE))</f>
        <v/>
      </c>
    </row>
    <row r="587">
      <c r="Q587">
        <f>IF(OR(B587="SP",B587="RP",B587="CP",B587="SP/RP"),"P","H")</f>
        <v/>
      </c>
      <c r="R587">
        <f>IF(F587="",0,IFNA(VLOOKUP(F587,Trait_Polarity!$A:$C,2,FALSE),0))+IF(G587="",0,IFNA(VLOOKUP(G587,Trait_Polarity!$A:$C,2,FALSE),0))</f>
        <v/>
      </c>
      <c r="S587">
        <f>IF(F587="",0,IFNA(VLOOKUP(F587,Trait_Polarity!$A:$C,3,FALSE),0))+IF(G587="",0,IFNA(VLOOKUP(G587,Trait_Polarity!$A:$C,3,FALSE),0))</f>
        <v/>
      </c>
      <c r="T587">
        <f>IF(Q587="P",0,IFNA(VLOOKUP(IF(C587="","(none)",C587),Secondary_Versatility!$A:$B,2,FALSE),0))</f>
        <v/>
      </c>
      <c r="U587">
        <f>IF(H587="",0,LEN(H587)-LEN(SUBSTITUTE(H587,"|",""))+1)</f>
        <v/>
      </c>
      <c r="V587">
        <f>IF(Q587="P",(N587+O587+P587)/3,0.3*I587+0.3*J587+0.2*K587+0.1*L587+0.1*M587)</f>
        <v/>
      </c>
      <c r="W587">
        <f>IF(Q587="P",IF(F587="",0,IFNA(VLOOKUP(F587,Pitcher_Trait_Coef!$A:$B,2,FALSE),0))+IF(G587="",0,IFNA(VLOOKUP(G587,Pitcher_Trait_Coef!$A:$B,2,FALSE),0)),IF(F587="",0,IFNA(VLOOKUP(F587,Hitter_Trait_Coef!$A:$B,2,FALSE),0))+IF(G587="",0,IFNA(VLOOKUP(G587,Hitter_Trait_Coef!$A:$B,2,FALSE),0)))</f>
        <v/>
      </c>
      <c r="X587">
        <f>IF(Q587="P",IFNA(VLOOKUP(B587,Pitcher_Primary_Coef!$A:$B,2,FALSE),0),IFNA(VLOOKUP(B587,Hitter_Primary_Coef!$A:$B,2,FALSE),0))</f>
        <v/>
      </c>
      <c r="Y587">
        <f>IF(Q587="P",0,IFNA(VLOOKUP(IF(C587="","(none)",C587),Hitter_Secondary_Coef!$A:$B,2,FALSE),0))</f>
        <v/>
      </c>
      <c r="Z587">
        <f>IF(Q587="P",IF(ISNUMBER(SEARCH("2F",H587)),IFNA(VLOOKUP("2F",Pitch_Coef!$A:$B,2,FALSE),0),0)+IF(ISNUMBER(SEARCH("4F",H587)),IFNA(VLOOKUP("4F",Pitch_Coef!$A:$B,2,FALSE),0),0)+IF(ISNUMBER(SEARCH("CB",H587)),IFNA(VLOOKUP("CB",Pitch_Coef!$A:$B,2,FALSE),0),0)+IF(ISNUMBER(SEARCH("CF",H587)),IFNA(VLOOKUP("CF",Pitch_Coef!$A:$B,2,FALSE),0),0)+IF(ISNUMBER(SEARCH("CH",H587)),IFNA(VLOOKUP("CH",Pitch_Coef!$A:$B,2,FALSE),0),0)+IF(ISNUMBER(SEARCH("FK",H587)),IFNA(VLOOKUP("FK",Pitch_Coef!$A:$B,2,FALSE),0),0)+IF(ISNUMBER(SEARCH("SB",H587)),IFNA(VLOOKUP("SB",Pitch_Coef!$A:$B,2,FALSE),0),0)+IF(ISNUMBER(SEARCH("SL",H587)),IFNA(VLOOKUP("SL",Pitch_Coef!$A:$B,2,FALSE),0),0),0)</f>
        <v/>
      </c>
      <c r="AA587">
        <f>IF(Q587="P",16.5944849573+0.2529999141*N587+0.2665900378*O587+0.2632687105*P587+0.0427586837*I587+0.0534777057*J587+0.009015832*K587+0.0204898106*(O587*P587/100)+1.0091022427*U587+1.0968542297*IF(D587="L",1,0)+0.3771555045*IF(D587="S",1,0)-0.2226159177*IF(E587="L",1,0)+1.21385024*R587-1.1652812274*S587+W587+X587+Z587,10.5965166711+0.2825983581*I587+0.2806503532*J587+0.2027213083*K587+0.1147824982*L587+0.0915305332*M587-0.0088454122*(I587*J587/100)-0.0336045706*(K587*L587/100)+2.8497389733*IF(D587="L",1,0)+4.5116226727*IF(D587="S",1,0)-0.6571546448*IF(E587="L",1,0)+0.0850728147*T587+0.0129488446*(T587*T587)+0.1909373936*IF(OR(F587="Utility",G587="Utility"),T587,0)+0.9656824071*R587-1.7517683256*S587+W587+X587+Y587)</f>
        <v/>
      </c>
      <c r="AB587">
        <f>LOOKUP(AA587,Grade_Scale!$A$2:$A$18,Grade_Scale!$B$2:$B$18)</f>
        <v/>
      </c>
      <c r="AC587">
        <f>LOOKUP(AA587,Grade_Scale!$A$2:$A$18,Grade_Scale!$C$2:$C$18)</f>
        <v/>
      </c>
      <c r="AE587">
        <f>IF(AD587="","",AB587-VLOOKUP(AD587,Grade_Scale!$C$2:$E$18,3,FALSE))</f>
        <v/>
      </c>
    </row>
    <row r="588">
      <c r="Q588">
        <f>IF(OR(B588="SP",B588="RP",B588="CP",B588="SP/RP"),"P","H")</f>
        <v/>
      </c>
      <c r="R588">
        <f>IF(F588="",0,IFNA(VLOOKUP(F588,Trait_Polarity!$A:$C,2,FALSE),0))+IF(G588="",0,IFNA(VLOOKUP(G588,Trait_Polarity!$A:$C,2,FALSE),0))</f>
        <v/>
      </c>
      <c r="S588">
        <f>IF(F588="",0,IFNA(VLOOKUP(F588,Trait_Polarity!$A:$C,3,FALSE),0))+IF(G588="",0,IFNA(VLOOKUP(G588,Trait_Polarity!$A:$C,3,FALSE),0))</f>
        <v/>
      </c>
      <c r="T588">
        <f>IF(Q588="P",0,IFNA(VLOOKUP(IF(C588="","(none)",C588),Secondary_Versatility!$A:$B,2,FALSE),0))</f>
        <v/>
      </c>
      <c r="U588">
        <f>IF(H588="",0,LEN(H588)-LEN(SUBSTITUTE(H588,"|",""))+1)</f>
        <v/>
      </c>
      <c r="V588">
        <f>IF(Q588="P",(N588+O588+P588)/3,0.3*I588+0.3*J588+0.2*K588+0.1*L588+0.1*M588)</f>
        <v/>
      </c>
      <c r="W588">
        <f>IF(Q588="P",IF(F588="",0,IFNA(VLOOKUP(F588,Pitcher_Trait_Coef!$A:$B,2,FALSE),0))+IF(G588="",0,IFNA(VLOOKUP(G588,Pitcher_Trait_Coef!$A:$B,2,FALSE),0)),IF(F588="",0,IFNA(VLOOKUP(F588,Hitter_Trait_Coef!$A:$B,2,FALSE),0))+IF(G588="",0,IFNA(VLOOKUP(G588,Hitter_Trait_Coef!$A:$B,2,FALSE),0)))</f>
        <v/>
      </c>
      <c r="X588">
        <f>IF(Q588="P",IFNA(VLOOKUP(B588,Pitcher_Primary_Coef!$A:$B,2,FALSE),0),IFNA(VLOOKUP(B588,Hitter_Primary_Coef!$A:$B,2,FALSE),0))</f>
        <v/>
      </c>
      <c r="Y588">
        <f>IF(Q588="P",0,IFNA(VLOOKUP(IF(C588="","(none)",C588),Hitter_Secondary_Coef!$A:$B,2,FALSE),0))</f>
        <v/>
      </c>
      <c r="Z588">
        <f>IF(Q588="P",IF(ISNUMBER(SEARCH("2F",H588)),IFNA(VLOOKUP("2F",Pitch_Coef!$A:$B,2,FALSE),0),0)+IF(ISNUMBER(SEARCH("4F",H588)),IFNA(VLOOKUP("4F",Pitch_Coef!$A:$B,2,FALSE),0),0)+IF(ISNUMBER(SEARCH("CB",H588)),IFNA(VLOOKUP("CB",Pitch_Coef!$A:$B,2,FALSE),0),0)+IF(ISNUMBER(SEARCH("CF",H588)),IFNA(VLOOKUP("CF",Pitch_Coef!$A:$B,2,FALSE),0),0)+IF(ISNUMBER(SEARCH("CH",H588)),IFNA(VLOOKUP("CH",Pitch_Coef!$A:$B,2,FALSE),0),0)+IF(ISNUMBER(SEARCH("FK",H588)),IFNA(VLOOKUP("FK",Pitch_Coef!$A:$B,2,FALSE),0),0)+IF(ISNUMBER(SEARCH("SB",H588)),IFNA(VLOOKUP("SB",Pitch_Coef!$A:$B,2,FALSE),0),0)+IF(ISNUMBER(SEARCH("SL",H588)),IFNA(VLOOKUP("SL",Pitch_Coef!$A:$B,2,FALSE),0),0),0)</f>
        <v/>
      </c>
      <c r="AA588">
        <f>IF(Q588="P",16.5944849573+0.2529999141*N588+0.2665900378*O588+0.2632687105*P588+0.0427586837*I588+0.0534777057*J588+0.009015832*K588+0.0204898106*(O588*P588/100)+1.0091022427*U588+1.0968542297*IF(D588="L",1,0)+0.3771555045*IF(D588="S",1,0)-0.2226159177*IF(E588="L",1,0)+1.21385024*R588-1.1652812274*S588+W588+X588+Z588,10.5965166711+0.2825983581*I588+0.2806503532*J588+0.2027213083*K588+0.1147824982*L588+0.0915305332*M588-0.0088454122*(I588*J588/100)-0.0336045706*(K588*L588/100)+2.8497389733*IF(D588="L",1,0)+4.5116226727*IF(D588="S",1,0)-0.6571546448*IF(E588="L",1,0)+0.0850728147*T588+0.0129488446*(T588*T588)+0.1909373936*IF(OR(F588="Utility",G588="Utility"),T588,0)+0.9656824071*R588-1.7517683256*S588+W588+X588+Y588)</f>
        <v/>
      </c>
      <c r="AB588">
        <f>LOOKUP(AA588,Grade_Scale!$A$2:$A$18,Grade_Scale!$B$2:$B$18)</f>
        <v/>
      </c>
      <c r="AC588">
        <f>LOOKUP(AA588,Grade_Scale!$A$2:$A$18,Grade_Scale!$C$2:$C$18)</f>
        <v/>
      </c>
      <c r="AE588">
        <f>IF(AD588="","",AB588-VLOOKUP(AD588,Grade_Scale!$C$2:$E$18,3,FALSE))</f>
        <v/>
      </c>
    </row>
    <row r="589">
      <c r="Q589">
        <f>IF(OR(B589="SP",B589="RP",B589="CP",B589="SP/RP"),"P","H")</f>
        <v/>
      </c>
      <c r="R589">
        <f>IF(F589="",0,IFNA(VLOOKUP(F589,Trait_Polarity!$A:$C,2,FALSE),0))+IF(G589="",0,IFNA(VLOOKUP(G589,Trait_Polarity!$A:$C,2,FALSE),0))</f>
        <v/>
      </c>
      <c r="S589">
        <f>IF(F589="",0,IFNA(VLOOKUP(F589,Trait_Polarity!$A:$C,3,FALSE),0))+IF(G589="",0,IFNA(VLOOKUP(G589,Trait_Polarity!$A:$C,3,FALSE),0))</f>
        <v/>
      </c>
      <c r="T589">
        <f>IF(Q589="P",0,IFNA(VLOOKUP(IF(C589="","(none)",C589),Secondary_Versatility!$A:$B,2,FALSE),0))</f>
        <v/>
      </c>
      <c r="U589">
        <f>IF(H589="",0,LEN(H589)-LEN(SUBSTITUTE(H589,"|",""))+1)</f>
        <v/>
      </c>
      <c r="V589">
        <f>IF(Q589="P",(N589+O589+P589)/3,0.3*I589+0.3*J589+0.2*K589+0.1*L589+0.1*M589)</f>
        <v/>
      </c>
      <c r="W589">
        <f>IF(Q589="P",IF(F589="",0,IFNA(VLOOKUP(F589,Pitcher_Trait_Coef!$A:$B,2,FALSE),0))+IF(G589="",0,IFNA(VLOOKUP(G589,Pitcher_Trait_Coef!$A:$B,2,FALSE),0)),IF(F589="",0,IFNA(VLOOKUP(F589,Hitter_Trait_Coef!$A:$B,2,FALSE),0))+IF(G589="",0,IFNA(VLOOKUP(G589,Hitter_Trait_Coef!$A:$B,2,FALSE),0)))</f>
        <v/>
      </c>
      <c r="X589">
        <f>IF(Q589="P",IFNA(VLOOKUP(B589,Pitcher_Primary_Coef!$A:$B,2,FALSE),0),IFNA(VLOOKUP(B589,Hitter_Primary_Coef!$A:$B,2,FALSE),0))</f>
        <v/>
      </c>
      <c r="Y589">
        <f>IF(Q589="P",0,IFNA(VLOOKUP(IF(C589="","(none)",C589),Hitter_Secondary_Coef!$A:$B,2,FALSE),0))</f>
        <v/>
      </c>
      <c r="Z589">
        <f>IF(Q589="P",IF(ISNUMBER(SEARCH("2F",H589)),IFNA(VLOOKUP("2F",Pitch_Coef!$A:$B,2,FALSE),0),0)+IF(ISNUMBER(SEARCH("4F",H589)),IFNA(VLOOKUP("4F",Pitch_Coef!$A:$B,2,FALSE),0),0)+IF(ISNUMBER(SEARCH("CB",H589)),IFNA(VLOOKUP("CB",Pitch_Coef!$A:$B,2,FALSE),0),0)+IF(ISNUMBER(SEARCH("CF",H589)),IFNA(VLOOKUP("CF",Pitch_Coef!$A:$B,2,FALSE),0),0)+IF(ISNUMBER(SEARCH("CH",H589)),IFNA(VLOOKUP("CH",Pitch_Coef!$A:$B,2,FALSE),0),0)+IF(ISNUMBER(SEARCH("FK",H589)),IFNA(VLOOKUP("FK",Pitch_Coef!$A:$B,2,FALSE),0),0)+IF(ISNUMBER(SEARCH("SB",H589)),IFNA(VLOOKUP("SB",Pitch_Coef!$A:$B,2,FALSE),0),0)+IF(ISNUMBER(SEARCH("SL",H589)),IFNA(VLOOKUP("SL",Pitch_Coef!$A:$B,2,FALSE),0),0),0)</f>
        <v/>
      </c>
      <c r="AA589">
        <f>IF(Q589="P",16.5944849573+0.2529999141*N589+0.2665900378*O589+0.2632687105*P589+0.0427586837*I589+0.0534777057*J589+0.009015832*K589+0.0204898106*(O589*P589/100)+1.0091022427*U589+1.0968542297*IF(D589="L",1,0)+0.3771555045*IF(D589="S",1,0)-0.2226159177*IF(E589="L",1,0)+1.21385024*R589-1.1652812274*S589+W589+X589+Z589,10.5965166711+0.2825983581*I589+0.2806503532*J589+0.2027213083*K589+0.1147824982*L589+0.0915305332*M589-0.0088454122*(I589*J589/100)-0.0336045706*(K589*L589/100)+2.8497389733*IF(D589="L",1,0)+4.5116226727*IF(D589="S",1,0)-0.6571546448*IF(E589="L",1,0)+0.0850728147*T589+0.0129488446*(T589*T589)+0.1909373936*IF(OR(F589="Utility",G589="Utility"),T589,0)+0.9656824071*R589-1.7517683256*S589+W589+X589+Y589)</f>
        <v/>
      </c>
      <c r="AB589">
        <f>LOOKUP(AA589,Grade_Scale!$A$2:$A$18,Grade_Scale!$B$2:$B$18)</f>
        <v/>
      </c>
      <c r="AC589">
        <f>LOOKUP(AA589,Grade_Scale!$A$2:$A$18,Grade_Scale!$C$2:$C$18)</f>
        <v/>
      </c>
      <c r="AE589">
        <f>IF(AD589="","",AB589-VLOOKUP(AD589,Grade_Scale!$C$2:$E$18,3,FALSE))</f>
        <v/>
      </c>
    </row>
    <row r="590">
      <c r="Q590">
        <f>IF(OR(B590="SP",B590="RP",B590="CP",B590="SP/RP"),"P","H")</f>
        <v/>
      </c>
      <c r="R590">
        <f>IF(F590="",0,IFNA(VLOOKUP(F590,Trait_Polarity!$A:$C,2,FALSE),0))+IF(G590="",0,IFNA(VLOOKUP(G590,Trait_Polarity!$A:$C,2,FALSE),0))</f>
        <v/>
      </c>
      <c r="S590">
        <f>IF(F590="",0,IFNA(VLOOKUP(F590,Trait_Polarity!$A:$C,3,FALSE),0))+IF(G590="",0,IFNA(VLOOKUP(G590,Trait_Polarity!$A:$C,3,FALSE),0))</f>
        <v/>
      </c>
      <c r="T590">
        <f>IF(Q590="P",0,IFNA(VLOOKUP(IF(C590="","(none)",C590),Secondary_Versatility!$A:$B,2,FALSE),0))</f>
        <v/>
      </c>
      <c r="U590">
        <f>IF(H590="",0,LEN(H590)-LEN(SUBSTITUTE(H590,"|",""))+1)</f>
        <v/>
      </c>
      <c r="V590">
        <f>IF(Q590="P",(N590+O590+P590)/3,0.3*I590+0.3*J590+0.2*K590+0.1*L590+0.1*M590)</f>
        <v/>
      </c>
      <c r="W590">
        <f>IF(Q590="P",IF(F590="",0,IFNA(VLOOKUP(F590,Pitcher_Trait_Coef!$A:$B,2,FALSE),0))+IF(G590="",0,IFNA(VLOOKUP(G590,Pitcher_Trait_Coef!$A:$B,2,FALSE),0)),IF(F590="",0,IFNA(VLOOKUP(F590,Hitter_Trait_Coef!$A:$B,2,FALSE),0))+IF(G590="",0,IFNA(VLOOKUP(G590,Hitter_Trait_Coef!$A:$B,2,FALSE),0)))</f>
        <v/>
      </c>
      <c r="X590">
        <f>IF(Q590="P",IFNA(VLOOKUP(B590,Pitcher_Primary_Coef!$A:$B,2,FALSE),0),IFNA(VLOOKUP(B590,Hitter_Primary_Coef!$A:$B,2,FALSE),0))</f>
        <v/>
      </c>
      <c r="Y590">
        <f>IF(Q590="P",0,IFNA(VLOOKUP(IF(C590="","(none)",C590),Hitter_Secondary_Coef!$A:$B,2,FALSE),0))</f>
        <v/>
      </c>
      <c r="Z590">
        <f>IF(Q590="P",IF(ISNUMBER(SEARCH("2F",H590)),IFNA(VLOOKUP("2F",Pitch_Coef!$A:$B,2,FALSE),0),0)+IF(ISNUMBER(SEARCH("4F",H590)),IFNA(VLOOKUP("4F",Pitch_Coef!$A:$B,2,FALSE),0),0)+IF(ISNUMBER(SEARCH("CB",H590)),IFNA(VLOOKUP("CB",Pitch_Coef!$A:$B,2,FALSE),0),0)+IF(ISNUMBER(SEARCH("CF",H590)),IFNA(VLOOKUP("CF",Pitch_Coef!$A:$B,2,FALSE),0),0)+IF(ISNUMBER(SEARCH("CH",H590)),IFNA(VLOOKUP("CH",Pitch_Coef!$A:$B,2,FALSE),0),0)+IF(ISNUMBER(SEARCH("FK",H590)),IFNA(VLOOKUP("FK",Pitch_Coef!$A:$B,2,FALSE),0),0)+IF(ISNUMBER(SEARCH("SB",H590)),IFNA(VLOOKUP("SB",Pitch_Coef!$A:$B,2,FALSE),0),0)+IF(ISNUMBER(SEARCH("SL",H590)),IFNA(VLOOKUP("SL",Pitch_Coef!$A:$B,2,FALSE),0),0),0)</f>
        <v/>
      </c>
      <c r="AA590">
        <f>IF(Q590="P",16.5944849573+0.2529999141*N590+0.2665900378*O590+0.2632687105*P590+0.0427586837*I590+0.0534777057*J590+0.009015832*K590+0.0204898106*(O590*P590/100)+1.0091022427*U590+1.0968542297*IF(D590="L",1,0)+0.3771555045*IF(D590="S",1,0)-0.2226159177*IF(E590="L",1,0)+1.21385024*R590-1.1652812274*S590+W590+X590+Z590,10.5965166711+0.2825983581*I590+0.2806503532*J590+0.2027213083*K590+0.1147824982*L590+0.0915305332*M590-0.0088454122*(I590*J590/100)-0.0336045706*(K590*L590/100)+2.8497389733*IF(D590="L",1,0)+4.5116226727*IF(D590="S",1,0)-0.6571546448*IF(E590="L",1,0)+0.0850728147*T590+0.0129488446*(T590*T590)+0.1909373936*IF(OR(F590="Utility",G590="Utility"),T590,0)+0.9656824071*R590-1.7517683256*S590+W590+X590+Y590)</f>
        <v/>
      </c>
      <c r="AB590">
        <f>LOOKUP(AA590,Grade_Scale!$A$2:$A$18,Grade_Scale!$B$2:$B$18)</f>
        <v/>
      </c>
      <c r="AC590">
        <f>LOOKUP(AA590,Grade_Scale!$A$2:$A$18,Grade_Scale!$C$2:$C$18)</f>
        <v/>
      </c>
      <c r="AE590">
        <f>IF(AD590="","",AB590-VLOOKUP(AD590,Grade_Scale!$C$2:$E$18,3,FALSE))</f>
        <v/>
      </c>
    </row>
    <row r="591">
      <c r="Q591">
        <f>IF(OR(B591="SP",B591="RP",B591="CP",B591="SP/RP"),"P","H")</f>
        <v/>
      </c>
      <c r="R591">
        <f>IF(F591="",0,IFNA(VLOOKUP(F591,Trait_Polarity!$A:$C,2,FALSE),0))+IF(G591="",0,IFNA(VLOOKUP(G591,Trait_Polarity!$A:$C,2,FALSE),0))</f>
        <v/>
      </c>
      <c r="S591">
        <f>IF(F591="",0,IFNA(VLOOKUP(F591,Trait_Polarity!$A:$C,3,FALSE),0))+IF(G591="",0,IFNA(VLOOKUP(G591,Trait_Polarity!$A:$C,3,FALSE),0))</f>
        <v/>
      </c>
      <c r="T591">
        <f>IF(Q591="P",0,IFNA(VLOOKUP(IF(C591="","(none)",C591),Secondary_Versatility!$A:$B,2,FALSE),0))</f>
        <v/>
      </c>
      <c r="U591">
        <f>IF(H591="",0,LEN(H591)-LEN(SUBSTITUTE(H591,"|",""))+1)</f>
        <v/>
      </c>
      <c r="V591">
        <f>IF(Q591="P",(N591+O591+P591)/3,0.3*I591+0.3*J591+0.2*K591+0.1*L591+0.1*M591)</f>
        <v/>
      </c>
      <c r="W591">
        <f>IF(Q591="P",IF(F591="",0,IFNA(VLOOKUP(F591,Pitcher_Trait_Coef!$A:$B,2,FALSE),0))+IF(G591="",0,IFNA(VLOOKUP(G591,Pitcher_Trait_Coef!$A:$B,2,FALSE),0)),IF(F591="",0,IFNA(VLOOKUP(F591,Hitter_Trait_Coef!$A:$B,2,FALSE),0))+IF(G591="",0,IFNA(VLOOKUP(G591,Hitter_Trait_Coef!$A:$B,2,FALSE),0)))</f>
        <v/>
      </c>
      <c r="X591">
        <f>IF(Q591="P",IFNA(VLOOKUP(B591,Pitcher_Primary_Coef!$A:$B,2,FALSE),0),IFNA(VLOOKUP(B591,Hitter_Primary_Coef!$A:$B,2,FALSE),0))</f>
        <v/>
      </c>
      <c r="Y591">
        <f>IF(Q591="P",0,IFNA(VLOOKUP(IF(C591="","(none)",C591),Hitter_Secondary_Coef!$A:$B,2,FALSE),0))</f>
        <v/>
      </c>
      <c r="Z591">
        <f>IF(Q591="P",IF(ISNUMBER(SEARCH("2F",H591)),IFNA(VLOOKUP("2F",Pitch_Coef!$A:$B,2,FALSE),0),0)+IF(ISNUMBER(SEARCH("4F",H591)),IFNA(VLOOKUP("4F",Pitch_Coef!$A:$B,2,FALSE),0),0)+IF(ISNUMBER(SEARCH("CB",H591)),IFNA(VLOOKUP("CB",Pitch_Coef!$A:$B,2,FALSE),0),0)+IF(ISNUMBER(SEARCH("CF",H591)),IFNA(VLOOKUP("CF",Pitch_Coef!$A:$B,2,FALSE),0),0)+IF(ISNUMBER(SEARCH("CH",H591)),IFNA(VLOOKUP("CH",Pitch_Coef!$A:$B,2,FALSE),0),0)+IF(ISNUMBER(SEARCH("FK",H591)),IFNA(VLOOKUP("FK",Pitch_Coef!$A:$B,2,FALSE),0),0)+IF(ISNUMBER(SEARCH("SB",H591)),IFNA(VLOOKUP("SB",Pitch_Coef!$A:$B,2,FALSE),0),0)+IF(ISNUMBER(SEARCH("SL",H591)),IFNA(VLOOKUP("SL",Pitch_Coef!$A:$B,2,FALSE),0),0),0)</f>
        <v/>
      </c>
      <c r="AA591">
        <f>IF(Q591="P",16.5944849573+0.2529999141*N591+0.2665900378*O591+0.2632687105*P591+0.0427586837*I591+0.0534777057*J591+0.009015832*K591+0.0204898106*(O591*P591/100)+1.0091022427*U591+1.0968542297*IF(D591="L",1,0)+0.3771555045*IF(D591="S",1,0)-0.2226159177*IF(E591="L",1,0)+1.21385024*R591-1.1652812274*S591+W591+X591+Z591,10.5965166711+0.2825983581*I591+0.2806503532*J591+0.2027213083*K591+0.1147824982*L591+0.0915305332*M591-0.0088454122*(I591*J591/100)-0.0336045706*(K591*L591/100)+2.8497389733*IF(D591="L",1,0)+4.5116226727*IF(D591="S",1,0)-0.6571546448*IF(E591="L",1,0)+0.0850728147*T591+0.0129488446*(T591*T591)+0.1909373936*IF(OR(F591="Utility",G591="Utility"),T591,0)+0.9656824071*R591-1.7517683256*S591+W591+X591+Y591)</f>
        <v/>
      </c>
      <c r="AB591">
        <f>LOOKUP(AA591,Grade_Scale!$A$2:$A$18,Grade_Scale!$B$2:$B$18)</f>
        <v/>
      </c>
      <c r="AC591">
        <f>LOOKUP(AA591,Grade_Scale!$A$2:$A$18,Grade_Scale!$C$2:$C$18)</f>
        <v/>
      </c>
      <c r="AE591">
        <f>IF(AD591="","",AB591-VLOOKUP(AD591,Grade_Scale!$C$2:$E$18,3,FALSE))</f>
        <v/>
      </c>
    </row>
    <row r="592">
      <c r="Q592">
        <f>IF(OR(B592="SP",B592="RP",B592="CP",B592="SP/RP"),"P","H")</f>
        <v/>
      </c>
      <c r="R592">
        <f>IF(F592="",0,IFNA(VLOOKUP(F592,Trait_Polarity!$A:$C,2,FALSE),0))+IF(G592="",0,IFNA(VLOOKUP(G592,Trait_Polarity!$A:$C,2,FALSE),0))</f>
        <v/>
      </c>
      <c r="S592">
        <f>IF(F592="",0,IFNA(VLOOKUP(F592,Trait_Polarity!$A:$C,3,FALSE),0))+IF(G592="",0,IFNA(VLOOKUP(G592,Trait_Polarity!$A:$C,3,FALSE),0))</f>
        <v/>
      </c>
      <c r="T592">
        <f>IF(Q592="P",0,IFNA(VLOOKUP(IF(C592="","(none)",C592),Secondary_Versatility!$A:$B,2,FALSE),0))</f>
        <v/>
      </c>
      <c r="U592">
        <f>IF(H592="",0,LEN(H592)-LEN(SUBSTITUTE(H592,"|",""))+1)</f>
        <v/>
      </c>
      <c r="V592">
        <f>IF(Q592="P",(N592+O592+P592)/3,0.3*I592+0.3*J592+0.2*K592+0.1*L592+0.1*M592)</f>
        <v/>
      </c>
      <c r="W592">
        <f>IF(Q592="P",IF(F592="",0,IFNA(VLOOKUP(F592,Pitcher_Trait_Coef!$A:$B,2,FALSE),0))+IF(G592="",0,IFNA(VLOOKUP(G592,Pitcher_Trait_Coef!$A:$B,2,FALSE),0)),IF(F592="",0,IFNA(VLOOKUP(F592,Hitter_Trait_Coef!$A:$B,2,FALSE),0))+IF(G592="",0,IFNA(VLOOKUP(G592,Hitter_Trait_Coef!$A:$B,2,FALSE),0)))</f>
        <v/>
      </c>
      <c r="X592">
        <f>IF(Q592="P",IFNA(VLOOKUP(B592,Pitcher_Primary_Coef!$A:$B,2,FALSE),0),IFNA(VLOOKUP(B592,Hitter_Primary_Coef!$A:$B,2,FALSE),0))</f>
        <v/>
      </c>
      <c r="Y592">
        <f>IF(Q592="P",0,IFNA(VLOOKUP(IF(C592="","(none)",C592),Hitter_Secondary_Coef!$A:$B,2,FALSE),0))</f>
        <v/>
      </c>
      <c r="Z592">
        <f>IF(Q592="P",IF(ISNUMBER(SEARCH("2F",H592)),IFNA(VLOOKUP("2F",Pitch_Coef!$A:$B,2,FALSE),0),0)+IF(ISNUMBER(SEARCH("4F",H592)),IFNA(VLOOKUP("4F",Pitch_Coef!$A:$B,2,FALSE),0),0)+IF(ISNUMBER(SEARCH("CB",H592)),IFNA(VLOOKUP("CB",Pitch_Coef!$A:$B,2,FALSE),0),0)+IF(ISNUMBER(SEARCH("CF",H592)),IFNA(VLOOKUP("CF",Pitch_Coef!$A:$B,2,FALSE),0),0)+IF(ISNUMBER(SEARCH("CH",H592)),IFNA(VLOOKUP("CH",Pitch_Coef!$A:$B,2,FALSE),0),0)+IF(ISNUMBER(SEARCH("FK",H592)),IFNA(VLOOKUP("FK",Pitch_Coef!$A:$B,2,FALSE),0),0)+IF(ISNUMBER(SEARCH("SB",H592)),IFNA(VLOOKUP("SB",Pitch_Coef!$A:$B,2,FALSE),0),0)+IF(ISNUMBER(SEARCH("SL",H592)),IFNA(VLOOKUP("SL",Pitch_Coef!$A:$B,2,FALSE),0),0),0)</f>
        <v/>
      </c>
      <c r="AA592">
        <f>IF(Q592="P",16.5944849573+0.2529999141*N592+0.2665900378*O592+0.2632687105*P592+0.0427586837*I592+0.0534777057*J592+0.009015832*K592+0.0204898106*(O592*P592/100)+1.0091022427*U592+1.0968542297*IF(D592="L",1,0)+0.3771555045*IF(D592="S",1,0)-0.2226159177*IF(E592="L",1,0)+1.21385024*R592-1.1652812274*S592+W592+X592+Z592,10.5965166711+0.2825983581*I592+0.2806503532*J592+0.2027213083*K592+0.1147824982*L592+0.0915305332*M592-0.0088454122*(I592*J592/100)-0.0336045706*(K592*L592/100)+2.8497389733*IF(D592="L",1,0)+4.5116226727*IF(D592="S",1,0)-0.6571546448*IF(E592="L",1,0)+0.0850728147*T592+0.0129488446*(T592*T592)+0.1909373936*IF(OR(F592="Utility",G592="Utility"),T592,0)+0.9656824071*R592-1.7517683256*S592+W592+X592+Y592)</f>
        <v/>
      </c>
      <c r="AB592">
        <f>LOOKUP(AA592,Grade_Scale!$A$2:$A$18,Grade_Scale!$B$2:$B$18)</f>
        <v/>
      </c>
      <c r="AC592">
        <f>LOOKUP(AA592,Grade_Scale!$A$2:$A$18,Grade_Scale!$C$2:$C$18)</f>
        <v/>
      </c>
      <c r="AE592">
        <f>IF(AD592="","",AB592-VLOOKUP(AD592,Grade_Scale!$C$2:$E$18,3,FALSE))</f>
        <v/>
      </c>
    </row>
    <row r="593">
      <c r="Q593">
        <f>IF(OR(B593="SP",B593="RP",B593="CP",B593="SP/RP"),"P","H")</f>
        <v/>
      </c>
      <c r="R593">
        <f>IF(F593="",0,IFNA(VLOOKUP(F593,Trait_Polarity!$A:$C,2,FALSE),0))+IF(G593="",0,IFNA(VLOOKUP(G593,Trait_Polarity!$A:$C,2,FALSE),0))</f>
        <v/>
      </c>
      <c r="S593">
        <f>IF(F593="",0,IFNA(VLOOKUP(F593,Trait_Polarity!$A:$C,3,FALSE),0))+IF(G593="",0,IFNA(VLOOKUP(G593,Trait_Polarity!$A:$C,3,FALSE),0))</f>
        <v/>
      </c>
      <c r="T593">
        <f>IF(Q593="P",0,IFNA(VLOOKUP(IF(C593="","(none)",C593),Secondary_Versatility!$A:$B,2,FALSE),0))</f>
        <v/>
      </c>
      <c r="U593">
        <f>IF(H593="",0,LEN(H593)-LEN(SUBSTITUTE(H593,"|",""))+1)</f>
        <v/>
      </c>
      <c r="V593">
        <f>IF(Q593="P",(N593+O593+P593)/3,0.3*I593+0.3*J593+0.2*K593+0.1*L593+0.1*M593)</f>
        <v/>
      </c>
      <c r="W593">
        <f>IF(Q593="P",IF(F593="",0,IFNA(VLOOKUP(F593,Pitcher_Trait_Coef!$A:$B,2,FALSE),0))+IF(G593="",0,IFNA(VLOOKUP(G593,Pitcher_Trait_Coef!$A:$B,2,FALSE),0)),IF(F593="",0,IFNA(VLOOKUP(F593,Hitter_Trait_Coef!$A:$B,2,FALSE),0))+IF(G593="",0,IFNA(VLOOKUP(G593,Hitter_Trait_Coef!$A:$B,2,FALSE),0)))</f>
        <v/>
      </c>
      <c r="X593">
        <f>IF(Q593="P",IFNA(VLOOKUP(B593,Pitcher_Primary_Coef!$A:$B,2,FALSE),0),IFNA(VLOOKUP(B593,Hitter_Primary_Coef!$A:$B,2,FALSE),0))</f>
        <v/>
      </c>
      <c r="Y593">
        <f>IF(Q593="P",0,IFNA(VLOOKUP(IF(C593="","(none)",C593),Hitter_Secondary_Coef!$A:$B,2,FALSE),0))</f>
        <v/>
      </c>
      <c r="Z593">
        <f>IF(Q593="P",IF(ISNUMBER(SEARCH("2F",H593)),IFNA(VLOOKUP("2F",Pitch_Coef!$A:$B,2,FALSE),0),0)+IF(ISNUMBER(SEARCH("4F",H593)),IFNA(VLOOKUP("4F",Pitch_Coef!$A:$B,2,FALSE),0),0)+IF(ISNUMBER(SEARCH("CB",H593)),IFNA(VLOOKUP("CB",Pitch_Coef!$A:$B,2,FALSE),0),0)+IF(ISNUMBER(SEARCH("CF",H593)),IFNA(VLOOKUP("CF",Pitch_Coef!$A:$B,2,FALSE),0),0)+IF(ISNUMBER(SEARCH("CH",H593)),IFNA(VLOOKUP("CH",Pitch_Coef!$A:$B,2,FALSE),0),0)+IF(ISNUMBER(SEARCH("FK",H593)),IFNA(VLOOKUP("FK",Pitch_Coef!$A:$B,2,FALSE),0),0)+IF(ISNUMBER(SEARCH("SB",H593)),IFNA(VLOOKUP("SB",Pitch_Coef!$A:$B,2,FALSE),0),0)+IF(ISNUMBER(SEARCH("SL",H593)),IFNA(VLOOKUP("SL",Pitch_Coef!$A:$B,2,FALSE),0),0),0)</f>
        <v/>
      </c>
      <c r="AA593">
        <f>IF(Q593="P",16.5944849573+0.2529999141*N593+0.2665900378*O593+0.2632687105*P593+0.0427586837*I593+0.0534777057*J593+0.009015832*K593+0.0204898106*(O593*P593/100)+1.0091022427*U593+1.0968542297*IF(D593="L",1,0)+0.3771555045*IF(D593="S",1,0)-0.2226159177*IF(E593="L",1,0)+1.21385024*R593-1.1652812274*S593+W593+X593+Z593,10.5965166711+0.2825983581*I593+0.2806503532*J593+0.2027213083*K593+0.1147824982*L593+0.0915305332*M593-0.0088454122*(I593*J593/100)-0.0336045706*(K593*L593/100)+2.8497389733*IF(D593="L",1,0)+4.5116226727*IF(D593="S",1,0)-0.6571546448*IF(E593="L",1,0)+0.0850728147*T593+0.0129488446*(T593*T593)+0.1909373936*IF(OR(F593="Utility",G593="Utility"),T593,0)+0.9656824071*R593-1.7517683256*S593+W593+X593+Y593)</f>
        <v/>
      </c>
      <c r="AB593">
        <f>LOOKUP(AA593,Grade_Scale!$A$2:$A$18,Grade_Scale!$B$2:$B$18)</f>
        <v/>
      </c>
      <c r="AC593">
        <f>LOOKUP(AA593,Grade_Scale!$A$2:$A$18,Grade_Scale!$C$2:$C$18)</f>
        <v/>
      </c>
      <c r="AE593">
        <f>IF(AD593="","",AB593-VLOOKUP(AD593,Grade_Scale!$C$2:$E$18,3,FALSE))</f>
        <v/>
      </c>
    </row>
    <row r="594">
      <c r="Q594">
        <f>IF(OR(B594="SP",B594="RP",B594="CP",B594="SP/RP"),"P","H")</f>
        <v/>
      </c>
      <c r="R594">
        <f>IF(F594="",0,IFNA(VLOOKUP(F594,Trait_Polarity!$A:$C,2,FALSE),0))+IF(G594="",0,IFNA(VLOOKUP(G594,Trait_Polarity!$A:$C,2,FALSE),0))</f>
        <v/>
      </c>
      <c r="S594">
        <f>IF(F594="",0,IFNA(VLOOKUP(F594,Trait_Polarity!$A:$C,3,FALSE),0))+IF(G594="",0,IFNA(VLOOKUP(G594,Trait_Polarity!$A:$C,3,FALSE),0))</f>
        <v/>
      </c>
      <c r="T594">
        <f>IF(Q594="P",0,IFNA(VLOOKUP(IF(C594="","(none)",C594),Secondary_Versatility!$A:$B,2,FALSE),0))</f>
        <v/>
      </c>
      <c r="U594">
        <f>IF(H594="",0,LEN(H594)-LEN(SUBSTITUTE(H594,"|",""))+1)</f>
        <v/>
      </c>
      <c r="V594">
        <f>IF(Q594="P",(N594+O594+P594)/3,0.3*I594+0.3*J594+0.2*K594+0.1*L594+0.1*M594)</f>
        <v/>
      </c>
      <c r="W594">
        <f>IF(Q594="P",IF(F594="",0,IFNA(VLOOKUP(F594,Pitcher_Trait_Coef!$A:$B,2,FALSE),0))+IF(G594="",0,IFNA(VLOOKUP(G594,Pitcher_Trait_Coef!$A:$B,2,FALSE),0)),IF(F594="",0,IFNA(VLOOKUP(F594,Hitter_Trait_Coef!$A:$B,2,FALSE),0))+IF(G594="",0,IFNA(VLOOKUP(G594,Hitter_Trait_Coef!$A:$B,2,FALSE),0)))</f>
        <v/>
      </c>
      <c r="X594">
        <f>IF(Q594="P",IFNA(VLOOKUP(B594,Pitcher_Primary_Coef!$A:$B,2,FALSE),0),IFNA(VLOOKUP(B594,Hitter_Primary_Coef!$A:$B,2,FALSE),0))</f>
        <v/>
      </c>
      <c r="Y594">
        <f>IF(Q594="P",0,IFNA(VLOOKUP(IF(C594="","(none)",C594),Hitter_Secondary_Coef!$A:$B,2,FALSE),0))</f>
        <v/>
      </c>
      <c r="Z594">
        <f>IF(Q594="P",IF(ISNUMBER(SEARCH("2F",H594)),IFNA(VLOOKUP("2F",Pitch_Coef!$A:$B,2,FALSE),0),0)+IF(ISNUMBER(SEARCH("4F",H594)),IFNA(VLOOKUP("4F",Pitch_Coef!$A:$B,2,FALSE),0),0)+IF(ISNUMBER(SEARCH("CB",H594)),IFNA(VLOOKUP("CB",Pitch_Coef!$A:$B,2,FALSE),0),0)+IF(ISNUMBER(SEARCH("CF",H594)),IFNA(VLOOKUP("CF",Pitch_Coef!$A:$B,2,FALSE),0),0)+IF(ISNUMBER(SEARCH("CH",H594)),IFNA(VLOOKUP("CH",Pitch_Coef!$A:$B,2,FALSE),0),0)+IF(ISNUMBER(SEARCH("FK",H594)),IFNA(VLOOKUP("FK",Pitch_Coef!$A:$B,2,FALSE),0),0)+IF(ISNUMBER(SEARCH("SB",H594)),IFNA(VLOOKUP("SB",Pitch_Coef!$A:$B,2,FALSE),0),0)+IF(ISNUMBER(SEARCH("SL",H594)),IFNA(VLOOKUP("SL",Pitch_Coef!$A:$B,2,FALSE),0),0),0)</f>
        <v/>
      </c>
      <c r="AA594">
        <f>IF(Q594="P",16.5944849573+0.2529999141*N594+0.2665900378*O594+0.2632687105*P594+0.0427586837*I594+0.0534777057*J594+0.009015832*K594+0.0204898106*(O594*P594/100)+1.0091022427*U594+1.0968542297*IF(D594="L",1,0)+0.3771555045*IF(D594="S",1,0)-0.2226159177*IF(E594="L",1,0)+1.21385024*R594-1.1652812274*S594+W594+X594+Z594,10.5965166711+0.2825983581*I594+0.2806503532*J594+0.2027213083*K594+0.1147824982*L594+0.0915305332*M594-0.0088454122*(I594*J594/100)-0.0336045706*(K594*L594/100)+2.8497389733*IF(D594="L",1,0)+4.5116226727*IF(D594="S",1,0)-0.6571546448*IF(E594="L",1,0)+0.0850728147*T594+0.0129488446*(T594*T594)+0.1909373936*IF(OR(F594="Utility",G594="Utility"),T594,0)+0.9656824071*R594-1.7517683256*S594+W594+X594+Y594)</f>
        <v/>
      </c>
      <c r="AB594">
        <f>LOOKUP(AA594,Grade_Scale!$A$2:$A$18,Grade_Scale!$B$2:$B$18)</f>
        <v/>
      </c>
      <c r="AC594">
        <f>LOOKUP(AA594,Grade_Scale!$A$2:$A$18,Grade_Scale!$C$2:$C$18)</f>
        <v/>
      </c>
      <c r="AE594">
        <f>IF(AD594="","",AB594-VLOOKUP(AD594,Grade_Scale!$C$2:$E$18,3,FALSE))</f>
        <v/>
      </c>
    </row>
    <row r="595">
      <c r="Q595">
        <f>IF(OR(B595="SP",B595="RP",B595="CP",B595="SP/RP"),"P","H")</f>
        <v/>
      </c>
      <c r="R595">
        <f>IF(F595="",0,IFNA(VLOOKUP(F595,Trait_Polarity!$A:$C,2,FALSE),0))+IF(G595="",0,IFNA(VLOOKUP(G595,Trait_Polarity!$A:$C,2,FALSE),0))</f>
        <v/>
      </c>
      <c r="S595">
        <f>IF(F595="",0,IFNA(VLOOKUP(F595,Trait_Polarity!$A:$C,3,FALSE),0))+IF(G595="",0,IFNA(VLOOKUP(G595,Trait_Polarity!$A:$C,3,FALSE),0))</f>
        <v/>
      </c>
      <c r="T595">
        <f>IF(Q595="P",0,IFNA(VLOOKUP(IF(C595="","(none)",C595),Secondary_Versatility!$A:$B,2,FALSE),0))</f>
        <v/>
      </c>
      <c r="U595">
        <f>IF(H595="",0,LEN(H595)-LEN(SUBSTITUTE(H595,"|",""))+1)</f>
        <v/>
      </c>
      <c r="V595">
        <f>IF(Q595="P",(N595+O595+P595)/3,0.3*I595+0.3*J595+0.2*K595+0.1*L595+0.1*M595)</f>
        <v/>
      </c>
      <c r="W595">
        <f>IF(Q595="P",IF(F595="",0,IFNA(VLOOKUP(F595,Pitcher_Trait_Coef!$A:$B,2,FALSE),0))+IF(G595="",0,IFNA(VLOOKUP(G595,Pitcher_Trait_Coef!$A:$B,2,FALSE),0)),IF(F595="",0,IFNA(VLOOKUP(F595,Hitter_Trait_Coef!$A:$B,2,FALSE),0))+IF(G595="",0,IFNA(VLOOKUP(G595,Hitter_Trait_Coef!$A:$B,2,FALSE),0)))</f>
        <v/>
      </c>
      <c r="X595">
        <f>IF(Q595="P",IFNA(VLOOKUP(B595,Pitcher_Primary_Coef!$A:$B,2,FALSE),0),IFNA(VLOOKUP(B595,Hitter_Primary_Coef!$A:$B,2,FALSE),0))</f>
        <v/>
      </c>
      <c r="Y595">
        <f>IF(Q595="P",0,IFNA(VLOOKUP(IF(C595="","(none)",C595),Hitter_Secondary_Coef!$A:$B,2,FALSE),0))</f>
        <v/>
      </c>
      <c r="Z595">
        <f>IF(Q595="P",IF(ISNUMBER(SEARCH("2F",H595)),IFNA(VLOOKUP("2F",Pitch_Coef!$A:$B,2,FALSE),0),0)+IF(ISNUMBER(SEARCH("4F",H595)),IFNA(VLOOKUP("4F",Pitch_Coef!$A:$B,2,FALSE),0),0)+IF(ISNUMBER(SEARCH("CB",H595)),IFNA(VLOOKUP("CB",Pitch_Coef!$A:$B,2,FALSE),0),0)+IF(ISNUMBER(SEARCH("CF",H595)),IFNA(VLOOKUP("CF",Pitch_Coef!$A:$B,2,FALSE),0),0)+IF(ISNUMBER(SEARCH("CH",H595)),IFNA(VLOOKUP("CH",Pitch_Coef!$A:$B,2,FALSE),0),0)+IF(ISNUMBER(SEARCH("FK",H595)),IFNA(VLOOKUP("FK",Pitch_Coef!$A:$B,2,FALSE),0),0)+IF(ISNUMBER(SEARCH("SB",H595)),IFNA(VLOOKUP("SB",Pitch_Coef!$A:$B,2,FALSE),0),0)+IF(ISNUMBER(SEARCH("SL",H595)),IFNA(VLOOKUP("SL",Pitch_Coef!$A:$B,2,FALSE),0),0),0)</f>
        <v/>
      </c>
      <c r="AA595">
        <f>IF(Q595="P",16.5944849573+0.2529999141*N595+0.2665900378*O595+0.2632687105*P595+0.0427586837*I595+0.0534777057*J595+0.009015832*K595+0.0204898106*(O595*P595/100)+1.0091022427*U595+1.0968542297*IF(D595="L",1,0)+0.3771555045*IF(D595="S",1,0)-0.2226159177*IF(E595="L",1,0)+1.21385024*R595-1.1652812274*S595+W595+X595+Z595,10.5965166711+0.2825983581*I595+0.2806503532*J595+0.2027213083*K595+0.1147824982*L595+0.0915305332*M595-0.0088454122*(I595*J595/100)-0.0336045706*(K595*L595/100)+2.8497389733*IF(D595="L",1,0)+4.5116226727*IF(D595="S",1,0)-0.6571546448*IF(E595="L",1,0)+0.0850728147*T595+0.0129488446*(T595*T595)+0.1909373936*IF(OR(F595="Utility",G595="Utility"),T595,0)+0.9656824071*R595-1.7517683256*S595+W595+X595+Y595)</f>
        <v/>
      </c>
      <c r="AB595">
        <f>LOOKUP(AA595,Grade_Scale!$A$2:$A$18,Grade_Scale!$B$2:$B$18)</f>
        <v/>
      </c>
      <c r="AC595">
        <f>LOOKUP(AA595,Grade_Scale!$A$2:$A$18,Grade_Scale!$C$2:$C$18)</f>
        <v/>
      </c>
      <c r="AE595">
        <f>IF(AD595="","",AB595-VLOOKUP(AD595,Grade_Scale!$C$2:$E$18,3,FALSE))</f>
        <v/>
      </c>
    </row>
    <row r="596">
      <c r="Q596">
        <f>IF(OR(B596="SP",B596="RP",B596="CP",B596="SP/RP"),"P","H")</f>
        <v/>
      </c>
      <c r="R596">
        <f>IF(F596="",0,IFNA(VLOOKUP(F596,Trait_Polarity!$A:$C,2,FALSE),0))+IF(G596="",0,IFNA(VLOOKUP(G596,Trait_Polarity!$A:$C,2,FALSE),0))</f>
        <v/>
      </c>
      <c r="S596">
        <f>IF(F596="",0,IFNA(VLOOKUP(F596,Trait_Polarity!$A:$C,3,FALSE),0))+IF(G596="",0,IFNA(VLOOKUP(G596,Trait_Polarity!$A:$C,3,FALSE),0))</f>
        <v/>
      </c>
      <c r="T596">
        <f>IF(Q596="P",0,IFNA(VLOOKUP(IF(C596="","(none)",C596),Secondary_Versatility!$A:$B,2,FALSE),0))</f>
        <v/>
      </c>
      <c r="U596">
        <f>IF(H596="",0,LEN(H596)-LEN(SUBSTITUTE(H596,"|",""))+1)</f>
        <v/>
      </c>
      <c r="V596">
        <f>IF(Q596="P",(N596+O596+P596)/3,0.3*I596+0.3*J596+0.2*K596+0.1*L596+0.1*M596)</f>
        <v/>
      </c>
      <c r="W596">
        <f>IF(Q596="P",IF(F596="",0,IFNA(VLOOKUP(F596,Pitcher_Trait_Coef!$A:$B,2,FALSE),0))+IF(G596="",0,IFNA(VLOOKUP(G596,Pitcher_Trait_Coef!$A:$B,2,FALSE),0)),IF(F596="",0,IFNA(VLOOKUP(F596,Hitter_Trait_Coef!$A:$B,2,FALSE),0))+IF(G596="",0,IFNA(VLOOKUP(G596,Hitter_Trait_Coef!$A:$B,2,FALSE),0)))</f>
        <v/>
      </c>
      <c r="X596">
        <f>IF(Q596="P",IFNA(VLOOKUP(B596,Pitcher_Primary_Coef!$A:$B,2,FALSE),0),IFNA(VLOOKUP(B596,Hitter_Primary_Coef!$A:$B,2,FALSE),0))</f>
        <v/>
      </c>
      <c r="Y596">
        <f>IF(Q596="P",0,IFNA(VLOOKUP(IF(C596="","(none)",C596),Hitter_Secondary_Coef!$A:$B,2,FALSE),0))</f>
        <v/>
      </c>
      <c r="Z596">
        <f>IF(Q596="P",IF(ISNUMBER(SEARCH("2F",H596)),IFNA(VLOOKUP("2F",Pitch_Coef!$A:$B,2,FALSE),0),0)+IF(ISNUMBER(SEARCH("4F",H596)),IFNA(VLOOKUP("4F",Pitch_Coef!$A:$B,2,FALSE),0),0)+IF(ISNUMBER(SEARCH("CB",H596)),IFNA(VLOOKUP("CB",Pitch_Coef!$A:$B,2,FALSE),0),0)+IF(ISNUMBER(SEARCH("CF",H596)),IFNA(VLOOKUP("CF",Pitch_Coef!$A:$B,2,FALSE),0),0)+IF(ISNUMBER(SEARCH("CH",H596)),IFNA(VLOOKUP("CH",Pitch_Coef!$A:$B,2,FALSE),0),0)+IF(ISNUMBER(SEARCH("FK",H596)),IFNA(VLOOKUP("FK",Pitch_Coef!$A:$B,2,FALSE),0),0)+IF(ISNUMBER(SEARCH("SB",H596)),IFNA(VLOOKUP("SB",Pitch_Coef!$A:$B,2,FALSE),0),0)+IF(ISNUMBER(SEARCH("SL",H596)),IFNA(VLOOKUP("SL",Pitch_Coef!$A:$B,2,FALSE),0),0),0)</f>
        <v/>
      </c>
      <c r="AA596">
        <f>IF(Q596="P",16.5944849573+0.2529999141*N596+0.2665900378*O596+0.2632687105*P596+0.0427586837*I596+0.0534777057*J596+0.009015832*K596+0.0204898106*(O596*P596/100)+1.0091022427*U596+1.0968542297*IF(D596="L",1,0)+0.3771555045*IF(D596="S",1,0)-0.2226159177*IF(E596="L",1,0)+1.21385024*R596-1.1652812274*S596+W596+X596+Z596,10.5965166711+0.2825983581*I596+0.2806503532*J596+0.2027213083*K596+0.1147824982*L596+0.0915305332*M596-0.0088454122*(I596*J596/100)-0.0336045706*(K596*L596/100)+2.8497389733*IF(D596="L",1,0)+4.5116226727*IF(D596="S",1,0)-0.6571546448*IF(E596="L",1,0)+0.0850728147*T596+0.0129488446*(T596*T596)+0.1909373936*IF(OR(F596="Utility",G596="Utility"),T596,0)+0.9656824071*R596-1.7517683256*S596+W596+X596+Y596)</f>
        <v/>
      </c>
      <c r="AB596">
        <f>LOOKUP(AA596,Grade_Scale!$A$2:$A$18,Grade_Scale!$B$2:$B$18)</f>
        <v/>
      </c>
      <c r="AC596">
        <f>LOOKUP(AA596,Grade_Scale!$A$2:$A$18,Grade_Scale!$C$2:$C$18)</f>
        <v/>
      </c>
      <c r="AE596">
        <f>IF(AD596="","",AB596-VLOOKUP(AD596,Grade_Scale!$C$2:$E$18,3,FALSE))</f>
        <v/>
      </c>
    </row>
    <row r="597">
      <c r="Q597">
        <f>IF(OR(B597="SP",B597="RP",B597="CP",B597="SP/RP"),"P","H")</f>
        <v/>
      </c>
      <c r="R597">
        <f>IF(F597="",0,IFNA(VLOOKUP(F597,Trait_Polarity!$A:$C,2,FALSE),0))+IF(G597="",0,IFNA(VLOOKUP(G597,Trait_Polarity!$A:$C,2,FALSE),0))</f>
        <v/>
      </c>
      <c r="S597">
        <f>IF(F597="",0,IFNA(VLOOKUP(F597,Trait_Polarity!$A:$C,3,FALSE),0))+IF(G597="",0,IFNA(VLOOKUP(G597,Trait_Polarity!$A:$C,3,FALSE),0))</f>
        <v/>
      </c>
      <c r="T597">
        <f>IF(Q597="P",0,IFNA(VLOOKUP(IF(C597="","(none)",C597),Secondary_Versatility!$A:$B,2,FALSE),0))</f>
        <v/>
      </c>
      <c r="U597">
        <f>IF(H597="",0,LEN(H597)-LEN(SUBSTITUTE(H597,"|",""))+1)</f>
        <v/>
      </c>
      <c r="V597">
        <f>IF(Q597="P",(N597+O597+P597)/3,0.3*I597+0.3*J597+0.2*K597+0.1*L597+0.1*M597)</f>
        <v/>
      </c>
      <c r="W597">
        <f>IF(Q597="P",IF(F597="",0,IFNA(VLOOKUP(F597,Pitcher_Trait_Coef!$A:$B,2,FALSE),0))+IF(G597="",0,IFNA(VLOOKUP(G597,Pitcher_Trait_Coef!$A:$B,2,FALSE),0)),IF(F597="",0,IFNA(VLOOKUP(F597,Hitter_Trait_Coef!$A:$B,2,FALSE),0))+IF(G597="",0,IFNA(VLOOKUP(G597,Hitter_Trait_Coef!$A:$B,2,FALSE),0)))</f>
        <v/>
      </c>
      <c r="X597">
        <f>IF(Q597="P",IFNA(VLOOKUP(B597,Pitcher_Primary_Coef!$A:$B,2,FALSE),0),IFNA(VLOOKUP(B597,Hitter_Primary_Coef!$A:$B,2,FALSE),0))</f>
        <v/>
      </c>
      <c r="Y597">
        <f>IF(Q597="P",0,IFNA(VLOOKUP(IF(C597="","(none)",C597),Hitter_Secondary_Coef!$A:$B,2,FALSE),0))</f>
        <v/>
      </c>
      <c r="Z597">
        <f>IF(Q597="P",IF(ISNUMBER(SEARCH("2F",H597)),IFNA(VLOOKUP("2F",Pitch_Coef!$A:$B,2,FALSE),0),0)+IF(ISNUMBER(SEARCH("4F",H597)),IFNA(VLOOKUP("4F",Pitch_Coef!$A:$B,2,FALSE),0),0)+IF(ISNUMBER(SEARCH("CB",H597)),IFNA(VLOOKUP("CB",Pitch_Coef!$A:$B,2,FALSE),0),0)+IF(ISNUMBER(SEARCH("CF",H597)),IFNA(VLOOKUP("CF",Pitch_Coef!$A:$B,2,FALSE),0),0)+IF(ISNUMBER(SEARCH("CH",H597)),IFNA(VLOOKUP("CH",Pitch_Coef!$A:$B,2,FALSE),0),0)+IF(ISNUMBER(SEARCH("FK",H597)),IFNA(VLOOKUP("FK",Pitch_Coef!$A:$B,2,FALSE),0),0)+IF(ISNUMBER(SEARCH("SB",H597)),IFNA(VLOOKUP("SB",Pitch_Coef!$A:$B,2,FALSE),0),0)+IF(ISNUMBER(SEARCH("SL",H597)),IFNA(VLOOKUP("SL",Pitch_Coef!$A:$B,2,FALSE),0),0),0)</f>
        <v/>
      </c>
      <c r="AA597">
        <f>IF(Q597="P",16.5944849573+0.2529999141*N597+0.2665900378*O597+0.2632687105*P597+0.0427586837*I597+0.0534777057*J597+0.009015832*K597+0.0204898106*(O597*P597/100)+1.0091022427*U597+1.0968542297*IF(D597="L",1,0)+0.3771555045*IF(D597="S",1,0)-0.2226159177*IF(E597="L",1,0)+1.21385024*R597-1.1652812274*S597+W597+X597+Z597,10.5965166711+0.2825983581*I597+0.2806503532*J597+0.2027213083*K597+0.1147824982*L597+0.0915305332*M597-0.0088454122*(I597*J597/100)-0.0336045706*(K597*L597/100)+2.8497389733*IF(D597="L",1,0)+4.5116226727*IF(D597="S",1,0)-0.6571546448*IF(E597="L",1,0)+0.0850728147*T597+0.0129488446*(T597*T597)+0.1909373936*IF(OR(F597="Utility",G597="Utility"),T597,0)+0.9656824071*R597-1.7517683256*S597+W597+X597+Y597)</f>
        <v/>
      </c>
      <c r="AB597">
        <f>LOOKUP(AA597,Grade_Scale!$A$2:$A$18,Grade_Scale!$B$2:$B$18)</f>
        <v/>
      </c>
      <c r="AC597">
        <f>LOOKUP(AA597,Grade_Scale!$A$2:$A$18,Grade_Scale!$C$2:$C$18)</f>
        <v/>
      </c>
      <c r="AE597">
        <f>IF(AD597="","",AB597-VLOOKUP(AD597,Grade_Scale!$C$2:$E$18,3,FALSE))</f>
        <v/>
      </c>
    </row>
    <row r="598">
      <c r="Q598">
        <f>IF(OR(B598="SP",B598="RP",B598="CP",B598="SP/RP"),"P","H")</f>
        <v/>
      </c>
      <c r="R598">
        <f>IF(F598="",0,IFNA(VLOOKUP(F598,Trait_Polarity!$A:$C,2,FALSE),0))+IF(G598="",0,IFNA(VLOOKUP(G598,Trait_Polarity!$A:$C,2,FALSE),0))</f>
        <v/>
      </c>
      <c r="S598">
        <f>IF(F598="",0,IFNA(VLOOKUP(F598,Trait_Polarity!$A:$C,3,FALSE),0))+IF(G598="",0,IFNA(VLOOKUP(G598,Trait_Polarity!$A:$C,3,FALSE),0))</f>
        <v/>
      </c>
      <c r="T598">
        <f>IF(Q598="P",0,IFNA(VLOOKUP(IF(C598="","(none)",C598),Secondary_Versatility!$A:$B,2,FALSE),0))</f>
        <v/>
      </c>
      <c r="U598">
        <f>IF(H598="",0,LEN(H598)-LEN(SUBSTITUTE(H598,"|",""))+1)</f>
        <v/>
      </c>
      <c r="V598">
        <f>IF(Q598="P",(N598+O598+P598)/3,0.3*I598+0.3*J598+0.2*K598+0.1*L598+0.1*M598)</f>
        <v/>
      </c>
      <c r="W598">
        <f>IF(Q598="P",IF(F598="",0,IFNA(VLOOKUP(F598,Pitcher_Trait_Coef!$A:$B,2,FALSE),0))+IF(G598="",0,IFNA(VLOOKUP(G598,Pitcher_Trait_Coef!$A:$B,2,FALSE),0)),IF(F598="",0,IFNA(VLOOKUP(F598,Hitter_Trait_Coef!$A:$B,2,FALSE),0))+IF(G598="",0,IFNA(VLOOKUP(G598,Hitter_Trait_Coef!$A:$B,2,FALSE),0)))</f>
        <v/>
      </c>
      <c r="X598">
        <f>IF(Q598="P",IFNA(VLOOKUP(B598,Pitcher_Primary_Coef!$A:$B,2,FALSE),0),IFNA(VLOOKUP(B598,Hitter_Primary_Coef!$A:$B,2,FALSE),0))</f>
        <v/>
      </c>
      <c r="Y598">
        <f>IF(Q598="P",0,IFNA(VLOOKUP(IF(C598="","(none)",C598),Hitter_Secondary_Coef!$A:$B,2,FALSE),0))</f>
        <v/>
      </c>
      <c r="Z598">
        <f>IF(Q598="P",IF(ISNUMBER(SEARCH("2F",H598)),IFNA(VLOOKUP("2F",Pitch_Coef!$A:$B,2,FALSE),0),0)+IF(ISNUMBER(SEARCH("4F",H598)),IFNA(VLOOKUP("4F",Pitch_Coef!$A:$B,2,FALSE),0),0)+IF(ISNUMBER(SEARCH("CB",H598)),IFNA(VLOOKUP("CB",Pitch_Coef!$A:$B,2,FALSE),0),0)+IF(ISNUMBER(SEARCH("CF",H598)),IFNA(VLOOKUP("CF",Pitch_Coef!$A:$B,2,FALSE),0),0)+IF(ISNUMBER(SEARCH("CH",H598)),IFNA(VLOOKUP("CH",Pitch_Coef!$A:$B,2,FALSE),0),0)+IF(ISNUMBER(SEARCH("FK",H598)),IFNA(VLOOKUP("FK",Pitch_Coef!$A:$B,2,FALSE),0),0)+IF(ISNUMBER(SEARCH("SB",H598)),IFNA(VLOOKUP("SB",Pitch_Coef!$A:$B,2,FALSE),0),0)+IF(ISNUMBER(SEARCH("SL",H598)),IFNA(VLOOKUP("SL",Pitch_Coef!$A:$B,2,FALSE),0),0),0)</f>
        <v/>
      </c>
      <c r="AA598">
        <f>IF(Q598="P",16.5944849573+0.2529999141*N598+0.2665900378*O598+0.2632687105*P598+0.0427586837*I598+0.0534777057*J598+0.009015832*K598+0.0204898106*(O598*P598/100)+1.0091022427*U598+1.0968542297*IF(D598="L",1,0)+0.3771555045*IF(D598="S",1,0)-0.2226159177*IF(E598="L",1,0)+1.21385024*R598-1.1652812274*S598+W598+X598+Z598,10.5965166711+0.2825983581*I598+0.2806503532*J598+0.2027213083*K598+0.1147824982*L598+0.0915305332*M598-0.0088454122*(I598*J598/100)-0.0336045706*(K598*L598/100)+2.8497389733*IF(D598="L",1,0)+4.5116226727*IF(D598="S",1,0)-0.6571546448*IF(E598="L",1,0)+0.0850728147*T598+0.0129488446*(T598*T598)+0.1909373936*IF(OR(F598="Utility",G598="Utility"),T598,0)+0.9656824071*R598-1.7517683256*S598+W598+X598+Y598)</f>
        <v/>
      </c>
      <c r="AB598">
        <f>LOOKUP(AA598,Grade_Scale!$A$2:$A$18,Grade_Scale!$B$2:$B$18)</f>
        <v/>
      </c>
      <c r="AC598">
        <f>LOOKUP(AA598,Grade_Scale!$A$2:$A$18,Grade_Scale!$C$2:$C$18)</f>
        <v/>
      </c>
      <c r="AE598">
        <f>IF(AD598="","",AB598-VLOOKUP(AD598,Grade_Scale!$C$2:$E$18,3,FALSE))</f>
        <v/>
      </c>
    </row>
    <row r="599">
      <c r="Q599">
        <f>IF(OR(B599="SP",B599="RP",B599="CP",B599="SP/RP"),"P","H")</f>
        <v/>
      </c>
      <c r="R599">
        <f>IF(F599="",0,IFNA(VLOOKUP(F599,Trait_Polarity!$A:$C,2,FALSE),0))+IF(G599="",0,IFNA(VLOOKUP(G599,Trait_Polarity!$A:$C,2,FALSE),0))</f>
        <v/>
      </c>
      <c r="S599">
        <f>IF(F599="",0,IFNA(VLOOKUP(F599,Trait_Polarity!$A:$C,3,FALSE),0))+IF(G599="",0,IFNA(VLOOKUP(G599,Trait_Polarity!$A:$C,3,FALSE),0))</f>
        <v/>
      </c>
      <c r="T599">
        <f>IF(Q599="P",0,IFNA(VLOOKUP(IF(C599="","(none)",C599),Secondary_Versatility!$A:$B,2,FALSE),0))</f>
        <v/>
      </c>
      <c r="U599">
        <f>IF(H599="",0,LEN(H599)-LEN(SUBSTITUTE(H599,"|",""))+1)</f>
        <v/>
      </c>
      <c r="V599">
        <f>IF(Q599="P",(N599+O599+P599)/3,0.3*I599+0.3*J599+0.2*K599+0.1*L599+0.1*M599)</f>
        <v/>
      </c>
      <c r="W599">
        <f>IF(Q599="P",IF(F599="",0,IFNA(VLOOKUP(F599,Pitcher_Trait_Coef!$A:$B,2,FALSE),0))+IF(G599="",0,IFNA(VLOOKUP(G599,Pitcher_Trait_Coef!$A:$B,2,FALSE),0)),IF(F599="",0,IFNA(VLOOKUP(F599,Hitter_Trait_Coef!$A:$B,2,FALSE),0))+IF(G599="",0,IFNA(VLOOKUP(G599,Hitter_Trait_Coef!$A:$B,2,FALSE),0)))</f>
        <v/>
      </c>
      <c r="X599">
        <f>IF(Q599="P",IFNA(VLOOKUP(B599,Pitcher_Primary_Coef!$A:$B,2,FALSE),0),IFNA(VLOOKUP(B599,Hitter_Primary_Coef!$A:$B,2,FALSE),0))</f>
        <v/>
      </c>
      <c r="Y599">
        <f>IF(Q599="P",0,IFNA(VLOOKUP(IF(C599="","(none)",C599),Hitter_Secondary_Coef!$A:$B,2,FALSE),0))</f>
        <v/>
      </c>
      <c r="Z599">
        <f>IF(Q599="P",IF(ISNUMBER(SEARCH("2F",H599)),IFNA(VLOOKUP("2F",Pitch_Coef!$A:$B,2,FALSE),0),0)+IF(ISNUMBER(SEARCH("4F",H599)),IFNA(VLOOKUP("4F",Pitch_Coef!$A:$B,2,FALSE),0),0)+IF(ISNUMBER(SEARCH("CB",H599)),IFNA(VLOOKUP("CB",Pitch_Coef!$A:$B,2,FALSE),0),0)+IF(ISNUMBER(SEARCH("CF",H599)),IFNA(VLOOKUP("CF",Pitch_Coef!$A:$B,2,FALSE),0),0)+IF(ISNUMBER(SEARCH("CH",H599)),IFNA(VLOOKUP("CH",Pitch_Coef!$A:$B,2,FALSE),0),0)+IF(ISNUMBER(SEARCH("FK",H599)),IFNA(VLOOKUP("FK",Pitch_Coef!$A:$B,2,FALSE),0),0)+IF(ISNUMBER(SEARCH("SB",H599)),IFNA(VLOOKUP("SB",Pitch_Coef!$A:$B,2,FALSE),0),0)+IF(ISNUMBER(SEARCH("SL",H599)),IFNA(VLOOKUP("SL",Pitch_Coef!$A:$B,2,FALSE),0),0),0)</f>
        <v/>
      </c>
      <c r="AA599">
        <f>IF(Q599="P",16.5944849573+0.2529999141*N599+0.2665900378*O599+0.2632687105*P599+0.0427586837*I599+0.0534777057*J599+0.009015832*K599+0.0204898106*(O599*P599/100)+1.0091022427*U599+1.0968542297*IF(D599="L",1,0)+0.3771555045*IF(D599="S",1,0)-0.2226159177*IF(E599="L",1,0)+1.21385024*R599-1.1652812274*S599+W599+X599+Z599,10.5965166711+0.2825983581*I599+0.2806503532*J599+0.2027213083*K599+0.1147824982*L599+0.0915305332*M599-0.0088454122*(I599*J599/100)-0.0336045706*(K599*L599/100)+2.8497389733*IF(D599="L",1,0)+4.5116226727*IF(D599="S",1,0)-0.6571546448*IF(E599="L",1,0)+0.0850728147*T599+0.0129488446*(T599*T599)+0.1909373936*IF(OR(F599="Utility",G599="Utility"),T599,0)+0.9656824071*R599-1.7517683256*S599+W599+X599+Y599)</f>
        <v/>
      </c>
      <c r="AB599">
        <f>LOOKUP(AA599,Grade_Scale!$A$2:$A$18,Grade_Scale!$B$2:$B$18)</f>
        <v/>
      </c>
      <c r="AC599">
        <f>LOOKUP(AA599,Grade_Scale!$A$2:$A$18,Grade_Scale!$C$2:$C$18)</f>
        <v/>
      </c>
      <c r="AE599">
        <f>IF(AD599="","",AB599-VLOOKUP(AD599,Grade_Scale!$C$2:$E$18,3,FALSE))</f>
        <v/>
      </c>
    </row>
    <row r="600">
      <c r="Q600">
        <f>IF(OR(B600="SP",B600="RP",B600="CP",B600="SP/RP"),"P","H")</f>
        <v/>
      </c>
      <c r="R600">
        <f>IF(F600="",0,IFNA(VLOOKUP(F600,Trait_Polarity!$A:$C,2,FALSE),0))+IF(G600="",0,IFNA(VLOOKUP(G600,Trait_Polarity!$A:$C,2,FALSE),0))</f>
        <v/>
      </c>
      <c r="S600">
        <f>IF(F600="",0,IFNA(VLOOKUP(F600,Trait_Polarity!$A:$C,3,FALSE),0))+IF(G600="",0,IFNA(VLOOKUP(G600,Trait_Polarity!$A:$C,3,FALSE),0))</f>
        <v/>
      </c>
      <c r="T600">
        <f>IF(Q600="P",0,IFNA(VLOOKUP(IF(C600="","(none)",C600),Secondary_Versatility!$A:$B,2,FALSE),0))</f>
        <v/>
      </c>
      <c r="U600">
        <f>IF(H600="",0,LEN(H600)-LEN(SUBSTITUTE(H600,"|",""))+1)</f>
        <v/>
      </c>
      <c r="V600">
        <f>IF(Q600="P",(N600+O600+P600)/3,0.3*I600+0.3*J600+0.2*K600+0.1*L600+0.1*M600)</f>
        <v/>
      </c>
      <c r="W600">
        <f>IF(Q600="P",IF(F600="",0,IFNA(VLOOKUP(F600,Pitcher_Trait_Coef!$A:$B,2,FALSE),0))+IF(G600="",0,IFNA(VLOOKUP(G600,Pitcher_Trait_Coef!$A:$B,2,FALSE),0)),IF(F600="",0,IFNA(VLOOKUP(F600,Hitter_Trait_Coef!$A:$B,2,FALSE),0))+IF(G600="",0,IFNA(VLOOKUP(G600,Hitter_Trait_Coef!$A:$B,2,FALSE),0)))</f>
        <v/>
      </c>
      <c r="X600">
        <f>IF(Q600="P",IFNA(VLOOKUP(B600,Pitcher_Primary_Coef!$A:$B,2,FALSE),0),IFNA(VLOOKUP(B600,Hitter_Primary_Coef!$A:$B,2,FALSE),0))</f>
        <v/>
      </c>
      <c r="Y600">
        <f>IF(Q600="P",0,IFNA(VLOOKUP(IF(C600="","(none)",C600),Hitter_Secondary_Coef!$A:$B,2,FALSE),0))</f>
        <v/>
      </c>
      <c r="Z600">
        <f>IF(Q600="P",IF(ISNUMBER(SEARCH("2F",H600)),IFNA(VLOOKUP("2F",Pitch_Coef!$A:$B,2,FALSE),0),0)+IF(ISNUMBER(SEARCH("4F",H600)),IFNA(VLOOKUP("4F",Pitch_Coef!$A:$B,2,FALSE),0),0)+IF(ISNUMBER(SEARCH("CB",H600)),IFNA(VLOOKUP("CB",Pitch_Coef!$A:$B,2,FALSE),0),0)+IF(ISNUMBER(SEARCH("CF",H600)),IFNA(VLOOKUP("CF",Pitch_Coef!$A:$B,2,FALSE),0),0)+IF(ISNUMBER(SEARCH("CH",H600)),IFNA(VLOOKUP("CH",Pitch_Coef!$A:$B,2,FALSE),0),0)+IF(ISNUMBER(SEARCH("FK",H600)),IFNA(VLOOKUP("FK",Pitch_Coef!$A:$B,2,FALSE),0),0)+IF(ISNUMBER(SEARCH("SB",H600)),IFNA(VLOOKUP("SB",Pitch_Coef!$A:$B,2,FALSE),0),0)+IF(ISNUMBER(SEARCH("SL",H600)),IFNA(VLOOKUP("SL",Pitch_Coef!$A:$B,2,FALSE),0),0),0)</f>
        <v/>
      </c>
      <c r="AA600">
        <f>IF(Q600="P",16.5944849573+0.2529999141*N600+0.2665900378*O600+0.2632687105*P600+0.0427586837*I600+0.0534777057*J600+0.009015832*K600+0.0204898106*(O600*P600/100)+1.0091022427*U600+1.0968542297*IF(D600="L",1,0)+0.3771555045*IF(D600="S",1,0)-0.2226159177*IF(E600="L",1,0)+1.21385024*R600-1.1652812274*S600+W600+X600+Z600,10.5965166711+0.2825983581*I600+0.2806503532*J600+0.2027213083*K600+0.1147824982*L600+0.0915305332*M600-0.0088454122*(I600*J600/100)-0.0336045706*(K600*L600/100)+2.8497389733*IF(D600="L",1,0)+4.5116226727*IF(D600="S",1,0)-0.6571546448*IF(E600="L",1,0)+0.0850728147*T600+0.0129488446*(T600*T600)+0.1909373936*IF(OR(F600="Utility",G600="Utility"),T600,0)+0.9656824071*R600-1.7517683256*S600+W600+X600+Y600)</f>
        <v/>
      </c>
      <c r="AB600">
        <f>LOOKUP(AA600,Grade_Scale!$A$2:$A$18,Grade_Scale!$B$2:$B$18)</f>
        <v/>
      </c>
      <c r="AC600">
        <f>LOOKUP(AA600,Grade_Scale!$A$2:$A$18,Grade_Scale!$C$2:$C$18)</f>
        <v/>
      </c>
      <c r="AE600">
        <f>IF(AD600="","",AB600-VLOOKUP(AD600,Grade_Scale!$C$2:$E$18,3,FALSE))</f>
        <v/>
      </c>
    </row>
    <row r="601">
      <c r="Q601">
        <f>IF(OR(B601="SP",B601="RP",B601="CP",B601="SP/RP"),"P","H")</f>
        <v/>
      </c>
      <c r="R601">
        <f>IF(F601="",0,IFNA(VLOOKUP(F601,Trait_Polarity!$A:$C,2,FALSE),0))+IF(G601="",0,IFNA(VLOOKUP(G601,Trait_Polarity!$A:$C,2,FALSE),0))</f>
        <v/>
      </c>
      <c r="S601">
        <f>IF(F601="",0,IFNA(VLOOKUP(F601,Trait_Polarity!$A:$C,3,FALSE),0))+IF(G601="",0,IFNA(VLOOKUP(G601,Trait_Polarity!$A:$C,3,FALSE),0))</f>
        <v/>
      </c>
      <c r="T601">
        <f>IF(Q601="P",0,IFNA(VLOOKUP(IF(C601="","(none)",C601),Secondary_Versatility!$A:$B,2,FALSE),0))</f>
        <v/>
      </c>
      <c r="U601">
        <f>IF(H601="",0,LEN(H601)-LEN(SUBSTITUTE(H601,"|",""))+1)</f>
        <v/>
      </c>
      <c r="V601">
        <f>IF(Q601="P",(N601+O601+P601)/3,0.3*I601+0.3*J601+0.2*K601+0.1*L601+0.1*M601)</f>
        <v/>
      </c>
      <c r="W601">
        <f>IF(Q601="P",IF(F601="",0,IFNA(VLOOKUP(F601,Pitcher_Trait_Coef!$A:$B,2,FALSE),0))+IF(G601="",0,IFNA(VLOOKUP(G601,Pitcher_Trait_Coef!$A:$B,2,FALSE),0)),IF(F601="",0,IFNA(VLOOKUP(F601,Hitter_Trait_Coef!$A:$B,2,FALSE),0))+IF(G601="",0,IFNA(VLOOKUP(G601,Hitter_Trait_Coef!$A:$B,2,FALSE),0)))</f>
        <v/>
      </c>
      <c r="X601">
        <f>IF(Q601="P",IFNA(VLOOKUP(B601,Pitcher_Primary_Coef!$A:$B,2,FALSE),0),IFNA(VLOOKUP(B601,Hitter_Primary_Coef!$A:$B,2,FALSE),0))</f>
        <v/>
      </c>
      <c r="Y601">
        <f>IF(Q601="P",0,IFNA(VLOOKUP(IF(C601="","(none)",C601),Hitter_Secondary_Coef!$A:$B,2,FALSE),0))</f>
        <v/>
      </c>
      <c r="Z601">
        <f>IF(Q601="P",IF(ISNUMBER(SEARCH("2F",H601)),IFNA(VLOOKUP("2F",Pitch_Coef!$A:$B,2,FALSE),0),0)+IF(ISNUMBER(SEARCH("4F",H601)),IFNA(VLOOKUP("4F",Pitch_Coef!$A:$B,2,FALSE),0),0)+IF(ISNUMBER(SEARCH("CB",H601)),IFNA(VLOOKUP("CB",Pitch_Coef!$A:$B,2,FALSE),0),0)+IF(ISNUMBER(SEARCH("CF",H601)),IFNA(VLOOKUP("CF",Pitch_Coef!$A:$B,2,FALSE),0),0)+IF(ISNUMBER(SEARCH("CH",H601)),IFNA(VLOOKUP("CH",Pitch_Coef!$A:$B,2,FALSE),0),0)+IF(ISNUMBER(SEARCH("FK",H601)),IFNA(VLOOKUP("FK",Pitch_Coef!$A:$B,2,FALSE),0),0)+IF(ISNUMBER(SEARCH("SB",H601)),IFNA(VLOOKUP("SB",Pitch_Coef!$A:$B,2,FALSE),0),0)+IF(ISNUMBER(SEARCH("SL",H601)),IFNA(VLOOKUP("SL",Pitch_Coef!$A:$B,2,FALSE),0),0),0)</f>
        <v/>
      </c>
      <c r="AA601">
        <f>IF(Q601="P",16.5944849573+0.2529999141*N601+0.2665900378*O601+0.2632687105*P601+0.0427586837*I601+0.0534777057*J601+0.009015832*K601+0.0204898106*(O601*P601/100)+1.0091022427*U601+1.0968542297*IF(D601="L",1,0)+0.3771555045*IF(D601="S",1,0)-0.2226159177*IF(E601="L",1,0)+1.21385024*R601-1.1652812274*S601+W601+X601+Z601,10.5965166711+0.2825983581*I601+0.2806503532*J601+0.2027213083*K601+0.1147824982*L601+0.0915305332*M601-0.0088454122*(I601*J601/100)-0.0336045706*(K601*L601/100)+2.8497389733*IF(D601="L",1,0)+4.5116226727*IF(D601="S",1,0)-0.6571546448*IF(E601="L",1,0)+0.0850728147*T601+0.0129488446*(T601*T601)+0.1909373936*IF(OR(F601="Utility",G601="Utility"),T601,0)+0.9656824071*R601-1.7517683256*S601+W601+X601+Y601)</f>
        <v/>
      </c>
      <c r="AB601">
        <f>LOOKUP(AA601,Grade_Scale!$A$2:$A$18,Grade_Scale!$B$2:$B$18)</f>
        <v/>
      </c>
      <c r="AC601">
        <f>LOOKUP(AA601,Grade_Scale!$A$2:$A$18,Grade_Scale!$C$2:$C$18)</f>
        <v/>
      </c>
      <c r="AE601">
        <f>IF(AD601="","",AB601-VLOOKUP(AD601,Grade_Scale!$C$2:$E$18,3,FALSE))</f>
        <v/>
      </c>
    </row>
    <row r="602">
      <c r="Q602">
        <f>IF(OR(B602="SP",B602="RP",B602="CP",B602="SP/RP"),"P","H")</f>
        <v/>
      </c>
      <c r="R602">
        <f>IF(F602="",0,IFNA(VLOOKUP(F602,Trait_Polarity!$A:$C,2,FALSE),0))+IF(G602="",0,IFNA(VLOOKUP(G602,Trait_Polarity!$A:$C,2,FALSE),0))</f>
        <v/>
      </c>
      <c r="S602">
        <f>IF(F602="",0,IFNA(VLOOKUP(F602,Trait_Polarity!$A:$C,3,FALSE),0))+IF(G602="",0,IFNA(VLOOKUP(G602,Trait_Polarity!$A:$C,3,FALSE),0))</f>
        <v/>
      </c>
      <c r="T602">
        <f>IF(Q602="P",0,IFNA(VLOOKUP(IF(C602="","(none)",C602),Secondary_Versatility!$A:$B,2,FALSE),0))</f>
        <v/>
      </c>
      <c r="U602">
        <f>IF(H602="",0,LEN(H602)-LEN(SUBSTITUTE(H602,"|",""))+1)</f>
        <v/>
      </c>
      <c r="V602">
        <f>IF(Q602="P",(N602+O602+P602)/3,0.3*I602+0.3*J602+0.2*K602+0.1*L602+0.1*M602)</f>
        <v/>
      </c>
      <c r="W602">
        <f>IF(Q602="P",IF(F602="",0,IFNA(VLOOKUP(F602,Pitcher_Trait_Coef!$A:$B,2,FALSE),0))+IF(G602="",0,IFNA(VLOOKUP(G602,Pitcher_Trait_Coef!$A:$B,2,FALSE),0)),IF(F602="",0,IFNA(VLOOKUP(F602,Hitter_Trait_Coef!$A:$B,2,FALSE),0))+IF(G602="",0,IFNA(VLOOKUP(G602,Hitter_Trait_Coef!$A:$B,2,FALSE),0)))</f>
        <v/>
      </c>
      <c r="X602">
        <f>IF(Q602="P",IFNA(VLOOKUP(B602,Pitcher_Primary_Coef!$A:$B,2,FALSE),0),IFNA(VLOOKUP(B602,Hitter_Primary_Coef!$A:$B,2,FALSE),0))</f>
        <v/>
      </c>
      <c r="Y602">
        <f>IF(Q602="P",0,IFNA(VLOOKUP(IF(C602="","(none)",C602),Hitter_Secondary_Coef!$A:$B,2,FALSE),0))</f>
        <v/>
      </c>
      <c r="Z602">
        <f>IF(Q602="P",IF(ISNUMBER(SEARCH("2F",H602)),IFNA(VLOOKUP("2F",Pitch_Coef!$A:$B,2,FALSE),0),0)+IF(ISNUMBER(SEARCH("4F",H602)),IFNA(VLOOKUP("4F",Pitch_Coef!$A:$B,2,FALSE),0),0)+IF(ISNUMBER(SEARCH("CB",H602)),IFNA(VLOOKUP("CB",Pitch_Coef!$A:$B,2,FALSE),0),0)+IF(ISNUMBER(SEARCH("CF",H602)),IFNA(VLOOKUP("CF",Pitch_Coef!$A:$B,2,FALSE),0),0)+IF(ISNUMBER(SEARCH("CH",H602)),IFNA(VLOOKUP("CH",Pitch_Coef!$A:$B,2,FALSE),0),0)+IF(ISNUMBER(SEARCH("FK",H602)),IFNA(VLOOKUP("FK",Pitch_Coef!$A:$B,2,FALSE),0),0)+IF(ISNUMBER(SEARCH("SB",H602)),IFNA(VLOOKUP("SB",Pitch_Coef!$A:$B,2,FALSE),0),0)+IF(ISNUMBER(SEARCH("SL",H602)),IFNA(VLOOKUP("SL",Pitch_Coef!$A:$B,2,FALSE),0),0),0)</f>
        <v/>
      </c>
      <c r="AA602">
        <f>IF(Q602="P",16.5944849573+0.2529999141*N602+0.2665900378*O602+0.2632687105*P602+0.0427586837*I602+0.0534777057*J602+0.009015832*K602+0.0204898106*(O602*P602/100)+1.0091022427*U602+1.0968542297*IF(D602="L",1,0)+0.3771555045*IF(D602="S",1,0)-0.2226159177*IF(E602="L",1,0)+1.21385024*R602-1.1652812274*S602+W602+X602+Z602,10.5965166711+0.2825983581*I602+0.2806503532*J602+0.2027213083*K602+0.1147824982*L602+0.0915305332*M602-0.0088454122*(I602*J602/100)-0.0336045706*(K602*L602/100)+2.8497389733*IF(D602="L",1,0)+4.5116226727*IF(D602="S",1,0)-0.6571546448*IF(E602="L",1,0)+0.0850728147*T602+0.0129488446*(T602*T602)+0.1909373936*IF(OR(F602="Utility",G602="Utility"),T602,0)+0.9656824071*R602-1.7517683256*S602+W602+X602+Y602)</f>
        <v/>
      </c>
      <c r="AB602">
        <f>LOOKUP(AA602,Grade_Scale!$A$2:$A$18,Grade_Scale!$B$2:$B$18)</f>
        <v/>
      </c>
      <c r="AC602">
        <f>LOOKUP(AA602,Grade_Scale!$A$2:$A$18,Grade_Scale!$C$2:$C$18)</f>
        <v/>
      </c>
      <c r="AE602">
        <f>IF(AD602="","",AB602-VLOOKUP(AD602,Grade_Scale!$C$2:$E$18,3,FALSE))</f>
        <v/>
      </c>
    </row>
    <row r="603">
      <c r="Q603">
        <f>IF(OR(B603="SP",B603="RP",B603="CP",B603="SP/RP"),"P","H")</f>
        <v/>
      </c>
      <c r="R603">
        <f>IF(F603="",0,IFNA(VLOOKUP(F603,Trait_Polarity!$A:$C,2,FALSE),0))+IF(G603="",0,IFNA(VLOOKUP(G603,Trait_Polarity!$A:$C,2,FALSE),0))</f>
        <v/>
      </c>
      <c r="S603">
        <f>IF(F603="",0,IFNA(VLOOKUP(F603,Trait_Polarity!$A:$C,3,FALSE),0))+IF(G603="",0,IFNA(VLOOKUP(G603,Trait_Polarity!$A:$C,3,FALSE),0))</f>
        <v/>
      </c>
      <c r="T603">
        <f>IF(Q603="P",0,IFNA(VLOOKUP(IF(C603="","(none)",C603),Secondary_Versatility!$A:$B,2,FALSE),0))</f>
        <v/>
      </c>
      <c r="U603">
        <f>IF(H603="",0,LEN(H603)-LEN(SUBSTITUTE(H603,"|",""))+1)</f>
        <v/>
      </c>
      <c r="V603">
        <f>IF(Q603="P",(N603+O603+P603)/3,0.3*I603+0.3*J603+0.2*K603+0.1*L603+0.1*M603)</f>
        <v/>
      </c>
      <c r="W603">
        <f>IF(Q603="P",IF(F603="",0,IFNA(VLOOKUP(F603,Pitcher_Trait_Coef!$A:$B,2,FALSE),0))+IF(G603="",0,IFNA(VLOOKUP(G603,Pitcher_Trait_Coef!$A:$B,2,FALSE),0)),IF(F603="",0,IFNA(VLOOKUP(F603,Hitter_Trait_Coef!$A:$B,2,FALSE),0))+IF(G603="",0,IFNA(VLOOKUP(G603,Hitter_Trait_Coef!$A:$B,2,FALSE),0)))</f>
        <v/>
      </c>
      <c r="X603">
        <f>IF(Q603="P",IFNA(VLOOKUP(B603,Pitcher_Primary_Coef!$A:$B,2,FALSE),0),IFNA(VLOOKUP(B603,Hitter_Primary_Coef!$A:$B,2,FALSE),0))</f>
        <v/>
      </c>
      <c r="Y603">
        <f>IF(Q603="P",0,IFNA(VLOOKUP(IF(C603="","(none)",C603),Hitter_Secondary_Coef!$A:$B,2,FALSE),0))</f>
        <v/>
      </c>
      <c r="Z603">
        <f>IF(Q603="P",IF(ISNUMBER(SEARCH("2F",H603)),IFNA(VLOOKUP("2F",Pitch_Coef!$A:$B,2,FALSE),0),0)+IF(ISNUMBER(SEARCH("4F",H603)),IFNA(VLOOKUP("4F",Pitch_Coef!$A:$B,2,FALSE),0),0)+IF(ISNUMBER(SEARCH("CB",H603)),IFNA(VLOOKUP("CB",Pitch_Coef!$A:$B,2,FALSE),0),0)+IF(ISNUMBER(SEARCH("CF",H603)),IFNA(VLOOKUP("CF",Pitch_Coef!$A:$B,2,FALSE),0),0)+IF(ISNUMBER(SEARCH("CH",H603)),IFNA(VLOOKUP("CH",Pitch_Coef!$A:$B,2,FALSE),0),0)+IF(ISNUMBER(SEARCH("FK",H603)),IFNA(VLOOKUP("FK",Pitch_Coef!$A:$B,2,FALSE),0),0)+IF(ISNUMBER(SEARCH("SB",H603)),IFNA(VLOOKUP("SB",Pitch_Coef!$A:$B,2,FALSE),0),0)+IF(ISNUMBER(SEARCH("SL",H603)),IFNA(VLOOKUP("SL",Pitch_Coef!$A:$B,2,FALSE),0),0),0)</f>
        <v/>
      </c>
      <c r="AA603">
        <f>IF(Q603="P",16.5944849573+0.2529999141*N603+0.2665900378*O603+0.2632687105*P603+0.0427586837*I603+0.0534777057*J603+0.009015832*K603+0.0204898106*(O603*P603/100)+1.0091022427*U603+1.0968542297*IF(D603="L",1,0)+0.3771555045*IF(D603="S",1,0)-0.2226159177*IF(E603="L",1,0)+1.21385024*R603-1.1652812274*S603+W603+X603+Z603,10.5965166711+0.2825983581*I603+0.2806503532*J603+0.2027213083*K603+0.1147824982*L603+0.0915305332*M603-0.0088454122*(I603*J603/100)-0.0336045706*(K603*L603/100)+2.8497389733*IF(D603="L",1,0)+4.5116226727*IF(D603="S",1,0)-0.6571546448*IF(E603="L",1,0)+0.0850728147*T603+0.0129488446*(T603*T603)+0.1909373936*IF(OR(F603="Utility",G603="Utility"),T603,0)+0.9656824071*R603-1.7517683256*S603+W603+X603+Y603)</f>
        <v/>
      </c>
      <c r="AB603">
        <f>LOOKUP(AA603,Grade_Scale!$A$2:$A$18,Grade_Scale!$B$2:$B$18)</f>
        <v/>
      </c>
      <c r="AC603">
        <f>LOOKUP(AA603,Grade_Scale!$A$2:$A$18,Grade_Scale!$C$2:$C$18)</f>
        <v/>
      </c>
      <c r="AE603">
        <f>IF(AD603="","",AB603-VLOOKUP(AD603,Grade_Scale!$C$2:$E$18,3,FALSE))</f>
        <v/>
      </c>
    </row>
    <row r="604">
      <c r="Q604">
        <f>IF(OR(B604="SP",B604="RP",B604="CP",B604="SP/RP"),"P","H")</f>
        <v/>
      </c>
      <c r="R604">
        <f>IF(F604="",0,IFNA(VLOOKUP(F604,Trait_Polarity!$A:$C,2,FALSE),0))+IF(G604="",0,IFNA(VLOOKUP(G604,Trait_Polarity!$A:$C,2,FALSE),0))</f>
        <v/>
      </c>
      <c r="S604">
        <f>IF(F604="",0,IFNA(VLOOKUP(F604,Trait_Polarity!$A:$C,3,FALSE),0))+IF(G604="",0,IFNA(VLOOKUP(G604,Trait_Polarity!$A:$C,3,FALSE),0))</f>
        <v/>
      </c>
      <c r="T604">
        <f>IF(Q604="P",0,IFNA(VLOOKUP(IF(C604="","(none)",C604),Secondary_Versatility!$A:$B,2,FALSE),0))</f>
        <v/>
      </c>
      <c r="U604">
        <f>IF(H604="",0,LEN(H604)-LEN(SUBSTITUTE(H604,"|",""))+1)</f>
        <v/>
      </c>
      <c r="V604">
        <f>IF(Q604="P",(N604+O604+P604)/3,0.3*I604+0.3*J604+0.2*K604+0.1*L604+0.1*M604)</f>
        <v/>
      </c>
      <c r="W604">
        <f>IF(Q604="P",IF(F604="",0,IFNA(VLOOKUP(F604,Pitcher_Trait_Coef!$A:$B,2,FALSE),0))+IF(G604="",0,IFNA(VLOOKUP(G604,Pitcher_Trait_Coef!$A:$B,2,FALSE),0)),IF(F604="",0,IFNA(VLOOKUP(F604,Hitter_Trait_Coef!$A:$B,2,FALSE),0))+IF(G604="",0,IFNA(VLOOKUP(G604,Hitter_Trait_Coef!$A:$B,2,FALSE),0)))</f>
        <v/>
      </c>
      <c r="X604">
        <f>IF(Q604="P",IFNA(VLOOKUP(B604,Pitcher_Primary_Coef!$A:$B,2,FALSE),0),IFNA(VLOOKUP(B604,Hitter_Primary_Coef!$A:$B,2,FALSE),0))</f>
        <v/>
      </c>
      <c r="Y604">
        <f>IF(Q604="P",0,IFNA(VLOOKUP(IF(C604="","(none)",C604),Hitter_Secondary_Coef!$A:$B,2,FALSE),0))</f>
        <v/>
      </c>
      <c r="Z604">
        <f>IF(Q604="P",IF(ISNUMBER(SEARCH("2F",H604)),IFNA(VLOOKUP("2F",Pitch_Coef!$A:$B,2,FALSE),0),0)+IF(ISNUMBER(SEARCH("4F",H604)),IFNA(VLOOKUP("4F",Pitch_Coef!$A:$B,2,FALSE),0),0)+IF(ISNUMBER(SEARCH("CB",H604)),IFNA(VLOOKUP("CB",Pitch_Coef!$A:$B,2,FALSE),0),0)+IF(ISNUMBER(SEARCH("CF",H604)),IFNA(VLOOKUP("CF",Pitch_Coef!$A:$B,2,FALSE),0),0)+IF(ISNUMBER(SEARCH("CH",H604)),IFNA(VLOOKUP("CH",Pitch_Coef!$A:$B,2,FALSE),0),0)+IF(ISNUMBER(SEARCH("FK",H604)),IFNA(VLOOKUP("FK",Pitch_Coef!$A:$B,2,FALSE),0),0)+IF(ISNUMBER(SEARCH("SB",H604)),IFNA(VLOOKUP("SB",Pitch_Coef!$A:$B,2,FALSE),0),0)+IF(ISNUMBER(SEARCH("SL",H604)),IFNA(VLOOKUP("SL",Pitch_Coef!$A:$B,2,FALSE),0),0),0)</f>
        <v/>
      </c>
      <c r="AA604">
        <f>IF(Q604="P",16.5944849573+0.2529999141*N604+0.2665900378*O604+0.2632687105*P604+0.0427586837*I604+0.0534777057*J604+0.009015832*K604+0.0204898106*(O604*P604/100)+1.0091022427*U604+1.0968542297*IF(D604="L",1,0)+0.3771555045*IF(D604="S",1,0)-0.2226159177*IF(E604="L",1,0)+1.21385024*R604-1.1652812274*S604+W604+X604+Z604,10.5965166711+0.2825983581*I604+0.2806503532*J604+0.2027213083*K604+0.1147824982*L604+0.0915305332*M604-0.0088454122*(I604*J604/100)-0.0336045706*(K604*L604/100)+2.8497389733*IF(D604="L",1,0)+4.5116226727*IF(D604="S",1,0)-0.6571546448*IF(E604="L",1,0)+0.0850728147*T604+0.0129488446*(T604*T604)+0.1909373936*IF(OR(F604="Utility",G604="Utility"),T604,0)+0.9656824071*R604-1.7517683256*S604+W604+X604+Y604)</f>
        <v/>
      </c>
      <c r="AB604">
        <f>LOOKUP(AA604,Grade_Scale!$A$2:$A$18,Grade_Scale!$B$2:$B$18)</f>
        <v/>
      </c>
      <c r="AC604">
        <f>LOOKUP(AA604,Grade_Scale!$A$2:$A$18,Grade_Scale!$C$2:$C$18)</f>
        <v/>
      </c>
      <c r="AE604">
        <f>IF(AD604="","",AB604-VLOOKUP(AD604,Grade_Scale!$C$2:$E$18,3,FALSE))</f>
        <v/>
      </c>
    </row>
    <row r="605">
      <c r="Q605">
        <f>IF(OR(B605="SP",B605="RP",B605="CP",B605="SP/RP"),"P","H")</f>
        <v/>
      </c>
      <c r="R605">
        <f>IF(F605="",0,IFNA(VLOOKUP(F605,Trait_Polarity!$A:$C,2,FALSE),0))+IF(G605="",0,IFNA(VLOOKUP(G605,Trait_Polarity!$A:$C,2,FALSE),0))</f>
        <v/>
      </c>
      <c r="S605">
        <f>IF(F605="",0,IFNA(VLOOKUP(F605,Trait_Polarity!$A:$C,3,FALSE),0))+IF(G605="",0,IFNA(VLOOKUP(G605,Trait_Polarity!$A:$C,3,FALSE),0))</f>
        <v/>
      </c>
      <c r="T605">
        <f>IF(Q605="P",0,IFNA(VLOOKUP(IF(C605="","(none)",C605),Secondary_Versatility!$A:$B,2,FALSE),0))</f>
        <v/>
      </c>
      <c r="U605">
        <f>IF(H605="",0,LEN(H605)-LEN(SUBSTITUTE(H605,"|",""))+1)</f>
        <v/>
      </c>
      <c r="V605">
        <f>IF(Q605="P",(N605+O605+P605)/3,0.3*I605+0.3*J605+0.2*K605+0.1*L605+0.1*M605)</f>
        <v/>
      </c>
      <c r="W605">
        <f>IF(Q605="P",IF(F605="",0,IFNA(VLOOKUP(F605,Pitcher_Trait_Coef!$A:$B,2,FALSE),0))+IF(G605="",0,IFNA(VLOOKUP(G605,Pitcher_Trait_Coef!$A:$B,2,FALSE),0)),IF(F605="",0,IFNA(VLOOKUP(F605,Hitter_Trait_Coef!$A:$B,2,FALSE),0))+IF(G605="",0,IFNA(VLOOKUP(G605,Hitter_Trait_Coef!$A:$B,2,FALSE),0)))</f>
        <v/>
      </c>
      <c r="X605">
        <f>IF(Q605="P",IFNA(VLOOKUP(B605,Pitcher_Primary_Coef!$A:$B,2,FALSE),0),IFNA(VLOOKUP(B605,Hitter_Primary_Coef!$A:$B,2,FALSE),0))</f>
        <v/>
      </c>
      <c r="Y605">
        <f>IF(Q605="P",0,IFNA(VLOOKUP(IF(C605="","(none)",C605),Hitter_Secondary_Coef!$A:$B,2,FALSE),0))</f>
        <v/>
      </c>
      <c r="Z605">
        <f>IF(Q605="P",IF(ISNUMBER(SEARCH("2F",H605)),IFNA(VLOOKUP("2F",Pitch_Coef!$A:$B,2,FALSE),0),0)+IF(ISNUMBER(SEARCH("4F",H605)),IFNA(VLOOKUP("4F",Pitch_Coef!$A:$B,2,FALSE),0),0)+IF(ISNUMBER(SEARCH("CB",H605)),IFNA(VLOOKUP("CB",Pitch_Coef!$A:$B,2,FALSE),0),0)+IF(ISNUMBER(SEARCH("CF",H605)),IFNA(VLOOKUP("CF",Pitch_Coef!$A:$B,2,FALSE),0),0)+IF(ISNUMBER(SEARCH("CH",H605)),IFNA(VLOOKUP("CH",Pitch_Coef!$A:$B,2,FALSE),0),0)+IF(ISNUMBER(SEARCH("FK",H605)),IFNA(VLOOKUP("FK",Pitch_Coef!$A:$B,2,FALSE),0),0)+IF(ISNUMBER(SEARCH("SB",H605)),IFNA(VLOOKUP("SB",Pitch_Coef!$A:$B,2,FALSE),0),0)+IF(ISNUMBER(SEARCH("SL",H605)),IFNA(VLOOKUP("SL",Pitch_Coef!$A:$B,2,FALSE),0),0),0)</f>
        <v/>
      </c>
      <c r="AA605">
        <f>IF(Q605="P",16.5944849573+0.2529999141*N605+0.2665900378*O605+0.2632687105*P605+0.0427586837*I605+0.0534777057*J605+0.009015832*K605+0.0204898106*(O605*P605/100)+1.0091022427*U605+1.0968542297*IF(D605="L",1,0)+0.3771555045*IF(D605="S",1,0)-0.2226159177*IF(E605="L",1,0)+1.21385024*R605-1.1652812274*S605+W605+X605+Z605,10.5965166711+0.2825983581*I605+0.2806503532*J605+0.2027213083*K605+0.1147824982*L605+0.0915305332*M605-0.0088454122*(I605*J605/100)-0.0336045706*(K605*L605/100)+2.8497389733*IF(D605="L",1,0)+4.5116226727*IF(D605="S",1,0)-0.6571546448*IF(E605="L",1,0)+0.0850728147*T605+0.0129488446*(T605*T605)+0.1909373936*IF(OR(F605="Utility",G605="Utility"),T605,0)+0.9656824071*R605-1.7517683256*S605+W605+X605+Y605)</f>
        <v/>
      </c>
      <c r="AB605">
        <f>LOOKUP(AA605,Grade_Scale!$A$2:$A$18,Grade_Scale!$B$2:$B$18)</f>
        <v/>
      </c>
      <c r="AC605">
        <f>LOOKUP(AA605,Grade_Scale!$A$2:$A$18,Grade_Scale!$C$2:$C$18)</f>
        <v/>
      </c>
      <c r="AE605">
        <f>IF(AD605="","",AB605-VLOOKUP(AD605,Grade_Scale!$C$2:$E$18,3,FALSE))</f>
        <v/>
      </c>
    </row>
    <row r="606">
      <c r="Q606">
        <f>IF(OR(B606="SP",B606="RP",B606="CP",B606="SP/RP"),"P","H")</f>
        <v/>
      </c>
      <c r="R606">
        <f>IF(F606="",0,IFNA(VLOOKUP(F606,Trait_Polarity!$A:$C,2,FALSE),0))+IF(G606="",0,IFNA(VLOOKUP(G606,Trait_Polarity!$A:$C,2,FALSE),0))</f>
        <v/>
      </c>
      <c r="S606">
        <f>IF(F606="",0,IFNA(VLOOKUP(F606,Trait_Polarity!$A:$C,3,FALSE),0))+IF(G606="",0,IFNA(VLOOKUP(G606,Trait_Polarity!$A:$C,3,FALSE),0))</f>
        <v/>
      </c>
      <c r="T606">
        <f>IF(Q606="P",0,IFNA(VLOOKUP(IF(C606="","(none)",C606),Secondary_Versatility!$A:$B,2,FALSE),0))</f>
        <v/>
      </c>
      <c r="U606">
        <f>IF(H606="",0,LEN(H606)-LEN(SUBSTITUTE(H606,"|",""))+1)</f>
        <v/>
      </c>
      <c r="V606">
        <f>IF(Q606="P",(N606+O606+P606)/3,0.3*I606+0.3*J606+0.2*K606+0.1*L606+0.1*M606)</f>
        <v/>
      </c>
      <c r="W606">
        <f>IF(Q606="P",IF(F606="",0,IFNA(VLOOKUP(F606,Pitcher_Trait_Coef!$A:$B,2,FALSE),0))+IF(G606="",0,IFNA(VLOOKUP(G606,Pitcher_Trait_Coef!$A:$B,2,FALSE),0)),IF(F606="",0,IFNA(VLOOKUP(F606,Hitter_Trait_Coef!$A:$B,2,FALSE),0))+IF(G606="",0,IFNA(VLOOKUP(G606,Hitter_Trait_Coef!$A:$B,2,FALSE),0)))</f>
        <v/>
      </c>
      <c r="X606">
        <f>IF(Q606="P",IFNA(VLOOKUP(B606,Pitcher_Primary_Coef!$A:$B,2,FALSE),0),IFNA(VLOOKUP(B606,Hitter_Primary_Coef!$A:$B,2,FALSE),0))</f>
        <v/>
      </c>
      <c r="Y606">
        <f>IF(Q606="P",0,IFNA(VLOOKUP(IF(C606="","(none)",C606),Hitter_Secondary_Coef!$A:$B,2,FALSE),0))</f>
        <v/>
      </c>
      <c r="Z606">
        <f>IF(Q606="P",IF(ISNUMBER(SEARCH("2F",H606)),IFNA(VLOOKUP("2F",Pitch_Coef!$A:$B,2,FALSE),0),0)+IF(ISNUMBER(SEARCH("4F",H606)),IFNA(VLOOKUP("4F",Pitch_Coef!$A:$B,2,FALSE),0),0)+IF(ISNUMBER(SEARCH("CB",H606)),IFNA(VLOOKUP("CB",Pitch_Coef!$A:$B,2,FALSE),0),0)+IF(ISNUMBER(SEARCH("CF",H606)),IFNA(VLOOKUP("CF",Pitch_Coef!$A:$B,2,FALSE),0),0)+IF(ISNUMBER(SEARCH("CH",H606)),IFNA(VLOOKUP("CH",Pitch_Coef!$A:$B,2,FALSE),0),0)+IF(ISNUMBER(SEARCH("FK",H606)),IFNA(VLOOKUP("FK",Pitch_Coef!$A:$B,2,FALSE),0),0)+IF(ISNUMBER(SEARCH("SB",H606)),IFNA(VLOOKUP("SB",Pitch_Coef!$A:$B,2,FALSE),0),0)+IF(ISNUMBER(SEARCH("SL",H606)),IFNA(VLOOKUP("SL",Pitch_Coef!$A:$B,2,FALSE),0),0),0)</f>
        <v/>
      </c>
      <c r="AA606">
        <f>IF(Q606="P",16.5944849573+0.2529999141*N606+0.2665900378*O606+0.2632687105*P606+0.0427586837*I606+0.0534777057*J606+0.009015832*K606+0.0204898106*(O606*P606/100)+1.0091022427*U606+1.0968542297*IF(D606="L",1,0)+0.3771555045*IF(D606="S",1,0)-0.2226159177*IF(E606="L",1,0)+1.21385024*R606-1.1652812274*S606+W606+X606+Z606,10.5965166711+0.2825983581*I606+0.2806503532*J606+0.2027213083*K606+0.1147824982*L606+0.0915305332*M606-0.0088454122*(I606*J606/100)-0.0336045706*(K606*L606/100)+2.8497389733*IF(D606="L",1,0)+4.5116226727*IF(D606="S",1,0)-0.6571546448*IF(E606="L",1,0)+0.0850728147*T606+0.0129488446*(T606*T606)+0.1909373936*IF(OR(F606="Utility",G606="Utility"),T606,0)+0.9656824071*R606-1.7517683256*S606+W606+X606+Y606)</f>
        <v/>
      </c>
      <c r="AB606">
        <f>LOOKUP(AA606,Grade_Scale!$A$2:$A$18,Grade_Scale!$B$2:$B$18)</f>
        <v/>
      </c>
      <c r="AC606">
        <f>LOOKUP(AA606,Grade_Scale!$A$2:$A$18,Grade_Scale!$C$2:$C$18)</f>
        <v/>
      </c>
      <c r="AE606">
        <f>IF(AD606="","",AB606-VLOOKUP(AD606,Grade_Scale!$C$2:$E$18,3,FALSE))</f>
        <v/>
      </c>
    </row>
    <row r="607">
      <c r="Q607">
        <f>IF(OR(B607="SP",B607="RP",B607="CP",B607="SP/RP"),"P","H")</f>
        <v/>
      </c>
      <c r="R607">
        <f>IF(F607="",0,IFNA(VLOOKUP(F607,Trait_Polarity!$A:$C,2,FALSE),0))+IF(G607="",0,IFNA(VLOOKUP(G607,Trait_Polarity!$A:$C,2,FALSE),0))</f>
        <v/>
      </c>
      <c r="S607">
        <f>IF(F607="",0,IFNA(VLOOKUP(F607,Trait_Polarity!$A:$C,3,FALSE),0))+IF(G607="",0,IFNA(VLOOKUP(G607,Trait_Polarity!$A:$C,3,FALSE),0))</f>
        <v/>
      </c>
      <c r="T607">
        <f>IF(Q607="P",0,IFNA(VLOOKUP(IF(C607="","(none)",C607),Secondary_Versatility!$A:$B,2,FALSE),0))</f>
        <v/>
      </c>
      <c r="U607">
        <f>IF(H607="",0,LEN(H607)-LEN(SUBSTITUTE(H607,"|",""))+1)</f>
        <v/>
      </c>
      <c r="V607">
        <f>IF(Q607="P",(N607+O607+P607)/3,0.3*I607+0.3*J607+0.2*K607+0.1*L607+0.1*M607)</f>
        <v/>
      </c>
      <c r="W607">
        <f>IF(Q607="P",IF(F607="",0,IFNA(VLOOKUP(F607,Pitcher_Trait_Coef!$A:$B,2,FALSE),0))+IF(G607="",0,IFNA(VLOOKUP(G607,Pitcher_Trait_Coef!$A:$B,2,FALSE),0)),IF(F607="",0,IFNA(VLOOKUP(F607,Hitter_Trait_Coef!$A:$B,2,FALSE),0))+IF(G607="",0,IFNA(VLOOKUP(G607,Hitter_Trait_Coef!$A:$B,2,FALSE),0)))</f>
        <v/>
      </c>
      <c r="X607">
        <f>IF(Q607="P",IFNA(VLOOKUP(B607,Pitcher_Primary_Coef!$A:$B,2,FALSE),0),IFNA(VLOOKUP(B607,Hitter_Primary_Coef!$A:$B,2,FALSE),0))</f>
        <v/>
      </c>
      <c r="Y607">
        <f>IF(Q607="P",0,IFNA(VLOOKUP(IF(C607="","(none)",C607),Hitter_Secondary_Coef!$A:$B,2,FALSE),0))</f>
        <v/>
      </c>
      <c r="Z607">
        <f>IF(Q607="P",IF(ISNUMBER(SEARCH("2F",H607)),IFNA(VLOOKUP("2F",Pitch_Coef!$A:$B,2,FALSE),0),0)+IF(ISNUMBER(SEARCH("4F",H607)),IFNA(VLOOKUP("4F",Pitch_Coef!$A:$B,2,FALSE),0),0)+IF(ISNUMBER(SEARCH("CB",H607)),IFNA(VLOOKUP("CB",Pitch_Coef!$A:$B,2,FALSE),0),0)+IF(ISNUMBER(SEARCH("CF",H607)),IFNA(VLOOKUP("CF",Pitch_Coef!$A:$B,2,FALSE),0),0)+IF(ISNUMBER(SEARCH("CH",H607)),IFNA(VLOOKUP("CH",Pitch_Coef!$A:$B,2,FALSE),0),0)+IF(ISNUMBER(SEARCH("FK",H607)),IFNA(VLOOKUP("FK",Pitch_Coef!$A:$B,2,FALSE),0),0)+IF(ISNUMBER(SEARCH("SB",H607)),IFNA(VLOOKUP("SB",Pitch_Coef!$A:$B,2,FALSE),0),0)+IF(ISNUMBER(SEARCH("SL",H607)),IFNA(VLOOKUP("SL",Pitch_Coef!$A:$B,2,FALSE),0),0),0)</f>
        <v/>
      </c>
      <c r="AA607">
        <f>IF(Q607="P",16.5944849573+0.2529999141*N607+0.2665900378*O607+0.2632687105*P607+0.0427586837*I607+0.0534777057*J607+0.009015832*K607+0.0204898106*(O607*P607/100)+1.0091022427*U607+1.0968542297*IF(D607="L",1,0)+0.3771555045*IF(D607="S",1,0)-0.2226159177*IF(E607="L",1,0)+1.21385024*R607-1.1652812274*S607+W607+X607+Z607,10.5965166711+0.2825983581*I607+0.2806503532*J607+0.2027213083*K607+0.1147824982*L607+0.0915305332*M607-0.0088454122*(I607*J607/100)-0.0336045706*(K607*L607/100)+2.8497389733*IF(D607="L",1,0)+4.5116226727*IF(D607="S",1,0)-0.6571546448*IF(E607="L",1,0)+0.0850728147*T607+0.0129488446*(T607*T607)+0.1909373936*IF(OR(F607="Utility",G607="Utility"),T607,0)+0.9656824071*R607-1.7517683256*S607+W607+X607+Y607)</f>
        <v/>
      </c>
      <c r="AB607">
        <f>LOOKUP(AA607,Grade_Scale!$A$2:$A$18,Grade_Scale!$B$2:$B$18)</f>
        <v/>
      </c>
      <c r="AC607">
        <f>LOOKUP(AA607,Grade_Scale!$A$2:$A$18,Grade_Scale!$C$2:$C$18)</f>
        <v/>
      </c>
      <c r="AE607">
        <f>IF(AD607="","",AB607-VLOOKUP(AD607,Grade_Scale!$C$2:$E$18,3,FALSE))</f>
        <v/>
      </c>
    </row>
    <row r="608">
      <c r="Q608">
        <f>IF(OR(B608="SP",B608="RP",B608="CP",B608="SP/RP"),"P","H")</f>
        <v/>
      </c>
      <c r="R608">
        <f>IF(F608="",0,IFNA(VLOOKUP(F608,Trait_Polarity!$A:$C,2,FALSE),0))+IF(G608="",0,IFNA(VLOOKUP(G608,Trait_Polarity!$A:$C,2,FALSE),0))</f>
        <v/>
      </c>
      <c r="S608">
        <f>IF(F608="",0,IFNA(VLOOKUP(F608,Trait_Polarity!$A:$C,3,FALSE),0))+IF(G608="",0,IFNA(VLOOKUP(G608,Trait_Polarity!$A:$C,3,FALSE),0))</f>
        <v/>
      </c>
      <c r="T608">
        <f>IF(Q608="P",0,IFNA(VLOOKUP(IF(C608="","(none)",C608),Secondary_Versatility!$A:$B,2,FALSE),0))</f>
        <v/>
      </c>
      <c r="U608">
        <f>IF(H608="",0,LEN(H608)-LEN(SUBSTITUTE(H608,"|",""))+1)</f>
        <v/>
      </c>
      <c r="V608">
        <f>IF(Q608="P",(N608+O608+P608)/3,0.3*I608+0.3*J608+0.2*K608+0.1*L608+0.1*M608)</f>
        <v/>
      </c>
      <c r="W608">
        <f>IF(Q608="P",IF(F608="",0,IFNA(VLOOKUP(F608,Pitcher_Trait_Coef!$A:$B,2,FALSE),0))+IF(G608="",0,IFNA(VLOOKUP(G608,Pitcher_Trait_Coef!$A:$B,2,FALSE),0)),IF(F608="",0,IFNA(VLOOKUP(F608,Hitter_Trait_Coef!$A:$B,2,FALSE),0))+IF(G608="",0,IFNA(VLOOKUP(G608,Hitter_Trait_Coef!$A:$B,2,FALSE),0)))</f>
        <v/>
      </c>
      <c r="X608">
        <f>IF(Q608="P",IFNA(VLOOKUP(B608,Pitcher_Primary_Coef!$A:$B,2,FALSE),0),IFNA(VLOOKUP(B608,Hitter_Primary_Coef!$A:$B,2,FALSE),0))</f>
        <v/>
      </c>
      <c r="Y608">
        <f>IF(Q608="P",0,IFNA(VLOOKUP(IF(C608="","(none)",C608),Hitter_Secondary_Coef!$A:$B,2,FALSE),0))</f>
        <v/>
      </c>
      <c r="Z608">
        <f>IF(Q608="P",IF(ISNUMBER(SEARCH("2F",H608)),IFNA(VLOOKUP("2F",Pitch_Coef!$A:$B,2,FALSE),0),0)+IF(ISNUMBER(SEARCH("4F",H608)),IFNA(VLOOKUP("4F",Pitch_Coef!$A:$B,2,FALSE),0),0)+IF(ISNUMBER(SEARCH("CB",H608)),IFNA(VLOOKUP("CB",Pitch_Coef!$A:$B,2,FALSE),0),0)+IF(ISNUMBER(SEARCH("CF",H608)),IFNA(VLOOKUP("CF",Pitch_Coef!$A:$B,2,FALSE),0),0)+IF(ISNUMBER(SEARCH("CH",H608)),IFNA(VLOOKUP("CH",Pitch_Coef!$A:$B,2,FALSE),0),0)+IF(ISNUMBER(SEARCH("FK",H608)),IFNA(VLOOKUP("FK",Pitch_Coef!$A:$B,2,FALSE),0),0)+IF(ISNUMBER(SEARCH("SB",H608)),IFNA(VLOOKUP("SB",Pitch_Coef!$A:$B,2,FALSE),0),0)+IF(ISNUMBER(SEARCH("SL",H608)),IFNA(VLOOKUP("SL",Pitch_Coef!$A:$B,2,FALSE),0),0),0)</f>
        <v/>
      </c>
      <c r="AA608">
        <f>IF(Q608="P",16.5944849573+0.2529999141*N608+0.2665900378*O608+0.2632687105*P608+0.0427586837*I608+0.0534777057*J608+0.009015832*K608+0.0204898106*(O608*P608/100)+1.0091022427*U608+1.0968542297*IF(D608="L",1,0)+0.3771555045*IF(D608="S",1,0)-0.2226159177*IF(E608="L",1,0)+1.21385024*R608-1.1652812274*S608+W608+X608+Z608,10.5965166711+0.2825983581*I608+0.2806503532*J608+0.2027213083*K608+0.1147824982*L608+0.0915305332*M608-0.0088454122*(I608*J608/100)-0.0336045706*(K608*L608/100)+2.8497389733*IF(D608="L",1,0)+4.5116226727*IF(D608="S",1,0)-0.6571546448*IF(E608="L",1,0)+0.0850728147*T608+0.0129488446*(T608*T608)+0.1909373936*IF(OR(F608="Utility",G608="Utility"),T608,0)+0.9656824071*R608-1.7517683256*S608+W608+X608+Y608)</f>
        <v/>
      </c>
      <c r="AB608">
        <f>LOOKUP(AA608,Grade_Scale!$A$2:$A$18,Grade_Scale!$B$2:$B$18)</f>
        <v/>
      </c>
      <c r="AC608">
        <f>LOOKUP(AA608,Grade_Scale!$A$2:$A$18,Grade_Scale!$C$2:$C$18)</f>
        <v/>
      </c>
      <c r="AE608">
        <f>IF(AD608="","",AB608-VLOOKUP(AD608,Grade_Scale!$C$2:$E$18,3,FALSE))</f>
        <v/>
      </c>
    </row>
    <row r="609">
      <c r="Q609">
        <f>IF(OR(B609="SP",B609="RP",B609="CP",B609="SP/RP"),"P","H")</f>
        <v/>
      </c>
      <c r="R609">
        <f>IF(F609="",0,IFNA(VLOOKUP(F609,Trait_Polarity!$A:$C,2,FALSE),0))+IF(G609="",0,IFNA(VLOOKUP(G609,Trait_Polarity!$A:$C,2,FALSE),0))</f>
        <v/>
      </c>
      <c r="S609">
        <f>IF(F609="",0,IFNA(VLOOKUP(F609,Trait_Polarity!$A:$C,3,FALSE),0))+IF(G609="",0,IFNA(VLOOKUP(G609,Trait_Polarity!$A:$C,3,FALSE),0))</f>
        <v/>
      </c>
      <c r="T609">
        <f>IF(Q609="P",0,IFNA(VLOOKUP(IF(C609="","(none)",C609),Secondary_Versatility!$A:$B,2,FALSE),0))</f>
        <v/>
      </c>
      <c r="U609">
        <f>IF(H609="",0,LEN(H609)-LEN(SUBSTITUTE(H609,"|",""))+1)</f>
        <v/>
      </c>
      <c r="V609">
        <f>IF(Q609="P",(N609+O609+P609)/3,0.3*I609+0.3*J609+0.2*K609+0.1*L609+0.1*M609)</f>
        <v/>
      </c>
      <c r="W609">
        <f>IF(Q609="P",IF(F609="",0,IFNA(VLOOKUP(F609,Pitcher_Trait_Coef!$A:$B,2,FALSE),0))+IF(G609="",0,IFNA(VLOOKUP(G609,Pitcher_Trait_Coef!$A:$B,2,FALSE),0)),IF(F609="",0,IFNA(VLOOKUP(F609,Hitter_Trait_Coef!$A:$B,2,FALSE),0))+IF(G609="",0,IFNA(VLOOKUP(G609,Hitter_Trait_Coef!$A:$B,2,FALSE),0)))</f>
        <v/>
      </c>
      <c r="X609">
        <f>IF(Q609="P",IFNA(VLOOKUP(B609,Pitcher_Primary_Coef!$A:$B,2,FALSE),0),IFNA(VLOOKUP(B609,Hitter_Primary_Coef!$A:$B,2,FALSE),0))</f>
        <v/>
      </c>
      <c r="Y609">
        <f>IF(Q609="P",0,IFNA(VLOOKUP(IF(C609="","(none)",C609),Hitter_Secondary_Coef!$A:$B,2,FALSE),0))</f>
        <v/>
      </c>
      <c r="Z609">
        <f>IF(Q609="P",IF(ISNUMBER(SEARCH("2F",H609)),IFNA(VLOOKUP("2F",Pitch_Coef!$A:$B,2,FALSE),0),0)+IF(ISNUMBER(SEARCH("4F",H609)),IFNA(VLOOKUP("4F",Pitch_Coef!$A:$B,2,FALSE),0),0)+IF(ISNUMBER(SEARCH("CB",H609)),IFNA(VLOOKUP("CB",Pitch_Coef!$A:$B,2,FALSE),0),0)+IF(ISNUMBER(SEARCH("CF",H609)),IFNA(VLOOKUP("CF",Pitch_Coef!$A:$B,2,FALSE),0),0)+IF(ISNUMBER(SEARCH("CH",H609)),IFNA(VLOOKUP("CH",Pitch_Coef!$A:$B,2,FALSE),0),0)+IF(ISNUMBER(SEARCH("FK",H609)),IFNA(VLOOKUP("FK",Pitch_Coef!$A:$B,2,FALSE),0),0)+IF(ISNUMBER(SEARCH("SB",H609)),IFNA(VLOOKUP("SB",Pitch_Coef!$A:$B,2,FALSE),0),0)+IF(ISNUMBER(SEARCH("SL",H609)),IFNA(VLOOKUP("SL",Pitch_Coef!$A:$B,2,FALSE),0),0),0)</f>
        <v/>
      </c>
      <c r="AA609">
        <f>IF(Q609="P",16.5944849573+0.2529999141*N609+0.2665900378*O609+0.2632687105*P609+0.0427586837*I609+0.0534777057*J609+0.009015832*K609+0.0204898106*(O609*P609/100)+1.0091022427*U609+1.0968542297*IF(D609="L",1,0)+0.3771555045*IF(D609="S",1,0)-0.2226159177*IF(E609="L",1,0)+1.21385024*R609-1.1652812274*S609+W609+X609+Z609,10.5965166711+0.2825983581*I609+0.2806503532*J609+0.2027213083*K609+0.1147824982*L609+0.0915305332*M609-0.0088454122*(I609*J609/100)-0.0336045706*(K609*L609/100)+2.8497389733*IF(D609="L",1,0)+4.5116226727*IF(D609="S",1,0)-0.6571546448*IF(E609="L",1,0)+0.0850728147*T609+0.0129488446*(T609*T609)+0.1909373936*IF(OR(F609="Utility",G609="Utility"),T609,0)+0.9656824071*R609-1.7517683256*S609+W609+X609+Y609)</f>
        <v/>
      </c>
      <c r="AB609">
        <f>LOOKUP(AA609,Grade_Scale!$A$2:$A$18,Grade_Scale!$B$2:$B$18)</f>
        <v/>
      </c>
      <c r="AC609">
        <f>LOOKUP(AA609,Grade_Scale!$A$2:$A$18,Grade_Scale!$C$2:$C$18)</f>
        <v/>
      </c>
      <c r="AE609">
        <f>IF(AD609="","",AB609-VLOOKUP(AD609,Grade_Scale!$C$2:$E$18,3,FALSE))</f>
        <v/>
      </c>
    </row>
    <row r="610">
      <c r="Q610">
        <f>IF(OR(B610="SP",B610="RP",B610="CP",B610="SP/RP"),"P","H")</f>
        <v/>
      </c>
      <c r="R610">
        <f>IF(F610="",0,IFNA(VLOOKUP(F610,Trait_Polarity!$A:$C,2,FALSE),0))+IF(G610="",0,IFNA(VLOOKUP(G610,Trait_Polarity!$A:$C,2,FALSE),0))</f>
        <v/>
      </c>
      <c r="S610">
        <f>IF(F610="",0,IFNA(VLOOKUP(F610,Trait_Polarity!$A:$C,3,FALSE),0))+IF(G610="",0,IFNA(VLOOKUP(G610,Trait_Polarity!$A:$C,3,FALSE),0))</f>
        <v/>
      </c>
      <c r="T610">
        <f>IF(Q610="P",0,IFNA(VLOOKUP(IF(C610="","(none)",C610),Secondary_Versatility!$A:$B,2,FALSE),0))</f>
        <v/>
      </c>
      <c r="U610">
        <f>IF(H610="",0,LEN(H610)-LEN(SUBSTITUTE(H610,"|",""))+1)</f>
        <v/>
      </c>
      <c r="V610">
        <f>IF(Q610="P",(N610+O610+P610)/3,0.3*I610+0.3*J610+0.2*K610+0.1*L610+0.1*M610)</f>
        <v/>
      </c>
      <c r="W610">
        <f>IF(Q610="P",IF(F610="",0,IFNA(VLOOKUP(F610,Pitcher_Trait_Coef!$A:$B,2,FALSE),0))+IF(G610="",0,IFNA(VLOOKUP(G610,Pitcher_Trait_Coef!$A:$B,2,FALSE),0)),IF(F610="",0,IFNA(VLOOKUP(F610,Hitter_Trait_Coef!$A:$B,2,FALSE),0))+IF(G610="",0,IFNA(VLOOKUP(G610,Hitter_Trait_Coef!$A:$B,2,FALSE),0)))</f>
        <v/>
      </c>
      <c r="X610">
        <f>IF(Q610="P",IFNA(VLOOKUP(B610,Pitcher_Primary_Coef!$A:$B,2,FALSE),0),IFNA(VLOOKUP(B610,Hitter_Primary_Coef!$A:$B,2,FALSE),0))</f>
        <v/>
      </c>
      <c r="Y610">
        <f>IF(Q610="P",0,IFNA(VLOOKUP(IF(C610="","(none)",C610),Hitter_Secondary_Coef!$A:$B,2,FALSE),0))</f>
        <v/>
      </c>
      <c r="Z610">
        <f>IF(Q610="P",IF(ISNUMBER(SEARCH("2F",H610)),IFNA(VLOOKUP("2F",Pitch_Coef!$A:$B,2,FALSE),0),0)+IF(ISNUMBER(SEARCH("4F",H610)),IFNA(VLOOKUP("4F",Pitch_Coef!$A:$B,2,FALSE),0),0)+IF(ISNUMBER(SEARCH("CB",H610)),IFNA(VLOOKUP("CB",Pitch_Coef!$A:$B,2,FALSE),0),0)+IF(ISNUMBER(SEARCH("CF",H610)),IFNA(VLOOKUP("CF",Pitch_Coef!$A:$B,2,FALSE),0),0)+IF(ISNUMBER(SEARCH("CH",H610)),IFNA(VLOOKUP("CH",Pitch_Coef!$A:$B,2,FALSE),0),0)+IF(ISNUMBER(SEARCH("FK",H610)),IFNA(VLOOKUP("FK",Pitch_Coef!$A:$B,2,FALSE),0),0)+IF(ISNUMBER(SEARCH("SB",H610)),IFNA(VLOOKUP("SB",Pitch_Coef!$A:$B,2,FALSE),0),0)+IF(ISNUMBER(SEARCH("SL",H610)),IFNA(VLOOKUP("SL",Pitch_Coef!$A:$B,2,FALSE),0),0),0)</f>
        <v/>
      </c>
      <c r="AA610">
        <f>IF(Q610="P",16.5944849573+0.2529999141*N610+0.2665900378*O610+0.2632687105*P610+0.0427586837*I610+0.0534777057*J610+0.009015832*K610+0.0204898106*(O610*P610/100)+1.0091022427*U610+1.0968542297*IF(D610="L",1,0)+0.3771555045*IF(D610="S",1,0)-0.2226159177*IF(E610="L",1,0)+1.21385024*R610-1.1652812274*S610+W610+X610+Z610,10.5965166711+0.2825983581*I610+0.2806503532*J610+0.2027213083*K610+0.1147824982*L610+0.0915305332*M610-0.0088454122*(I610*J610/100)-0.0336045706*(K610*L610/100)+2.8497389733*IF(D610="L",1,0)+4.5116226727*IF(D610="S",1,0)-0.6571546448*IF(E610="L",1,0)+0.0850728147*T610+0.0129488446*(T610*T610)+0.1909373936*IF(OR(F610="Utility",G610="Utility"),T610,0)+0.9656824071*R610-1.7517683256*S610+W610+X610+Y610)</f>
        <v/>
      </c>
      <c r="AB610">
        <f>LOOKUP(AA610,Grade_Scale!$A$2:$A$18,Grade_Scale!$B$2:$B$18)</f>
        <v/>
      </c>
      <c r="AC610">
        <f>LOOKUP(AA610,Grade_Scale!$A$2:$A$18,Grade_Scale!$C$2:$C$18)</f>
        <v/>
      </c>
      <c r="AE610">
        <f>IF(AD610="","",AB610-VLOOKUP(AD610,Grade_Scale!$C$2:$E$18,3,FALSE))</f>
        <v/>
      </c>
    </row>
    <row r="611">
      <c r="Q611">
        <f>IF(OR(B611="SP",B611="RP",B611="CP",B611="SP/RP"),"P","H")</f>
        <v/>
      </c>
      <c r="R611">
        <f>IF(F611="",0,IFNA(VLOOKUP(F611,Trait_Polarity!$A:$C,2,FALSE),0))+IF(G611="",0,IFNA(VLOOKUP(G611,Trait_Polarity!$A:$C,2,FALSE),0))</f>
        <v/>
      </c>
      <c r="S611">
        <f>IF(F611="",0,IFNA(VLOOKUP(F611,Trait_Polarity!$A:$C,3,FALSE),0))+IF(G611="",0,IFNA(VLOOKUP(G611,Trait_Polarity!$A:$C,3,FALSE),0))</f>
        <v/>
      </c>
      <c r="T611">
        <f>IF(Q611="P",0,IFNA(VLOOKUP(IF(C611="","(none)",C611),Secondary_Versatility!$A:$B,2,FALSE),0))</f>
        <v/>
      </c>
      <c r="U611">
        <f>IF(H611="",0,LEN(H611)-LEN(SUBSTITUTE(H611,"|",""))+1)</f>
        <v/>
      </c>
      <c r="V611">
        <f>IF(Q611="P",(N611+O611+P611)/3,0.3*I611+0.3*J611+0.2*K611+0.1*L611+0.1*M611)</f>
        <v/>
      </c>
      <c r="W611">
        <f>IF(Q611="P",IF(F611="",0,IFNA(VLOOKUP(F611,Pitcher_Trait_Coef!$A:$B,2,FALSE),0))+IF(G611="",0,IFNA(VLOOKUP(G611,Pitcher_Trait_Coef!$A:$B,2,FALSE),0)),IF(F611="",0,IFNA(VLOOKUP(F611,Hitter_Trait_Coef!$A:$B,2,FALSE),0))+IF(G611="",0,IFNA(VLOOKUP(G611,Hitter_Trait_Coef!$A:$B,2,FALSE),0)))</f>
        <v/>
      </c>
      <c r="X611">
        <f>IF(Q611="P",IFNA(VLOOKUP(B611,Pitcher_Primary_Coef!$A:$B,2,FALSE),0),IFNA(VLOOKUP(B611,Hitter_Primary_Coef!$A:$B,2,FALSE),0))</f>
        <v/>
      </c>
      <c r="Y611">
        <f>IF(Q611="P",0,IFNA(VLOOKUP(IF(C611="","(none)",C611),Hitter_Secondary_Coef!$A:$B,2,FALSE),0))</f>
        <v/>
      </c>
      <c r="Z611">
        <f>IF(Q611="P",IF(ISNUMBER(SEARCH("2F",H611)),IFNA(VLOOKUP("2F",Pitch_Coef!$A:$B,2,FALSE),0),0)+IF(ISNUMBER(SEARCH("4F",H611)),IFNA(VLOOKUP("4F",Pitch_Coef!$A:$B,2,FALSE),0),0)+IF(ISNUMBER(SEARCH("CB",H611)),IFNA(VLOOKUP("CB",Pitch_Coef!$A:$B,2,FALSE),0),0)+IF(ISNUMBER(SEARCH("CF",H611)),IFNA(VLOOKUP("CF",Pitch_Coef!$A:$B,2,FALSE),0),0)+IF(ISNUMBER(SEARCH("CH",H611)),IFNA(VLOOKUP("CH",Pitch_Coef!$A:$B,2,FALSE),0),0)+IF(ISNUMBER(SEARCH("FK",H611)),IFNA(VLOOKUP("FK",Pitch_Coef!$A:$B,2,FALSE),0),0)+IF(ISNUMBER(SEARCH("SB",H611)),IFNA(VLOOKUP("SB",Pitch_Coef!$A:$B,2,FALSE),0),0)+IF(ISNUMBER(SEARCH("SL",H611)),IFNA(VLOOKUP("SL",Pitch_Coef!$A:$B,2,FALSE),0),0),0)</f>
        <v/>
      </c>
      <c r="AA611">
        <f>IF(Q611="P",16.5944849573+0.2529999141*N611+0.2665900378*O611+0.2632687105*P611+0.0427586837*I611+0.0534777057*J611+0.009015832*K611+0.0204898106*(O611*P611/100)+1.0091022427*U611+1.0968542297*IF(D611="L",1,0)+0.3771555045*IF(D611="S",1,0)-0.2226159177*IF(E611="L",1,0)+1.21385024*R611-1.1652812274*S611+W611+X611+Z611,10.5965166711+0.2825983581*I611+0.2806503532*J611+0.2027213083*K611+0.1147824982*L611+0.0915305332*M611-0.0088454122*(I611*J611/100)-0.0336045706*(K611*L611/100)+2.8497389733*IF(D611="L",1,0)+4.5116226727*IF(D611="S",1,0)-0.6571546448*IF(E611="L",1,0)+0.0850728147*T611+0.0129488446*(T611*T611)+0.1909373936*IF(OR(F611="Utility",G611="Utility"),T611,0)+0.9656824071*R611-1.7517683256*S611+W611+X611+Y611)</f>
        <v/>
      </c>
      <c r="AB611">
        <f>LOOKUP(AA611,Grade_Scale!$A$2:$A$18,Grade_Scale!$B$2:$B$18)</f>
        <v/>
      </c>
      <c r="AC611">
        <f>LOOKUP(AA611,Grade_Scale!$A$2:$A$18,Grade_Scale!$C$2:$C$18)</f>
        <v/>
      </c>
      <c r="AE611">
        <f>IF(AD611="","",AB611-VLOOKUP(AD611,Grade_Scale!$C$2:$E$18,3,FALSE))</f>
        <v/>
      </c>
    </row>
    <row r="612">
      <c r="Q612">
        <f>IF(OR(B612="SP",B612="RP",B612="CP",B612="SP/RP"),"P","H")</f>
        <v/>
      </c>
      <c r="R612">
        <f>IF(F612="",0,IFNA(VLOOKUP(F612,Trait_Polarity!$A:$C,2,FALSE),0))+IF(G612="",0,IFNA(VLOOKUP(G612,Trait_Polarity!$A:$C,2,FALSE),0))</f>
        <v/>
      </c>
      <c r="S612">
        <f>IF(F612="",0,IFNA(VLOOKUP(F612,Trait_Polarity!$A:$C,3,FALSE),0))+IF(G612="",0,IFNA(VLOOKUP(G612,Trait_Polarity!$A:$C,3,FALSE),0))</f>
        <v/>
      </c>
      <c r="T612">
        <f>IF(Q612="P",0,IFNA(VLOOKUP(IF(C612="","(none)",C612),Secondary_Versatility!$A:$B,2,FALSE),0))</f>
        <v/>
      </c>
      <c r="U612">
        <f>IF(H612="",0,LEN(H612)-LEN(SUBSTITUTE(H612,"|",""))+1)</f>
        <v/>
      </c>
      <c r="V612">
        <f>IF(Q612="P",(N612+O612+P612)/3,0.3*I612+0.3*J612+0.2*K612+0.1*L612+0.1*M612)</f>
        <v/>
      </c>
      <c r="W612">
        <f>IF(Q612="P",IF(F612="",0,IFNA(VLOOKUP(F612,Pitcher_Trait_Coef!$A:$B,2,FALSE),0))+IF(G612="",0,IFNA(VLOOKUP(G612,Pitcher_Trait_Coef!$A:$B,2,FALSE),0)),IF(F612="",0,IFNA(VLOOKUP(F612,Hitter_Trait_Coef!$A:$B,2,FALSE),0))+IF(G612="",0,IFNA(VLOOKUP(G612,Hitter_Trait_Coef!$A:$B,2,FALSE),0)))</f>
        <v/>
      </c>
      <c r="X612">
        <f>IF(Q612="P",IFNA(VLOOKUP(B612,Pitcher_Primary_Coef!$A:$B,2,FALSE),0),IFNA(VLOOKUP(B612,Hitter_Primary_Coef!$A:$B,2,FALSE),0))</f>
        <v/>
      </c>
      <c r="Y612">
        <f>IF(Q612="P",0,IFNA(VLOOKUP(IF(C612="","(none)",C612),Hitter_Secondary_Coef!$A:$B,2,FALSE),0))</f>
        <v/>
      </c>
      <c r="Z612">
        <f>IF(Q612="P",IF(ISNUMBER(SEARCH("2F",H612)),IFNA(VLOOKUP("2F",Pitch_Coef!$A:$B,2,FALSE),0),0)+IF(ISNUMBER(SEARCH("4F",H612)),IFNA(VLOOKUP("4F",Pitch_Coef!$A:$B,2,FALSE),0),0)+IF(ISNUMBER(SEARCH("CB",H612)),IFNA(VLOOKUP("CB",Pitch_Coef!$A:$B,2,FALSE),0),0)+IF(ISNUMBER(SEARCH("CF",H612)),IFNA(VLOOKUP("CF",Pitch_Coef!$A:$B,2,FALSE),0),0)+IF(ISNUMBER(SEARCH("CH",H612)),IFNA(VLOOKUP("CH",Pitch_Coef!$A:$B,2,FALSE),0),0)+IF(ISNUMBER(SEARCH("FK",H612)),IFNA(VLOOKUP("FK",Pitch_Coef!$A:$B,2,FALSE),0),0)+IF(ISNUMBER(SEARCH("SB",H612)),IFNA(VLOOKUP("SB",Pitch_Coef!$A:$B,2,FALSE),0),0)+IF(ISNUMBER(SEARCH("SL",H612)),IFNA(VLOOKUP("SL",Pitch_Coef!$A:$B,2,FALSE),0),0),0)</f>
        <v/>
      </c>
      <c r="AA612">
        <f>IF(Q612="P",16.5944849573+0.2529999141*N612+0.2665900378*O612+0.2632687105*P612+0.0427586837*I612+0.0534777057*J612+0.009015832*K612+0.0204898106*(O612*P612/100)+1.0091022427*U612+1.0968542297*IF(D612="L",1,0)+0.3771555045*IF(D612="S",1,0)-0.2226159177*IF(E612="L",1,0)+1.21385024*R612-1.1652812274*S612+W612+X612+Z612,10.5965166711+0.2825983581*I612+0.2806503532*J612+0.2027213083*K612+0.1147824982*L612+0.0915305332*M612-0.0088454122*(I612*J612/100)-0.0336045706*(K612*L612/100)+2.8497389733*IF(D612="L",1,0)+4.5116226727*IF(D612="S",1,0)-0.6571546448*IF(E612="L",1,0)+0.0850728147*T612+0.0129488446*(T612*T612)+0.1909373936*IF(OR(F612="Utility",G612="Utility"),T612,0)+0.9656824071*R612-1.7517683256*S612+W612+X612+Y612)</f>
        <v/>
      </c>
      <c r="AB612">
        <f>LOOKUP(AA612,Grade_Scale!$A$2:$A$18,Grade_Scale!$B$2:$B$18)</f>
        <v/>
      </c>
      <c r="AC612">
        <f>LOOKUP(AA612,Grade_Scale!$A$2:$A$18,Grade_Scale!$C$2:$C$18)</f>
        <v/>
      </c>
      <c r="AE612">
        <f>IF(AD612="","",AB612-VLOOKUP(AD612,Grade_Scale!$C$2:$E$18,3,FALSE))</f>
        <v/>
      </c>
    </row>
    <row r="613">
      <c r="Q613">
        <f>IF(OR(B613="SP",B613="RP",B613="CP",B613="SP/RP"),"P","H")</f>
        <v/>
      </c>
      <c r="R613">
        <f>IF(F613="",0,IFNA(VLOOKUP(F613,Trait_Polarity!$A:$C,2,FALSE),0))+IF(G613="",0,IFNA(VLOOKUP(G613,Trait_Polarity!$A:$C,2,FALSE),0))</f>
        <v/>
      </c>
      <c r="S613">
        <f>IF(F613="",0,IFNA(VLOOKUP(F613,Trait_Polarity!$A:$C,3,FALSE),0))+IF(G613="",0,IFNA(VLOOKUP(G613,Trait_Polarity!$A:$C,3,FALSE),0))</f>
        <v/>
      </c>
      <c r="T613">
        <f>IF(Q613="P",0,IFNA(VLOOKUP(IF(C613="","(none)",C613),Secondary_Versatility!$A:$B,2,FALSE),0))</f>
        <v/>
      </c>
      <c r="U613">
        <f>IF(H613="",0,LEN(H613)-LEN(SUBSTITUTE(H613,"|",""))+1)</f>
        <v/>
      </c>
      <c r="V613">
        <f>IF(Q613="P",(N613+O613+P613)/3,0.3*I613+0.3*J613+0.2*K613+0.1*L613+0.1*M613)</f>
        <v/>
      </c>
      <c r="W613">
        <f>IF(Q613="P",IF(F613="",0,IFNA(VLOOKUP(F613,Pitcher_Trait_Coef!$A:$B,2,FALSE),0))+IF(G613="",0,IFNA(VLOOKUP(G613,Pitcher_Trait_Coef!$A:$B,2,FALSE),0)),IF(F613="",0,IFNA(VLOOKUP(F613,Hitter_Trait_Coef!$A:$B,2,FALSE),0))+IF(G613="",0,IFNA(VLOOKUP(G613,Hitter_Trait_Coef!$A:$B,2,FALSE),0)))</f>
        <v/>
      </c>
      <c r="X613">
        <f>IF(Q613="P",IFNA(VLOOKUP(B613,Pitcher_Primary_Coef!$A:$B,2,FALSE),0),IFNA(VLOOKUP(B613,Hitter_Primary_Coef!$A:$B,2,FALSE),0))</f>
        <v/>
      </c>
      <c r="Y613">
        <f>IF(Q613="P",0,IFNA(VLOOKUP(IF(C613="","(none)",C613),Hitter_Secondary_Coef!$A:$B,2,FALSE),0))</f>
        <v/>
      </c>
      <c r="Z613">
        <f>IF(Q613="P",IF(ISNUMBER(SEARCH("2F",H613)),IFNA(VLOOKUP("2F",Pitch_Coef!$A:$B,2,FALSE),0),0)+IF(ISNUMBER(SEARCH("4F",H613)),IFNA(VLOOKUP("4F",Pitch_Coef!$A:$B,2,FALSE),0),0)+IF(ISNUMBER(SEARCH("CB",H613)),IFNA(VLOOKUP("CB",Pitch_Coef!$A:$B,2,FALSE),0),0)+IF(ISNUMBER(SEARCH("CF",H613)),IFNA(VLOOKUP("CF",Pitch_Coef!$A:$B,2,FALSE),0),0)+IF(ISNUMBER(SEARCH("CH",H613)),IFNA(VLOOKUP("CH",Pitch_Coef!$A:$B,2,FALSE),0),0)+IF(ISNUMBER(SEARCH("FK",H613)),IFNA(VLOOKUP("FK",Pitch_Coef!$A:$B,2,FALSE),0),0)+IF(ISNUMBER(SEARCH("SB",H613)),IFNA(VLOOKUP("SB",Pitch_Coef!$A:$B,2,FALSE),0),0)+IF(ISNUMBER(SEARCH("SL",H613)),IFNA(VLOOKUP("SL",Pitch_Coef!$A:$B,2,FALSE),0),0),0)</f>
        <v/>
      </c>
      <c r="AA613">
        <f>IF(Q613="P",16.5944849573+0.2529999141*N613+0.2665900378*O613+0.2632687105*P613+0.0427586837*I613+0.0534777057*J613+0.009015832*K613+0.0204898106*(O613*P613/100)+1.0091022427*U613+1.0968542297*IF(D613="L",1,0)+0.3771555045*IF(D613="S",1,0)-0.2226159177*IF(E613="L",1,0)+1.21385024*R613-1.1652812274*S613+W613+X613+Z613,10.5965166711+0.2825983581*I613+0.2806503532*J613+0.2027213083*K613+0.1147824982*L613+0.0915305332*M613-0.0088454122*(I613*J613/100)-0.0336045706*(K613*L613/100)+2.8497389733*IF(D613="L",1,0)+4.5116226727*IF(D613="S",1,0)-0.6571546448*IF(E613="L",1,0)+0.0850728147*T613+0.0129488446*(T613*T613)+0.1909373936*IF(OR(F613="Utility",G613="Utility"),T613,0)+0.9656824071*R613-1.7517683256*S613+W613+X613+Y613)</f>
        <v/>
      </c>
      <c r="AB613">
        <f>LOOKUP(AA613,Grade_Scale!$A$2:$A$18,Grade_Scale!$B$2:$B$18)</f>
        <v/>
      </c>
      <c r="AC613">
        <f>LOOKUP(AA613,Grade_Scale!$A$2:$A$18,Grade_Scale!$C$2:$C$18)</f>
        <v/>
      </c>
      <c r="AE613">
        <f>IF(AD613="","",AB613-VLOOKUP(AD613,Grade_Scale!$C$2:$E$18,3,FALSE))</f>
        <v/>
      </c>
    </row>
    <row r="614">
      <c r="Q614">
        <f>IF(OR(B614="SP",B614="RP",B614="CP",B614="SP/RP"),"P","H")</f>
        <v/>
      </c>
      <c r="R614">
        <f>IF(F614="",0,IFNA(VLOOKUP(F614,Trait_Polarity!$A:$C,2,FALSE),0))+IF(G614="",0,IFNA(VLOOKUP(G614,Trait_Polarity!$A:$C,2,FALSE),0))</f>
        <v/>
      </c>
      <c r="S614">
        <f>IF(F614="",0,IFNA(VLOOKUP(F614,Trait_Polarity!$A:$C,3,FALSE),0))+IF(G614="",0,IFNA(VLOOKUP(G614,Trait_Polarity!$A:$C,3,FALSE),0))</f>
        <v/>
      </c>
      <c r="T614">
        <f>IF(Q614="P",0,IFNA(VLOOKUP(IF(C614="","(none)",C614),Secondary_Versatility!$A:$B,2,FALSE),0))</f>
        <v/>
      </c>
      <c r="U614">
        <f>IF(H614="",0,LEN(H614)-LEN(SUBSTITUTE(H614,"|",""))+1)</f>
        <v/>
      </c>
      <c r="V614">
        <f>IF(Q614="P",(N614+O614+P614)/3,0.3*I614+0.3*J614+0.2*K614+0.1*L614+0.1*M614)</f>
        <v/>
      </c>
      <c r="W614">
        <f>IF(Q614="P",IF(F614="",0,IFNA(VLOOKUP(F614,Pitcher_Trait_Coef!$A:$B,2,FALSE),0))+IF(G614="",0,IFNA(VLOOKUP(G614,Pitcher_Trait_Coef!$A:$B,2,FALSE),0)),IF(F614="",0,IFNA(VLOOKUP(F614,Hitter_Trait_Coef!$A:$B,2,FALSE),0))+IF(G614="",0,IFNA(VLOOKUP(G614,Hitter_Trait_Coef!$A:$B,2,FALSE),0)))</f>
        <v/>
      </c>
      <c r="X614">
        <f>IF(Q614="P",IFNA(VLOOKUP(B614,Pitcher_Primary_Coef!$A:$B,2,FALSE),0),IFNA(VLOOKUP(B614,Hitter_Primary_Coef!$A:$B,2,FALSE),0))</f>
        <v/>
      </c>
      <c r="Y614">
        <f>IF(Q614="P",0,IFNA(VLOOKUP(IF(C614="","(none)",C614),Hitter_Secondary_Coef!$A:$B,2,FALSE),0))</f>
        <v/>
      </c>
      <c r="Z614">
        <f>IF(Q614="P",IF(ISNUMBER(SEARCH("2F",H614)),IFNA(VLOOKUP("2F",Pitch_Coef!$A:$B,2,FALSE),0),0)+IF(ISNUMBER(SEARCH("4F",H614)),IFNA(VLOOKUP("4F",Pitch_Coef!$A:$B,2,FALSE),0),0)+IF(ISNUMBER(SEARCH("CB",H614)),IFNA(VLOOKUP("CB",Pitch_Coef!$A:$B,2,FALSE),0),0)+IF(ISNUMBER(SEARCH("CF",H614)),IFNA(VLOOKUP("CF",Pitch_Coef!$A:$B,2,FALSE),0),0)+IF(ISNUMBER(SEARCH("CH",H614)),IFNA(VLOOKUP("CH",Pitch_Coef!$A:$B,2,FALSE),0),0)+IF(ISNUMBER(SEARCH("FK",H614)),IFNA(VLOOKUP("FK",Pitch_Coef!$A:$B,2,FALSE),0),0)+IF(ISNUMBER(SEARCH("SB",H614)),IFNA(VLOOKUP("SB",Pitch_Coef!$A:$B,2,FALSE),0),0)+IF(ISNUMBER(SEARCH("SL",H614)),IFNA(VLOOKUP("SL",Pitch_Coef!$A:$B,2,FALSE),0),0),0)</f>
        <v/>
      </c>
      <c r="AA614">
        <f>IF(Q614="P",16.5944849573+0.2529999141*N614+0.2665900378*O614+0.2632687105*P614+0.0427586837*I614+0.0534777057*J614+0.009015832*K614+0.0204898106*(O614*P614/100)+1.0091022427*U614+1.0968542297*IF(D614="L",1,0)+0.3771555045*IF(D614="S",1,0)-0.2226159177*IF(E614="L",1,0)+1.21385024*R614-1.1652812274*S614+W614+X614+Z614,10.5965166711+0.2825983581*I614+0.2806503532*J614+0.2027213083*K614+0.1147824982*L614+0.0915305332*M614-0.0088454122*(I614*J614/100)-0.0336045706*(K614*L614/100)+2.8497389733*IF(D614="L",1,0)+4.5116226727*IF(D614="S",1,0)-0.6571546448*IF(E614="L",1,0)+0.0850728147*T614+0.0129488446*(T614*T614)+0.1909373936*IF(OR(F614="Utility",G614="Utility"),T614,0)+0.9656824071*R614-1.7517683256*S614+W614+X614+Y614)</f>
        <v/>
      </c>
      <c r="AB614">
        <f>LOOKUP(AA614,Grade_Scale!$A$2:$A$18,Grade_Scale!$B$2:$B$18)</f>
        <v/>
      </c>
      <c r="AC614">
        <f>LOOKUP(AA614,Grade_Scale!$A$2:$A$18,Grade_Scale!$C$2:$C$18)</f>
        <v/>
      </c>
      <c r="AE614">
        <f>IF(AD614="","",AB614-VLOOKUP(AD614,Grade_Scale!$C$2:$E$18,3,FALSE))</f>
        <v/>
      </c>
    </row>
    <row r="615">
      <c r="Q615">
        <f>IF(OR(B615="SP",B615="RP",B615="CP",B615="SP/RP"),"P","H")</f>
        <v/>
      </c>
      <c r="R615">
        <f>IF(F615="",0,IFNA(VLOOKUP(F615,Trait_Polarity!$A:$C,2,FALSE),0))+IF(G615="",0,IFNA(VLOOKUP(G615,Trait_Polarity!$A:$C,2,FALSE),0))</f>
        <v/>
      </c>
      <c r="S615">
        <f>IF(F615="",0,IFNA(VLOOKUP(F615,Trait_Polarity!$A:$C,3,FALSE),0))+IF(G615="",0,IFNA(VLOOKUP(G615,Trait_Polarity!$A:$C,3,FALSE),0))</f>
        <v/>
      </c>
      <c r="T615">
        <f>IF(Q615="P",0,IFNA(VLOOKUP(IF(C615="","(none)",C615),Secondary_Versatility!$A:$B,2,FALSE),0))</f>
        <v/>
      </c>
      <c r="U615">
        <f>IF(H615="",0,LEN(H615)-LEN(SUBSTITUTE(H615,"|",""))+1)</f>
        <v/>
      </c>
      <c r="V615">
        <f>IF(Q615="P",(N615+O615+P615)/3,0.3*I615+0.3*J615+0.2*K615+0.1*L615+0.1*M615)</f>
        <v/>
      </c>
      <c r="W615">
        <f>IF(Q615="P",IF(F615="",0,IFNA(VLOOKUP(F615,Pitcher_Trait_Coef!$A:$B,2,FALSE),0))+IF(G615="",0,IFNA(VLOOKUP(G615,Pitcher_Trait_Coef!$A:$B,2,FALSE),0)),IF(F615="",0,IFNA(VLOOKUP(F615,Hitter_Trait_Coef!$A:$B,2,FALSE),0))+IF(G615="",0,IFNA(VLOOKUP(G615,Hitter_Trait_Coef!$A:$B,2,FALSE),0)))</f>
        <v/>
      </c>
      <c r="X615">
        <f>IF(Q615="P",IFNA(VLOOKUP(B615,Pitcher_Primary_Coef!$A:$B,2,FALSE),0),IFNA(VLOOKUP(B615,Hitter_Primary_Coef!$A:$B,2,FALSE),0))</f>
        <v/>
      </c>
      <c r="Y615">
        <f>IF(Q615="P",0,IFNA(VLOOKUP(IF(C615="","(none)",C615),Hitter_Secondary_Coef!$A:$B,2,FALSE),0))</f>
        <v/>
      </c>
      <c r="Z615">
        <f>IF(Q615="P",IF(ISNUMBER(SEARCH("2F",H615)),IFNA(VLOOKUP("2F",Pitch_Coef!$A:$B,2,FALSE),0),0)+IF(ISNUMBER(SEARCH("4F",H615)),IFNA(VLOOKUP("4F",Pitch_Coef!$A:$B,2,FALSE),0),0)+IF(ISNUMBER(SEARCH("CB",H615)),IFNA(VLOOKUP("CB",Pitch_Coef!$A:$B,2,FALSE),0),0)+IF(ISNUMBER(SEARCH("CF",H615)),IFNA(VLOOKUP("CF",Pitch_Coef!$A:$B,2,FALSE),0),0)+IF(ISNUMBER(SEARCH("CH",H615)),IFNA(VLOOKUP("CH",Pitch_Coef!$A:$B,2,FALSE),0),0)+IF(ISNUMBER(SEARCH("FK",H615)),IFNA(VLOOKUP("FK",Pitch_Coef!$A:$B,2,FALSE),0),0)+IF(ISNUMBER(SEARCH("SB",H615)),IFNA(VLOOKUP("SB",Pitch_Coef!$A:$B,2,FALSE),0),0)+IF(ISNUMBER(SEARCH("SL",H615)),IFNA(VLOOKUP("SL",Pitch_Coef!$A:$B,2,FALSE),0),0),0)</f>
        <v/>
      </c>
      <c r="AA615">
        <f>IF(Q615="P",16.5944849573+0.2529999141*N615+0.2665900378*O615+0.2632687105*P615+0.0427586837*I615+0.0534777057*J615+0.009015832*K615+0.0204898106*(O615*P615/100)+1.0091022427*U615+1.0968542297*IF(D615="L",1,0)+0.3771555045*IF(D615="S",1,0)-0.2226159177*IF(E615="L",1,0)+1.21385024*R615-1.1652812274*S615+W615+X615+Z615,10.5965166711+0.2825983581*I615+0.2806503532*J615+0.2027213083*K615+0.1147824982*L615+0.0915305332*M615-0.0088454122*(I615*J615/100)-0.0336045706*(K615*L615/100)+2.8497389733*IF(D615="L",1,0)+4.5116226727*IF(D615="S",1,0)-0.6571546448*IF(E615="L",1,0)+0.0850728147*T615+0.0129488446*(T615*T615)+0.1909373936*IF(OR(F615="Utility",G615="Utility"),T615,0)+0.9656824071*R615-1.7517683256*S615+W615+X615+Y615)</f>
        <v/>
      </c>
      <c r="AB615">
        <f>LOOKUP(AA615,Grade_Scale!$A$2:$A$18,Grade_Scale!$B$2:$B$18)</f>
        <v/>
      </c>
      <c r="AC615">
        <f>LOOKUP(AA615,Grade_Scale!$A$2:$A$18,Grade_Scale!$C$2:$C$18)</f>
        <v/>
      </c>
      <c r="AE615">
        <f>IF(AD615="","",AB615-VLOOKUP(AD615,Grade_Scale!$C$2:$E$18,3,FALSE))</f>
        <v/>
      </c>
    </row>
    <row r="616">
      <c r="Q616">
        <f>IF(OR(B616="SP",B616="RP",B616="CP",B616="SP/RP"),"P","H")</f>
        <v/>
      </c>
      <c r="R616">
        <f>IF(F616="",0,IFNA(VLOOKUP(F616,Trait_Polarity!$A:$C,2,FALSE),0))+IF(G616="",0,IFNA(VLOOKUP(G616,Trait_Polarity!$A:$C,2,FALSE),0))</f>
        <v/>
      </c>
      <c r="S616">
        <f>IF(F616="",0,IFNA(VLOOKUP(F616,Trait_Polarity!$A:$C,3,FALSE),0))+IF(G616="",0,IFNA(VLOOKUP(G616,Trait_Polarity!$A:$C,3,FALSE),0))</f>
        <v/>
      </c>
      <c r="T616">
        <f>IF(Q616="P",0,IFNA(VLOOKUP(IF(C616="","(none)",C616),Secondary_Versatility!$A:$B,2,FALSE),0))</f>
        <v/>
      </c>
      <c r="U616">
        <f>IF(H616="",0,LEN(H616)-LEN(SUBSTITUTE(H616,"|",""))+1)</f>
        <v/>
      </c>
      <c r="V616">
        <f>IF(Q616="P",(N616+O616+P616)/3,0.3*I616+0.3*J616+0.2*K616+0.1*L616+0.1*M616)</f>
        <v/>
      </c>
      <c r="W616">
        <f>IF(Q616="P",IF(F616="",0,IFNA(VLOOKUP(F616,Pitcher_Trait_Coef!$A:$B,2,FALSE),0))+IF(G616="",0,IFNA(VLOOKUP(G616,Pitcher_Trait_Coef!$A:$B,2,FALSE),0)),IF(F616="",0,IFNA(VLOOKUP(F616,Hitter_Trait_Coef!$A:$B,2,FALSE),0))+IF(G616="",0,IFNA(VLOOKUP(G616,Hitter_Trait_Coef!$A:$B,2,FALSE),0)))</f>
        <v/>
      </c>
      <c r="X616">
        <f>IF(Q616="P",IFNA(VLOOKUP(B616,Pitcher_Primary_Coef!$A:$B,2,FALSE),0),IFNA(VLOOKUP(B616,Hitter_Primary_Coef!$A:$B,2,FALSE),0))</f>
        <v/>
      </c>
      <c r="Y616">
        <f>IF(Q616="P",0,IFNA(VLOOKUP(IF(C616="","(none)",C616),Hitter_Secondary_Coef!$A:$B,2,FALSE),0))</f>
        <v/>
      </c>
      <c r="Z616">
        <f>IF(Q616="P",IF(ISNUMBER(SEARCH("2F",H616)),IFNA(VLOOKUP("2F",Pitch_Coef!$A:$B,2,FALSE),0),0)+IF(ISNUMBER(SEARCH("4F",H616)),IFNA(VLOOKUP("4F",Pitch_Coef!$A:$B,2,FALSE),0),0)+IF(ISNUMBER(SEARCH("CB",H616)),IFNA(VLOOKUP("CB",Pitch_Coef!$A:$B,2,FALSE),0),0)+IF(ISNUMBER(SEARCH("CF",H616)),IFNA(VLOOKUP("CF",Pitch_Coef!$A:$B,2,FALSE),0),0)+IF(ISNUMBER(SEARCH("CH",H616)),IFNA(VLOOKUP("CH",Pitch_Coef!$A:$B,2,FALSE),0),0)+IF(ISNUMBER(SEARCH("FK",H616)),IFNA(VLOOKUP("FK",Pitch_Coef!$A:$B,2,FALSE),0),0)+IF(ISNUMBER(SEARCH("SB",H616)),IFNA(VLOOKUP("SB",Pitch_Coef!$A:$B,2,FALSE),0),0)+IF(ISNUMBER(SEARCH("SL",H616)),IFNA(VLOOKUP("SL",Pitch_Coef!$A:$B,2,FALSE),0),0),0)</f>
        <v/>
      </c>
      <c r="AA616">
        <f>IF(Q616="P",16.5944849573+0.2529999141*N616+0.2665900378*O616+0.2632687105*P616+0.0427586837*I616+0.0534777057*J616+0.009015832*K616+0.0204898106*(O616*P616/100)+1.0091022427*U616+1.0968542297*IF(D616="L",1,0)+0.3771555045*IF(D616="S",1,0)-0.2226159177*IF(E616="L",1,0)+1.21385024*R616-1.1652812274*S616+W616+X616+Z616,10.5965166711+0.2825983581*I616+0.2806503532*J616+0.2027213083*K616+0.1147824982*L616+0.0915305332*M616-0.0088454122*(I616*J616/100)-0.0336045706*(K616*L616/100)+2.8497389733*IF(D616="L",1,0)+4.5116226727*IF(D616="S",1,0)-0.6571546448*IF(E616="L",1,0)+0.0850728147*T616+0.0129488446*(T616*T616)+0.1909373936*IF(OR(F616="Utility",G616="Utility"),T616,0)+0.9656824071*R616-1.7517683256*S616+W616+X616+Y616)</f>
        <v/>
      </c>
      <c r="AB616">
        <f>LOOKUP(AA616,Grade_Scale!$A$2:$A$18,Grade_Scale!$B$2:$B$18)</f>
        <v/>
      </c>
      <c r="AC616">
        <f>LOOKUP(AA616,Grade_Scale!$A$2:$A$18,Grade_Scale!$C$2:$C$18)</f>
        <v/>
      </c>
      <c r="AE616">
        <f>IF(AD616="","",AB616-VLOOKUP(AD616,Grade_Scale!$C$2:$E$18,3,FALSE))</f>
        <v/>
      </c>
    </row>
    <row r="617">
      <c r="Q617">
        <f>IF(OR(B617="SP",B617="RP",B617="CP",B617="SP/RP"),"P","H")</f>
        <v/>
      </c>
      <c r="R617">
        <f>IF(F617="",0,IFNA(VLOOKUP(F617,Trait_Polarity!$A:$C,2,FALSE),0))+IF(G617="",0,IFNA(VLOOKUP(G617,Trait_Polarity!$A:$C,2,FALSE),0))</f>
        <v/>
      </c>
      <c r="S617">
        <f>IF(F617="",0,IFNA(VLOOKUP(F617,Trait_Polarity!$A:$C,3,FALSE),0))+IF(G617="",0,IFNA(VLOOKUP(G617,Trait_Polarity!$A:$C,3,FALSE),0))</f>
        <v/>
      </c>
      <c r="T617">
        <f>IF(Q617="P",0,IFNA(VLOOKUP(IF(C617="","(none)",C617),Secondary_Versatility!$A:$B,2,FALSE),0))</f>
        <v/>
      </c>
      <c r="U617">
        <f>IF(H617="",0,LEN(H617)-LEN(SUBSTITUTE(H617,"|",""))+1)</f>
        <v/>
      </c>
      <c r="V617">
        <f>IF(Q617="P",(N617+O617+P617)/3,0.3*I617+0.3*J617+0.2*K617+0.1*L617+0.1*M617)</f>
        <v/>
      </c>
      <c r="W617">
        <f>IF(Q617="P",IF(F617="",0,IFNA(VLOOKUP(F617,Pitcher_Trait_Coef!$A:$B,2,FALSE),0))+IF(G617="",0,IFNA(VLOOKUP(G617,Pitcher_Trait_Coef!$A:$B,2,FALSE),0)),IF(F617="",0,IFNA(VLOOKUP(F617,Hitter_Trait_Coef!$A:$B,2,FALSE),0))+IF(G617="",0,IFNA(VLOOKUP(G617,Hitter_Trait_Coef!$A:$B,2,FALSE),0)))</f>
        <v/>
      </c>
      <c r="X617">
        <f>IF(Q617="P",IFNA(VLOOKUP(B617,Pitcher_Primary_Coef!$A:$B,2,FALSE),0),IFNA(VLOOKUP(B617,Hitter_Primary_Coef!$A:$B,2,FALSE),0))</f>
        <v/>
      </c>
      <c r="Y617">
        <f>IF(Q617="P",0,IFNA(VLOOKUP(IF(C617="","(none)",C617),Hitter_Secondary_Coef!$A:$B,2,FALSE),0))</f>
        <v/>
      </c>
      <c r="Z617">
        <f>IF(Q617="P",IF(ISNUMBER(SEARCH("2F",H617)),IFNA(VLOOKUP("2F",Pitch_Coef!$A:$B,2,FALSE),0),0)+IF(ISNUMBER(SEARCH("4F",H617)),IFNA(VLOOKUP("4F",Pitch_Coef!$A:$B,2,FALSE),0),0)+IF(ISNUMBER(SEARCH("CB",H617)),IFNA(VLOOKUP("CB",Pitch_Coef!$A:$B,2,FALSE),0),0)+IF(ISNUMBER(SEARCH("CF",H617)),IFNA(VLOOKUP("CF",Pitch_Coef!$A:$B,2,FALSE),0),0)+IF(ISNUMBER(SEARCH("CH",H617)),IFNA(VLOOKUP("CH",Pitch_Coef!$A:$B,2,FALSE),0),0)+IF(ISNUMBER(SEARCH("FK",H617)),IFNA(VLOOKUP("FK",Pitch_Coef!$A:$B,2,FALSE),0),0)+IF(ISNUMBER(SEARCH("SB",H617)),IFNA(VLOOKUP("SB",Pitch_Coef!$A:$B,2,FALSE),0),0)+IF(ISNUMBER(SEARCH("SL",H617)),IFNA(VLOOKUP("SL",Pitch_Coef!$A:$B,2,FALSE),0),0),0)</f>
        <v/>
      </c>
      <c r="AA617">
        <f>IF(Q617="P",16.5944849573+0.2529999141*N617+0.2665900378*O617+0.2632687105*P617+0.0427586837*I617+0.0534777057*J617+0.009015832*K617+0.0204898106*(O617*P617/100)+1.0091022427*U617+1.0968542297*IF(D617="L",1,0)+0.3771555045*IF(D617="S",1,0)-0.2226159177*IF(E617="L",1,0)+1.21385024*R617-1.1652812274*S617+W617+X617+Z617,10.5965166711+0.2825983581*I617+0.2806503532*J617+0.2027213083*K617+0.1147824982*L617+0.0915305332*M617-0.0088454122*(I617*J617/100)-0.0336045706*(K617*L617/100)+2.8497389733*IF(D617="L",1,0)+4.5116226727*IF(D617="S",1,0)-0.6571546448*IF(E617="L",1,0)+0.0850728147*T617+0.0129488446*(T617*T617)+0.1909373936*IF(OR(F617="Utility",G617="Utility"),T617,0)+0.9656824071*R617-1.7517683256*S617+W617+X617+Y617)</f>
        <v/>
      </c>
      <c r="AB617">
        <f>LOOKUP(AA617,Grade_Scale!$A$2:$A$18,Grade_Scale!$B$2:$B$18)</f>
        <v/>
      </c>
      <c r="AC617">
        <f>LOOKUP(AA617,Grade_Scale!$A$2:$A$18,Grade_Scale!$C$2:$C$18)</f>
        <v/>
      </c>
      <c r="AE617">
        <f>IF(AD617="","",AB617-VLOOKUP(AD617,Grade_Scale!$C$2:$E$18,3,FALSE))</f>
        <v/>
      </c>
    </row>
    <row r="618">
      <c r="Q618">
        <f>IF(OR(B618="SP",B618="RP",B618="CP",B618="SP/RP"),"P","H")</f>
        <v/>
      </c>
      <c r="R618">
        <f>IF(F618="",0,IFNA(VLOOKUP(F618,Trait_Polarity!$A:$C,2,FALSE),0))+IF(G618="",0,IFNA(VLOOKUP(G618,Trait_Polarity!$A:$C,2,FALSE),0))</f>
        <v/>
      </c>
      <c r="S618">
        <f>IF(F618="",0,IFNA(VLOOKUP(F618,Trait_Polarity!$A:$C,3,FALSE),0))+IF(G618="",0,IFNA(VLOOKUP(G618,Trait_Polarity!$A:$C,3,FALSE),0))</f>
        <v/>
      </c>
      <c r="T618">
        <f>IF(Q618="P",0,IFNA(VLOOKUP(IF(C618="","(none)",C618),Secondary_Versatility!$A:$B,2,FALSE),0))</f>
        <v/>
      </c>
      <c r="U618">
        <f>IF(H618="",0,LEN(H618)-LEN(SUBSTITUTE(H618,"|",""))+1)</f>
        <v/>
      </c>
      <c r="V618">
        <f>IF(Q618="P",(N618+O618+P618)/3,0.3*I618+0.3*J618+0.2*K618+0.1*L618+0.1*M618)</f>
        <v/>
      </c>
      <c r="W618">
        <f>IF(Q618="P",IF(F618="",0,IFNA(VLOOKUP(F618,Pitcher_Trait_Coef!$A:$B,2,FALSE),0))+IF(G618="",0,IFNA(VLOOKUP(G618,Pitcher_Trait_Coef!$A:$B,2,FALSE),0)),IF(F618="",0,IFNA(VLOOKUP(F618,Hitter_Trait_Coef!$A:$B,2,FALSE),0))+IF(G618="",0,IFNA(VLOOKUP(G618,Hitter_Trait_Coef!$A:$B,2,FALSE),0)))</f>
        <v/>
      </c>
      <c r="X618">
        <f>IF(Q618="P",IFNA(VLOOKUP(B618,Pitcher_Primary_Coef!$A:$B,2,FALSE),0),IFNA(VLOOKUP(B618,Hitter_Primary_Coef!$A:$B,2,FALSE),0))</f>
        <v/>
      </c>
      <c r="Y618">
        <f>IF(Q618="P",0,IFNA(VLOOKUP(IF(C618="","(none)",C618),Hitter_Secondary_Coef!$A:$B,2,FALSE),0))</f>
        <v/>
      </c>
      <c r="Z618">
        <f>IF(Q618="P",IF(ISNUMBER(SEARCH("2F",H618)),IFNA(VLOOKUP("2F",Pitch_Coef!$A:$B,2,FALSE),0),0)+IF(ISNUMBER(SEARCH("4F",H618)),IFNA(VLOOKUP("4F",Pitch_Coef!$A:$B,2,FALSE),0),0)+IF(ISNUMBER(SEARCH("CB",H618)),IFNA(VLOOKUP("CB",Pitch_Coef!$A:$B,2,FALSE),0),0)+IF(ISNUMBER(SEARCH("CF",H618)),IFNA(VLOOKUP("CF",Pitch_Coef!$A:$B,2,FALSE),0),0)+IF(ISNUMBER(SEARCH("CH",H618)),IFNA(VLOOKUP("CH",Pitch_Coef!$A:$B,2,FALSE),0),0)+IF(ISNUMBER(SEARCH("FK",H618)),IFNA(VLOOKUP("FK",Pitch_Coef!$A:$B,2,FALSE),0),0)+IF(ISNUMBER(SEARCH("SB",H618)),IFNA(VLOOKUP("SB",Pitch_Coef!$A:$B,2,FALSE),0),0)+IF(ISNUMBER(SEARCH("SL",H618)),IFNA(VLOOKUP("SL",Pitch_Coef!$A:$B,2,FALSE),0),0),0)</f>
        <v/>
      </c>
      <c r="AA618">
        <f>IF(Q618="P",16.5944849573+0.2529999141*N618+0.2665900378*O618+0.2632687105*P618+0.0427586837*I618+0.0534777057*J618+0.009015832*K618+0.0204898106*(O618*P618/100)+1.0091022427*U618+1.0968542297*IF(D618="L",1,0)+0.3771555045*IF(D618="S",1,0)-0.2226159177*IF(E618="L",1,0)+1.21385024*R618-1.1652812274*S618+W618+X618+Z618,10.5965166711+0.2825983581*I618+0.2806503532*J618+0.2027213083*K618+0.1147824982*L618+0.0915305332*M618-0.0088454122*(I618*J618/100)-0.0336045706*(K618*L618/100)+2.8497389733*IF(D618="L",1,0)+4.5116226727*IF(D618="S",1,0)-0.6571546448*IF(E618="L",1,0)+0.0850728147*T618+0.0129488446*(T618*T618)+0.1909373936*IF(OR(F618="Utility",G618="Utility"),T618,0)+0.9656824071*R618-1.7517683256*S618+W618+X618+Y618)</f>
        <v/>
      </c>
      <c r="AB618">
        <f>LOOKUP(AA618,Grade_Scale!$A$2:$A$18,Grade_Scale!$B$2:$B$18)</f>
        <v/>
      </c>
      <c r="AC618">
        <f>LOOKUP(AA618,Grade_Scale!$A$2:$A$18,Grade_Scale!$C$2:$C$18)</f>
        <v/>
      </c>
      <c r="AE618">
        <f>IF(AD618="","",AB618-VLOOKUP(AD618,Grade_Scale!$C$2:$E$18,3,FALSE))</f>
        <v/>
      </c>
    </row>
    <row r="619">
      <c r="Q619">
        <f>IF(OR(B619="SP",B619="RP",B619="CP",B619="SP/RP"),"P","H")</f>
        <v/>
      </c>
      <c r="R619">
        <f>IF(F619="",0,IFNA(VLOOKUP(F619,Trait_Polarity!$A:$C,2,FALSE),0))+IF(G619="",0,IFNA(VLOOKUP(G619,Trait_Polarity!$A:$C,2,FALSE),0))</f>
        <v/>
      </c>
      <c r="S619">
        <f>IF(F619="",0,IFNA(VLOOKUP(F619,Trait_Polarity!$A:$C,3,FALSE),0))+IF(G619="",0,IFNA(VLOOKUP(G619,Trait_Polarity!$A:$C,3,FALSE),0))</f>
        <v/>
      </c>
      <c r="T619">
        <f>IF(Q619="P",0,IFNA(VLOOKUP(IF(C619="","(none)",C619),Secondary_Versatility!$A:$B,2,FALSE),0))</f>
        <v/>
      </c>
      <c r="U619">
        <f>IF(H619="",0,LEN(H619)-LEN(SUBSTITUTE(H619,"|",""))+1)</f>
        <v/>
      </c>
      <c r="V619">
        <f>IF(Q619="P",(N619+O619+P619)/3,0.3*I619+0.3*J619+0.2*K619+0.1*L619+0.1*M619)</f>
        <v/>
      </c>
      <c r="W619">
        <f>IF(Q619="P",IF(F619="",0,IFNA(VLOOKUP(F619,Pitcher_Trait_Coef!$A:$B,2,FALSE),0))+IF(G619="",0,IFNA(VLOOKUP(G619,Pitcher_Trait_Coef!$A:$B,2,FALSE),0)),IF(F619="",0,IFNA(VLOOKUP(F619,Hitter_Trait_Coef!$A:$B,2,FALSE),0))+IF(G619="",0,IFNA(VLOOKUP(G619,Hitter_Trait_Coef!$A:$B,2,FALSE),0)))</f>
        <v/>
      </c>
      <c r="X619">
        <f>IF(Q619="P",IFNA(VLOOKUP(B619,Pitcher_Primary_Coef!$A:$B,2,FALSE),0),IFNA(VLOOKUP(B619,Hitter_Primary_Coef!$A:$B,2,FALSE),0))</f>
        <v/>
      </c>
      <c r="Y619">
        <f>IF(Q619="P",0,IFNA(VLOOKUP(IF(C619="","(none)",C619),Hitter_Secondary_Coef!$A:$B,2,FALSE),0))</f>
        <v/>
      </c>
      <c r="Z619">
        <f>IF(Q619="P",IF(ISNUMBER(SEARCH("2F",H619)),IFNA(VLOOKUP("2F",Pitch_Coef!$A:$B,2,FALSE),0),0)+IF(ISNUMBER(SEARCH("4F",H619)),IFNA(VLOOKUP("4F",Pitch_Coef!$A:$B,2,FALSE),0),0)+IF(ISNUMBER(SEARCH("CB",H619)),IFNA(VLOOKUP("CB",Pitch_Coef!$A:$B,2,FALSE),0),0)+IF(ISNUMBER(SEARCH("CF",H619)),IFNA(VLOOKUP("CF",Pitch_Coef!$A:$B,2,FALSE),0),0)+IF(ISNUMBER(SEARCH("CH",H619)),IFNA(VLOOKUP("CH",Pitch_Coef!$A:$B,2,FALSE),0),0)+IF(ISNUMBER(SEARCH("FK",H619)),IFNA(VLOOKUP("FK",Pitch_Coef!$A:$B,2,FALSE),0),0)+IF(ISNUMBER(SEARCH("SB",H619)),IFNA(VLOOKUP("SB",Pitch_Coef!$A:$B,2,FALSE),0),0)+IF(ISNUMBER(SEARCH("SL",H619)),IFNA(VLOOKUP("SL",Pitch_Coef!$A:$B,2,FALSE),0),0),0)</f>
        <v/>
      </c>
      <c r="AA619">
        <f>IF(Q619="P",16.5944849573+0.2529999141*N619+0.2665900378*O619+0.2632687105*P619+0.0427586837*I619+0.0534777057*J619+0.009015832*K619+0.0204898106*(O619*P619/100)+1.0091022427*U619+1.0968542297*IF(D619="L",1,0)+0.3771555045*IF(D619="S",1,0)-0.2226159177*IF(E619="L",1,0)+1.21385024*R619-1.1652812274*S619+W619+X619+Z619,10.5965166711+0.2825983581*I619+0.2806503532*J619+0.2027213083*K619+0.1147824982*L619+0.0915305332*M619-0.0088454122*(I619*J619/100)-0.0336045706*(K619*L619/100)+2.8497389733*IF(D619="L",1,0)+4.5116226727*IF(D619="S",1,0)-0.6571546448*IF(E619="L",1,0)+0.0850728147*T619+0.0129488446*(T619*T619)+0.1909373936*IF(OR(F619="Utility",G619="Utility"),T619,0)+0.9656824071*R619-1.7517683256*S619+W619+X619+Y619)</f>
        <v/>
      </c>
      <c r="AB619">
        <f>LOOKUP(AA619,Grade_Scale!$A$2:$A$18,Grade_Scale!$B$2:$B$18)</f>
        <v/>
      </c>
      <c r="AC619">
        <f>LOOKUP(AA619,Grade_Scale!$A$2:$A$18,Grade_Scale!$C$2:$C$18)</f>
        <v/>
      </c>
      <c r="AE619">
        <f>IF(AD619="","",AB619-VLOOKUP(AD619,Grade_Scale!$C$2:$E$18,3,FALSE))</f>
        <v/>
      </c>
    </row>
    <row r="620">
      <c r="Q620">
        <f>IF(OR(B620="SP",B620="RP",B620="CP",B620="SP/RP"),"P","H")</f>
        <v/>
      </c>
      <c r="R620">
        <f>IF(F620="",0,IFNA(VLOOKUP(F620,Trait_Polarity!$A:$C,2,FALSE),0))+IF(G620="",0,IFNA(VLOOKUP(G620,Trait_Polarity!$A:$C,2,FALSE),0))</f>
        <v/>
      </c>
      <c r="S620">
        <f>IF(F620="",0,IFNA(VLOOKUP(F620,Trait_Polarity!$A:$C,3,FALSE),0))+IF(G620="",0,IFNA(VLOOKUP(G620,Trait_Polarity!$A:$C,3,FALSE),0))</f>
        <v/>
      </c>
      <c r="T620">
        <f>IF(Q620="P",0,IFNA(VLOOKUP(IF(C620="","(none)",C620),Secondary_Versatility!$A:$B,2,FALSE),0))</f>
        <v/>
      </c>
      <c r="U620">
        <f>IF(H620="",0,LEN(H620)-LEN(SUBSTITUTE(H620,"|",""))+1)</f>
        <v/>
      </c>
      <c r="V620">
        <f>IF(Q620="P",(N620+O620+P620)/3,0.3*I620+0.3*J620+0.2*K620+0.1*L620+0.1*M620)</f>
        <v/>
      </c>
      <c r="W620">
        <f>IF(Q620="P",IF(F620="",0,IFNA(VLOOKUP(F620,Pitcher_Trait_Coef!$A:$B,2,FALSE),0))+IF(G620="",0,IFNA(VLOOKUP(G620,Pitcher_Trait_Coef!$A:$B,2,FALSE),0)),IF(F620="",0,IFNA(VLOOKUP(F620,Hitter_Trait_Coef!$A:$B,2,FALSE),0))+IF(G620="",0,IFNA(VLOOKUP(G620,Hitter_Trait_Coef!$A:$B,2,FALSE),0)))</f>
        <v/>
      </c>
      <c r="X620">
        <f>IF(Q620="P",IFNA(VLOOKUP(B620,Pitcher_Primary_Coef!$A:$B,2,FALSE),0),IFNA(VLOOKUP(B620,Hitter_Primary_Coef!$A:$B,2,FALSE),0))</f>
        <v/>
      </c>
      <c r="Y620">
        <f>IF(Q620="P",0,IFNA(VLOOKUP(IF(C620="","(none)",C620),Hitter_Secondary_Coef!$A:$B,2,FALSE),0))</f>
        <v/>
      </c>
      <c r="Z620">
        <f>IF(Q620="P",IF(ISNUMBER(SEARCH("2F",H620)),IFNA(VLOOKUP("2F",Pitch_Coef!$A:$B,2,FALSE),0),0)+IF(ISNUMBER(SEARCH("4F",H620)),IFNA(VLOOKUP("4F",Pitch_Coef!$A:$B,2,FALSE),0),0)+IF(ISNUMBER(SEARCH("CB",H620)),IFNA(VLOOKUP("CB",Pitch_Coef!$A:$B,2,FALSE),0),0)+IF(ISNUMBER(SEARCH("CF",H620)),IFNA(VLOOKUP("CF",Pitch_Coef!$A:$B,2,FALSE),0),0)+IF(ISNUMBER(SEARCH("CH",H620)),IFNA(VLOOKUP("CH",Pitch_Coef!$A:$B,2,FALSE),0),0)+IF(ISNUMBER(SEARCH("FK",H620)),IFNA(VLOOKUP("FK",Pitch_Coef!$A:$B,2,FALSE),0),0)+IF(ISNUMBER(SEARCH("SB",H620)),IFNA(VLOOKUP("SB",Pitch_Coef!$A:$B,2,FALSE),0),0)+IF(ISNUMBER(SEARCH("SL",H620)),IFNA(VLOOKUP("SL",Pitch_Coef!$A:$B,2,FALSE),0),0),0)</f>
        <v/>
      </c>
      <c r="AA620">
        <f>IF(Q620="P",16.5944849573+0.2529999141*N620+0.2665900378*O620+0.2632687105*P620+0.0427586837*I620+0.0534777057*J620+0.009015832*K620+0.0204898106*(O620*P620/100)+1.0091022427*U620+1.0968542297*IF(D620="L",1,0)+0.3771555045*IF(D620="S",1,0)-0.2226159177*IF(E620="L",1,0)+1.21385024*R620-1.1652812274*S620+W620+X620+Z620,10.5965166711+0.2825983581*I620+0.2806503532*J620+0.2027213083*K620+0.1147824982*L620+0.0915305332*M620-0.0088454122*(I620*J620/100)-0.0336045706*(K620*L620/100)+2.8497389733*IF(D620="L",1,0)+4.5116226727*IF(D620="S",1,0)-0.6571546448*IF(E620="L",1,0)+0.0850728147*T620+0.0129488446*(T620*T620)+0.1909373936*IF(OR(F620="Utility",G620="Utility"),T620,0)+0.9656824071*R620-1.7517683256*S620+W620+X620+Y620)</f>
        <v/>
      </c>
      <c r="AB620">
        <f>LOOKUP(AA620,Grade_Scale!$A$2:$A$18,Grade_Scale!$B$2:$B$18)</f>
        <v/>
      </c>
      <c r="AC620">
        <f>LOOKUP(AA620,Grade_Scale!$A$2:$A$18,Grade_Scale!$C$2:$C$18)</f>
        <v/>
      </c>
      <c r="AE620">
        <f>IF(AD620="","",AB620-VLOOKUP(AD620,Grade_Scale!$C$2:$E$18,3,FALSE))</f>
        <v/>
      </c>
    </row>
    <row r="621">
      <c r="Q621">
        <f>IF(OR(B621="SP",B621="RP",B621="CP",B621="SP/RP"),"P","H")</f>
        <v/>
      </c>
      <c r="R621">
        <f>IF(F621="",0,IFNA(VLOOKUP(F621,Trait_Polarity!$A:$C,2,FALSE),0))+IF(G621="",0,IFNA(VLOOKUP(G621,Trait_Polarity!$A:$C,2,FALSE),0))</f>
        <v/>
      </c>
      <c r="S621">
        <f>IF(F621="",0,IFNA(VLOOKUP(F621,Trait_Polarity!$A:$C,3,FALSE),0))+IF(G621="",0,IFNA(VLOOKUP(G621,Trait_Polarity!$A:$C,3,FALSE),0))</f>
        <v/>
      </c>
      <c r="T621">
        <f>IF(Q621="P",0,IFNA(VLOOKUP(IF(C621="","(none)",C621),Secondary_Versatility!$A:$B,2,FALSE),0))</f>
        <v/>
      </c>
      <c r="U621">
        <f>IF(H621="",0,LEN(H621)-LEN(SUBSTITUTE(H621,"|",""))+1)</f>
        <v/>
      </c>
      <c r="V621">
        <f>IF(Q621="P",(N621+O621+P621)/3,0.3*I621+0.3*J621+0.2*K621+0.1*L621+0.1*M621)</f>
        <v/>
      </c>
      <c r="W621">
        <f>IF(Q621="P",IF(F621="",0,IFNA(VLOOKUP(F621,Pitcher_Trait_Coef!$A:$B,2,FALSE),0))+IF(G621="",0,IFNA(VLOOKUP(G621,Pitcher_Trait_Coef!$A:$B,2,FALSE),0)),IF(F621="",0,IFNA(VLOOKUP(F621,Hitter_Trait_Coef!$A:$B,2,FALSE),0))+IF(G621="",0,IFNA(VLOOKUP(G621,Hitter_Trait_Coef!$A:$B,2,FALSE),0)))</f>
        <v/>
      </c>
      <c r="X621">
        <f>IF(Q621="P",IFNA(VLOOKUP(B621,Pitcher_Primary_Coef!$A:$B,2,FALSE),0),IFNA(VLOOKUP(B621,Hitter_Primary_Coef!$A:$B,2,FALSE),0))</f>
        <v/>
      </c>
      <c r="Y621">
        <f>IF(Q621="P",0,IFNA(VLOOKUP(IF(C621="","(none)",C621),Hitter_Secondary_Coef!$A:$B,2,FALSE),0))</f>
        <v/>
      </c>
      <c r="Z621">
        <f>IF(Q621="P",IF(ISNUMBER(SEARCH("2F",H621)),IFNA(VLOOKUP("2F",Pitch_Coef!$A:$B,2,FALSE),0),0)+IF(ISNUMBER(SEARCH("4F",H621)),IFNA(VLOOKUP("4F",Pitch_Coef!$A:$B,2,FALSE),0),0)+IF(ISNUMBER(SEARCH("CB",H621)),IFNA(VLOOKUP("CB",Pitch_Coef!$A:$B,2,FALSE),0),0)+IF(ISNUMBER(SEARCH("CF",H621)),IFNA(VLOOKUP("CF",Pitch_Coef!$A:$B,2,FALSE),0),0)+IF(ISNUMBER(SEARCH("CH",H621)),IFNA(VLOOKUP("CH",Pitch_Coef!$A:$B,2,FALSE),0),0)+IF(ISNUMBER(SEARCH("FK",H621)),IFNA(VLOOKUP("FK",Pitch_Coef!$A:$B,2,FALSE),0),0)+IF(ISNUMBER(SEARCH("SB",H621)),IFNA(VLOOKUP("SB",Pitch_Coef!$A:$B,2,FALSE),0),0)+IF(ISNUMBER(SEARCH("SL",H621)),IFNA(VLOOKUP("SL",Pitch_Coef!$A:$B,2,FALSE),0),0),0)</f>
        <v/>
      </c>
      <c r="AA621">
        <f>IF(Q621="P",16.5944849573+0.2529999141*N621+0.2665900378*O621+0.2632687105*P621+0.0427586837*I621+0.0534777057*J621+0.009015832*K621+0.0204898106*(O621*P621/100)+1.0091022427*U621+1.0968542297*IF(D621="L",1,0)+0.3771555045*IF(D621="S",1,0)-0.2226159177*IF(E621="L",1,0)+1.21385024*R621-1.1652812274*S621+W621+X621+Z621,10.5965166711+0.2825983581*I621+0.2806503532*J621+0.2027213083*K621+0.1147824982*L621+0.0915305332*M621-0.0088454122*(I621*J621/100)-0.0336045706*(K621*L621/100)+2.8497389733*IF(D621="L",1,0)+4.5116226727*IF(D621="S",1,0)-0.6571546448*IF(E621="L",1,0)+0.0850728147*T621+0.0129488446*(T621*T621)+0.1909373936*IF(OR(F621="Utility",G621="Utility"),T621,0)+0.9656824071*R621-1.7517683256*S621+W621+X621+Y621)</f>
        <v/>
      </c>
      <c r="AB621">
        <f>LOOKUP(AA621,Grade_Scale!$A$2:$A$18,Grade_Scale!$B$2:$B$18)</f>
        <v/>
      </c>
      <c r="AC621">
        <f>LOOKUP(AA621,Grade_Scale!$A$2:$A$18,Grade_Scale!$C$2:$C$18)</f>
        <v/>
      </c>
      <c r="AE621">
        <f>IF(AD621="","",AB621-VLOOKUP(AD621,Grade_Scale!$C$2:$E$18,3,FALSE))</f>
        <v/>
      </c>
    </row>
    <row r="622">
      <c r="Q622">
        <f>IF(OR(B622="SP",B622="RP",B622="CP",B622="SP/RP"),"P","H")</f>
        <v/>
      </c>
      <c r="R622">
        <f>IF(F622="",0,IFNA(VLOOKUP(F622,Trait_Polarity!$A:$C,2,FALSE),0))+IF(G622="",0,IFNA(VLOOKUP(G622,Trait_Polarity!$A:$C,2,FALSE),0))</f>
        <v/>
      </c>
      <c r="S622">
        <f>IF(F622="",0,IFNA(VLOOKUP(F622,Trait_Polarity!$A:$C,3,FALSE),0))+IF(G622="",0,IFNA(VLOOKUP(G622,Trait_Polarity!$A:$C,3,FALSE),0))</f>
        <v/>
      </c>
      <c r="T622">
        <f>IF(Q622="P",0,IFNA(VLOOKUP(IF(C622="","(none)",C622),Secondary_Versatility!$A:$B,2,FALSE),0))</f>
        <v/>
      </c>
      <c r="U622">
        <f>IF(H622="",0,LEN(H622)-LEN(SUBSTITUTE(H622,"|",""))+1)</f>
        <v/>
      </c>
      <c r="V622">
        <f>IF(Q622="P",(N622+O622+P622)/3,0.3*I622+0.3*J622+0.2*K622+0.1*L622+0.1*M622)</f>
        <v/>
      </c>
      <c r="W622">
        <f>IF(Q622="P",IF(F622="",0,IFNA(VLOOKUP(F622,Pitcher_Trait_Coef!$A:$B,2,FALSE),0))+IF(G622="",0,IFNA(VLOOKUP(G622,Pitcher_Trait_Coef!$A:$B,2,FALSE),0)),IF(F622="",0,IFNA(VLOOKUP(F622,Hitter_Trait_Coef!$A:$B,2,FALSE),0))+IF(G622="",0,IFNA(VLOOKUP(G622,Hitter_Trait_Coef!$A:$B,2,FALSE),0)))</f>
        <v/>
      </c>
      <c r="X622">
        <f>IF(Q622="P",IFNA(VLOOKUP(B622,Pitcher_Primary_Coef!$A:$B,2,FALSE),0),IFNA(VLOOKUP(B622,Hitter_Primary_Coef!$A:$B,2,FALSE),0))</f>
        <v/>
      </c>
      <c r="Y622">
        <f>IF(Q622="P",0,IFNA(VLOOKUP(IF(C622="","(none)",C622),Hitter_Secondary_Coef!$A:$B,2,FALSE),0))</f>
        <v/>
      </c>
      <c r="Z622">
        <f>IF(Q622="P",IF(ISNUMBER(SEARCH("2F",H622)),IFNA(VLOOKUP("2F",Pitch_Coef!$A:$B,2,FALSE),0),0)+IF(ISNUMBER(SEARCH("4F",H622)),IFNA(VLOOKUP("4F",Pitch_Coef!$A:$B,2,FALSE),0),0)+IF(ISNUMBER(SEARCH("CB",H622)),IFNA(VLOOKUP("CB",Pitch_Coef!$A:$B,2,FALSE),0),0)+IF(ISNUMBER(SEARCH("CF",H622)),IFNA(VLOOKUP("CF",Pitch_Coef!$A:$B,2,FALSE),0),0)+IF(ISNUMBER(SEARCH("CH",H622)),IFNA(VLOOKUP("CH",Pitch_Coef!$A:$B,2,FALSE),0),0)+IF(ISNUMBER(SEARCH("FK",H622)),IFNA(VLOOKUP("FK",Pitch_Coef!$A:$B,2,FALSE),0),0)+IF(ISNUMBER(SEARCH("SB",H622)),IFNA(VLOOKUP("SB",Pitch_Coef!$A:$B,2,FALSE),0),0)+IF(ISNUMBER(SEARCH("SL",H622)),IFNA(VLOOKUP("SL",Pitch_Coef!$A:$B,2,FALSE),0),0),0)</f>
        <v/>
      </c>
      <c r="AA622">
        <f>IF(Q622="P",16.5944849573+0.2529999141*N622+0.2665900378*O622+0.2632687105*P622+0.0427586837*I622+0.0534777057*J622+0.009015832*K622+0.0204898106*(O622*P622/100)+1.0091022427*U622+1.0968542297*IF(D622="L",1,0)+0.3771555045*IF(D622="S",1,0)-0.2226159177*IF(E622="L",1,0)+1.21385024*R622-1.1652812274*S622+W622+X622+Z622,10.5965166711+0.2825983581*I622+0.2806503532*J622+0.2027213083*K622+0.1147824982*L622+0.0915305332*M622-0.0088454122*(I622*J622/100)-0.0336045706*(K622*L622/100)+2.8497389733*IF(D622="L",1,0)+4.5116226727*IF(D622="S",1,0)-0.6571546448*IF(E622="L",1,0)+0.0850728147*T622+0.0129488446*(T622*T622)+0.1909373936*IF(OR(F622="Utility",G622="Utility"),T622,0)+0.9656824071*R622-1.7517683256*S622+W622+X622+Y622)</f>
        <v/>
      </c>
      <c r="AB622">
        <f>LOOKUP(AA622,Grade_Scale!$A$2:$A$18,Grade_Scale!$B$2:$B$18)</f>
        <v/>
      </c>
      <c r="AC622">
        <f>LOOKUP(AA622,Grade_Scale!$A$2:$A$18,Grade_Scale!$C$2:$C$18)</f>
        <v/>
      </c>
      <c r="AE622">
        <f>IF(AD622="","",AB622-VLOOKUP(AD622,Grade_Scale!$C$2:$E$18,3,FALSE))</f>
        <v/>
      </c>
    </row>
    <row r="623">
      <c r="Q623">
        <f>IF(OR(B623="SP",B623="RP",B623="CP",B623="SP/RP"),"P","H")</f>
        <v/>
      </c>
      <c r="R623">
        <f>IF(F623="",0,IFNA(VLOOKUP(F623,Trait_Polarity!$A:$C,2,FALSE),0))+IF(G623="",0,IFNA(VLOOKUP(G623,Trait_Polarity!$A:$C,2,FALSE),0))</f>
        <v/>
      </c>
      <c r="S623">
        <f>IF(F623="",0,IFNA(VLOOKUP(F623,Trait_Polarity!$A:$C,3,FALSE),0))+IF(G623="",0,IFNA(VLOOKUP(G623,Trait_Polarity!$A:$C,3,FALSE),0))</f>
        <v/>
      </c>
      <c r="T623">
        <f>IF(Q623="P",0,IFNA(VLOOKUP(IF(C623="","(none)",C623),Secondary_Versatility!$A:$B,2,FALSE),0))</f>
        <v/>
      </c>
      <c r="U623">
        <f>IF(H623="",0,LEN(H623)-LEN(SUBSTITUTE(H623,"|",""))+1)</f>
        <v/>
      </c>
      <c r="V623">
        <f>IF(Q623="P",(N623+O623+P623)/3,0.3*I623+0.3*J623+0.2*K623+0.1*L623+0.1*M623)</f>
        <v/>
      </c>
      <c r="W623">
        <f>IF(Q623="P",IF(F623="",0,IFNA(VLOOKUP(F623,Pitcher_Trait_Coef!$A:$B,2,FALSE),0))+IF(G623="",0,IFNA(VLOOKUP(G623,Pitcher_Trait_Coef!$A:$B,2,FALSE),0)),IF(F623="",0,IFNA(VLOOKUP(F623,Hitter_Trait_Coef!$A:$B,2,FALSE),0))+IF(G623="",0,IFNA(VLOOKUP(G623,Hitter_Trait_Coef!$A:$B,2,FALSE),0)))</f>
        <v/>
      </c>
      <c r="X623">
        <f>IF(Q623="P",IFNA(VLOOKUP(B623,Pitcher_Primary_Coef!$A:$B,2,FALSE),0),IFNA(VLOOKUP(B623,Hitter_Primary_Coef!$A:$B,2,FALSE),0))</f>
        <v/>
      </c>
      <c r="Y623">
        <f>IF(Q623="P",0,IFNA(VLOOKUP(IF(C623="","(none)",C623),Hitter_Secondary_Coef!$A:$B,2,FALSE),0))</f>
        <v/>
      </c>
      <c r="Z623">
        <f>IF(Q623="P",IF(ISNUMBER(SEARCH("2F",H623)),IFNA(VLOOKUP("2F",Pitch_Coef!$A:$B,2,FALSE),0),0)+IF(ISNUMBER(SEARCH("4F",H623)),IFNA(VLOOKUP("4F",Pitch_Coef!$A:$B,2,FALSE),0),0)+IF(ISNUMBER(SEARCH("CB",H623)),IFNA(VLOOKUP("CB",Pitch_Coef!$A:$B,2,FALSE),0),0)+IF(ISNUMBER(SEARCH("CF",H623)),IFNA(VLOOKUP("CF",Pitch_Coef!$A:$B,2,FALSE),0),0)+IF(ISNUMBER(SEARCH("CH",H623)),IFNA(VLOOKUP("CH",Pitch_Coef!$A:$B,2,FALSE),0),0)+IF(ISNUMBER(SEARCH("FK",H623)),IFNA(VLOOKUP("FK",Pitch_Coef!$A:$B,2,FALSE),0),0)+IF(ISNUMBER(SEARCH("SB",H623)),IFNA(VLOOKUP("SB",Pitch_Coef!$A:$B,2,FALSE),0),0)+IF(ISNUMBER(SEARCH("SL",H623)),IFNA(VLOOKUP("SL",Pitch_Coef!$A:$B,2,FALSE),0),0),0)</f>
        <v/>
      </c>
      <c r="AA623">
        <f>IF(Q623="P",16.5944849573+0.2529999141*N623+0.2665900378*O623+0.2632687105*P623+0.0427586837*I623+0.0534777057*J623+0.009015832*K623+0.0204898106*(O623*P623/100)+1.0091022427*U623+1.0968542297*IF(D623="L",1,0)+0.3771555045*IF(D623="S",1,0)-0.2226159177*IF(E623="L",1,0)+1.21385024*R623-1.1652812274*S623+W623+X623+Z623,10.5965166711+0.2825983581*I623+0.2806503532*J623+0.2027213083*K623+0.1147824982*L623+0.0915305332*M623-0.0088454122*(I623*J623/100)-0.0336045706*(K623*L623/100)+2.8497389733*IF(D623="L",1,0)+4.5116226727*IF(D623="S",1,0)-0.6571546448*IF(E623="L",1,0)+0.0850728147*T623+0.0129488446*(T623*T623)+0.1909373936*IF(OR(F623="Utility",G623="Utility"),T623,0)+0.9656824071*R623-1.7517683256*S623+W623+X623+Y623)</f>
        <v/>
      </c>
      <c r="AB623">
        <f>LOOKUP(AA623,Grade_Scale!$A$2:$A$18,Grade_Scale!$B$2:$B$18)</f>
        <v/>
      </c>
      <c r="AC623">
        <f>LOOKUP(AA623,Grade_Scale!$A$2:$A$18,Grade_Scale!$C$2:$C$18)</f>
        <v/>
      </c>
      <c r="AE623">
        <f>IF(AD623="","",AB623-VLOOKUP(AD623,Grade_Scale!$C$2:$E$18,3,FALSE))</f>
        <v/>
      </c>
    </row>
    <row r="624">
      <c r="Q624">
        <f>IF(OR(B624="SP",B624="RP",B624="CP",B624="SP/RP"),"P","H")</f>
        <v/>
      </c>
      <c r="R624">
        <f>IF(F624="",0,IFNA(VLOOKUP(F624,Trait_Polarity!$A:$C,2,FALSE),0))+IF(G624="",0,IFNA(VLOOKUP(G624,Trait_Polarity!$A:$C,2,FALSE),0))</f>
        <v/>
      </c>
      <c r="S624">
        <f>IF(F624="",0,IFNA(VLOOKUP(F624,Trait_Polarity!$A:$C,3,FALSE),0))+IF(G624="",0,IFNA(VLOOKUP(G624,Trait_Polarity!$A:$C,3,FALSE),0))</f>
        <v/>
      </c>
      <c r="T624">
        <f>IF(Q624="P",0,IFNA(VLOOKUP(IF(C624="","(none)",C624),Secondary_Versatility!$A:$B,2,FALSE),0))</f>
        <v/>
      </c>
      <c r="U624">
        <f>IF(H624="",0,LEN(H624)-LEN(SUBSTITUTE(H624,"|",""))+1)</f>
        <v/>
      </c>
      <c r="V624">
        <f>IF(Q624="P",(N624+O624+P624)/3,0.3*I624+0.3*J624+0.2*K624+0.1*L624+0.1*M624)</f>
        <v/>
      </c>
      <c r="W624">
        <f>IF(Q624="P",IF(F624="",0,IFNA(VLOOKUP(F624,Pitcher_Trait_Coef!$A:$B,2,FALSE),0))+IF(G624="",0,IFNA(VLOOKUP(G624,Pitcher_Trait_Coef!$A:$B,2,FALSE),0)),IF(F624="",0,IFNA(VLOOKUP(F624,Hitter_Trait_Coef!$A:$B,2,FALSE),0))+IF(G624="",0,IFNA(VLOOKUP(G624,Hitter_Trait_Coef!$A:$B,2,FALSE),0)))</f>
        <v/>
      </c>
      <c r="X624">
        <f>IF(Q624="P",IFNA(VLOOKUP(B624,Pitcher_Primary_Coef!$A:$B,2,FALSE),0),IFNA(VLOOKUP(B624,Hitter_Primary_Coef!$A:$B,2,FALSE),0))</f>
        <v/>
      </c>
      <c r="Y624">
        <f>IF(Q624="P",0,IFNA(VLOOKUP(IF(C624="","(none)",C624),Hitter_Secondary_Coef!$A:$B,2,FALSE),0))</f>
        <v/>
      </c>
      <c r="Z624">
        <f>IF(Q624="P",IF(ISNUMBER(SEARCH("2F",H624)),IFNA(VLOOKUP("2F",Pitch_Coef!$A:$B,2,FALSE),0),0)+IF(ISNUMBER(SEARCH("4F",H624)),IFNA(VLOOKUP("4F",Pitch_Coef!$A:$B,2,FALSE),0),0)+IF(ISNUMBER(SEARCH("CB",H624)),IFNA(VLOOKUP("CB",Pitch_Coef!$A:$B,2,FALSE),0),0)+IF(ISNUMBER(SEARCH("CF",H624)),IFNA(VLOOKUP("CF",Pitch_Coef!$A:$B,2,FALSE),0),0)+IF(ISNUMBER(SEARCH("CH",H624)),IFNA(VLOOKUP("CH",Pitch_Coef!$A:$B,2,FALSE),0),0)+IF(ISNUMBER(SEARCH("FK",H624)),IFNA(VLOOKUP("FK",Pitch_Coef!$A:$B,2,FALSE),0),0)+IF(ISNUMBER(SEARCH("SB",H624)),IFNA(VLOOKUP("SB",Pitch_Coef!$A:$B,2,FALSE),0),0)+IF(ISNUMBER(SEARCH("SL",H624)),IFNA(VLOOKUP("SL",Pitch_Coef!$A:$B,2,FALSE),0),0),0)</f>
        <v/>
      </c>
      <c r="AA624">
        <f>IF(Q624="P",16.5944849573+0.2529999141*N624+0.2665900378*O624+0.2632687105*P624+0.0427586837*I624+0.0534777057*J624+0.009015832*K624+0.0204898106*(O624*P624/100)+1.0091022427*U624+1.0968542297*IF(D624="L",1,0)+0.3771555045*IF(D624="S",1,0)-0.2226159177*IF(E624="L",1,0)+1.21385024*R624-1.1652812274*S624+W624+X624+Z624,10.5965166711+0.2825983581*I624+0.2806503532*J624+0.2027213083*K624+0.1147824982*L624+0.0915305332*M624-0.0088454122*(I624*J624/100)-0.0336045706*(K624*L624/100)+2.8497389733*IF(D624="L",1,0)+4.5116226727*IF(D624="S",1,0)-0.6571546448*IF(E624="L",1,0)+0.0850728147*T624+0.0129488446*(T624*T624)+0.1909373936*IF(OR(F624="Utility",G624="Utility"),T624,0)+0.9656824071*R624-1.7517683256*S624+W624+X624+Y624)</f>
        <v/>
      </c>
      <c r="AB624">
        <f>LOOKUP(AA624,Grade_Scale!$A$2:$A$18,Grade_Scale!$B$2:$B$18)</f>
        <v/>
      </c>
      <c r="AC624">
        <f>LOOKUP(AA624,Grade_Scale!$A$2:$A$18,Grade_Scale!$C$2:$C$18)</f>
        <v/>
      </c>
      <c r="AE624">
        <f>IF(AD624="","",AB624-VLOOKUP(AD624,Grade_Scale!$C$2:$E$18,3,FALSE))</f>
        <v/>
      </c>
    </row>
    <row r="625">
      <c r="Q625">
        <f>IF(OR(B625="SP",B625="RP",B625="CP",B625="SP/RP"),"P","H")</f>
        <v/>
      </c>
      <c r="R625">
        <f>IF(F625="",0,IFNA(VLOOKUP(F625,Trait_Polarity!$A:$C,2,FALSE),0))+IF(G625="",0,IFNA(VLOOKUP(G625,Trait_Polarity!$A:$C,2,FALSE),0))</f>
        <v/>
      </c>
      <c r="S625">
        <f>IF(F625="",0,IFNA(VLOOKUP(F625,Trait_Polarity!$A:$C,3,FALSE),0))+IF(G625="",0,IFNA(VLOOKUP(G625,Trait_Polarity!$A:$C,3,FALSE),0))</f>
        <v/>
      </c>
      <c r="T625">
        <f>IF(Q625="P",0,IFNA(VLOOKUP(IF(C625="","(none)",C625),Secondary_Versatility!$A:$B,2,FALSE),0))</f>
        <v/>
      </c>
      <c r="U625">
        <f>IF(H625="",0,LEN(H625)-LEN(SUBSTITUTE(H625,"|",""))+1)</f>
        <v/>
      </c>
      <c r="V625">
        <f>IF(Q625="P",(N625+O625+P625)/3,0.3*I625+0.3*J625+0.2*K625+0.1*L625+0.1*M625)</f>
        <v/>
      </c>
      <c r="W625">
        <f>IF(Q625="P",IF(F625="",0,IFNA(VLOOKUP(F625,Pitcher_Trait_Coef!$A:$B,2,FALSE),0))+IF(G625="",0,IFNA(VLOOKUP(G625,Pitcher_Trait_Coef!$A:$B,2,FALSE),0)),IF(F625="",0,IFNA(VLOOKUP(F625,Hitter_Trait_Coef!$A:$B,2,FALSE),0))+IF(G625="",0,IFNA(VLOOKUP(G625,Hitter_Trait_Coef!$A:$B,2,FALSE),0)))</f>
        <v/>
      </c>
      <c r="X625">
        <f>IF(Q625="P",IFNA(VLOOKUP(B625,Pitcher_Primary_Coef!$A:$B,2,FALSE),0),IFNA(VLOOKUP(B625,Hitter_Primary_Coef!$A:$B,2,FALSE),0))</f>
        <v/>
      </c>
      <c r="Y625">
        <f>IF(Q625="P",0,IFNA(VLOOKUP(IF(C625="","(none)",C625),Hitter_Secondary_Coef!$A:$B,2,FALSE),0))</f>
        <v/>
      </c>
      <c r="Z625">
        <f>IF(Q625="P",IF(ISNUMBER(SEARCH("2F",H625)),IFNA(VLOOKUP("2F",Pitch_Coef!$A:$B,2,FALSE),0),0)+IF(ISNUMBER(SEARCH("4F",H625)),IFNA(VLOOKUP("4F",Pitch_Coef!$A:$B,2,FALSE),0),0)+IF(ISNUMBER(SEARCH("CB",H625)),IFNA(VLOOKUP("CB",Pitch_Coef!$A:$B,2,FALSE),0),0)+IF(ISNUMBER(SEARCH("CF",H625)),IFNA(VLOOKUP("CF",Pitch_Coef!$A:$B,2,FALSE),0),0)+IF(ISNUMBER(SEARCH("CH",H625)),IFNA(VLOOKUP("CH",Pitch_Coef!$A:$B,2,FALSE),0),0)+IF(ISNUMBER(SEARCH("FK",H625)),IFNA(VLOOKUP("FK",Pitch_Coef!$A:$B,2,FALSE),0),0)+IF(ISNUMBER(SEARCH("SB",H625)),IFNA(VLOOKUP("SB",Pitch_Coef!$A:$B,2,FALSE),0),0)+IF(ISNUMBER(SEARCH("SL",H625)),IFNA(VLOOKUP("SL",Pitch_Coef!$A:$B,2,FALSE),0),0),0)</f>
        <v/>
      </c>
      <c r="AA625">
        <f>IF(Q625="P",16.5944849573+0.2529999141*N625+0.2665900378*O625+0.2632687105*P625+0.0427586837*I625+0.0534777057*J625+0.009015832*K625+0.0204898106*(O625*P625/100)+1.0091022427*U625+1.0968542297*IF(D625="L",1,0)+0.3771555045*IF(D625="S",1,0)-0.2226159177*IF(E625="L",1,0)+1.21385024*R625-1.1652812274*S625+W625+X625+Z625,10.5965166711+0.2825983581*I625+0.2806503532*J625+0.2027213083*K625+0.1147824982*L625+0.0915305332*M625-0.0088454122*(I625*J625/100)-0.0336045706*(K625*L625/100)+2.8497389733*IF(D625="L",1,0)+4.5116226727*IF(D625="S",1,0)-0.6571546448*IF(E625="L",1,0)+0.0850728147*T625+0.0129488446*(T625*T625)+0.1909373936*IF(OR(F625="Utility",G625="Utility"),T625,0)+0.9656824071*R625-1.7517683256*S625+W625+X625+Y625)</f>
        <v/>
      </c>
      <c r="AB625">
        <f>LOOKUP(AA625,Grade_Scale!$A$2:$A$18,Grade_Scale!$B$2:$B$18)</f>
        <v/>
      </c>
      <c r="AC625">
        <f>LOOKUP(AA625,Grade_Scale!$A$2:$A$18,Grade_Scale!$C$2:$C$18)</f>
        <v/>
      </c>
      <c r="AE625">
        <f>IF(AD625="","",AB625-VLOOKUP(AD625,Grade_Scale!$C$2:$E$18,3,FALSE))</f>
        <v/>
      </c>
    </row>
    <row r="626">
      <c r="Q626">
        <f>IF(OR(B626="SP",B626="RP",B626="CP",B626="SP/RP"),"P","H")</f>
        <v/>
      </c>
      <c r="R626">
        <f>IF(F626="",0,IFNA(VLOOKUP(F626,Trait_Polarity!$A:$C,2,FALSE),0))+IF(G626="",0,IFNA(VLOOKUP(G626,Trait_Polarity!$A:$C,2,FALSE),0))</f>
        <v/>
      </c>
      <c r="S626">
        <f>IF(F626="",0,IFNA(VLOOKUP(F626,Trait_Polarity!$A:$C,3,FALSE),0))+IF(G626="",0,IFNA(VLOOKUP(G626,Trait_Polarity!$A:$C,3,FALSE),0))</f>
        <v/>
      </c>
      <c r="T626">
        <f>IF(Q626="P",0,IFNA(VLOOKUP(IF(C626="","(none)",C626),Secondary_Versatility!$A:$B,2,FALSE),0))</f>
        <v/>
      </c>
      <c r="U626">
        <f>IF(H626="",0,LEN(H626)-LEN(SUBSTITUTE(H626,"|",""))+1)</f>
        <v/>
      </c>
      <c r="V626">
        <f>IF(Q626="P",(N626+O626+P626)/3,0.3*I626+0.3*J626+0.2*K626+0.1*L626+0.1*M626)</f>
        <v/>
      </c>
      <c r="W626">
        <f>IF(Q626="P",IF(F626="",0,IFNA(VLOOKUP(F626,Pitcher_Trait_Coef!$A:$B,2,FALSE),0))+IF(G626="",0,IFNA(VLOOKUP(G626,Pitcher_Trait_Coef!$A:$B,2,FALSE),0)),IF(F626="",0,IFNA(VLOOKUP(F626,Hitter_Trait_Coef!$A:$B,2,FALSE),0))+IF(G626="",0,IFNA(VLOOKUP(G626,Hitter_Trait_Coef!$A:$B,2,FALSE),0)))</f>
        <v/>
      </c>
      <c r="X626">
        <f>IF(Q626="P",IFNA(VLOOKUP(B626,Pitcher_Primary_Coef!$A:$B,2,FALSE),0),IFNA(VLOOKUP(B626,Hitter_Primary_Coef!$A:$B,2,FALSE),0))</f>
        <v/>
      </c>
      <c r="Y626">
        <f>IF(Q626="P",0,IFNA(VLOOKUP(IF(C626="","(none)",C626),Hitter_Secondary_Coef!$A:$B,2,FALSE),0))</f>
        <v/>
      </c>
      <c r="Z626">
        <f>IF(Q626="P",IF(ISNUMBER(SEARCH("2F",H626)),IFNA(VLOOKUP("2F",Pitch_Coef!$A:$B,2,FALSE),0),0)+IF(ISNUMBER(SEARCH("4F",H626)),IFNA(VLOOKUP("4F",Pitch_Coef!$A:$B,2,FALSE),0),0)+IF(ISNUMBER(SEARCH("CB",H626)),IFNA(VLOOKUP("CB",Pitch_Coef!$A:$B,2,FALSE),0),0)+IF(ISNUMBER(SEARCH("CF",H626)),IFNA(VLOOKUP("CF",Pitch_Coef!$A:$B,2,FALSE),0),0)+IF(ISNUMBER(SEARCH("CH",H626)),IFNA(VLOOKUP("CH",Pitch_Coef!$A:$B,2,FALSE),0),0)+IF(ISNUMBER(SEARCH("FK",H626)),IFNA(VLOOKUP("FK",Pitch_Coef!$A:$B,2,FALSE),0),0)+IF(ISNUMBER(SEARCH("SB",H626)),IFNA(VLOOKUP("SB",Pitch_Coef!$A:$B,2,FALSE),0),0)+IF(ISNUMBER(SEARCH("SL",H626)),IFNA(VLOOKUP("SL",Pitch_Coef!$A:$B,2,FALSE),0),0),0)</f>
        <v/>
      </c>
      <c r="AA626">
        <f>IF(Q626="P",16.5944849573+0.2529999141*N626+0.2665900378*O626+0.2632687105*P626+0.0427586837*I626+0.0534777057*J626+0.009015832*K626+0.0204898106*(O626*P626/100)+1.0091022427*U626+1.0968542297*IF(D626="L",1,0)+0.3771555045*IF(D626="S",1,0)-0.2226159177*IF(E626="L",1,0)+1.21385024*R626-1.1652812274*S626+W626+X626+Z626,10.5965166711+0.2825983581*I626+0.2806503532*J626+0.2027213083*K626+0.1147824982*L626+0.0915305332*M626-0.0088454122*(I626*J626/100)-0.0336045706*(K626*L626/100)+2.8497389733*IF(D626="L",1,0)+4.5116226727*IF(D626="S",1,0)-0.6571546448*IF(E626="L",1,0)+0.0850728147*T626+0.0129488446*(T626*T626)+0.1909373936*IF(OR(F626="Utility",G626="Utility"),T626,0)+0.9656824071*R626-1.7517683256*S626+W626+X626+Y626)</f>
        <v/>
      </c>
      <c r="AB626">
        <f>LOOKUP(AA626,Grade_Scale!$A$2:$A$18,Grade_Scale!$B$2:$B$18)</f>
        <v/>
      </c>
      <c r="AC626">
        <f>LOOKUP(AA626,Grade_Scale!$A$2:$A$18,Grade_Scale!$C$2:$C$18)</f>
        <v/>
      </c>
      <c r="AE626">
        <f>IF(AD626="","",AB626-VLOOKUP(AD626,Grade_Scale!$C$2:$E$18,3,FALSE))</f>
        <v/>
      </c>
    </row>
    <row r="627">
      <c r="Q627">
        <f>IF(OR(B627="SP",B627="RP",B627="CP",B627="SP/RP"),"P","H")</f>
        <v/>
      </c>
      <c r="R627">
        <f>IF(F627="",0,IFNA(VLOOKUP(F627,Trait_Polarity!$A:$C,2,FALSE),0))+IF(G627="",0,IFNA(VLOOKUP(G627,Trait_Polarity!$A:$C,2,FALSE),0))</f>
        <v/>
      </c>
      <c r="S627">
        <f>IF(F627="",0,IFNA(VLOOKUP(F627,Trait_Polarity!$A:$C,3,FALSE),0))+IF(G627="",0,IFNA(VLOOKUP(G627,Trait_Polarity!$A:$C,3,FALSE),0))</f>
        <v/>
      </c>
      <c r="T627">
        <f>IF(Q627="P",0,IFNA(VLOOKUP(IF(C627="","(none)",C627),Secondary_Versatility!$A:$B,2,FALSE),0))</f>
        <v/>
      </c>
      <c r="U627">
        <f>IF(H627="",0,LEN(H627)-LEN(SUBSTITUTE(H627,"|",""))+1)</f>
        <v/>
      </c>
      <c r="V627">
        <f>IF(Q627="P",(N627+O627+P627)/3,0.3*I627+0.3*J627+0.2*K627+0.1*L627+0.1*M627)</f>
        <v/>
      </c>
      <c r="W627">
        <f>IF(Q627="P",IF(F627="",0,IFNA(VLOOKUP(F627,Pitcher_Trait_Coef!$A:$B,2,FALSE),0))+IF(G627="",0,IFNA(VLOOKUP(G627,Pitcher_Trait_Coef!$A:$B,2,FALSE),0)),IF(F627="",0,IFNA(VLOOKUP(F627,Hitter_Trait_Coef!$A:$B,2,FALSE),0))+IF(G627="",0,IFNA(VLOOKUP(G627,Hitter_Trait_Coef!$A:$B,2,FALSE),0)))</f>
        <v/>
      </c>
      <c r="X627">
        <f>IF(Q627="P",IFNA(VLOOKUP(B627,Pitcher_Primary_Coef!$A:$B,2,FALSE),0),IFNA(VLOOKUP(B627,Hitter_Primary_Coef!$A:$B,2,FALSE),0))</f>
        <v/>
      </c>
      <c r="Y627">
        <f>IF(Q627="P",0,IFNA(VLOOKUP(IF(C627="","(none)",C627),Hitter_Secondary_Coef!$A:$B,2,FALSE),0))</f>
        <v/>
      </c>
      <c r="Z627">
        <f>IF(Q627="P",IF(ISNUMBER(SEARCH("2F",H627)),IFNA(VLOOKUP("2F",Pitch_Coef!$A:$B,2,FALSE),0),0)+IF(ISNUMBER(SEARCH("4F",H627)),IFNA(VLOOKUP("4F",Pitch_Coef!$A:$B,2,FALSE),0),0)+IF(ISNUMBER(SEARCH("CB",H627)),IFNA(VLOOKUP("CB",Pitch_Coef!$A:$B,2,FALSE),0),0)+IF(ISNUMBER(SEARCH("CF",H627)),IFNA(VLOOKUP("CF",Pitch_Coef!$A:$B,2,FALSE),0),0)+IF(ISNUMBER(SEARCH("CH",H627)),IFNA(VLOOKUP("CH",Pitch_Coef!$A:$B,2,FALSE),0),0)+IF(ISNUMBER(SEARCH("FK",H627)),IFNA(VLOOKUP("FK",Pitch_Coef!$A:$B,2,FALSE),0),0)+IF(ISNUMBER(SEARCH("SB",H627)),IFNA(VLOOKUP("SB",Pitch_Coef!$A:$B,2,FALSE),0),0)+IF(ISNUMBER(SEARCH("SL",H627)),IFNA(VLOOKUP("SL",Pitch_Coef!$A:$B,2,FALSE),0),0),0)</f>
        <v/>
      </c>
      <c r="AA627">
        <f>IF(Q627="P",16.5944849573+0.2529999141*N627+0.2665900378*O627+0.2632687105*P627+0.0427586837*I627+0.0534777057*J627+0.009015832*K627+0.0204898106*(O627*P627/100)+1.0091022427*U627+1.0968542297*IF(D627="L",1,0)+0.3771555045*IF(D627="S",1,0)-0.2226159177*IF(E627="L",1,0)+1.21385024*R627-1.1652812274*S627+W627+X627+Z627,10.5965166711+0.2825983581*I627+0.2806503532*J627+0.2027213083*K627+0.1147824982*L627+0.0915305332*M627-0.0088454122*(I627*J627/100)-0.0336045706*(K627*L627/100)+2.8497389733*IF(D627="L",1,0)+4.5116226727*IF(D627="S",1,0)-0.6571546448*IF(E627="L",1,0)+0.0850728147*T627+0.0129488446*(T627*T627)+0.1909373936*IF(OR(F627="Utility",G627="Utility"),T627,0)+0.9656824071*R627-1.7517683256*S627+W627+X627+Y627)</f>
        <v/>
      </c>
      <c r="AB627">
        <f>LOOKUP(AA627,Grade_Scale!$A$2:$A$18,Grade_Scale!$B$2:$B$18)</f>
        <v/>
      </c>
      <c r="AC627">
        <f>LOOKUP(AA627,Grade_Scale!$A$2:$A$18,Grade_Scale!$C$2:$C$18)</f>
        <v/>
      </c>
      <c r="AE627">
        <f>IF(AD627="","",AB627-VLOOKUP(AD627,Grade_Scale!$C$2:$E$18,3,FALSE))</f>
        <v/>
      </c>
    </row>
    <row r="628">
      <c r="Q628">
        <f>IF(OR(B628="SP",B628="RP",B628="CP",B628="SP/RP"),"P","H")</f>
        <v/>
      </c>
      <c r="R628">
        <f>IF(F628="",0,IFNA(VLOOKUP(F628,Trait_Polarity!$A:$C,2,FALSE),0))+IF(G628="",0,IFNA(VLOOKUP(G628,Trait_Polarity!$A:$C,2,FALSE),0))</f>
        <v/>
      </c>
      <c r="S628">
        <f>IF(F628="",0,IFNA(VLOOKUP(F628,Trait_Polarity!$A:$C,3,FALSE),0))+IF(G628="",0,IFNA(VLOOKUP(G628,Trait_Polarity!$A:$C,3,FALSE),0))</f>
        <v/>
      </c>
      <c r="T628">
        <f>IF(Q628="P",0,IFNA(VLOOKUP(IF(C628="","(none)",C628),Secondary_Versatility!$A:$B,2,FALSE),0))</f>
        <v/>
      </c>
      <c r="U628">
        <f>IF(H628="",0,LEN(H628)-LEN(SUBSTITUTE(H628,"|",""))+1)</f>
        <v/>
      </c>
      <c r="V628">
        <f>IF(Q628="P",(N628+O628+P628)/3,0.3*I628+0.3*J628+0.2*K628+0.1*L628+0.1*M628)</f>
        <v/>
      </c>
      <c r="W628">
        <f>IF(Q628="P",IF(F628="",0,IFNA(VLOOKUP(F628,Pitcher_Trait_Coef!$A:$B,2,FALSE),0))+IF(G628="",0,IFNA(VLOOKUP(G628,Pitcher_Trait_Coef!$A:$B,2,FALSE),0)),IF(F628="",0,IFNA(VLOOKUP(F628,Hitter_Trait_Coef!$A:$B,2,FALSE),0))+IF(G628="",0,IFNA(VLOOKUP(G628,Hitter_Trait_Coef!$A:$B,2,FALSE),0)))</f>
        <v/>
      </c>
      <c r="X628">
        <f>IF(Q628="P",IFNA(VLOOKUP(B628,Pitcher_Primary_Coef!$A:$B,2,FALSE),0),IFNA(VLOOKUP(B628,Hitter_Primary_Coef!$A:$B,2,FALSE),0))</f>
        <v/>
      </c>
      <c r="Y628">
        <f>IF(Q628="P",0,IFNA(VLOOKUP(IF(C628="","(none)",C628),Hitter_Secondary_Coef!$A:$B,2,FALSE),0))</f>
        <v/>
      </c>
      <c r="Z628">
        <f>IF(Q628="P",IF(ISNUMBER(SEARCH("2F",H628)),IFNA(VLOOKUP("2F",Pitch_Coef!$A:$B,2,FALSE),0),0)+IF(ISNUMBER(SEARCH("4F",H628)),IFNA(VLOOKUP("4F",Pitch_Coef!$A:$B,2,FALSE),0),0)+IF(ISNUMBER(SEARCH("CB",H628)),IFNA(VLOOKUP("CB",Pitch_Coef!$A:$B,2,FALSE),0),0)+IF(ISNUMBER(SEARCH("CF",H628)),IFNA(VLOOKUP("CF",Pitch_Coef!$A:$B,2,FALSE),0),0)+IF(ISNUMBER(SEARCH("CH",H628)),IFNA(VLOOKUP("CH",Pitch_Coef!$A:$B,2,FALSE),0),0)+IF(ISNUMBER(SEARCH("FK",H628)),IFNA(VLOOKUP("FK",Pitch_Coef!$A:$B,2,FALSE),0),0)+IF(ISNUMBER(SEARCH("SB",H628)),IFNA(VLOOKUP("SB",Pitch_Coef!$A:$B,2,FALSE),0),0)+IF(ISNUMBER(SEARCH("SL",H628)),IFNA(VLOOKUP("SL",Pitch_Coef!$A:$B,2,FALSE),0),0),0)</f>
        <v/>
      </c>
      <c r="AA628">
        <f>IF(Q628="P",16.5944849573+0.2529999141*N628+0.2665900378*O628+0.2632687105*P628+0.0427586837*I628+0.0534777057*J628+0.009015832*K628+0.0204898106*(O628*P628/100)+1.0091022427*U628+1.0968542297*IF(D628="L",1,0)+0.3771555045*IF(D628="S",1,0)-0.2226159177*IF(E628="L",1,0)+1.21385024*R628-1.1652812274*S628+W628+X628+Z628,10.5965166711+0.2825983581*I628+0.2806503532*J628+0.2027213083*K628+0.1147824982*L628+0.0915305332*M628-0.0088454122*(I628*J628/100)-0.0336045706*(K628*L628/100)+2.8497389733*IF(D628="L",1,0)+4.5116226727*IF(D628="S",1,0)-0.6571546448*IF(E628="L",1,0)+0.0850728147*T628+0.0129488446*(T628*T628)+0.1909373936*IF(OR(F628="Utility",G628="Utility"),T628,0)+0.9656824071*R628-1.7517683256*S628+W628+X628+Y628)</f>
        <v/>
      </c>
      <c r="AB628">
        <f>LOOKUP(AA628,Grade_Scale!$A$2:$A$18,Grade_Scale!$B$2:$B$18)</f>
        <v/>
      </c>
      <c r="AC628">
        <f>LOOKUP(AA628,Grade_Scale!$A$2:$A$18,Grade_Scale!$C$2:$C$18)</f>
        <v/>
      </c>
      <c r="AE628">
        <f>IF(AD628="","",AB628-VLOOKUP(AD628,Grade_Scale!$C$2:$E$18,3,FALSE))</f>
        <v/>
      </c>
    </row>
    <row r="629">
      <c r="Q629">
        <f>IF(OR(B629="SP",B629="RP",B629="CP",B629="SP/RP"),"P","H")</f>
        <v/>
      </c>
      <c r="R629">
        <f>IF(F629="",0,IFNA(VLOOKUP(F629,Trait_Polarity!$A:$C,2,FALSE),0))+IF(G629="",0,IFNA(VLOOKUP(G629,Trait_Polarity!$A:$C,2,FALSE),0))</f>
        <v/>
      </c>
      <c r="S629">
        <f>IF(F629="",0,IFNA(VLOOKUP(F629,Trait_Polarity!$A:$C,3,FALSE),0))+IF(G629="",0,IFNA(VLOOKUP(G629,Trait_Polarity!$A:$C,3,FALSE),0))</f>
        <v/>
      </c>
      <c r="T629">
        <f>IF(Q629="P",0,IFNA(VLOOKUP(IF(C629="","(none)",C629),Secondary_Versatility!$A:$B,2,FALSE),0))</f>
        <v/>
      </c>
      <c r="U629">
        <f>IF(H629="",0,LEN(H629)-LEN(SUBSTITUTE(H629,"|",""))+1)</f>
        <v/>
      </c>
      <c r="V629">
        <f>IF(Q629="P",(N629+O629+P629)/3,0.3*I629+0.3*J629+0.2*K629+0.1*L629+0.1*M629)</f>
        <v/>
      </c>
      <c r="W629">
        <f>IF(Q629="P",IF(F629="",0,IFNA(VLOOKUP(F629,Pitcher_Trait_Coef!$A:$B,2,FALSE),0))+IF(G629="",0,IFNA(VLOOKUP(G629,Pitcher_Trait_Coef!$A:$B,2,FALSE),0)),IF(F629="",0,IFNA(VLOOKUP(F629,Hitter_Trait_Coef!$A:$B,2,FALSE),0))+IF(G629="",0,IFNA(VLOOKUP(G629,Hitter_Trait_Coef!$A:$B,2,FALSE),0)))</f>
        <v/>
      </c>
      <c r="X629">
        <f>IF(Q629="P",IFNA(VLOOKUP(B629,Pitcher_Primary_Coef!$A:$B,2,FALSE),0),IFNA(VLOOKUP(B629,Hitter_Primary_Coef!$A:$B,2,FALSE),0))</f>
        <v/>
      </c>
      <c r="Y629">
        <f>IF(Q629="P",0,IFNA(VLOOKUP(IF(C629="","(none)",C629),Hitter_Secondary_Coef!$A:$B,2,FALSE),0))</f>
        <v/>
      </c>
      <c r="Z629">
        <f>IF(Q629="P",IF(ISNUMBER(SEARCH("2F",H629)),IFNA(VLOOKUP("2F",Pitch_Coef!$A:$B,2,FALSE),0),0)+IF(ISNUMBER(SEARCH("4F",H629)),IFNA(VLOOKUP("4F",Pitch_Coef!$A:$B,2,FALSE),0),0)+IF(ISNUMBER(SEARCH("CB",H629)),IFNA(VLOOKUP("CB",Pitch_Coef!$A:$B,2,FALSE),0),0)+IF(ISNUMBER(SEARCH("CF",H629)),IFNA(VLOOKUP("CF",Pitch_Coef!$A:$B,2,FALSE),0),0)+IF(ISNUMBER(SEARCH("CH",H629)),IFNA(VLOOKUP("CH",Pitch_Coef!$A:$B,2,FALSE),0),0)+IF(ISNUMBER(SEARCH("FK",H629)),IFNA(VLOOKUP("FK",Pitch_Coef!$A:$B,2,FALSE),0),0)+IF(ISNUMBER(SEARCH("SB",H629)),IFNA(VLOOKUP("SB",Pitch_Coef!$A:$B,2,FALSE),0),0)+IF(ISNUMBER(SEARCH("SL",H629)),IFNA(VLOOKUP("SL",Pitch_Coef!$A:$B,2,FALSE),0),0),0)</f>
        <v/>
      </c>
      <c r="AA629">
        <f>IF(Q629="P",16.5944849573+0.2529999141*N629+0.2665900378*O629+0.2632687105*P629+0.0427586837*I629+0.0534777057*J629+0.009015832*K629+0.0204898106*(O629*P629/100)+1.0091022427*U629+1.0968542297*IF(D629="L",1,0)+0.3771555045*IF(D629="S",1,0)-0.2226159177*IF(E629="L",1,0)+1.21385024*R629-1.1652812274*S629+W629+X629+Z629,10.5965166711+0.2825983581*I629+0.2806503532*J629+0.2027213083*K629+0.1147824982*L629+0.0915305332*M629-0.0088454122*(I629*J629/100)-0.0336045706*(K629*L629/100)+2.8497389733*IF(D629="L",1,0)+4.5116226727*IF(D629="S",1,0)-0.6571546448*IF(E629="L",1,0)+0.0850728147*T629+0.0129488446*(T629*T629)+0.1909373936*IF(OR(F629="Utility",G629="Utility"),T629,0)+0.9656824071*R629-1.7517683256*S629+W629+X629+Y629)</f>
        <v/>
      </c>
      <c r="AB629">
        <f>LOOKUP(AA629,Grade_Scale!$A$2:$A$18,Grade_Scale!$B$2:$B$18)</f>
        <v/>
      </c>
      <c r="AC629">
        <f>LOOKUP(AA629,Grade_Scale!$A$2:$A$18,Grade_Scale!$C$2:$C$18)</f>
        <v/>
      </c>
      <c r="AE629">
        <f>IF(AD629="","",AB629-VLOOKUP(AD629,Grade_Scale!$C$2:$E$18,3,FALSE))</f>
        <v/>
      </c>
    </row>
    <row r="630">
      <c r="Q630">
        <f>IF(OR(B630="SP",B630="RP",B630="CP",B630="SP/RP"),"P","H")</f>
        <v/>
      </c>
      <c r="R630">
        <f>IF(F630="",0,IFNA(VLOOKUP(F630,Trait_Polarity!$A:$C,2,FALSE),0))+IF(G630="",0,IFNA(VLOOKUP(G630,Trait_Polarity!$A:$C,2,FALSE),0))</f>
        <v/>
      </c>
      <c r="S630">
        <f>IF(F630="",0,IFNA(VLOOKUP(F630,Trait_Polarity!$A:$C,3,FALSE),0))+IF(G630="",0,IFNA(VLOOKUP(G630,Trait_Polarity!$A:$C,3,FALSE),0))</f>
        <v/>
      </c>
      <c r="T630">
        <f>IF(Q630="P",0,IFNA(VLOOKUP(IF(C630="","(none)",C630),Secondary_Versatility!$A:$B,2,FALSE),0))</f>
        <v/>
      </c>
      <c r="U630">
        <f>IF(H630="",0,LEN(H630)-LEN(SUBSTITUTE(H630,"|",""))+1)</f>
        <v/>
      </c>
      <c r="V630">
        <f>IF(Q630="P",(N630+O630+P630)/3,0.3*I630+0.3*J630+0.2*K630+0.1*L630+0.1*M630)</f>
        <v/>
      </c>
      <c r="W630">
        <f>IF(Q630="P",IF(F630="",0,IFNA(VLOOKUP(F630,Pitcher_Trait_Coef!$A:$B,2,FALSE),0))+IF(G630="",0,IFNA(VLOOKUP(G630,Pitcher_Trait_Coef!$A:$B,2,FALSE),0)),IF(F630="",0,IFNA(VLOOKUP(F630,Hitter_Trait_Coef!$A:$B,2,FALSE),0))+IF(G630="",0,IFNA(VLOOKUP(G630,Hitter_Trait_Coef!$A:$B,2,FALSE),0)))</f>
        <v/>
      </c>
      <c r="X630">
        <f>IF(Q630="P",IFNA(VLOOKUP(B630,Pitcher_Primary_Coef!$A:$B,2,FALSE),0),IFNA(VLOOKUP(B630,Hitter_Primary_Coef!$A:$B,2,FALSE),0))</f>
        <v/>
      </c>
      <c r="Y630">
        <f>IF(Q630="P",0,IFNA(VLOOKUP(IF(C630="","(none)",C630),Hitter_Secondary_Coef!$A:$B,2,FALSE),0))</f>
        <v/>
      </c>
      <c r="Z630">
        <f>IF(Q630="P",IF(ISNUMBER(SEARCH("2F",H630)),IFNA(VLOOKUP("2F",Pitch_Coef!$A:$B,2,FALSE),0),0)+IF(ISNUMBER(SEARCH("4F",H630)),IFNA(VLOOKUP("4F",Pitch_Coef!$A:$B,2,FALSE),0),0)+IF(ISNUMBER(SEARCH("CB",H630)),IFNA(VLOOKUP("CB",Pitch_Coef!$A:$B,2,FALSE),0),0)+IF(ISNUMBER(SEARCH("CF",H630)),IFNA(VLOOKUP("CF",Pitch_Coef!$A:$B,2,FALSE),0),0)+IF(ISNUMBER(SEARCH("CH",H630)),IFNA(VLOOKUP("CH",Pitch_Coef!$A:$B,2,FALSE),0),0)+IF(ISNUMBER(SEARCH("FK",H630)),IFNA(VLOOKUP("FK",Pitch_Coef!$A:$B,2,FALSE),0),0)+IF(ISNUMBER(SEARCH("SB",H630)),IFNA(VLOOKUP("SB",Pitch_Coef!$A:$B,2,FALSE),0),0)+IF(ISNUMBER(SEARCH("SL",H630)),IFNA(VLOOKUP("SL",Pitch_Coef!$A:$B,2,FALSE),0),0),0)</f>
        <v/>
      </c>
      <c r="AA630">
        <f>IF(Q630="P",16.5944849573+0.2529999141*N630+0.2665900378*O630+0.2632687105*P630+0.0427586837*I630+0.0534777057*J630+0.009015832*K630+0.0204898106*(O630*P630/100)+1.0091022427*U630+1.0968542297*IF(D630="L",1,0)+0.3771555045*IF(D630="S",1,0)-0.2226159177*IF(E630="L",1,0)+1.21385024*R630-1.1652812274*S630+W630+X630+Z630,10.5965166711+0.2825983581*I630+0.2806503532*J630+0.2027213083*K630+0.1147824982*L630+0.0915305332*M630-0.0088454122*(I630*J630/100)-0.0336045706*(K630*L630/100)+2.8497389733*IF(D630="L",1,0)+4.5116226727*IF(D630="S",1,0)-0.6571546448*IF(E630="L",1,0)+0.0850728147*T630+0.0129488446*(T630*T630)+0.1909373936*IF(OR(F630="Utility",G630="Utility"),T630,0)+0.9656824071*R630-1.7517683256*S630+W630+X630+Y630)</f>
        <v/>
      </c>
      <c r="AB630">
        <f>LOOKUP(AA630,Grade_Scale!$A$2:$A$18,Grade_Scale!$B$2:$B$18)</f>
        <v/>
      </c>
      <c r="AC630">
        <f>LOOKUP(AA630,Grade_Scale!$A$2:$A$18,Grade_Scale!$C$2:$C$18)</f>
        <v/>
      </c>
      <c r="AE630">
        <f>IF(AD630="","",AB630-VLOOKUP(AD630,Grade_Scale!$C$2:$E$18,3,FALSE))</f>
        <v/>
      </c>
    </row>
    <row r="631">
      <c r="Q631">
        <f>IF(OR(B631="SP",B631="RP",B631="CP",B631="SP/RP"),"P","H")</f>
        <v/>
      </c>
      <c r="R631">
        <f>IF(F631="",0,IFNA(VLOOKUP(F631,Trait_Polarity!$A:$C,2,FALSE),0))+IF(G631="",0,IFNA(VLOOKUP(G631,Trait_Polarity!$A:$C,2,FALSE),0))</f>
        <v/>
      </c>
      <c r="S631">
        <f>IF(F631="",0,IFNA(VLOOKUP(F631,Trait_Polarity!$A:$C,3,FALSE),0))+IF(G631="",0,IFNA(VLOOKUP(G631,Trait_Polarity!$A:$C,3,FALSE),0))</f>
        <v/>
      </c>
      <c r="T631">
        <f>IF(Q631="P",0,IFNA(VLOOKUP(IF(C631="","(none)",C631),Secondary_Versatility!$A:$B,2,FALSE),0))</f>
        <v/>
      </c>
      <c r="U631">
        <f>IF(H631="",0,LEN(H631)-LEN(SUBSTITUTE(H631,"|",""))+1)</f>
        <v/>
      </c>
      <c r="V631">
        <f>IF(Q631="P",(N631+O631+P631)/3,0.3*I631+0.3*J631+0.2*K631+0.1*L631+0.1*M631)</f>
        <v/>
      </c>
      <c r="W631">
        <f>IF(Q631="P",IF(F631="",0,IFNA(VLOOKUP(F631,Pitcher_Trait_Coef!$A:$B,2,FALSE),0))+IF(G631="",0,IFNA(VLOOKUP(G631,Pitcher_Trait_Coef!$A:$B,2,FALSE),0)),IF(F631="",0,IFNA(VLOOKUP(F631,Hitter_Trait_Coef!$A:$B,2,FALSE),0))+IF(G631="",0,IFNA(VLOOKUP(G631,Hitter_Trait_Coef!$A:$B,2,FALSE),0)))</f>
        <v/>
      </c>
      <c r="X631">
        <f>IF(Q631="P",IFNA(VLOOKUP(B631,Pitcher_Primary_Coef!$A:$B,2,FALSE),0),IFNA(VLOOKUP(B631,Hitter_Primary_Coef!$A:$B,2,FALSE),0))</f>
        <v/>
      </c>
      <c r="Y631">
        <f>IF(Q631="P",0,IFNA(VLOOKUP(IF(C631="","(none)",C631),Hitter_Secondary_Coef!$A:$B,2,FALSE),0))</f>
        <v/>
      </c>
      <c r="Z631">
        <f>IF(Q631="P",IF(ISNUMBER(SEARCH("2F",H631)),IFNA(VLOOKUP("2F",Pitch_Coef!$A:$B,2,FALSE),0),0)+IF(ISNUMBER(SEARCH("4F",H631)),IFNA(VLOOKUP("4F",Pitch_Coef!$A:$B,2,FALSE),0),0)+IF(ISNUMBER(SEARCH("CB",H631)),IFNA(VLOOKUP("CB",Pitch_Coef!$A:$B,2,FALSE),0),0)+IF(ISNUMBER(SEARCH("CF",H631)),IFNA(VLOOKUP("CF",Pitch_Coef!$A:$B,2,FALSE),0),0)+IF(ISNUMBER(SEARCH("CH",H631)),IFNA(VLOOKUP("CH",Pitch_Coef!$A:$B,2,FALSE),0),0)+IF(ISNUMBER(SEARCH("FK",H631)),IFNA(VLOOKUP("FK",Pitch_Coef!$A:$B,2,FALSE),0),0)+IF(ISNUMBER(SEARCH("SB",H631)),IFNA(VLOOKUP("SB",Pitch_Coef!$A:$B,2,FALSE),0),0)+IF(ISNUMBER(SEARCH("SL",H631)),IFNA(VLOOKUP("SL",Pitch_Coef!$A:$B,2,FALSE),0),0),0)</f>
        <v/>
      </c>
      <c r="AA631">
        <f>IF(Q631="P",16.5944849573+0.2529999141*N631+0.2665900378*O631+0.2632687105*P631+0.0427586837*I631+0.0534777057*J631+0.009015832*K631+0.0204898106*(O631*P631/100)+1.0091022427*U631+1.0968542297*IF(D631="L",1,0)+0.3771555045*IF(D631="S",1,0)-0.2226159177*IF(E631="L",1,0)+1.21385024*R631-1.1652812274*S631+W631+X631+Z631,10.5965166711+0.2825983581*I631+0.2806503532*J631+0.2027213083*K631+0.1147824982*L631+0.0915305332*M631-0.0088454122*(I631*J631/100)-0.0336045706*(K631*L631/100)+2.8497389733*IF(D631="L",1,0)+4.5116226727*IF(D631="S",1,0)-0.6571546448*IF(E631="L",1,0)+0.0850728147*T631+0.0129488446*(T631*T631)+0.1909373936*IF(OR(F631="Utility",G631="Utility"),T631,0)+0.9656824071*R631-1.7517683256*S631+W631+X631+Y631)</f>
        <v/>
      </c>
      <c r="AB631">
        <f>LOOKUP(AA631,Grade_Scale!$A$2:$A$18,Grade_Scale!$B$2:$B$18)</f>
        <v/>
      </c>
      <c r="AC631">
        <f>LOOKUP(AA631,Grade_Scale!$A$2:$A$18,Grade_Scale!$C$2:$C$18)</f>
        <v/>
      </c>
      <c r="AE631">
        <f>IF(AD631="","",AB631-VLOOKUP(AD631,Grade_Scale!$C$2:$E$18,3,FALSE))</f>
        <v/>
      </c>
    </row>
    <row r="632">
      <c r="Q632">
        <f>IF(OR(B632="SP",B632="RP",B632="CP",B632="SP/RP"),"P","H")</f>
        <v/>
      </c>
      <c r="R632">
        <f>IF(F632="",0,IFNA(VLOOKUP(F632,Trait_Polarity!$A:$C,2,FALSE),0))+IF(G632="",0,IFNA(VLOOKUP(G632,Trait_Polarity!$A:$C,2,FALSE),0))</f>
        <v/>
      </c>
      <c r="S632">
        <f>IF(F632="",0,IFNA(VLOOKUP(F632,Trait_Polarity!$A:$C,3,FALSE),0))+IF(G632="",0,IFNA(VLOOKUP(G632,Trait_Polarity!$A:$C,3,FALSE),0))</f>
        <v/>
      </c>
      <c r="T632">
        <f>IF(Q632="P",0,IFNA(VLOOKUP(IF(C632="","(none)",C632),Secondary_Versatility!$A:$B,2,FALSE),0))</f>
        <v/>
      </c>
      <c r="U632">
        <f>IF(H632="",0,LEN(H632)-LEN(SUBSTITUTE(H632,"|",""))+1)</f>
        <v/>
      </c>
      <c r="V632">
        <f>IF(Q632="P",(N632+O632+P632)/3,0.3*I632+0.3*J632+0.2*K632+0.1*L632+0.1*M632)</f>
        <v/>
      </c>
      <c r="W632">
        <f>IF(Q632="P",IF(F632="",0,IFNA(VLOOKUP(F632,Pitcher_Trait_Coef!$A:$B,2,FALSE),0))+IF(G632="",0,IFNA(VLOOKUP(G632,Pitcher_Trait_Coef!$A:$B,2,FALSE),0)),IF(F632="",0,IFNA(VLOOKUP(F632,Hitter_Trait_Coef!$A:$B,2,FALSE),0))+IF(G632="",0,IFNA(VLOOKUP(G632,Hitter_Trait_Coef!$A:$B,2,FALSE),0)))</f>
        <v/>
      </c>
      <c r="X632">
        <f>IF(Q632="P",IFNA(VLOOKUP(B632,Pitcher_Primary_Coef!$A:$B,2,FALSE),0),IFNA(VLOOKUP(B632,Hitter_Primary_Coef!$A:$B,2,FALSE),0))</f>
        <v/>
      </c>
      <c r="Y632">
        <f>IF(Q632="P",0,IFNA(VLOOKUP(IF(C632="","(none)",C632),Hitter_Secondary_Coef!$A:$B,2,FALSE),0))</f>
        <v/>
      </c>
      <c r="Z632">
        <f>IF(Q632="P",IF(ISNUMBER(SEARCH("2F",H632)),IFNA(VLOOKUP("2F",Pitch_Coef!$A:$B,2,FALSE),0),0)+IF(ISNUMBER(SEARCH("4F",H632)),IFNA(VLOOKUP("4F",Pitch_Coef!$A:$B,2,FALSE),0),0)+IF(ISNUMBER(SEARCH("CB",H632)),IFNA(VLOOKUP("CB",Pitch_Coef!$A:$B,2,FALSE),0),0)+IF(ISNUMBER(SEARCH("CF",H632)),IFNA(VLOOKUP("CF",Pitch_Coef!$A:$B,2,FALSE),0),0)+IF(ISNUMBER(SEARCH("CH",H632)),IFNA(VLOOKUP("CH",Pitch_Coef!$A:$B,2,FALSE),0),0)+IF(ISNUMBER(SEARCH("FK",H632)),IFNA(VLOOKUP("FK",Pitch_Coef!$A:$B,2,FALSE),0),0)+IF(ISNUMBER(SEARCH("SB",H632)),IFNA(VLOOKUP("SB",Pitch_Coef!$A:$B,2,FALSE),0),0)+IF(ISNUMBER(SEARCH("SL",H632)),IFNA(VLOOKUP("SL",Pitch_Coef!$A:$B,2,FALSE),0),0),0)</f>
        <v/>
      </c>
      <c r="AA632">
        <f>IF(Q632="P",16.5944849573+0.2529999141*N632+0.2665900378*O632+0.2632687105*P632+0.0427586837*I632+0.0534777057*J632+0.009015832*K632+0.0204898106*(O632*P632/100)+1.0091022427*U632+1.0968542297*IF(D632="L",1,0)+0.3771555045*IF(D632="S",1,0)-0.2226159177*IF(E632="L",1,0)+1.21385024*R632-1.1652812274*S632+W632+X632+Z632,10.5965166711+0.2825983581*I632+0.2806503532*J632+0.2027213083*K632+0.1147824982*L632+0.0915305332*M632-0.0088454122*(I632*J632/100)-0.0336045706*(K632*L632/100)+2.8497389733*IF(D632="L",1,0)+4.5116226727*IF(D632="S",1,0)-0.6571546448*IF(E632="L",1,0)+0.0850728147*T632+0.0129488446*(T632*T632)+0.1909373936*IF(OR(F632="Utility",G632="Utility"),T632,0)+0.9656824071*R632-1.7517683256*S632+W632+X632+Y632)</f>
        <v/>
      </c>
      <c r="AB632">
        <f>LOOKUP(AA632,Grade_Scale!$A$2:$A$18,Grade_Scale!$B$2:$B$18)</f>
        <v/>
      </c>
      <c r="AC632">
        <f>LOOKUP(AA632,Grade_Scale!$A$2:$A$18,Grade_Scale!$C$2:$C$18)</f>
        <v/>
      </c>
      <c r="AE632">
        <f>IF(AD632="","",AB632-VLOOKUP(AD632,Grade_Scale!$C$2:$E$18,3,FALSE))</f>
        <v/>
      </c>
    </row>
    <row r="633">
      <c r="Q633">
        <f>IF(OR(B633="SP",B633="RP",B633="CP",B633="SP/RP"),"P","H")</f>
        <v/>
      </c>
      <c r="R633">
        <f>IF(F633="",0,IFNA(VLOOKUP(F633,Trait_Polarity!$A:$C,2,FALSE),0))+IF(G633="",0,IFNA(VLOOKUP(G633,Trait_Polarity!$A:$C,2,FALSE),0))</f>
        <v/>
      </c>
      <c r="S633">
        <f>IF(F633="",0,IFNA(VLOOKUP(F633,Trait_Polarity!$A:$C,3,FALSE),0))+IF(G633="",0,IFNA(VLOOKUP(G633,Trait_Polarity!$A:$C,3,FALSE),0))</f>
        <v/>
      </c>
      <c r="T633">
        <f>IF(Q633="P",0,IFNA(VLOOKUP(IF(C633="","(none)",C633),Secondary_Versatility!$A:$B,2,FALSE),0))</f>
        <v/>
      </c>
      <c r="U633">
        <f>IF(H633="",0,LEN(H633)-LEN(SUBSTITUTE(H633,"|",""))+1)</f>
        <v/>
      </c>
      <c r="V633">
        <f>IF(Q633="P",(N633+O633+P633)/3,0.3*I633+0.3*J633+0.2*K633+0.1*L633+0.1*M633)</f>
        <v/>
      </c>
      <c r="W633">
        <f>IF(Q633="P",IF(F633="",0,IFNA(VLOOKUP(F633,Pitcher_Trait_Coef!$A:$B,2,FALSE),0))+IF(G633="",0,IFNA(VLOOKUP(G633,Pitcher_Trait_Coef!$A:$B,2,FALSE),0)),IF(F633="",0,IFNA(VLOOKUP(F633,Hitter_Trait_Coef!$A:$B,2,FALSE),0))+IF(G633="",0,IFNA(VLOOKUP(G633,Hitter_Trait_Coef!$A:$B,2,FALSE),0)))</f>
        <v/>
      </c>
      <c r="X633">
        <f>IF(Q633="P",IFNA(VLOOKUP(B633,Pitcher_Primary_Coef!$A:$B,2,FALSE),0),IFNA(VLOOKUP(B633,Hitter_Primary_Coef!$A:$B,2,FALSE),0))</f>
        <v/>
      </c>
      <c r="Y633">
        <f>IF(Q633="P",0,IFNA(VLOOKUP(IF(C633="","(none)",C633),Hitter_Secondary_Coef!$A:$B,2,FALSE),0))</f>
        <v/>
      </c>
      <c r="Z633">
        <f>IF(Q633="P",IF(ISNUMBER(SEARCH("2F",H633)),IFNA(VLOOKUP("2F",Pitch_Coef!$A:$B,2,FALSE),0),0)+IF(ISNUMBER(SEARCH("4F",H633)),IFNA(VLOOKUP("4F",Pitch_Coef!$A:$B,2,FALSE),0),0)+IF(ISNUMBER(SEARCH("CB",H633)),IFNA(VLOOKUP("CB",Pitch_Coef!$A:$B,2,FALSE),0),0)+IF(ISNUMBER(SEARCH("CF",H633)),IFNA(VLOOKUP("CF",Pitch_Coef!$A:$B,2,FALSE),0),0)+IF(ISNUMBER(SEARCH("CH",H633)),IFNA(VLOOKUP("CH",Pitch_Coef!$A:$B,2,FALSE),0),0)+IF(ISNUMBER(SEARCH("FK",H633)),IFNA(VLOOKUP("FK",Pitch_Coef!$A:$B,2,FALSE),0),0)+IF(ISNUMBER(SEARCH("SB",H633)),IFNA(VLOOKUP("SB",Pitch_Coef!$A:$B,2,FALSE),0),0)+IF(ISNUMBER(SEARCH("SL",H633)),IFNA(VLOOKUP("SL",Pitch_Coef!$A:$B,2,FALSE),0),0),0)</f>
        <v/>
      </c>
      <c r="AA633">
        <f>IF(Q633="P",16.5944849573+0.2529999141*N633+0.2665900378*O633+0.2632687105*P633+0.0427586837*I633+0.0534777057*J633+0.009015832*K633+0.0204898106*(O633*P633/100)+1.0091022427*U633+1.0968542297*IF(D633="L",1,0)+0.3771555045*IF(D633="S",1,0)-0.2226159177*IF(E633="L",1,0)+1.21385024*R633-1.1652812274*S633+W633+X633+Z633,10.5965166711+0.2825983581*I633+0.2806503532*J633+0.2027213083*K633+0.1147824982*L633+0.0915305332*M633-0.0088454122*(I633*J633/100)-0.0336045706*(K633*L633/100)+2.8497389733*IF(D633="L",1,0)+4.5116226727*IF(D633="S",1,0)-0.6571546448*IF(E633="L",1,0)+0.0850728147*T633+0.0129488446*(T633*T633)+0.1909373936*IF(OR(F633="Utility",G633="Utility"),T633,0)+0.9656824071*R633-1.7517683256*S633+W633+X633+Y633)</f>
        <v/>
      </c>
      <c r="AB633">
        <f>LOOKUP(AA633,Grade_Scale!$A$2:$A$18,Grade_Scale!$B$2:$B$18)</f>
        <v/>
      </c>
      <c r="AC633">
        <f>LOOKUP(AA633,Grade_Scale!$A$2:$A$18,Grade_Scale!$C$2:$C$18)</f>
        <v/>
      </c>
      <c r="AE633">
        <f>IF(AD633="","",AB633-VLOOKUP(AD633,Grade_Scale!$C$2:$E$18,3,FALSE))</f>
        <v/>
      </c>
    </row>
    <row r="634">
      <c r="Q634">
        <f>IF(OR(B634="SP",B634="RP",B634="CP",B634="SP/RP"),"P","H")</f>
        <v/>
      </c>
      <c r="R634">
        <f>IF(F634="",0,IFNA(VLOOKUP(F634,Trait_Polarity!$A:$C,2,FALSE),0))+IF(G634="",0,IFNA(VLOOKUP(G634,Trait_Polarity!$A:$C,2,FALSE),0))</f>
        <v/>
      </c>
      <c r="S634">
        <f>IF(F634="",0,IFNA(VLOOKUP(F634,Trait_Polarity!$A:$C,3,FALSE),0))+IF(G634="",0,IFNA(VLOOKUP(G634,Trait_Polarity!$A:$C,3,FALSE),0))</f>
        <v/>
      </c>
      <c r="T634">
        <f>IF(Q634="P",0,IFNA(VLOOKUP(IF(C634="","(none)",C634),Secondary_Versatility!$A:$B,2,FALSE),0))</f>
        <v/>
      </c>
      <c r="U634">
        <f>IF(H634="",0,LEN(H634)-LEN(SUBSTITUTE(H634,"|",""))+1)</f>
        <v/>
      </c>
      <c r="V634">
        <f>IF(Q634="P",(N634+O634+P634)/3,0.3*I634+0.3*J634+0.2*K634+0.1*L634+0.1*M634)</f>
        <v/>
      </c>
      <c r="W634">
        <f>IF(Q634="P",IF(F634="",0,IFNA(VLOOKUP(F634,Pitcher_Trait_Coef!$A:$B,2,FALSE),0))+IF(G634="",0,IFNA(VLOOKUP(G634,Pitcher_Trait_Coef!$A:$B,2,FALSE),0)),IF(F634="",0,IFNA(VLOOKUP(F634,Hitter_Trait_Coef!$A:$B,2,FALSE),0))+IF(G634="",0,IFNA(VLOOKUP(G634,Hitter_Trait_Coef!$A:$B,2,FALSE),0)))</f>
        <v/>
      </c>
      <c r="X634">
        <f>IF(Q634="P",IFNA(VLOOKUP(B634,Pitcher_Primary_Coef!$A:$B,2,FALSE),0),IFNA(VLOOKUP(B634,Hitter_Primary_Coef!$A:$B,2,FALSE),0))</f>
        <v/>
      </c>
      <c r="Y634">
        <f>IF(Q634="P",0,IFNA(VLOOKUP(IF(C634="","(none)",C634),Hitter_Secondary_Coef!$A:$B,2,FALSE),0))</f>
        <v/>
      </c>
      <c r="Z634">
        <f>IF(Q634="P",IF(ISNUMBER(SEARCH("2F",H634)),IFNA(VLOOKUP("2F",Pitch_Coef!$A:$B,2,FALSE),0),0)+IF(ISNUMBER(SEARCH("4F",H634)),IFNA(VLOOKUP("4F",Pitch_Coef!$A:$B,2,FALSE),0),0)+IF(ISNUMBER(SEARCH("CB",H634)),IFNA(VLOOKUP("CB",Pitch_Coef!$A:$B,2,FALSE),0),0)+IF(ISNUMBER(SEARCH("CF",H634)),IFNA(VLOOKUP("CF",Pitch_Coef!$A:$B,2,FALSE),0),0)+IF(ISNUMBER(SEARCH("CH",H634)),IFNA(VLOOKUP("CH",Pitch_Coef!$A:$B,2,FALSE),0),0)+IF(ISNUMBER(SEARCH("FK",H634)),IFNA(VLOOKUP("FK",Pitch_Coef!$A:$B,2,FALSE),0),0)+IF(ISNUMBER(SEARCH("SB",H634)),IFNA(VLOOKUP("SB",Pitch_Coef!$A:$B,2,FALSE),0),0)+IF(ISNUMBER(SEARCH("SL",H634)),IFNA(VLOOKUP("SL",Pitch_Coef!$A:$B,2,FALSE),0),0),0)</f>
        <v/>
      </c>
      <c r="AA634">
        <f>IF(Q634="P",16.5944849573+0.2529999141*N634+0.2665900378*O634+0.2632687105*P634+0.0427586837*I634+0.0534777057*J634+0.009015832*K634+0.0204898106*(O634*P634/100)+1.0091022427*U634+1.0968542297*IF(D634="L",1,0)+0.3771555045*IF(D634="S",1,0)-0.2226159177*IF(E634="L",1,0)+1.21385024*R634-1.1652812274*S634+W634+X634+Z634,10.5965166711+0.2825983581*I634+0.2806503532*J634+0.2027213083*K634+0.1147824982*L634+0.0915305332*M634-0.0088454122*(I634*J634/100)-0.0336045706*(K634*L634/100)+2.8497389733*IF(D634="L",1,0)+4.5116226727*IF(D634="S",1,0)-0.6571546448*IF(E634="L",1,0)+0.0850728147*T634+0.0129488446*(T634*T634)+0.1909373936*IF(OR(F634="Utility",G634="Utility"),T634,0)+0.9656824071*R634-1.7517683256*S634+W634+X634+Y634)</f>
        <v/>
      </c>
      <c r="AB634">
        <f>LOOKUP(AA634,Grade_Scale!$A$2:$A$18,Grade_Scale!$B$2:$B$18)</f>
        <v/>
      </c>
      <c r="AC634">
        <f>LOOKUP(AA634,Grade_Scale!$A$2:$A$18,Grade_Scale!$C$2:$C$18)</f>
        <v/>
      </c>
      <c r="AE634">
        <f>IF(AD634="","",AB634-VLOOKUP(AD634,Grade_Scale!$C$2:$E$18,3,FALSE))</f>
        <v/>
      </c>
    </row>
    <row r="635">
      <c r="Q635">
        <f>IF(OR(B635="SP",B635="RP",B635="CP",B635="SP/RP"),"P","H")</f>
        <v/>
      </c>
      <c r="R635">
        <f>IF(F635="",0,IFNA(VLOOKUP(F635,Trait_Polarity!$A:$C,2,FALSE),0))+IF(G635="",0,IFNA(VLOOKUP(G635,Trait_Polarity!$A:$C,2,FALSE),0))</f>
        <v/>
      </c>
      <c r="S635">
        <f>IF(F635="",0,IFNA(VLOOKUP(F635,Trait_Polarity!$A:$C,3,FALSE),0))+IF(G635="",0,IFNA(VLOOKUP(G635,Trait_Polarity!$A:$C,3,FALSE),0))</f>
        <v/>
      </c>
      <c r="T635">
        <f>IF(Q635="P",0,IFNA(VLOOKUP(IF(C635="","(none)",C635),Secondary_Versatility!$A:$B,2,FALSE),0))</f>
        <v/>
      </c>
      <c r="U635">
        <f>IF(H635="",0,LEN(H635)-LEN(SUBSTITUTE(H635,"|",""))+1)</f>
        <v/>
      </c>
      <c r="V635">
        <f>IF(Q635="P",(N635+O635+P635)/3,0.3*I635+0.3*J635+0.2*K635+0.1*L635+0.1*M635)</f>
        <v/>
      </c>
      <c r="W635">
        <f>IF(Q635="P",IF(F635="",0,IFNA(VLOOKUP(F635,Pitcher_Trait_Coef!$A:$B,2,FALSE),0))+IF(G635="",0,IFNA(VLOOKUP(G635,Pitcher_Trait_Coef!$A:$B,2,FALSE),0)),IF(F635="",0,IFNA(VLOOKUP(F635,Hitter_Trait_Coef!$A:$B,2,FALSE),0))+IF(G635="",0,IFNA(VLOOKUP(G635,Hitter_Trait_Coef!$A:$B,2,FALSE),0)))</f>
        <v/>
      </c>
      <c r="X635">
        <f>IF(Q635="P",IFNA(VLOOKUP(B635,Pitcher_Primary_Coef!$A:$B,2,FALSE),0),IFNA(VLOOKUP(B635,Hitter_Primary_Coef!$A:$B,2,FALSE),0))</f>
        <v/>
      </c>
      <c r="Y635">
        <f>IF(Q635="P",0,IFNA(VLOOKUP(IF(C635="","(none)",C635),Hitter_Secondary_Coef!$A:$B,2,FALSE),0))</f>
        <v/>
      </c>
      <c r="Z635">
        <f>IF(Q635="P",IF(ISNUMBER(SEARCH("2F",H635)),IFNA(VLOOKUP("2F",Pitch_Coef!$A:$B,2,FALSE),0),0)+IF(ISNUMBER(SEARCH("4F",H635)),IFNA(VLOOKUP("4F",Pitch_Coef!$A:$B,2,FALSE),0),0)+IF(ISNUMBER(SEARCH("CB",H635)),IFNA(VLOOKUP("CB",Pitch_Coef!$A:$B,2,FALSE),0),0)+IF(ISNUMBER(SEARCH("CF",H635)),IFNA(VLOOKUP("CF",Pitch_Coef!$A:$B,2,FALSE),0),0)+IF(ISNUMBER(SEARCH("CH",H635)),IFNA(VLOOKUP("CH",Pitch_Coef!$A:$B,2,FALSE),0),0)+IF(ISNUMBER(SEARCH("FK",H635)),IFNA(VLOOKUP("FK",Pitch_Coef!$A:$B,2,FALSE),0),0)+IF(ISNUMBER(SEARCH("SB",H635)),IFNA(VLOOKUP("SB",Pitch_Coef!$A:$B,2,FALSE),0),0)+IF(ISNUMBER(SEARCH("SL",H635)),IFNA(VLOOKUP("SL",Pitch_Coef!$A:$B,2,FALSE),0),0),0)</f>
        <v/>
      </c>
      <c r="AA635">
        <f>IF(Q635="P",16.5944849573+0.2529999141*N635+0.2665900378*O635+0.2632687105*P635+0.0427586837*I635+0.0534777057*J635+0.009015832*K635+0.0204898106*(O635*P635/100)+1.0091022427*U635+1.0968542297*IF(D635="L",1,0)+0.3771555045*IF(D635="S",1,0)-0.2226159177*IF(E635="L",1,0)+1.21385024*R635-1.1652812274*S635+W635+X635+Z635,10.5965166711+0.2825983581*I635+0.2806503532*J635+0.2027213083*K635+0.1147824982*L635+0.0915305332*M635-0.0088454122*(I635*J635/100)-0.0336045706*(K635*L635/100)+2.8497389733*IF(D635="L",1,0)+4.5116226727*IF(D635="S",1,0)-0.6571546448*IF(E635="L",1,0)+0.0850728147*T635+0.0129488446*(T635*T635)+0.1909373936*IF(OR(F635="Utility",G635="Utility"),T635,0)+0.9656824071*R635-1.7517683256*S635+W635+X635+Y635)</f>
        <v/>
      </c>
      <c r="AB635">
        <f>LOOKUP(AA635,Grade_Scale!$A$2:$A$18,Grade_Scale!$B$2:$B$18)</f>
        <v/>
      </c>
      <c r="AC635">
        <f>LOOKUP(AA635,Grade_Scale!$A$2:$A$18,Grade_Scale!$C$2:$C$18)</f>
        <v/>
      </c>
      <c r="AE635">
        <f>IF(AD635="","",AB635-VLOOKUP(AD635,Grade_Scale!$C$2:$E$18,3,FALSE))</f>
        <v/>
      </c>
    </row>
    <row r="636">
      <c r="Q636">
        <f>IF(OR(B636="SP",B636="RP",B636="CP",B636="SP/RP"),"P","H")</f>
        <v/>
      </c>
      <c r="R636">
        <f>IF(F636="",0,IFNA(VLOOKUP(F636,Trait_Polarity!$A:$C,2,FALSE),0))+IF(G636="",0,IFNA(VLOOKUP(G636,Trait_Polarity!$A:$C,2,FALSE),0))</f>
        <v/>
      </c>
      <c r="S636">
        <f>IF(F636="",0,IFNA(VLOOKUP(F636,Trait_Polarity!$A:$C,3,FALSE),0))+IF(G636="",0,IFNA(VLOOKUP(G636,Trait_Polarity!$A:$C,3,FALSE),0))</f>
        <v/>
      </c>
      <c r="T636">
        <f>IF(Q636="P",0,IFNA(VLOOKUP(IF(C636="","(none)",C636),Secondary_Versatility!$A:$B,2,FALSE),0))</f>
        <v/>
      </c>
      <c r="U636">
        <f>IF(H636="",0,LEN(H636)-LEN(SUBSTITUTE(H636,"|",""))+1)</f>
        <v/>
      </c>
      <c r="V636">
        <f>IF(Q636="P",(N636+O636+P636)/3,0.3*I636+0.3*J636+0.2*K636+0.1*L636+0.1*M636)</f>
        <v/>
      </c>
      <c r="W636">
        <f>IF(Q636="P",IF(F636="",0,IFNA(VLOOKUP(F636,Pitcher_Trait_Coef!$A:$B,2,FALSE),0))+IF(G636="",0,IFNA(VLOOKUP(G636,Pitcher_Trait_Coef!$A:$B,2,FALSE),0)),IF(F636="",0,IFNA(VLOOKUP(F636,Hitter_Trait_Coef!$A:$B,2,FALSE),0))+IF(G636="",0,IFNA(VLOOKUP(G636,Hitter_Trait_Coef!$A:$B,2,FALSE),0)))</f>
        <v/>
      </c>
      <c r="X636">
        <f>IF(Q636="P",IFNA(VLOOKUP(B636,Pitcher_Primary_Coef!$A:$B,2,FALSE),0),IFNA(VLOOKUP(B636,Hitter_Primary_Coef!$A:$B,2,FALSE),0))</f>
        <v/>
      </c>
      <c r="Y636">
        <f>IF(Q636="P",0,IFNA(VLOOKUP(IF(C636="","(none)",C636),Hitter_Secondary_Coef!$A:$B,2,FALSE),0))</f>
        <v/>
      </c>
      <c r="Z636">
        <f>IF(Q636="P",IF(ISNUMBER(SEARCH("2F",H636)),IFNA(VLOOKUP("2F",Pitch_Coef!$A:$B,2,FALSE),0),0)+IF(ISNUMBER(SEARCH("4F",H636)),IFNA(VLOOKUP("4F",Pitch_Coef!$A:$B,2,FALSE),0),0)+IF(ISNUMBER(SEARCH("CB",H636)),IFNA(VLOOKUP("CB",Pitch_Coef!$A:$B,2,FALSE),0),0)+IF(ISNUMBER(SEARCH("CF",H636)),IFNA(VLOOKUP("CF",Pitch_Coef!$A:$B,2,FALSE),0),0)+IF(ISNUMBER(SEARCH("CH",H636)),IFNA(VLOOKUP("CH",Pitch_Coef!$A:$B,2,FALSE),0),0)+IF(ISNUMBER(SEARCH("FK",H636)),IFNA(VLOOKUP("FK",Pitch_Coef!$A:$B,2,FALSE),0),0)+IF(ISNUMBER(SEARCH("SB",H636)),IFNA(VLOOKUP("SB",Pitch_Coef!$A:$B,2,FALSE),0),0)+IF(ISNUMBER(SEARCH("SL",H636)),IFNA(VLOOKUP("SL",Pitch_Coef!$A:$B,2,FALSE),0),0),0)</f>
        <v/>
      </c>
      <c r="AA636">
        <f>IF(Q636="P",16.5944849573+0.2529999141*N636+0.2665900378*O636+0.2632687105*P636+0.0427586837*I636+0.0534777057*J636+0.009015832*K636+0.0204898106*(O636*P636/100)+1.0091022427*U636+1.0968542297*IF(D636="L",1,0)+0.3771555045*IF(D636="S",1,0)-0.2226159177*IF(E636="L",1,0)+1.21385024*R636-1.1652812274*S636+W636+X636+Z636,10.5965166711+0.2825983581*I636+0.2806503532*J636+0.2027213083*K636+0.1147824982*L636+0.0915305332*M636-0.0088454122*(I636*J636/100)-0.0336045706*(K636*L636/100)+2.8497389733*IF(D636="L",1,0)+4.5116226727*IF(D636="S",1,0)-0.6571546448*IF(E636="L",1,0)+0.0850728147*T636+0.0129488446*(T636*T636)+0.1909373936*IF(OR(F636="Utility",G636="Utility"),T636,0)+0.9656824071*R636-1.7517683256*S636+W636+X636+Y636)</f>
        <v/>
      </c>
      <c r="AB636">
        <f>LOOKUP(AA636,Grade_Scale!$A$2:$A$18,Grade_Scale!$B$2:$B$18)</f>
        <v/>
      </c>
      <c r="AC636">
        <f>LOOKUP(AA636,Grade_Scale!$A$2:$A$18,Grade_Scale!$C$2:$C$18)</f>
        <v/>
      </c>
      <c r="AE636">
        <f>IF(AD636="","",AB636-VLOOKUP(AD636,Grade_Scale!$C$2:$E$18,3,FALSE))</f>
        <v/>
      </c>
    </row>
    <row r="637">
      <c r="Q637">
        <f>IF(OR(B637="SP",B637="RP",B637="CP",B637="SP/RP"),"P","H")</f>
        <v/>
      </c>
      <c r="R637">
        <f>IF(F637="",0,IFNA(VLOOKUP(F637,Trait_Polarity!$A:$C,2,FALSE),0))+IF(G637="",0,IFNA(VLOOKUP(G637,Trait_Polarity!$A:$C,2,FALSE),0))</f>
        <v/>
      </c>
      <c r="S637">
        <f>IF(F637="",0,IFNA(VLOOKUP(F637,Trait_Polarity!$A:$C,3,FALSE),0))+IF(G637="",0,IFNA(VLOOKUP(G637,Trait_Polarity!$A:$C,3,FALSE),0))</f>
        <v/>
      </c>
      <c r="T637">
        <f>IF(Q637="P",0,IFNA(VLOOKUP(IF(C637="","(none)",C637),Secondary_Versatility!$A:$B,2,FALSE),0))</f>
        <v/>
      </c>
      <c r="U637">
        <f>IF(H637="",0,LEN(H637)-LEN(SUBSTITUTE(H637,"|",""))+1)</f>
        <v/>
      </c>
      <c r="V637">
        <f>IF(Q637="P",(N637+O637+P637)/3,0.3*I637+0.3*J637+0.2*K637+0.1*L637+0.1*M637)</f>
        <v/>
      </c>
      <c r="W637">
        <f>IF(Q637="P",IF(F637="",0,IFNA(VLOOKUP(F637,Pitcher_Trait_Coef!$A:$B,2,FALSE),0))+IF(G637="",0,IFNA(VLOOKUP(G637,Pitcher_Trait_Coef!$A:$B,2,FALSE),0)),IF(F637="",0,IFNA(VLOOKUP(F637,Hitter_Trait_Coef!$A:$B,2,FALSE),0))+IF(G637="",0,IFNA(VLOOKUP(G637,Hitter_Trait_Coef!$A:$B,2,FALSE),0)))</f>
        <v/>
      </c>
      <c r="X637">
        <f>IF(Q637="P",IFNA(VLOOKUP(B637,Pitcher_Primary_Coef!$A:$B,2,FALSE),0),IFNA(VLOOKUP(B637,Hitter_Primary_Coef!$A:$B,2,FALSE),0))</f>
        <v/>
      </c>
      <c r="Y637">
        <f>IF(Q637="P",0,IFNA(VLOOKUP(IF(C637="","(none)",C637),Hitter_Secondary_Coef!$A:$B,2,FALSE),0))</f>
        <v/>
      </c>
      <c r="Z637">
        <f>IF(Q637="P",IF(ISNUMBER(SEARCH("2F",H637)),IFNA(VLOOKUP("2F",Pitch_Coef!$A:$B,2,FALSE),0),0)+IF(ISNUMBER(SEARCH("4F",H637)),IFNA(VLOOKUP("4F",Pitch_Coef!$A:$B,2,FALSE),0),0)+IF(ISNUMBER(SEARCH("CB",H637)),IFNA(VLOOKUP("CB",Pitch_Coef!$A:$B,2,FALSE),0),0)+IF(ISNUMBER(SEARCH("CF",H637)),IFNA(VLOOKUP("CF",Pitch_Coef!$A:$B,2,FALSE),0),0)+IF(ISNUMBER(SEARCH("CH",H637)),IFNA(VLOOKUP("CH",Pitch_Coef!$A:$B,2,FALSE),0),0)+IF(ISNUMBER(SEARCH("FK",H637)),IFNA(VLOOKUP("FK",Pitch_Coef!$A:$B,2,FALSE),0),0)+IF(ISNUMBER(SEARCH("SB",H637)),IFNA(VLOOKUP("SB",Pitch_Coef!$A:$B,2,FALSE),0),0)+IF(ISNUMBER(SEARCH("SL",H637)),IFNA(VLOOKUP("SL",Pitch_Coef!$A:$B,2,FALSE),0),0),0)</f>
        <v/>
      </c>
      <c r="AA637">
        <f>IF(Q637="P",16.5944849573+0.2529999141*N637+0.2665900378*O637+0.2632687105*P637+0.0427586837*I637+0.0534777057*J637+0.009015832*K637+0.0204898106*(O637*P637/100)+1.0091022427*U637+1.0968542297*IF(D637="L",1,0)+0.3771555045*IF(D637="S",1,0)-0.2226159177*IF(E637="L",1,0)+1.21385024*R637-1.1652812274*S637+W637+X637+Z637,10.5965166711+0.2825983581*I637+0.2806503532*J637+0.2027213083*K637+0.1147824982*L637+0.0915305332*M637-0.0088454122*(I637*J637/100)-0.0336045706*(K637*L637/100)+2.8497389733*IF(D637="L",1,0)+4.5116226727*IF(D637="S",1,0)-0.6571546448*IF(E637="L",1,0)+0.0850728147*T637+0.0129488446*(T637*T637)+0.1909373936*IF(OR(F637="Utility",G637="Utility"),T637,0)+0.9656824071*R637-1.7517683256*S637+W637+X637+Y637)</f>
        <v/>
      </c>
      <c r="AB637">
        <f>LOOKUP(AA637,Grade_Scale!$A$2:$A$18,Grade_Scale!$B$2:$B$18)</f>
        <v/>
      </c>
      <c r="AC637">
        <f>LOOKUP(AA637,Grade_Scale!$A$2:$A$18,Grade_Scale!$C$2:$C$18)</f>
        <v/>
      </c>
      <c r="AE637">
        <f>IF(AD637="","",AB637-VLOOKUP(AD637,Grade_Scale!$C$2:$E$18,3,FALSE))</f>
        <v/>
      </c>
    </row>
    <row r="638">
      <c r="Q638">
        <f>IF(OR(B638="SP",B638="RP",B638="CP",B638="SP/RP"),"P","H")</f>
        <v/>
      </c>
      <c r="R638">
        <f>IF(F638="",0,IFNA(VLOOKUP(F638,Trait_Polarity!$A:$C,2,FALSE),0))+IF(G638="",0,IFNA(VLOOKUP(G638,Trait_Polarity!$A:$C,2,FALSE),0))</f>
        <v/>
      </c>
      <c r="S638">
        <f>IF(F638="",0,IFNA(VLOOKUP(F638,Trait_Polarity!$A:$C,3,FALSE),0))+IF(G638="",0,IFNA(VLOOKUP(G638,Trait_Polarity!$A:$C,3,FALSE),0))</f>
        <v/>
      </c>
      <c r="T638">
        <f>IF(Q638="P",0,IFNA(VLOOKUP(IF(C638="","(none)",C638),Secondary_Versatility!$A:$B,2,FALSE),0))</f>
        <v/>
      </c>
      <c r="U638">
        <f>IF(H638="",0,LEN(H638)-LEN(SUBSTITUTE(H638,"|",""))+1)</f>
        <v/>
      </c>
      <c r="V638">
        <f>IF(Q638="P",(N638+O638+P638)/3,0.3*I638+0.3*J638+0.2*K638+0.1*L638+0.1*M638)</f>
        <v/>
      </c>
      <c r="W638">
        <f>IF(Q638="P",IF(F638="",0,IFNA(VLOOKUP(F638,Pitcher_Trait_Coef!$A:$B,2,FALSE),0))+IF(G638="",0,IFNA(VLOOKUP(G638,Pitcher_Trait_Coef!$A:$B,2,FALSE),0)),IF(F638="",0,IFNA(VLOOKUP(F638,Hitter_Trait_Coef!$A:$B,2,FALSE),0))+IF(G638="",0,IFNA(VLOOKUP(G638,Hitter_Trait_Coef!$A:$B,2,FALSE),0)))</f>
        <v/>
      </c>
      <c r="X638">
        <f>IF(Q638="P",IFNA(VLOOKUP(B638,Pitcher_Primary_Coef!$A:$B,2,FALSE),0),IFNA(VLOOKUP(B638,Hitter_Primary_Coef!$A:$B,2,FALSE),0))</f>
        <v/>
      </c>
      <c r="Y638">
        <f>IF(Q638="P",0,IFNA(VLOOKUP(IF(C638="","(none)",C638),Hitter_Secondary_Coef!$A:$B,2,FALSE),0))</f>
        <v/>
      </c>
      <c r="Z638">
        <f>IF(Q638="P",IF(ISNUMBER(SEARCH("2F",H638)),IFNA(VLOOKUP("2F",Pitch_Coef!$A:$B,2,FALSE),0),0)+IF(ISNUMBER(SEARCH("4F",H638)),IFNA(VLOOKUP("4F",Pitch_Coef!$A:$B,2,FALSE),0),0)+IF(ISNUMBER(SEARCH("CB",H638)),IFNA(VLOOKUP("CB",Pitch_Coef!$A:$B,2,FALSE),0),0)+IF(ISNUMBER(SEARCH("CF",H638)),IFNA(VLOOKUP("CF",Pitch_Coef!$A:$B,2,FALSE),0),0)+IF(ISNUMBER(SEARCH("CH",H638)),IFNA(VLOOKUP("CH",Pitch_Coef!$A:$B,2,FALSE),0),0)+IF(ISNUMBER(SEARCH("FK",H638)),IFNA(VLOOKUP("FK",Pitch_Coef!$A:$B,2,FALSE),0),0)+IF(ISNUMBER(SEARCH("SB",H638)),IFNA(VLOOKUP("SB",Pitch_Coef!$A:$B,2,FALSE),0),0)+IF(ISNUMBER(SEARCH("SL",H638)),IFNA(VLOOKUP("SL",Pitch_Coef!$A:$B,2,FALSE),0),0),0)</f>
        <v/>
      </c>
      <c r="AA638">
        <f>IF(Q638="P",16.5944849573+0.2529999141*N638+0.2665900378*O638+0.2632687105*P638+0.0427586837*I638+0.0534777057*J638+0.009015832*K638+0.0204898106*(O638*P638/100)+1.0091022427*U638+1.0968542297*IF(D638="L",1,0)+0.3771555045*IF(D638="S",1,0)-0.2226159177*IF(E638="L",1,0)+1.21385024*R638-1.1652812274*S638+W638+X638+Z638,10.5965166711+0.2825983581*I638+0.2806503532*J638+0.2027213083*K638+0.1147824982*L638+0.0915305332*M638-0.0088454122*(I638*J638/100)-0.0336045706*(K638*L638/100)+2.8497389733*IF(D638="L",1,0)+4.5116226727*IF(D638="S",1,0)-0.6571546448*IF(E638="L",1,0)+0.0850728147*T638+0.0129488446*(T638*T638)+0.1909373936*IF(OR(F638="Utility",G638="Utility"),T638,0)+0.9656824071*R638-1.7517683256*S638+W638+X638+Y638)</f>
        <v/>
      </c>
      <c r="AB638">
        <f>LOOKUP(AA638,Grade_Scale!$A$2:$A$18,Grade_Scale!$B$2:$B$18)</f>
        <v/>
      </c>
      <c r="AC638">
        <f>LOOKUP(AA638,Grade_Scale!$A$2:$A$18,Grade_Scale!$C$2:$C$18)</f>
        <v/>
      </c>
      <c r="AE638">
        <f>IF(AD638="","",AB638-VLOOKUP(AD638,Grade_Scale!$C$2:$E$18,3,FALSE))</f>
        <v/>
      </c>
    </row>
    <row r="639">
      <c r="Q639">
        <f>IF(OR(B639="SP",B639="RP",B639="CP",B639="SP/RP"),"P","H")</f>
        <v/>
      </c>
      <c r="R639">
        <f>IF(F639="",0,IFNA(VLOOKUP(F639,Trait_Polarity!$A:$C,2,FALSE),0))+IF(G639="",0,IFNA(VLOOKUP(G639,Trait_Polarity!$A:$C,2,FALSE),0))</f>
        <v/>
      </c>
      <c r="S639">
        <f>IF(F639="",0,IFNA(VLOOKUP(F639,Trait_Polarity!$A:$C,3,FALSE),0))+IF(G639="",0,IFNA(VLOOKUP(G639,Trait_Polarity!$A:$C,3,FALSE),0))</f>
        <v/>
      </c>
      <c r="T639">
        <f>IF(Q639="P",0,IFNA(VLOOKUP(IF(C639="","(none)",C639),Secondary_Versatility!$A:$B,2,FALSE),0))</f>
        <v/>
      </c>
      <c r="U639">
        <f>IF(H639="",0,LEN(H639)-LEN(SUBSTITUTE(H639,"|",""))+1)</f>
        <v/>
      </c>
      <c r="V639">
        <f>IF(Q639="P",(N639+O639+P639)/3,0.3*I639+0.3*J639+0.2*K639+0.1*L639+0.1*M639)</f>
        <v/>
      </c>
      <c r="W639">
        <f>IF(Q639="P",IF(F639="",0,IFNA(VLOOKUP(F639,Pitcher_Trait_Coef!$A:$B,2,FALSE),0))+IF(G639="",0,IFNA(VLOOKUP(G639,Pitcher_Trait_Coef!$A:$B,2,FALSE),0)),IF(F639="",0,IFNA(VLOOKUP(F639,Hitter_Trait_Coef!$A:$B,2,FALSE),0))+IF(G639="",0,IFNA(VLOOKUP(G639,Hitter_Trait_Coef!$A:$B,2,FALSE),0)))</f>
        <v/>
      </c>
      <c r="X639">
        <f>IF(Q639="P",IFNA(VLOOKUP(B639,Pitcher_Primary_Coef!$A:$B,2,FALSE),0),IFNA(VLOOKUP(B639,Hitter_Primary_Coef!$A:$B,2,FALSE),0))</f>
        <v/>
      </c>
      <c r="Y639">
        <f>IF(Q639="P",0,IFNA(VLOOKUP(IF(C639="","(none)",C639),Hitter_Secondary_Coef!$A:$B,2,FALSE),0))</f>
        <v/>
      </c>
      <c r="Z639">
        <f>IF(Q639="P",IF(ISNUMBER(SEARCH("2F",H639)),IFNA(VLOOKUP("2F",Pitch_Coef!$A:$B,2,FALSE),0),0)+IF(ISNUMBER(SEARCH("4F",H639)),IFNA(VLOOKUP("4F",Pitch_Coef!$A:$B,2,FALSE),0),0)+IF(ISNUMBER(SEARCH("CB",H639)),IFNA(VLOOKUP("CB",Pitch_Coef!$A:$B,2,FALSE),0),0)+IF(ISNUMBER(SEARCH("CF",H639)),IFNA(VLOOKUP("CF",Pitch_Coef!$A:$B,2,FALSE),0),0)+IF(ISNUMBER(SEARCH("CH",H639)),IFNA(VLOOKUP("CH",Pitch_Coef!$A:$B,2,FALSE),0),0)+IF(ISNUMBER(SEARCH("FK",H639)),IFNA(VLOOKUP("FK",Pitch_Coef!$A:$B,2,FALSE),0),0)+IF(ISNUMBER(SEARCH("SB",H639)),IFNA(VLOOKUP("SB",Pitch_Coef!$A:$B,2,FALSE),0),0)+IF(ISNUMBER(SEARCH("SL",H639)),IFNA(VLOOKUP("SL",Pitch_Coef!$A:$B,2,FALSE),0),0),0)</f>
        <v/>
      </c>
      <c r="AA639">
        <f>IF(Q639="P",16.5944849573+0.2529999141*N639+0.2665900378*O639+0.2632687105*P639+0.0427586837*I639+0.0534777057*J639+0.009015832*K639+0.0204898106*(O639*P639/100)+1.0091022427*U639+1.0968542297*IF(D639="L",1,0)+0.3771555045*IF(D639="S",1,0)-0.2226159177*IF(E639="L",1,0)+1.21385024*R639-1.1652812274*S639+W639+X639+Z639,10.5965166711+0.2825983581*I639+0.2806503532*J639+0.2027213083*K639+0.1147824982*L639+0.0915305332*M639-0.0088454122*(I639*J639/100)-0.0336045706*(K639*L639/100)+2.8497389733*IF(D639="L",1,0)+4.5116226727*IF(D639="S",1,0)-0.6571546448*IF(E639="L",1,0)+0.0850728147*T639+0.0129488446*(T639*T639)+0.1909373936*IF(OR(F639="Utility",G639="Utility"),T639,0)+0.9656824071*R639-1.7517683256*S639+W639+X639+Y639)</f>
        <v/>
      </c>
      <c r="AB639">
        <f>LOOKUP(AA639,Grade_Scale!$A$2:$A$18,Grade_Scale!$B$2:$B$18)</f>
        <v/>
      </c>
      <c r="AC639">
        <f>LOOKUP(AA639,Grade_Scale!$A$2:$A$18,Grade_Scale!$C$2:$C$18)</f>
        <v/>
      </c>
      <c r="AE639">
        <f>IF(AD639="","",AB639-VLOOKUP(AD639,Grade_Scale!$C$2:$E$18,3,FALSE))</f>
        <v/>
      </c>
    </row>
    <row r="640">
      <c r="Q640">
        <f>IF(OR(B640="SP",B640="RP",B640="CP",B640="SP/RP"),"P","H")</f>
        <v/>
      </c>
      <c r="R640">
        <f>IF(F640="",0,IFNA(VLOOKUP(F640,Trait_Polarity!$A:$C,2,FALSE),0))+IF(G640="",0,IFNA(VLOOKUP(G640,Trait_Polarity!$A:$C,2,FALSE),0))</f>
        <v/>
      </c>
      <c r="S640">
        <f>IF(F640="",0,IFNA(VLOOKUP(F640,Trait_Polarity!$A:$C,3,FALSE),0))+IF(G640="",0,IFNA(VLOOKUP(G640,Trait_Polarity!$A:$C,3,FALSE),0))</f>
        <v/>
      </c>
      <c r="T640">
        <f>IF(Q640="P",0,IFNA(VLOOKUP(IF(C640="","(none)",C640),Secondary_Versatility!$A:$B,2,FALSE),0))</f>
        <v/>
      </c>
      <c r="U640">
        <f>IF(H640="",0,LEN(H640)-LEN(SUBSTITUTE(H640,"|",""))+1)</f>
        <v/>
      </c>
      <c r="V640">
        <f>IF(Q640="P",(N640+O640+P640)/3,0.3*I640+0.3*J640+0.2*K640+0.1*L640+0.1*M640)</f>
        <v/>
      </c>
      <c r="W640">
        <f>IF(Q640="P",IF(F640="",0,IFNA(VLOOKUP(F640,Pitcher_Trait_Coef!$A:$B,2,FALSE),0))+IF(G640="",0,IFNA(VLOOKUP(G640,Pitcher_Trait_Coef!$A:$B,2,FALSE),0)),IF(F640="",0,IFNA(VLOOKUP(F640,Hitter_Trait_Coef!$A:$B,2,FALSE),0))+IF(G640="",0,IFNA(VLOOKUP(G640,Hitter_Trait_Coef!$A:$B,2,FALSE),0)))</f>
        <v/>
      </c>
      <c r="X640">
        <f>IF(Q640="P",IFNA(VLOOKUP(B640,Pitcher_Primary_Coef!$A:$B,2,FALSE),0),IFNA(VLOOKUP(B640,Hitter_Primary_Coef!$A:$B,2,FALSE),0))</f>
        <v/>
      </c>
      <c r="Y640">
        <f>IF(Q640="P",0,IFNA(VLOOKUP(IF(C640="","(none)",C640),Hitter_Secondary_Coef!$A:$B,2,FALSE),0))</f>
        <v/>
      </c>
      <c r="Z640">
        <f>IF(Q640="P",IF(ISNUMBER(SEARCH("2F",H640)),IFNA(VLOOKUP("2F",Pitch_Coef!$A:$B,2,FALSE),0),0)+IF(ISNUMBER(SEARCH("4F",H640)),IFNA(VLOOKUP("4F",Pitch_Coef!$A:$B,2,FALSE),0),0)+IF(ISNUMBER(SEARCH("CB",H640)),IFNA(VLOOKUP("CB",Pitch_Coef!$A:$B,2,FALSE),0),0)+IF(ISNUMBER(SEARCH("CF",H640)),IFNA(VLOOKUP("CF",Pitch_Coef!$A:$B,2,FALSE),0),0)+IF(ISNUMBER(SEARCH("CH",H640)),IFNA(VLOOKUP("CH",Pitch_Coef!$A:$B,2,FALSE),0),0)+IF(ISNUMBER(SEARCH("FK",H640)),IFNA(VLOOKUP("FK",Pitch_Coef!$A:$B,2,FALSE),0),0)+IF(ISNUMBER(SEARCH("SB",H640)),IFNA(VLOOKUP("SB",Pitch_Coef!$A:$B,2,FALSE),0),0)+IF(ISNUMBER(SEARCH("SL",H640)),IFNA(VLOOKUP("SL",Pitch_Coef!$A:$B,2,FALSE),0),0),0)</f>
        <v/>
      </c>
      <c r="AA640">
        <f>IF(Q640="P",16.5944849573+0.2529999141*N640+0.2665900378*O640+0.2632687105*P640+0.0427586837*I640+0.0534777057*J640+0.009015832*K640+0.0204898106*(O640*P640/100)+1.0091022427*U640+1.0968542297*IF(D640="L",1,0)+0.3771555045*IF(D640="S",1,0)-0.2226159177*IF(E640="L",1,0)+1.21385024*R640-1.1652812274*S640+W640+X640+Z640,10.5965166711+0.2825983581*I640+0.2806503532*J640+0.2027213083*K640+0.1147824982*L640+0.0915305332*M640-0.0088454122*(I640*J640/100)-0.0336045706*(K640*L640/100)+2.8497389733*IF(D640="L",1,0)+4.5116226727*IF(D640="S",1,0)-0.6571546448*IF(E640="L",1,0)+0.0850728147*T640+0.0129488446*(T640*T640)+0.1909373936*IF(OR(F640="Utility",G640="Utility"),T640,0)+0.9656824071*R640-1.7517683256*S640+W640+X640+Y640)</f>
        <v/>
      </c>
      <c r="AB640">
        <f>LOOKUP(AA640,Grade_Scale!$A$2:$A$18,Grade_Scale!$B$2:$B$18)</f>
        <v/>
      </c>
      <c r="AC640">
        <f>LOOKUP(AA640,Grade_Scale!$A$2:$A$18,Grade_Scale!$C$2:$C$18)</f>
        <v/>
      </c>
      <c r="AE640">
        <f>IF(AD640="","",AB640-VLOOKUP(AD640,Grade_Scale!$C$2:$E$18,3,FALSE))</f>
        <v/>
      </c>
    </row>
    <row r="641">
      <c r="Q641">
        <f>IF(OR(B641="SP",B641="RP",B641="CP",B641="SP/RP"),"P","H")</f>
        <v/>
      </c>
      <c r="R641">
        <f>IF(F641="",0,IFNA(VLOOKUP(F641,Trait_Polarity!$A:$C,2,FALSE),0))+IF(G641="",0,IFNA(VLOOKUP(G641,Trait_Polarity!$A:$C,2,FALSE),0))</f>
        <v/>
      </c>
      <c r="S641">
        <f>IF(F641="",0,IFNA(VLOOKUP(F641,Trait_Polarity!$A:$C,3,FALSE),0))+IF(G641="",0,IFNA(VLOOKUP(G641,Trait_Polarity!$A:$C,3,FALSE),0))</f>
        <v/>
      </c>
      <c r="T641">
        <f>IF(Q641="P",0,IFNA(VLOOKUP(IF(C641="","(none)",C641),Secondary_Versatility!$A:$B,2,FALSE),0))</f>
        <v/>
      </c>
      <c r="U641">
        <f>IF(H641="",0,LEN(H641)-LEN(SUBSTITUTE(H641,"|",""))+1)</f>
        <v/>
      </c>
      <c r="V641">
        <f>IF(Q641="P",(N641+O641+P641)/3,0.3*I641+0.3*J641+0.2*K641+0.1*L641+0.1*M641)</f>
        <v/>
      </c>
      <c r="W641">
        <f>IF(Q641="P",IF(F641="",0,IFNA(VLOOKUP(F641,Pitcher_Trait_Coef!$A:$B,2,FALSE),0))+IF(G641="",0,IFNA(VLOOKUP(G641,Pitcher_Trait_Coef!$A:$B,2,FALSE),0)),IF(F641="",0,IFNA(VLOOKUP(F641,Hitter_Trait_Coef!$A:$B,2,FALSE),0))+IF(G641="",0,IFNA(VLOOKUP(G641,Hitter_Trait_Coef!$A:$B,2,FALSE),0)))</f>
        <v/>
      </c>
      <c r="X641">
        <f>IF(Q641="P",IFNA(VLOOKUP(B641,Pitcher_Primary_Coef!$A:$B,2,FALSE),0),IFNA(VLOOKUP(B641,Hitter_Primary_Coef!$A:$B,2,FALSE),0))</f>
        <v/>
      </c>
      <c r="Y641">
        <f>IF(Q641="P",0,IFNA(VLOOKUP(IF(C641="","(none)",C641),Hitter_Secondary_Coef!$A:$B,2,FALSE),0))</f>
        <v/>
      </c>
      <c r="Z641">
        <f>IF(Q641="P",IF(ISNUMBER(SEARCH("2F",H641)),IFNA(VLOOKUP("2F",Pitch_Coef!$A:$B,2,FALSE),0),0)+IF(ISNUMBER(SEARCH("4F",H641)),IFNA(VLOOKUP("4F",Pitch_Coef!$A:$B,2,FALSE),0),0)+IF(ISNUMBER(SEARCH("CB",H641)),IFNA(VLOOKUP("CB",Pitch_Coef!$A:$B,2,FALSE),0),0)+IF(ISNUMBER(SEARCH("CF",H641)),IFNA(VLOOKUP("CF",Pitch_Coef!$A:$B,2,FALSE),0),0)+IF(ISNUMBER(SEARCH("CH",H641)),IFNA(VLOOKUP("CH",Pitch_Coef!$A:$B,2,FALSE),0),0)+IF(ISNUMBER(SEARCH("FK",H641)),IFNA(VLOOKUP("FK",Pitch_Coef!$A:$B,2,FALSE),0),0)+IF(ISNUMBER(SEARCH("SB",H641)),IFNA(VLOOKUP("SB",Pitch_Coef!$A:$B,2,FALSE),0),0)+IF(ISNUMBER(SEARCH("SL",H641)),IFNA(VLOOKUP("SL",Pitch_Coef!$A:$B,2,FALSE),0),0),0)</f>
        <v/>
      </c>
      <c r="AA641">
        <f>IF(Q641="P",16.5944849573+0.2529999141*N641+0.2665900378*O641+0.2632687105*P641+0.0427586837*I641+0.0534777057*J641+0.009015832*K641+0.0204898106*(O641*P641/100)+1.0091022427*U641+1.0968542297*IF(D641="L",1,0)+0.3771555045*IF(D641="S",1,0)-0.2226159177*IF(E641="L",1,0)+1.21385024*R641-1.1652812274*S641+W641+X641+Z641,10.5965166711+0.2825983581*I641+0.2806503532*J641+0.2027213083*K641+0.1147824982*L641+0.0915305332*M641-0.0088454122*(I641*J641/100)-0.0336045706*(K641*L641/100)+2.8497389733*IF(D641="L",1,0)+4.5116226727*IF(D641="S",1,0)-0.6571546448*IF(E641="L",1,0)+0.0850728147*T641+0.0129488446*(T641*T641)+0.1909373936*IF(OR(F641="Utility",G641="Utility"),T641,0)+0.9656824071*R641-1.7517683256*S641+W641+X641+Y641)</f>
        <v/>
      </c>
      <c r="AB641">
        <f>LOOKUP(AA641,Grade_Scale!$A$2:$A$18,Grade_Scale!$B$2:$B$18)</f>
        <v/>
      </c>
      <c r="AC641">
        <f>LOOKUP(AA641,Grade_Scale!$A$2:$A$18,Grade_Scale!$C$2:$C$18)</f>
        <v/>
      </c>
      <c r="AE641">
        <f>IF(AD641="","",AB641-VLOOKUP(AD641,Grade_Scale!$C$2:$E$18,3,FALSE))</f>
        <v/>
      </c>
    </row>
    <row r="642">
      <c r="Q642">
        <f>IF(OR(B642="SP",B642="RP",B642="CP",B642="SP/RP"),"P","H")</f>
        <v/>
      </c>
      <c r="R642">
        <f>IF(F642="",0,IFNA(VLOOKUP(F642,Trait_Polarity!$A:$C,2,FALSE),0))+IF(G642="",0,IFNA(VLOOKUP(G642,Trait_Polarity!$A:$C,2,FALSE),0))</f>
        <v/>
      </c>
      <c r="S642">
        <f>IF(F642="",0,IFNA(VLOOKUP(F642,Trait_Polarity!$A:$C,3,FALSE),0))+IF(G642="",0,IFNA(VLOOKUP(G642,Trait_Polarity!$A:$C,3,FALSE),0))</f>
        <v/>
      </c>
      <c r="T642">
        <f>IF(Q642="P",0,IFNA(VLOOKUP(IF(C642="","(none)",C642),Secondary_Versatility!$A:$B,2,FALSE),0))</f>
        <v/>
      </c>
      <c r="U642">
        <f>IF(H642="",0,LEN(H642)-LEN(SUBSTITUTE(H642,"|",""))+1)</f>
        <v/>
      </c>
      <c r="V642">
        <f>IF(Q642="P",(N642+O642+P642)/3,0.3*I642+0.3*J642+0.2*K642+0.1*L642+0.1*M642)</f>
        <v/>
      </c>
      <c r="W642">
        <f>IF(Q642="P",IF(F642="",0,IFNA(VLOOKUP(F642,Pitcher_Trait_Coef!$A:$B,2,FALSE),0))+IF(G642="",0,IFNA(VLOOKUP(G642,Pitcher_Trait_Coef!$A:$B,2,FALSE),0)),IF(F642="",0,IFNA(VLOOKUP(F642,Hitter_Trait_Coef!$A:$B,2,FALSE),0))+IF(G642="",0,IFNA(VLOOKUP(G642,Hitter_Trait_Coef!$A:$B,2,FALSE),0)))</f>
        <v/>
      </c>
      <c r="X642">
        <f>IF(Q642="P",IFNA(VLOOKUP(B642,Pitcher_Primary_Coef!$A:$B,2,FALSE),0),IFNA(VLOOKUP(B642,Hitter_Primary_Coef!$A:$B,2,FALSE),0))</f>
        <v/>
      </c>
      <c r="Y642">
        <f>IF(Q642="P",0,IFNA(VLOOKUP(IF(C642="","(none)",C642),Hitter_Secondary_Coef!$A:$B,2,FALSE),0))</f>
        <v/>
      </c>
      <c r="Z642">
        <f>IF(Q642="P",IF(ISNUMBER(SEARCH("2F",H642)),IFNA(VLOOKUP("2F",Pitch_Coef!$A:$B,2,FALSE),0),0)+IF(ISNUMBER(SEARCH("4F",H642)),IFNA(VLOOKUP("4F",Pitch_Coef!$A:$B,2,FALSE),0),0)+IF(ISNUMBER(SEARCH("CB",H642)),IFNA(VLOOKUP("CB",Pitch_Coef!$A:$B,2,FALSE),0),0)+IF(ISNUMBER(SEARCH("CF",H642)),IFNA(VLOOKUP("CF",Pitch_Coef!$A:$B,2,FALSE),0),0)+IF(ISNUMBER(SEARCH("CH",H642)),IFNA(VLOOKUP("CH",Pitch_Coef!$A:$B,2,FALSE),0),0)+IF(ISNUMBER(SEARCH("FK",H642)),IFNA(VLOOKUP("FK",Pitch_Coef!$A:$B,2,FALSE),0),0)+IF(ISNUMBER(SEARCH("SB",H642)),IFNA(VLOOKUP("SB",Pitch_Coef!$A:$B,2,FALSE),0),0)+IF(ISNUMBER(SEARCH("SL",H642)),IFNA(VLOOKUP("SL",Pitch_Coef!$A:$B,2,FALSE),0),0),0)</f>
        <v/>
      </c>
      <c r="AA642">
        <f>IF(Q642="P",16.5944849573+0.2529999141*N642+0.2665900378*O642+0.2632687105*P642+0.0427586837*I642+0.0534777057*J642+0.009015832*K642+0.0204898106*(O642*P642/100)+1.0091022427*U642+1.0968542297*IF(D642="L",1,0)+0.3771555045*IF(D642="S",1,0)-0.2226159177*IF(E642="L",1,0)+1.21385024*R642-1.1652812274*S642+W642+X642+Z642,10.5965166711+0.2825983581*I642+0.2806503532*J642+0.2027213083*K642+0.1147824982*L642+0.0915305332*M642-0.0088454122*(I642*J642/100)-0.0336045706*(K642*L642/100)+2.8497389733*IF(D642="L",1,0)+4.5116226727*IF(D642="S",1,0)-0.6571546448*IF(E642="L",1,0)+0.0850728147*T642+0.0129488446*(T642*T642)+0.1909373936*IF(OR(F642="Utility",G642="Utility"),T642,0)+0.9656824071*R642-1.7517683256*S642+W642+X642+Y642)</f>
        <v/>
      </c>
      <c r="AB642">
        <f>LOOKUP(AA642,Grade_Scale!$A$2:$A$18,Grade_Scale!$B$2:$B$18)</f>
        <v/>
      </c>
      <c r="AC642">
        <f>LOOKUP(AA642,Grade_Scale!$A$2:$A$18,Grade_Scale!$C$2:$C$18)</f>
        <v/>
      </c>
      <c r="AE642">
        <f>IF(AD642="","",AB642-VLOOKUP(AD642,Grade_Scale!$C$2:$E$18,3,FALSE))</f>
        <v/>
      </c>
    </row>
    <row r="643">
      <c r="Q643">
        <f>IF(OR(B643="SP",B643="RP",B643="CP",B643="SP/RP"),"P","H")</f>
        <v/>
      </c>
      <c r="R643">
        <f>IF(F643="",0,IFNA(VLOOKUP(F643,Trait_Polarity!$A:$C,2,FALSE),0))+IF(G643="",0,IFNA(VLOOKUP(G643,Trait_Polarity!$A:$C,2,FALSE),0))</f>
        <v/>
      </c>
      <c r="S643">
        <f>IF(F643="",0,IFNA(VLOOKUP(F643,Trait_Polarity!$A:$C,3,FALSE),0))+IF(G643="",0,IFNA(VLOOKUP(G643,Trait_Polarity!$A:$C,3,FALSE),0))</f>
        <v/>
      </c>
      <c r="T643">
        <f>IF(Q643="P",0,IFNA(VLOOKUP(IF(C643="","(none)",C643),Secondary_Versatility!$A:$B,2,FALSE),0))</f>
        <v/>
      </c>
      <c r="U643">
        <f>IF(H643="",0,LEN(H643)-LEN(SUBSTITUTE(H643,"|",""))+1)</f>
        <v/>
      </c>
      <c r="V643">
        <f>IF(Q643="P",(N643+O643+P643)/3,0.3*I643+0.3*J643+0.2*K643+0.1*L643+0.1*M643)</f>
        <v/>
      </c>
      <c r="W643">
        <f>IF(Q643="P",IF(F643="",0,IFNA(VLOOKUP(F643,Pitcher_Trait_Coef!$A:$B,2,FALSE),0))+IF(G643="",0,IFNA(VLOOKUP(G643,Pitcher_Trait_Coef!$A:$B,2,FALSE),0)),IF(F643="",0,IFNA(VLOOKUP(F643,Hitter_Trait_Coef!$A:$B,2,FALSE),0))+IF(G643="",0,IFNA(VLOOKUP(G643,Hitter_Trait_Coef!$A:$B,2,FALSE),0)))</f>
        <v/>
      </c>
      <c r="X643">
        <f>IF(Q643="P",IFNA(VLOOKUP(B643,Pitcher_Primary_Coef!$A:$B,2,FALSE),0),IFNA(VLOOKUP(B643,Hitter_Primary_Coef!$A:$B,2,FALSE),0))</f>
        <v/>
      </c>
      <c r="Y643">
        <f>IF(Q643="P",0,IFNA(VLOOKUP(IF(C643="","(none)",C643),Hitter_Secondary_Coef!$A:$B,2,FALSE),0))</f>
        <v/>
      </c>
      <c r="Z643">
        <f>IF(Q643="P",IF(ISNUMBER(SEARCH("2F",H643)),IFNA(VLOOKUP("2F",Pitch_Coef!$A:$B,2,FALSE),0),0)+IF(ISNUMBER(SEARCH("4F",H643)),IFNA(VLOOKUP("4F",Pitch_Coef!$A:$B,2,FALSE),0),0)+IF(ISNUMBER(SEARCH("CB",H643)),IFNA(VLOOKUP("CB",Pitch_Coef!$A:$B,2,FALSE),0),0)+IF(ISNUMBER(SEARCH("CF",H643)),IFNA(VLOOKUP("CF",Pitch_Coef!$A:$B,2,FALSE),0),0)+IF(ISNUMBER(SEARCH("CH",H643)),IFNA(VLOOKUP("CH",Pitch_Coef!$A:$B,2,FALSE),0),0)+IF(ISNUMBER(SEARCH("FK",H643)),IFNA(VLOOKUP("FK",Pitch_Coef!$A:$B,2,FALSE),0),0)+IF(ISNUMBER(SEARCH("SB",H643)),IFNA(VLOOKUP("SB",Pitch_Coef!$A:$B,2,FALSE),0),0)+IF(ISNUMBER(SEARCH("SL",H643)),IFNA(VLOOKUP("SL",Pitch_Coef!$A:$B,2,FALSE),0),0),0)</f>
        <v/>
      </c>
      <c r="AA643">
        <f>IF(Q643="P",16.5944849573+0.2529999141*N643+0.2665900378*O643+0.2632687105*P643+0.0427586837*I643+0.0534777057*J643+0.009015832*K643+0.0204898106*(O643*P643/100)+1.0091022427*U643+1.0968542297*IF(D643="L",1,0)+0.3771555045*IF(D643="S",1,0)-0.2226159177*IF(E643="L",1,0)+1.21385024*R643-1.1652812274*S643+W643+X643+Z643,10.5965166711+0.2825983581*I643+0.2806503532*J643+0.2027213083*K643+0.1147824982*L643+0.0915305332*M643-0.0088454122*(I643*J643/100)-0.0336045706*(K643*L643/100)+2.8497389733*IF(D643="L",1,0)+4.5116226727*IF(D643="S",1,0)-0.6571546448*IF(E643="L",1,0)+0.0850728147*T643+0.0129488446*(T643*T643)+0.1909373936*IF(OR(F643="Utility",G643="Utility"),T643,0)+0.9656824071*R643-1.7517683256*S643+W643+X643+Y643)</f>
        <v/>
      </c>
      <c r="AB643">
        <f>LOOKUP(AA643,Grade_Scale!$A$2:$A$18,Grade_Scale!$B$2:$B$18)</f>
        <v/>
      </c>
      <c r="AC643">
        <f>LOOKUP(AA643,Grade_Scale!$A$2:$A$18,Grade_Scale!$C$2:$C$18)</f>
        <v/>
      </c>
      <c r="AE643">
        <f>IF(AD643="","",AB643-VLOOKUP(AD643,Grade_Scale!$C$2:$E$18,3,FALSE))</f>
        <v/>
      </c>
    </row>
    <row r="644">
      <c r="Q644">
        <f>IF(OR(B644="SP",B644="RP",B644="CP",B644="SP/RP"),"P","H")</f>
        <v/>
      </c>
      <c r="R644">
        <f>IF(F644="",0,IFNA(VLOOKUP(F644,Trait_Polarity!$A:$C,2,FALSE),0))+IF(G644="",0,IFNA(VLOOKUP(G644,Trait_Polarity!$A:$C,2,FALSE),0))</f>
        <v/>
      </c>
      <c r="S644">
        <f>IF(F644="",0,IFNA(VLOOKUP(F644,Trait_Polarity!$A:$C,3,FALSE),0))+IF(G644="",0,IFNA(VLOOKUP(G644,Trait_Polarity!$A:$C,3,FALSE),0))</f>
        <v/>
      </c>
      <c r="T644">
        <f>IF(Q644="P",0,IFNA(VLOOKUP(IF(C644="","(none)",C644),Secondary_Versatility!$A:$B,2,FALSE),0))</f>
        <v/>
      </c>
      <c r="U644">
        <f>IF(H644="",0,LEN(H644)-LEN(SUBSTITUTE(H644,"|",""))+1)</f>
        <v/>
      </c>
      <c r="V644">
        <f>IF(Q644="P",(N644+O644+P644)/3,0.3*I644+0.3*J644+0.2*K644+0.1*L644+0.1*M644)</f>
        <v/>
      </c>
      <c r="W644">
        <f>IF(Q644="P",IF(F644="",0,IFNA(VLOOKUP(F644,Pitcher_Trait_Coef!$A:$B,2,FALSE),0))+IF(G644="",0,IFNA(VLOOKUP(G644,Pitcher_Trait_Coef!$A:$B,2,FALSE),0)),IF(F644="",0,IFNA(VLOOKUP(F644,Hitter_Trait_Coef!$A:$B,2,FALSE),0))+IF(G644="",0,IFNA(VLOOKUP(G644,Hitter_Trait_Coef!$A:$B,2,FALSE),0)))</f>
        <v/>
      </c>
      <c r="X644">
        <f>IF(Q644="P",IFNA(VLOOKUP(B644,Pitcher_Primary_Coef!$A:$B,2,FALSE),0),IFNA(VLOOKUP(B644,Hitter_Primary_Coef!$A:$B,2,FALSE),0))</f>
        <v/>
      </c>
      <c r="Y644">
        <f>IF(Q644="P",0,IFNA(VLOOKUP(IF(C644="","(none)",C644),Hitter_Secondary_Coef!$A:$B,2,FALSE),0))</f>
        <v/>
      </c>
      <c r="Z644">
        <f>IF(Q644="P",IF(ISNUMBER(SEARCH("2F",H644)),IFNA(VLOOKUP("2F",Pitch_Coef!$A:$B,2,FALSE),0),0)+IF(ISNUMBER(SEARCH("4F",H644)),IFNA(VLOOKUP("4F",Pitch_Coef!$A:$B,2,FALSE),0),0)+IF(ISNUMBER(SEARCH("CB",H644)),IFNA(VLOOKUP("CB",Pitch_Coef!$A:$B,2,FALSE),0),0)+IF(ISNUMBER(SEARCH("CF",H644)),IFNA(VLOOKUP("CF",Pitch_Coef!$A:$B,2,FALSE),0),0)+IF(ISNUMBER(SEARCH("CH",H644)),IFNA(VLOOKUP("CH",Pitch_Coef!$A:$B,2,FALSE),0),0)+IF(ISNUMBER(SEARCH("FK",H644)),IFNA(VLOOKUP("FK",Pitch_Coef!$A:$B,2,FALSE),0),0)+IF(ISNUMBER(SEARCH("SB",H644)),IFNA(VLOOKUP("SB",Pitch_Coef!$A:$B,2,FALSE),0),0)+IF(ISNUMBER(SEARCH("SL",H644)),IFNA(VLOOKUP("SL",Pitch_Coef!$A:$B,2,FALSE),0),0),0)</f>
        <v/>
      </c>
      <c r="AA644">
        <f>IF(Q644="P",16.5944849573+0.2529999141*N644+0.2665900378*O644+0.2632687105*P644+0.0427586837*I644+0.0534777057*J644+0.009015832*K644+0.0204898106*(O644*P644/100)+1.0091022427*U644+1.0968542297*IF(D644="L",1,0)+0.3771555045*IF(D644="S",1,0)-0.2226159177*IF(E644="L",1,0)+1.21385024*R644-1.1652812274*S644+W644+X644+Z644,10.5965166711+0.2825983581*I644+0.2806503532*J644+0.2027213083*K644+0.1147824982*L644+0.0915305332*M644-0.0088454122*(I644*J644/100)-0.0336045706*(K644*L644/100)+2.8497389733*IF(D644="L",1,0)+4.5116226727*IF(D644="S",1,0)-0.6571546448*IF(E644="L",1,0)+0.0850728147*T644+0.0129488446*(T644*T644)+0.1909373936*IF(OR(F644="Utility",G644="Utility"),T644,0)+0.9656824071*R644-1.7517683256*S644+W644+X644+Y644)</f>
        <v/>
      </c>
      <c r="AB644">
        <f>LOOKUP(AA644,Grade_Scale!$A$2:$A$18,Grade_Scale!$B$2:$B$18)</f>
        <v/>
      </c>
      <c r="AC644">
        <f>LOOKUP(AA644,Grade_Scale!$A$2:$A$18,Grade_Scale!$C$2:$C$18)</f>
        <v/>
      </c>
      <c r="AE644">
        <f>IF(AD644="","",AB644-VLOOKUP(AD644,Grade_Scale!$C$2:$E$18,3,FALSE))</f>
        <v/>
      </c>
    </row>
    <row r="645">
      <c r="Q645">
        <f>IF(OR(B645="SP",B645="RP",B645="CP",B645="SP/RP"),"P","H")</f>
        <v/>
      </c>
      <c r="R645">
        <f>IF(F645="",0,IFNA(VLOOKUP(F645,Trait_Polarity!$A:$C,2,FALSE),0))+IF(G645="",0,IFNA(VLOOKUP(G645,Trait_Polarity!$A:$C,2,FALSE),0))</f>
        <v/>
      </c>
      <c r="S645">
        <f>IF(F645="",0,IFNA(VLOOKUP(F645,Trait_Polarity!$A:$C,3,FALSE),0))+IF(G645="",0,IFNA(VLOOKUP(G645,Trait_Polarity!$A:$C,3,FALSE),0))</f>
        <v/>
      </c>
      <c r="T645">
        <f>IF(Q645="P",0,IFNA(VLOOKUP(IF(C645="","(none)",C645),Secondary_Versatility!$A:$B,2,FALSE),0))</f>
        <v/>
      </c>
      <c r="U645">
        <f>IF(H645="",0,LEN(H645)-LEN(SUBSTITUTE(H645,"|",""))+1)</f>
        <v/>
      </c>
      <c r="V645">
        <f>IF(Q645="P",(N645+O645+P645)/3,0.3*I645+0.3*J645+0.2*K645+0.1*L645+0.1*M645)</f>
        <v/>
      </c>
      <c r="W645">
        <f>IF(Q645="P",IF(F645="",0,IFNA(VLOOKUP(F645,Pitcher_Trait_Coef!$A:$B,2,FALSE),0))+IF(G645="",0,IFNA(VLOOKUP(G645,Pitcher_Trait_Coef!$A:$B,2,FALSE),0)),IF(F645="",0,IFNA(VLOOKUP(F645,Hitter_Trait_Coef!$A:$B,2,FALSE),0))+IF(G645="",0,IFNA(VLOOKUP(G645,Hitter_Trait_Coef!$A:$B,2,FALSE),0)))</f>
        <v/>
      </c>
      <c r="X645">
        <f>IF(Q645="P",IFNA(VLOOKUP(B645,Pitcher_Primary_Coef!$A:$B,2,FALSE),0),IFNA(VLOOKUP(B645,Hitter_Primary_Coef!$A:$B,2,FALSE),0))</f>
        <v/>
      </c>
      <c r="Y645">
        <f>IF(Q645="P",0,IFNA(VLOOKUP(IF(C645="","(none)",C645),Hitter_Secondary_Coef!$A:$B,2,FALSE),0))</f>
        <v/>
      </c>
      <c r="Z645">
        <f>IF(Q645="P",IF(ISNUMBER(SEARCH("2F",H645)),IFNA(VLOOKUP("2F",Pitch_Coef!$A:$B,2,FALSE),0),0)+IF(ISNUMBER(SEARCH("4F",H645)),IFNA(VLOOKUP("4F",Pitch_Coef!$A:$B,2,FALSE),0),0)+IF(ISNUMBER(SEARCH("CB",H645)),IFNA(VLOOKUP("CB",Pitch_Coef!$A:$B,2,FALSE),0),0)+IF(ISNUMBER(SEARCH("CF",H645)),IFNA(VLOOKUP("CF",Pitch_Coef!$A:$B,2,FALSE),0),0)+IF(ISNUMBER(SEARCH("CH",H645)),IFNA(VLOOKUP("CH",Pitch_Coef!$A:$B,2,FALSE),0),0)+IF(ISNUMBER(SEARCH("FK",H645)),IFNA(VLOOKUP("FK",Pitch_Coef!$A:$B,2,FALSE),0),0)+IF(ISNUMBER(SEARCH("SB",H645)),IFNA(VLOOKUP("SB",Pitch_Coef!$A:$B,2,FALSE),0),0)+IF(ISNUMBER(SEARCH("SL",H645)),IFNA(VLOOKUP("SL",Pitch_Coef!$A:$B,2,FALSE),0),0),0)</f>
        <v/>
      </c>
      <c r="AA645">
        <f>IF(Q645="P",16.5944849573+0.2529999141*N645+0.2665900378*O645+0.2632687105*P645+0.0427586837*I645+0.0534777057*J645+0.009015832*K645+0.0204898106*(O645*P645/100)+1.0091022427*U645+1.0968542297*IF(D645="L",1,0)+0.3771555045*IF(D645="S",1,0)-0.2226159177*IF(E645="L",1,0)+1.21385024*R645-1.1652812274*S645+W645+X645+Z645,10.5965166711+0.2825983581*I645+0.2806503532*J645+0.2027213083*K645+0.1147824982*L645+0.0915305332*M645-0.0088454122*(I645*J645/100)-0.0336045706*(K645*L645/100)+2.8497389733*IF(D645="L",1,0)+4.5116226727*IF(D645="S",1,0)-0.6571546448*IF(E645="L",1,0)+0.0850728147*T645+0.0129488446*(T645*T645)+0.1909373936*IF(OR(F645="Utility",G645="Utility"),T645,0)+0.9656824071*R645-1.7517683256*S645+W645+X645+Y645)</f>
        <v/>
      </c>
      <c r="AB645">
        <f>LOOKUP(AA645,Grade_Scale!$A$2:$A$18,Grade_Scale!$B$2:$B$18)</f>
        <v/>
      </c>
      <c r="AC645">
        <f>LOOKUP(AA645,Grade_Scale!$A$2:$A$18,Grade_Scale!$C$2:$C$18)</f>
        <v/>
      </c>
      <c r="AE645">
        <f>IF(AD645="","",AB645-VLOOKUP(AD645,Grade_Scale!$C$2:$E$18,3,FALSE))</f>
        <v/>
      </c>
    </row>
    <row r="646">
      <c r="Q646">
        <f>IF(OR(B646="SP",B646="RP",B646="CP",B646="SP/RP"),"P","H")</f>
        <v/>
      </c>
      <c r="R646">
        <f>IF(F646="",0,IFNA(VLOOKUP(F646,Trait_Polarity!$A:$C,2,FALSE),0))+IF(G646="",0,IFNA(VLOOKUP(G646,Trait_Polarity!$A:$C,2,FALSE),0))</f>
        <v/>
      </c>
      <c r="S646">
        <f>IF(F646="",0,IFNA(VLOOKUP(F646,Trait_Polarity!$A:$C,3,FALSE),0))+IF(G646="",0,IFNA(VLOOKUP(G646,Trait_Polarity!$A:$C,3,FALSE),0))</f>
        <v/>
      </c>
      <c r="T646">
        <f>IF(Q646="P",0,IFNA(VLOOKUP(IF(C646="","(none)",C646),Secondary_Versatility!$A:$B,2,FALSE),0))</f>
        <v/>
      </c>
      <c r="U646">
        <f>IF(H646="",0,LEN(H646)-LEN(SUBSTITUTE(H646,"|",""))+1)</f>
        <v/>
      </c>
      <c r="V646">
        <f>IF(Q646="P",(N646+O646+P646)/3,0.3*I646+0.3*J646+0.2*K646+0.1*L646+0.1*M646)</f>
        <v/>
      </c>
      <c r="W646">
        <f>IF(Q646="P",IF(F646="",0,IFNA(VLOOKUP(F646,Pitcher_Trait_Coef!$A:$B,2,FALSE),0))+IF(G646="",0,IFNA(VLOOKUP(G646,Pitcher_Trait_Coef!$A:$B,2,FALSE),0)),IF(F646="",0,IFNA(VLOOKUP(F646,Hitter_Trait_Coef!$A:$B,2,FALSE),0))+IF(G646="",0,IFNA(VLOOKUP(G646,Hitter_Trait_Coef!$A:$B,2,FALSE),0)))</f>
        <v/>
      </c>
      <c r="X646">
        <f>IF(Q646="P",IFNA(VLOOKUP(B646,Pitcher_Primary_Coef!$A:$B,2,FALSE),0),IFNA(VLOOKUP(B646,Hitter_Primary_Coef!$A:$B,2,FALSE),0))</f>
        <v/>
      </c>
      <c r="Y646">
        <f>IF(Q646="P",0,IFNA(VLOOKUP(IF(C646="","(none)",C646),Hitter_Secondary_Coef!$A:$B,2,FALSE),0))</f>
        <v/>
      </c>
      <c r="Z646">
        <f>IF(Q646="P",IF(ISNUMBER(SEARCH("2F",H646)),IFNA(VLOOKUP("2F",Pitch_Coef!$A:$B,2,FALSE),0),0)+IF(ISNUMBER(SEARCH("4F",H646)),IFNA(VLOOKUP("4F",Pitch_Coef!$A:$B,2,FALSE),0),0)+IF(ISNUMBER(SEARCH("CB",H646)),IFNA(VLOOKUP("CB",Pitch_Coef!$A:$B,2,FALSE),0),0)+IF(ISNUMBER(SEARCH("CF",H646)),IFNA(VLOOKUP("CF",Pitch_Coef!$A:$B,2,FALSE),0),0)+IF(ISNUMBER(SEARCH("CH",H646)),IFNA(VLOOKUP("CH",Pitch_Coef!$A:$B,2,FALSE),0),0)+IF(ISNUMBER(SEARCH("FK",H646)),IFNA(VLOOKUP("FK",Pitch_Coef!$A:$B,2,FALSE),0),0)+IF(ISNUMBER(SEARCH("SB",H646)),IFNA(VLOOKUP("SB",Pitch_Coef!$A:$B,2,FALSE),0),0)+IF(ISNUMBER(SEARCH("SL",H646)),IFNA(VLOOKUP("SL",Pitch_Coef!$A:$B,2,FALSE),0),0),0)</f>
        <v/>
      </c>
      <c r="AA646">
        <f>IF(Q646="P",16.5944849573+0.2529999141*N646+0.2665900378*O646+0.2632687105*P646+0.0427586837*I646+0.0534777057*J646+0.009015832*K646+0.0204898106*(O646*P646/100)+1.0091022427*U646+1.0968542297*IF(D646="L",1,0)+0.3771555045*IF(D646="S",1,0)-0.2226159177*IF(E646="L",1,0)+1.21385024*R646-1.1652812274*S646+W646+X646+Z646,10.5965166711+0.2825983581*I646+0.2806503532*J646+0.2027213083*K646+0.1147824982*L646+0.0915305332*M646-0.0088454122*(I646*J646/100)-0.0336045706*(K646*L646/100)+2.8497389733*IF(D646="L",1,0)+4.5116226727*IF(D646="S",1,0)-0.6571546448*IF(E646="L",1,0)+0.0850728147*T646+0.0129488446*(T646*T646)+0.1909373936*IF(OR(F646="Utility",G646="Utility"),T646,0)+0.9656824071*R646-1.7517683256*S646+W646+X646+Y646)</f>
        <v/>
      </c>
      <c r="AB646">
        <f>LOOKUP(AA646,Grade_Scale!$A$2:$A$18,Grade_Scale!$B$2:$B$18)</f>
        <v/>
      </c>
      <c r="AC646">
        <f>LOOKUP(AA646,Grade_Scale!$A$2:$A$18,Grade_Scale!$C$2:$C$18)</f>
        <v/>
      </c>
      <c r="AE646">
        <f>IF(AD646="","",AB646-VLOOKUP(AD646,Grade_Scale!$C$2:$E$18,3,FALSE))</f>
        <v/>
      </c>
    </row>
    <row r="647">
      <c r="Q647">
        <f>IF(OR(B647="SP",B647="RP",B647="CP",B647="SP/RP"),"P","H")</f>
        <v/>
      </c>
      <c r="R647">
        <f>IF(F647="",0,IFNA(VLOOKUP(F647,Trait_Polarity!$A:$C,2,FALSE),0))+IF(G647="",0,IFNA(VLOOKUP(G647,Trait_Polarity!$A:$C,2,FALSE),0))</f>
        <v/>
      </c>
      <c r="S647">
        <f>IF(F647="",0,IFNA(VLOOKUP(F647,Trait_Polarity!$A:$C,3,FALSE),0))+IF(G647="",0,IFNA(VLOOKUP(G647,Trait_Polarity!$A:$C,3,FALSE),0))</f>
        <v/>
      </c>
      <c r="T647">
        <f>IF(Q647="P",0,IFNA(VLOOKUP(IF(C647="","(none)",C647),Secondary_Versatility!$A:$B,2,FALSE),0))</f>
        <v/>
      </c>
      <c r="U647">
        <f>IF(H647="",0,LEN(H647)-LEN(SUBSTITUTE(H647,"|",""))+1)</f>
        <v/>
      </c>
      <c r="V647">
        <f>IF(Q647="P",(N647+O647+P647)/3,0.3*I647+0.3*J647+0.2*K647+0.1*L647+0.1*M647)</f>
        <v/>
      </c>
      <c r="W647">
        <f>IF(Q647="P",IF(F647="",0,IFNA(VLOOKUP(F647,Pitcher_Trait_Coef!$A:$B,2,FALSE),0))+IF(G647="",0,IFNA(VLOOKUP(G647,Pitcher_Trait_Coef!$A:$B,2,FALSE),0)),IF(F647="",0,IFNA(VLOOKUP(F647,Hitter_Trait_Coef!$A:$B,2,FALSE),0))+IF(G647="",0,IFNA(VLOOKUP(G647,Hitter_Trait_Coef!$A:$B,2,FALSE),0)))</f>
        <v/>
      </c>
      <c r="X647">
        <f>IF(Q647="P",IFNA(VLOOKUP(B647,Pitcher_Primary_Coef!$A:$B,2,FALSE),0),IFNA(VLOOKUP(B647,Hitter_Primary_Coef!$A:$B,2,FALSE),0))</f>
        <v/>
      </c>
      <c r="Y647">
        <f>IF(Q647="P",0,IFNA(VLOOKUP(IF(C647="","(none)",C647),Hitter_Secondary_Coef!$A:$B,2,FALSE),0))</f>
        <v/>
      </c>
      <c r="Z647">
        <f>IF(Q647="P",IF(ISNUMBER(SEARCH("2F",H647)),IFNA(VLOOKUP("2F",Pitch_Coef!$A:$B,2,FALSE),0),0)+IF(ISNUMBER(SEARCH("4F",H647)),IFNA(VLOOKUP("4F",Pitch_Coef!$A:$B,2,FALSE),0),0)+IF(ISNUMBER(SEARCH("CB",H647)),IFNA(VLOOKUP("CB",Pitch_Coef!$A:$B,2,FALSE),0),0)+IF(ISNUMBER(SEARCH("CF",H647)),IFNA(VLOOKUP("CF",Pitch_Coef!$A:$B,2,FALSE),0),0)+IF(ISNUMBER(SEARCH("CH",H647)),IFNA(VLOOKUP("CH",Pitch_Coef!$A:$B,2,FALSE),0),0)+IF(ISNUMBER(SEARCH("FK",H647)),IFNA(VLOOKUP("FK",Pitch_Coef!$A:$B,2,FALSE),0),0)+IF(ISNUMBER(SEARCH("SB",H647)),IFNA(VLOOKUP("SB",Pitch_Coef!$A:$B,2,FALSE),0),0)+IF(ISNUMBER(SEARCH("SL",H647)),IFNA(VLOOKUP("SL",Pitch_Coef!$A:$B,2,FALSE),0),0),0)</f>
        <v/>
      </c>
      <c r="AA647">
        <f>IF(Q647="P",16.5944849573+0.2529999141*N647+0.2665900378*O647+0.2632687105*P647+0.0427586837*I647+0.0534777057*J647+0.009015832*K647+0.0204898106*(O647*P647/100)+1.0091022427*U647+1.0968542297*IF(D647="L",1,0)+0.3771555045*IF(D647="S",1,0)-0.2226159177*IF(E647="L",1,0)+1.21385024*R647-1.1652812274*S647+W647+X647+Z647,10.5965166711+0.2825983581*I647+0.2806503532*J647+0.2027213083*K647+0.1147824982*L647+0.0915305332*M647-0.0088454122*(I647*J647/100)-0.0336045706*(K647*L647/100)+2.8497389733*IF(D647="L",1,0)+4.5116226727*IF(D647="S",1,0)-0.6571546448*IF(E647="L",1,0)+0.0850728147*T647+0.0129488446*(T647*T647)+0.1909373936*IF(OR(F647="Utility",G647="Utility"),T647,0)+0.9656824071*R647-1.7517683256*S647+W647+X647+Y647)</f>
        <v/>
      </c>
      <c r="AB647">
        <f>LOOKUP(AA647,Grade_Scale!$A$2:$A$18,Grade_Scale!$B$2:$B$18)</f>
        <v/>
      </c>
      <c r="AC647">
        <f>LOOKUP(AA647,Grade_Scale!$A$2:$A$18,Grade_Scale!$C$2:$C$18)</f>
        <v/>
      </c>
      <c r="AE647">
        <f>IF(AD647="","",AB647-VLOOKUP(AD647,Grade_Scale!$C$2:$E$18,3,FALSE))</f>
        <v/>
      </c>
    </row>
    <row r="648">
      <c r="Q648">
        <f>IF(OR(B648="SP",B648="RP",B648="CP",B648="SP/RP"),"P","H")</f>
        <v/>
      </c>
      <c r="R648">
        <f>IF(F648="",0,IFNA(VLOOKUP(F648,Trait_Polarity!$A:$C,2,FALSE),0))+IF(G648="",0,IFNA(VLOOKUP(G648,Trait_Polarity!$A:$C,2,FALSE),0))</f>
        <v/>
      </c>
      <c r="S648">
        <f>IF(F648="",0,IFNA(VLOOKUP(F648,Trait_Polarity!$A:$C,3,FALSE),0))+IF(G648="",0,IFNA(VLOOKUP(G648,Trait_Polarity!$A:$C,3,FALSE),0))</f>
        <v/>
      </c>
      <c r="T648">
        <f>IF(Q648="P",0,IFNA(VLOOKUP(IF(C648="","(none)",C648),Secondary_Versatility!$A:$B,2,FALSE),0))</f>
        <v/>
      </c>
      <c r="U648">
        <f>IF(H648="",0,LEN(H648)-LEN(SUBSTITUTE(H648,"|",""))+1)</f>
        <v/>
      </c>
      <c r="V648">
        <f>IF(Q648="P",(N648+O648+P648)/3,0.3*I648+0.3*J648+0.2*K648+0.1*L648+0.1*M648)</f>
        <v/>
      </c>
      <c r="W648">
        <f>IF(Q648="P",IF(F648="",0,IFNA(VLOOKUP(F648,Pitcher_Trait_Coef!$A:$B,2,FALSE),0))+IF(G648="",0,IFNA(VLOOKUP(G648,Pitcher_Trait_Coef!$A:$B,2,FALSE),0)),IF(F648="",0,IFNA(VLOOKUP(F648,Hitter_Trait_Coef!$A:$B,2,FALSE),0))+IF(G648="",0,IFNA(VLOOKUP(G648,Hitter_Trait_Coef!$A:$B,2,FALSE),0)))</f>
        <v/>
      </c>
      <c r="X648">
        <f>IF(Q648="P",IFNA(VLOOKUP(B648,Pitcher_Primary_Coef!$A:$B,2,FALSE),0),IFNA(VLOOKUP(B648,Hitter_Primary_Coef!$A:$B,2,FALSE),0))</f>
        <v/>
      </c>
      <c r="Y648">
        <f>IF(Q648="P",0,IFNA(VLOOKUP(IF(C648="","(none)",C648),Hitter_Secondary_Coef!$A:$B,2,FALSE),0))</f>
        <v/>
      </c>
      <c r="Z648">
        <f>IF(Q648="P",IF(ISNUMBER(SEARCH("2F",H648)),IFNA(VLOOKUP("2F",Pitch_Coef!$A:$B,2,FALSE),0),0)+IF(ISNUMBER(SEARCH("4F",H648)),IFNA(VLOOKUP("4F",Pitch_Coef!$A:$B,2,FALSE),0),0)+IF(ISNUMBER(SEARCH("CB",H648)),IFNA(VLOOKUP("CB",Pitch_Coef!$A:$B,2,FALSE),0),0)+IF(ISNUMBER(SEARCH("CF",H648)),IFNA(VLOOKUP("CF",Pitch_Coef!$A:$B,2,FALSE),0),0)+IF(ISNUMBER(SEARCH("CH",H648)),IFNA(VLOOKUP("CH",Pitch_Coef!$A:$B,2,FALSE),0),0)+IF(ISNUMBER(SEARCH("FK",H648)),IFNA(VLOOKUP("FK",Pitch_Coef!$A:$B,2,FALSE),0),0)+IF(ISNUMBER(SEARCH("SB",H648)),IFNA(VLOOKUP("SB",Pitch_Coef!$A:$B,2,FALSE),0),0)+IF(ISNUMBER(SEARCH("SL",H648)),IFNA(VLOOKUP("SL",Pitch_Coef!$A:$B,2,FALSE),0),0),0)</f>
        <v/>
      </c>
      <c r="AA648">
        <f>IF(Q648="P",16.5944849573+0.2529999141*N648+0.2665900378*O648+0.2632687105*P648+0.0427586837*I648+0.0534777057*J648+0.009015832*K648+0.0204898106*(O648*P648/100)+1.0091022427*U648+1.0968542297*IF(D648="L",1,0)+0.3771555045*IF(D648="S",1,0)-0.2226159177*IF(E648="L",1,0)+1.21385024*R648-1.1652812274*S648+W648+X648+Z648,10.5965166711+0.2825983581*I648+0.2806503532*J648+0.2027213083*K648+0.1147824982*L648+0.0915305332*M648-0.0088454122*(I648*J648/100)-0.0336045706*(K648*L648/100)+2.8497389733*IF(D648="L",1,0)+4.5116226727*IF(D648="S",1,0)-0.6571546448*IF(E648="L",1,0)+0.0850728147*T648+0.0129488446*(T648*T648)+0.1909373936*IF(OR(F648="Utility",G648="Utility"),T648,0)+0.9656824071*R648-1.7517683256*S648+W648+X648+Y648)</f>
        <v/>
      </c>
      <c r="AB648">
        <f>LOOKUP(AA648,Grade_Scale!$A$2:$A$18,Grade_Scale!$B$2:$B$18)</f>
        <v/>
      </c>
      <c r="AC648">
        <f>LOOKUP(AA648,Grade_Scale!$A$2:$A$18,Grade_Scale!$C$2:$C$18)</f>
        <v/>
      </c>
      <c r="AE648">
        <f>IF(AD648="","",AB648-VLOOKUP(AD648,Grade_Scale!$C$2:$E$18,3,FALSE))</f>
        <v/>
      </c>
    </row>
    <row r="649">
      <c r="Q649">
        <f>IF(OR(B649="SP",B649="RP",B649="CP",B649="SP/RP"),"P","H")</f>
        <v/>
      </c>
      <c r="R649">
        <f>IF(F649="",0,IFNA(VLOOKUP(F649,Trait_Polarity!$A:$C,2,FALSE),0))+IF(G649="",0,IFNA(VLOOKUP(G649,Trait_Polarity!$A:$C,2,FALSE),0))</f>
        <v/>
      </c>
      <c r="S649">
        <f>IF(F649="",0,IFNA(VLOOKUP(F649,Trait_Polarity!$A:$C,3,FALSE),0))+IF(G649="",0,IFNA(VLOOKUP(G649,Trait_Polarity!$A:$C,3,FALSE),0))</f>
        <v/>
      </c>
      <c r="T649">
        <f>IF(Q649="P",0,IFNA(VLOOKUP(IF(C649="","(none)",C649),Secondary_Versatility!$A:$B,2,FALSE),0))</f>
        <v/>
      </c>
      <c r="U649">
        <f>IF(H649="",0,LEN(H649)-LEN(SUBSTITUTE(H649,"|",""))+1)</f>
        <v/>
      </c>
      <c r="V649">
        <f>IF(Q649="P",(N649+O649+P649)/3,0.3*I649+0.3*J649+0.2*K649+0.1*L649+0.1*M649)</f>
        <v/>
      </c>
      <c r="W649">
        <f>IF(Q649="P",IF(F649="",0,IFNA(VLOOKUP(F649,Pitcher_Trait_Coef!$A:$B,2,FALSE),0))+IF(G649="",0,IFNA(VLOOKUP(G649,Pitcher_Trait_Coef!$A:$B,2,FALSE),0)),IF(F649="",0,IFNA(VLOOKUP(F649,Hitter_Trait_Coef!$A:$B,2,FALSE),0))+IF(G649="",0,IFNA(VLOOKUP(G649,Hitter_Trait_Coef!$A:$B,2,FALSE),0)))</f>
        <v/>
      </c>
      <c r="X649">
        <f>IF(Q649="P",IFNA(VLOOKUP(B649,Pitcher_Primary_Coef!$A:$B,2,FALSE),0),IFNA(VLOOKUP(B649,Hitter_Primary_Coef!$A:$B,2,FALSE),0))</f>
        <v/>
      </c>
      <c r="Y649">
        <f>IF(Q649="P",0,IFNA(VLOOKUP(IF(C649="","(none)",C649),Hitter_Secondary_Coef!$A:$B,2,FALSE),0))</f>
        <v/>
      </c>
      <c r="Z649">
        <f>IF(Q649="P",IF(ISNUMBER(SEARCH("2F",H649)),IFNA(VLOOKUP("2F",Pitch_Coef!$A:$B,2,FALSE),0),0)+IF(ISNUMBER(SEARCH("4F",H649)),IFNA(VLOOKUP("4F",Pitch_Coef!$A:$B,2,FALSE),0),0)+IF(ISNUMBER(SEARCH("CB",H649)),IFNA(VLOOKUP("CB",Pitch_Coef!$A:$B,2,FALSE),0),0)+IF(ISNUMBER(SEARCH("CF",H649)),IFNA(VLOOKUP("CF",Pitch_Coef!$A:$B,2,FALSE),0),0)+IF(ISNUMBER(SEARCH("CH",H649)),IFNA(VLOOKUP("CH",Pitch_Coef!$A:$B,2,FALSE),0),0)+IF(ISNUMBER(SEARCH("FK",H649)),IFNA(VLOOKUP("FK",Pitch_Coef!$A:$B,2,FALSE),0),0)+IF(ISNUMBER(SEARCH("SB",H649)),IFNA(VLOOKUP("SB",Pitch_Coef!$A:$B,2,FALSE),0),0)+IF(ISNUMBER(SEARCH("SL",H649)),IFNA(VLOOKUP("SL",Pitch_Coef!$A:$B,2,FALSE),0),0),0)</f>
        <v/>
      </c>
      <c r="AA649">
        <f>IF(Q649="P",16.5944849573+0.2529999141*N649+0.2665900378*O649+0.2632687105*P649+0.0427586837*I649+0.0534777057*J649+0.009015832*K649+0.0204898106*(O649*P649/100)+1.0091022427*U649+1.0968542297*IF(D649="L",1,0)+0.3771555045*IF(D649="S",1,0)-0.2226159177*IF(E649="L",1,0)+1.21385024*R649-1.1652812274*S649+W649+X649+Z649,10.5965166711+0.2825983581*I649+0.2806503532*J649+0.2027213083*K649+0.1147824982*L649+0.0915305332*M649-0.0088454122*(I649*J649/100)-0.0336045706*(K649*L649/100)+2.8497389733*IF(D649="L",1,0)+4.5116226727*IF(D649="S",1,0)-0.6571546448*IF(E649="L",1,0)+0.0850728147*T649+0.0129488446*(T649*T649)+0.1909373936*IF(OR(F649="Utility",G649="Utility"),T649,0)+0.9656824071*R649-1.7517683256*S649+W649+X649+Y649)</f>
        <v/>
      </c>
      <c r="AB649">
        <f>LOOKUP(AA649,Grade_Scale!$A$2:$A$18,Grade_Scale!$B$2:$B$18)</f>
        <v/>
      </c>
      <c r="AC649">
        <f>LOOKUP(AA649,Grade_Scale!$A$2:$A$18,Grade_Scale!$C$2:$C$18)</f>
        <v/>
      </c>
      <c r="AE649">
        <f>IF(AD649="","",AB649-VLOOKUP(AD649,Grade_Scale!$C$2:$E$18,3,FALSE))</f>
        <v/>
      </c>
    </row>
    <row r="650">
      <c r="Q650">
        <f>IF(OR(B650="SP",B650="RP",B650="CP",B650="SP/RP"),"P","H")</f>
        <v/>
      </c>
      <c r="R650">
        <f>IF(F650="",0,IFNA(VLOOKUP(F650,Trait_Polarity!$A:$C,2,FALSE),0))+IF(G650="",0,IFNA(VLOOKUP(G650,Trait_Polarity!$A:$C,2,FALSE),0))</f>
        <v/>
      </c>
      <c r="S650">
        <f>IF(F650="",0,IFNA(VLOOKUP(F650,Trait_Polarity!$A:$C,3,FALSE),0))+IF(G650="",0,IFNA(VLOOKUP(G650,Trait_Polarity!$A:$C,3,FALSE),0))</f>
        <v/>
      </c>
      <c r="T650">
        <f>IF(Q650="P",0,IFNA(VLOOKUP(IF(C650="","(none)",C650),Secondary_Versatility!$A:$B,2,FALSE),0))</f>
        <v/>
      </c>
      <c r="U650">
        <f>IF(H650="",0,LEN(H650)-LEN(SUBSTITUTE(H650,"|",""))+1)</f>
        <v/>
      </c>
      <c r="V650">
        <f>IF(Q650="P",(N650+O650+P650)/3,0.3*I650+0.3*J650+0.2*K650+0.1*L650+0.1*M650)</f>
        <v/>
      </c>
      <c r="W650">
        <f>IF(Q650="P",IF(F650="",0,IFNA(VLOOKUP(F650,Pitcher_Trait_Coef!$A:$B,2,FALSE),0))+IF(G650="",0,IFNA(VLOOKUP(G650,Pitcher_Trait_Coef!$A:$B,2,FALSE),0)),IF(F650="",0,IFNA(VLOOKUP(F650,Hitter_Trait_Coef!$A:$B,2,FALSE),0))+IF(G650="",0,IFNA(VLOOKUP(G650,Hitter_Trait_Coef!$A:$B,2,FALSE),0)))</f>
        <v/>
      </c>
      <c r="X650">
        <f>IF(Q650="P",IFNA(VLOOKUP(B650,Pitcher_Primary_Coef!$A:$B,2,FALSE),0),IFNA(VLOOKUP(B650,Hitter_Primary_Coef!$A:$B,2,FALSE),0))</f>
        <v/>
      </c>
      <c r="Y650">
        <f>IF(Q650="P",0,IFNA(VLOOKUP(IF(C650="","(none)",C650),Hitter_Secondary_Coef!$A:$B,2,FALSE),0))</f>
        <v/>
      </c>
      <c r="Z650">
        <f>IF(Q650="P",IF(ISNUMBER(SEARCH("2F",H650)),IFNA(VLOOKUP("2F",Pitch_Coef!$A:$B,2,FALSE),0),0)+IF(ISNUMBER(SEARCH("4F",H650)),IFNA(VLOOKUP("4F",Pitch_Coef!$A:$B,2,FALSE),0),0)+IF(ISNUMBER(SEARCH("CB",H650)),IFNA(VLOOKUP("CB",Pitch_Coef!$A:$B,2,FALSE),0),0)+IF(ISNUMBER(SEARCH("CF",H650)),IFNA(VLOOKUP("CF",Pitch_Coef!$A:$B,2,FALSE),0),0)+IF(ISNUMBER(SEARCH("CH",H650)),IFNA(VLOOKUP("CH",Pitch_Coef!$A:$B,2,FALSE),0),0)+IF(ISNUMBER(SEARCH("FK",H650)),IFNA(VLOOKUP("FK",Pitch_Coef!$A:$B,2,FALSE),0),0)+IF(ISNUMBER(SEARCH("SB",H650)),IFNA(VLOOKUP("SB",Pitch_Coef!$A:$B,2,FALSE),0),0)+IF(ISNUMBER(SEARCH("SL",H650)),IFNA(VLOOKUP("SL",Pitch_Coef!$A:$B,2,FALSE),0),0),0)</f>
        <v/>
      </c>
      <c r="AA650">
        <f>IF(Q650="P",16.5944849573+0.2529999141*N650+0.2665900378*O650+0.2632687105*P650+0.0427586837*I650+0.0534777057*J650+0.009015832*K650+0.0204898106*(O650*P650/100)+1.0091022427*U650+1.0968542297*IF(D650="L",1,0)+0.3771555045*IF(D650="S",1,0)-0.2226159177*IF(E650="L",1,0)+1.21385024*R650-1.1652812274*S650+W650+X650+Z650,10.5965166711+0.2825983581*I650+0.2806503532*J650+0.2027213083*K650+0.1147824982*L650+0.0915305332*M650-0.0088454122*(I650*J650/100)-0.0336045706*(K650*L650/100)+2.8497389733*IF(D650="L",1,0)+4.5116226727*IF(D650="S",1,0)-0.6571546448*IF(E650="L",1,0)+0.0850728147*T650+0.0129488446*(T650*T650)+0.1909373936*IF(OR(F650="Utility",G650="Utility"),T650,0)+0.9656824071*R650-1.7517683256*S650+W650+X650+Y650)</f>
        <v/>
      </c>
      <c r="AB650">
        <f>LOOKUP(AA650,Grade_Scale!$A$2:$A$18,Grade_Scale!$B$2:$B$18)</f>
        <v/>
      </c>
      <c r="AC650">
        <f>LOOKUP(AA650,Grade_Scale!$A$2:$A$18,Grade_Scale!$C$2:$C$18)</f>
        <v/>
      </c>
      <c r="AE650">
        <f>IF(AD650="","",AB650-VLOOKUP(AD650,Grade_Scale!$C$2:$E$18,3,FALSE))</f>
        <v/>
      </c>
    </row>
    <row r="651">
      <c r="Q651">
        <f>IF(OR(B651="SP",B651="RP",B651="CP",B651="SP/RP"),"P","H")</f>
        <v/>
      </c>
      <c r="R651">
        <f>IF(F651="",0,IFNA(VLOOKUP(F651,Trait_Polarity!$A:$C,2,FALSE),0))+IF(G651="",0,IFNA(VLOOKUP(G651,Trait_Polarity!$A:$C,2,FALSE),0))</f>
        <v/>
      </c>
      <c r="S651">
        <f>IF(F651="",0,IFNA(VLOOKUP(F651,Trait_Polarity!$A:$C,3,FALSE),0))+IF(G651="",0,IFNA(VLOOKUP(G651,Trait_Polarity!$A:$C,3,FALSE),0))</f>
        <v/>
      </c>
      <c r="T651">
        <f>IF(Q651="P",0,IFNA(VLOOKUP(IF(C651="","(none)",C651),Secondary_Versatility!$A:$B,2,FALSE),0))</f>
        <v/>
      </c>
      <c r="U651">
        <f>IF(H651="",0,LEN(H651)-LEN(SUBSTITUTE(H651,"|",""))+1)</f>
        <v/>
      </c>
      <c r="V651">
        <f>IF(Q651="P",(N651+O651+P651)/3,0.3*I651+0.3*J651+0.2*K651+0.1*L651+0.1*M651)</f>
        <v/>
      </c>
      <c r="W651">
        <f>IF(Q651="P",IF(F651="",0,IFNA(VLOOKUP(F651,Pitcher_Trait_Coef!$A:$B,2,FALSE),0))+IF(G651="",0,IFNA(VLOOKUP(G651,Pitcher_Trait_Coef!$A:$B,2,FALSE),0)),IF(F651="",0,IFNA(VLOOKUP(F651,Hitter_Trait_Coef!$A:$B,2,FALSE),0))+IF(G651="",0,IFNA(VLOOKUP(G651,Hitter_Trait_Coef!$A:$B,2,FALSE),0)))</f>
        <v/>
      </c>
      <c r="X651">
        <f>IF(Q651="P",IFNA(VLOOKUP(B651,Pitcher_Primary_Coef!$A:$B,2,FALSE),0),IFNA(VLOOKUP(B651,Hitter_Primary_Coef!$A:$B,2,FALSE),0))</f>
        <v/>
      </c>
      <c r="Y651">
        <f>IF(Q651="P",0,IFNA(VLOOKUP(IF(C651="","(none)",C651),Hitter_Secondary_Coef!$A:$B,2,FALSE),0))</f>
        <v/>
      </c>
      <c r="Z651">
        <f>IF(Q651="P",IF(ISNUMBER(SEARCH("2F",H651)),IFNA(VLOOKUP("2F",Pitch_Coef!$A:$B,2,FALSE),0),0)+IF(ISNUMBER(SEARCH("4F",H651)),IFNA(VLOOKUP("4F",Pitch_Coef!$A:$B,2,FALSE),0),0)+IF(ISNUMBER(SEARCH("CB",H651)),IFNA(VLOOKUP("CB",Pitch_Coef!$A:$B,2,FALSE),0),0)+IF(ISNUMBER(SEARCH("CF",H651)),IFNA(VLOOKUP("CF",Pitch_Coef!$A:$B,2,FALSE),0),0)+IF(ISNUMBER(SEARCH("CH",H651)),IFNA(VLOOKUP("CH",Pitch_Coef!$A:$B,2,FALSE),0),0)+IF(ISNUMBER(SEARCH("FK",H651)),IFNA(VLOOKUP("FK",Pitch_Coef!$A:$B,2,FALSE),0),0)+IF(ISNUMBER(SEARCH("SB",H651)),IFNA(VLOOKUP("SB",Pitch_Coef!$A:$B,2,FALSE),0),0)+IF(ISNUMBER(SEARCH("SL",H651)),IFNA(VLOOKUP("SL",Pitch_Coef!$A:$B,2,FALSE),0),0),0)</f>
        <v/>
      </c>
      <c r="AA651">
        <f>IF(Q651="P",16.5944849573+0.2529999141*N651+0.2665900378*O651+0.2632687105*P651+0.0427586837*I651+0.0534777057*J651+0.009015832*K651+0.0204898106*(O651*P651/100)+1.0091022427*U651+1.0968542297*IF(D651="L",1,0)+0.3771555045*IF(D651="S",1,0)-0.2226159177*IF(E651="L",1,0)+1.21385024*R651-1.1652812274*S651+W651+X651+Z651,10.5965166711+0.2825983581*I651+0.2806503532*J651+0.2027213083*K651+0.1147824982*L651+0.0915305332*M651-0.0088454122*(I651*J651/100)-0.0336045706*(K651*L651/100)+2.8497389733*IF(D651="L",1,0)+4.5116226727*IF(D651="S",1,0)-0.6571546448*IF(E651="L",1,0)+0.0850728147*T651+0.0129488446*(T651*T651)+0.1909373936*IF(OR(F651="Utility",G651="Utility"),T651,0)+0.9656824071*R651-1.7517683256*S651+W651+X651+Y651)</f>
        <v/>
      </c>
      <c r="AB651">
        <f>LOOKUP(AA651,Grade_Scale!$A$2:$A$18,Grade_Scale!$B$2:$B$18)</f>
        <v/>
      </c>
      <c r="AC651">
        <f>LOOKUP(AA651,Grade_Scale!$A$2:$A$18,Grade_Scale!$C$2:$C$18)</f>
        <v/>
      </c>
      <c r="AE651">
        <f>IF(AD651="","",AB651-VLOOKUP(AD651,Grade_Scale!$C$2:$E$18,3,FALSE))</f>
        <v/>
      </c>
    </row>
    <row r="652">
      <c r="Q652">
        <f>IF(OR(B652="SP",B652="RP",B652="CP",B652="SP/RP"),"P","H")</f>
        <v/>
      </c>
      <c r="R652">
        <f>IF(F652="",0,IFNA(VLOOKUP(F652,Trait_Polarity!$A:$C,2,FALSE),0))+IF(G652="",0,IFNA(VLOOKUP(G652,Trait_Polarity!$A:$C,2,FALSE),0))</f>
        <v/>
      </c>
      <c r="S652">
        <f>IF(F652="",0,IFNA(VLOOKUP(F652,Trait_Polarity!$A:$C,3,FALSE),0))+IF(G652="",0,IFNA(VLOOKUP(G652,Trait_Polarity!$A:$C,3,FALSE),0))</f>
        <v/>
      </c>
      <c r="T652">
        <f>IF(Q652="P",0,IFNA(VLOOKUP(IF(C652="","(none)",C652),Secondary_Versatility!$A:$B,2,FALSE),0))</f>
        <v/>
      </c>
      <c r="U652">
        <f>IF(H652="",0,LEN(H652)-LEN(SUBSTITUTE(H652,"|",""))+1)</f>
        <v/>
      </c>
      <c r="V652">
        <f>IF(Q652="P",(N652+O652+P652)/3,0.3*I652+0.3*J652+0.2*K652+0.1*L652+0.1*M652)</f>
        <v/>
      </c>
      <c r="W652">
        <f>IF(Q652="P",IF(F652="",0,IFNA(VLOOKUP(F652,Pitcher_Trait_Coef!$A:$B,2,FALSE),0))+IF(G652="",0,IFNA(VLOOKUP(G652,Pitcher_Trait_Coef!$A:$B,2,FALSE),0)),IF(F652="",0,IFNA(VLOOKUP(F652,Hitter_Trait_Coef!$A:$B,2,FALSE),0))+IF(G652="",0,IFNA(VLOOKUP(G652,Hitter_Trait_Coef!$A:$B,2,FALSE),0)))</f>
        <v/>
      </c>
      <c r="X652">
        <f>IF(Q652="P",IFNA(VLOOKUP(B652,Pitcher_Primary_Coef!$A:$B,2,FALSE),0),IFNA(VLOOKUP(B652,Hitter_Primary_Coef!$A:$B,2,FALSE),0))</f>
        <v/>
      </c>
      <c r="Y652">
        <f>IF(Q652="P",0,IFNA(VLOOKUP(IF(C652="","(none)",C652),Hitter_Secondary_Coef!$A:$B,2,FALSE),0))</f>
        <v/>
      </c>
      <c r="Z652">
        <f>IF(Q652="P",IF(ISNUMBER(SEARCH("2F",H652)),IFNA(VLOOKUP("2F",Pitch_Coef!$A:$B,2,FALSE),0),0)+IF(ISNUMBER(SEARCH("4F",H652)),IFNA(VLOOKUP("4F",Pitch_Coef!$A:$B,2,FALSE),0),0)+IF(ISNUMBER(SEARCH("CB",H652)),IFNA(VLOOKUP("CB",Pitch_Coef!$A:$B,2,FALSE),0),0)+IF(ISNUMBER(SEARCH("CF",H652)),IFNA(VLOOKUP("CF",Pitch_Coef!$A:$B,2,FALSE),0),0)+IF(ISNUMBER(SEARCH("CH",H652)),IFNA(VLOOKUP("CH",Pitch_Coef!$A:$B,2,FALSE),0),0)+IF(ISNUMBER(SEARCH("FK",H652)),IFNA(VLOOKUP("FK",Pitch_Coef!$A:$B,2,FALSE),0),0)+IF(ISNUMBER(SEARCH("SB",H652)),IFNA(VLOOKUP("SB",Pitch_Coef!$A:$B,2,FALSE),0),0)+IF(ISNUMBER(SEARCH("SL",H652)),IFNA(VLOOKUP("SL",Pitch_Coef!$A:$B,2,FALSE),0),0),0)</f>
        <v/>
      </c>
      <c r="AA652">
        <f>IF(Q652="P",16.5944849573+0.2529999141*N652+0.2665900378*O652+0.2632687105*P652+0.0427586837*I652+0.0534777057*J652+0.009015832*K652+0.0204898106*(O652*P652/100)+1.0091022427*U652+1.0968542297*IF(D652="L",1,0)+0.3771555045*IF(D652="S",1,0)-0.2226159177*IF(E652="L",1,0)+1.21385024*R652-1.1652812274*S652+W652+X652+Z652,10.5965166711+0.2825983581*I652+0.2806503532*J652+0.2027213083*K652+0.1147824982*L652+0.0915305332*M652-0.0088454122*(I652*J652/100)-0.0336045706*(K652*L652/100)+2.8497389733*IF(D652="L",1,0)+4.5116226727*IF(D652="S",1,0)-0.6571546448*IF(E652="L",1,0)+0.0850728147*T652+0.0129488446*(T652*T652)+0.1909373936*IF(OR(F652="Utility",G652="Utility"),T652,0)+0.9656824071*R652-1.7517683256*S652+W652+X652+Y652)</f>
        <v/>
      </c>
      <c r="AB652">
        <f>LOOKUP(AA652,Grade_Scale!$A$2:$A$18,Grade_Scale!$B$2:$B$18)</f>
        <v/>
      </c>
      <c r="AC652">
        <f>LOOKUP(AA652,Grade_Scale!$A$2:$A$18,Grade_Scale!$C$2:$C$18)</f>
        <v/>
      </c>
      <c r="AE652">
        <f>IF(AD652="","",AB652-VLOOKUP(AD652,Grade_Scale!$C$2:$E$18,3,FALSE))</f>
        <v/>
      </c>
    </row>
    <row r="653">
      <c r="Q653">
        <f>IF(OR(B653="SP",B653="RP",B653="CP",B653="SP/RP"),"P","H")</f>
        <v/>
      </c>
      <c r="R653">
        <f>IF(F653="",0,IFNA(VLOOKUP(F653,Trait_Polarity!$A:$C,2,FALSE),0))+IF(G653="",0,IFNA(VLOOKUP(G653,Trait_Polarity!$A:$C,2,FALSE),0))</f>
        <v/>
      </c>
      <c r="S653">
        <f>IF(F653="",0,IFNA(VLOOKUP(F653,Trait_Polarity!$A:$C,3,FALSE),0))+IF(G653="",0,IFNA(VLOOKUP(G653,Trait_Polarity!$A:$C,3,FALSE),0))</f>
        <v/>
      </c>
      <c r="T653">
        <f>IF(Q653="P",0,IFNA(VLOOKUP(IF(C653="","(none)",C653),Secondary_Versatility!$A:$B,2,FALSE),0))</f>
        <v/>
      </c>
      <c r="U653">
        <f>IF(H653="",0,LEN(H653)-LEN(SUBSTITUTE(H653,"|",""))+1)</f>
        <v/>
      </c>
      <c r="V653">
        <f>IF(Q653="P",(N653+O653+P653)/3,0.3*I653+0.3*J653+0.2*K653+0.1*L653+0.1*M653)</f>
        <v/>
      </c>
      <c r="W653">
        <f>IF(Q653="P",IF(F653="",0,IFNA(VLOOKUP(F653,Pitcher_Trait_Coef!$A:$B,2,FALSE),0))+IF(G653="",0,IFNA(VLOOKUP(G653,Pitcher_Trait_Coef!$A:$B,2,FALSE),0)),IF(F653="",0,IFNA(VLOOKUP(F653,Hitter_Trait_Coef!$A:$B,2,FALSE),0))+IF(G653="",0,IFNA(VLOOKUP(G653,Hitter_Trait_Coef!$A:$B,2,FALSE),0)))</f>
        <v/>
      </c>
      <c r="X653">
        <f>IF(Q653="P",IFNA(VLOOKUP(B653,Pitcher_Primary_Coef!$A:$B,2,FALSE),0),IFNA(VLOOKUP(B653,Hitter_Primary_Coef!$A:$B,2,FALSE),0))</f>
        <v/>
      </c>
      <c r="Y653">
        <f>IF(Q653="P",0,IFNA(VLOOKUP(IF(C653="","(none)",C653),Hitter_Secondary_Coef!$A:$B,2,FALSE),0))</f>
        <v/>
      </c>
      <c r="Z653">
        <f>IF(Q653="P",IF(ISNUMBER(SEARCH("2F",H653)),IFNA(VLOOKUP("2F",Pitch_Coef!$A:$B,2,FALSE),0),0)+IF(ISNUMBER(SEARCH("4F",H653)),IFNA(VLOOKUP("4F",Pitch_Coef!$A:$B,2,FALSE),0),0)+IF(ISNUMBER(SEARCH("CB",H653)),IFNA(VLOOKUP("CB",Pitch_Coef!$A:$B,2,FALSE),0),0)+IF(ISNUMBER(SEARCH("CF",H653)),IFNA(VLOOKUP("CF",Pitch_Coef!$A:$B,2,FALSE),0),0)+IF(ISNUMBER(SEARCH("CH",H653)),IFNA(VLOOKUP("CH",Pitch_Coef!$A:$B,2,FALSE),0),0)+IF(ISNUMBER(SEARCH("FK",H653)),IFNA(VLOOKUP("FK",Pitch_Coef!$A:$B,2,FALSE),0),0)+IF(ISNUMBER(SEARCH("SB",H653)),IFNA(VLOOKUP("SB",Pitch_Coef!$A:$B,2,FALSE),0),0)+IF(ISNUMBER(SEARCH("SL",H653)),IFNA(VLOOKUP("SL",Pitch_Coef!$A:$B,2,FALSE),0),0),0)</f>
        <v/>
      </c>
      <c r="AA653">
        <f>IF(Q653="P",16.5944849573+0.2529999141*N653+0.2665900378*O653+0.2632687105*P653+0.0427586837*I653+0.0534777057*J653+0.009015832*K653+0.0204898106*(O653*P653/100)+1.0091022427*U653+1.0968542297*IF(D653="L",1,0)+0.3771555045*IF(D653="S",1,0)-0.2226159177*IF(E653="L",1,0)+1.21385024*R653-1.1652812274*S653+W653+X653+Z653,10.5965166711+0.2825983581*I653+0.2806503532*J653+0.2027213083*K653+0.1147824982*L653+0.0915305332*M653-0.0088454122*(I653*J653/100)-0.0336045706*(K653*L653/100)+2.8497389733*IF(D653="L",1,0)+4.5116226727*IF(D653="S",1,0)-0.6571546448*IF(E653="L",1,0)+0.0850728147*T653+0.0129488446*(T653*T653)+0.1909373936*IF(OR(F653="Utility",G653="Utility"),T653,0)+0.9656824071*R653-1.7517683256*S653+W653+X653+Y653)</f>
        <v/>
      </c>
      <c r="AB653">
        <f>LOOKUP(AA653,Grade_Scale!$A$2:$A$18,Grade_Scale!$B$2:$B$18)</f>
        <v/>
      </c>
      <c r="AC653">
        <f>LOOKUP(AA653,Grade_Scale!$A$2:$A$18,Grade_Scale!$C$2:$C$18)</f>
        <v/>
      </c>
      <c r="AE653">
        <f>IF(AD653="","",AB653-VLOOKUP(AD653,Grade_Scale!$C$2:$E$18,3,FALSE))</f>
        <v/>
      </c>
    </row>
    <row r="654">
      <c r="Q654">
        <f>IF(OR(B654="SP",B654="RP",B654="CP",B654="SP/RP"),"P","H")</f>
        <v/>
      </c>
      <c r="R654">
        <f>IF(F654="",0,IFNA(VLOOKUP(F654,Trait_Polarity!$A:$C,2,FALSE),0))+IF(G654="",0,IFNA(VLOOKUP(G654,Trait_Polarity!$A:$C,2,FALSE),0))</f>
        <v/>
      </c>
      <c r="S654">
        <f>IF(F654="",0,IFNA(VLOOKUP(F654,Trait_Polarity!$A:$C,3,FALSE),0))+IF(G654="",0,IFNA(VLOOKUP(G654,Trait_Polarity!$A:$C,3,FALSE),0))</f>
        <v/>
      </c>
      <c r="T654">
        <f>IF(Q654="P",0,IFNA(VLOOKUP(IF(C654="","(none)",C654),Secondary_Versatility!$A:$B,2,FALSE),0))</f>
        <v/>
      </c>
      <c r="U654">
        <f>IF(H654="",0,LEN(H654)-LEN(SUBSTITUTE(H654,"|",""))+1)</f>
        <v/>
      </c>
      <c r="V654">
        <f>IF(Q654="P",(N654+O654+P654)/3,0.3*I654+0.3*J654+0.2*K654+0.1*L654+0.1*M654)</f>
        <v/>
      </c>
      <c r="W654">
        <f>IF(Q654="P",IF(F654="",0,IFNA(VLOOKUP(F654,Pitcher_Trait_Coef!$A:$B,2,FALSE),0))+IF(G654="",0,IFNA(VLOOKUP(G654,Pitcher_Trait_Coef!$A:$B,2,FALSE),0)),IF(F654="",0,IFNA(VLOOKUP(F654,Hitter_Trait_Coef!$A:$B,2,FALSE),0))+IF(G654="",0,IFNA(VLOOKUP(G654,Hitter_Trait_Coef!$A:$B,2,FALSE),0)))</f>
        <v/>
      </c>
      <c r="X654">
        <f>IF(Q654="P",IFNA(VLOOKUP(B654,Pitcher_Primary_Coef!$A:$B,2,FALSE),0),IFNA(VLOOKUP(B654,Hitter_Primary_Coef!$A:$B,2,FALSE),0))</f>
        <v/>
      </c>
      <c r="Y654">
        <f>IF(Q654="P",0,IFNA(VLOOKUP(IF(C654="","(none)",C654),Hitter_Secondary_Coef!$A:$B,2,FALSE),0))</f>
        <v/>
      </c>
      <c r="Z654">
        <f>IF(Q654="P",IF(ISNUMBER(SEARCH("2F",H654)),IFNA(VLOOKUP("2F",Pitch_Coef!$A:$B,2,FALSE),0),0)+IF(ISNUMBER(SEARCH("4F",H654)),IFNA(VLOOKUP("4F",Pitch_Coef!$A:$B,2,FALSE),0),0)+IF(ISNUMBER(SEARCH("CB",H654)),IFNA(VLOOKUP("CB",Pitch_Coef!$A:$B,2,FALSE),0),0)+IF(ISNUMBER(SEARCH("CF",H654)),IFNA(VLOOKUP("CF",Pitch_Coef!$A:$B,2,FALSE),0),0)+IF(ISNUMBER(SEARCH("CH",H654)),IFNA(VLOOKUP("CH",Pitch_Coef!$A:$B,2,FALSE),0),0)+IF(ISNUMBER(SEARCH("FK",H654)),IFNA(VLOOKUP("FK",Pitch_Coef!$A:$B,2,FALSE),0),0)+IF(ISNUMBER(SEARCH("SB",H654)),IFNA(VLOOKUP("SB",Pitch_Coef!$A:$B,2,FALSE),0),0)+IF(ISNUMBER(SEARCH("SL",H654)),IFNA(VLOOKUP("SL",Pitch_Coef!$A:$B,2,FALSE),0),0),0)</f>
        <v/>
      </c>
      <c r="AA654">
        <f>IF(Q654="P",16.5944849573+0.2529999141*N654+0.2665900378*O654+0.2632687105*P654+0.0427586837*I654+0.0534777057*J654+0.009015832*K654+0.0204898106*(O654*P654/100)+1.0091022427*U654+1.0968542297*IF(D654="L",1,0)+0.3771555045*IF(D654="S",1,0)-0.2226159177*IF(E654="L",1,0)+1.21385024*R654-1.1652812274*S654+W654+X654+Z654,10.5965166711+0.2825983581*I654+0.2806503532*J654+0.2027213083*K654+0.1147824982*L654+0.0915305332*M654-0.0088454122*(I654*J654/100)-0.0336045706*(K654*L654/100)+2.8497389733*IF(D654="L",1,0)+4.5116226727*IF(D654="S",1,0)-0.6571546448*IF(E654="L",1,0)+0.0850728147*T654+0.0129488446*(T654*T654)+0.1909373936*IF(OR(F654="Utility",G654="Utility"),T654,0)+0.9656824071*R654-1.7517683256*S654+W654+X654+Y654)</f>
        <v/>
      </c>
      <c r="AB654">
        <f>LOOKUP(AA654,Grade_Scale!$A$2:$A$18,Grade_Scale!$B$2:$B$18)</f>
        <v/>
      </c>
      <c r="AC654">
        <f>LOOKUP(AA654,Grade_Scale!$A$2:$A$18,Grade_Scale!$C$2:$C$18)</f>
        <v/>
      </c>
      <c r="AE654">
        <f>IF(AD654="","",AB654-VLOOKUP(AD654,Grade_Scale!$C$2:$E$18,3,FALSE))</f>
        <v/>
      </c>
    </row>
    <row r="655">
      <c r="Q655">
        <f>IF(OR(B655="SP",B655="RP",B655="CP",B655="SP/RP"),"P","H")</f>
        <v/>
      </c>
      <c r="R655">
        <f>IF(F655="",0,IFNA(VLOOKUP(F655,Trait_Polarity!$A:$C,2,FALSE),0))+IF(G655="",0,IFNA(VLOOKUP(G655,Trait_Polarity!$A:$C,2,FALSE),0))</f>
        <v/>
      </c>
      <c r="S655">
        <f>IF(F655="",0,IFNA(VLOOKUP(F655,Trait_Polarity!$A:$C,3,FALSE),0))+IF(G655="",0,IFNA(VLOOKUP(G655,Trait_Polarity!$A:$C,3,FALSE),0))</f>
        <v/>
      </c>
      <c r="T655">
        <f>IF(Q655="P",0,IFNA(VLOOKUP(IF(C655="","(none)",C655),Secondary_Versatility!$A:$B,2,FALSE),0))</f>
        <v/>
      </c>
      <c r="U655">
        <f>IF(H655="",0,LEN(H655)-LEN(SUBSTITUTE(H655,"|",""))+1)</f>
        <v/>
      </c>
      <c r="V655">
        <f>IF(Q655="P",(N655+O655+P655)/3,0.3*I655+0.3*J655+0.2*K655+0.1*L655+0.1*M655)</f>
        <v/>
      </c>
      <c r="W655">
        <f>IF(Q655="P",IF(F655="",0,IFNA(VLOOKUP(F655,Pitcher_Trait_Coef!$A:$B,2,FALSE),0))+IF(G655="",0,IFNA(VLOOKUP(G655,Pitcher_Trait_Coef!$A:$B,2,FALSE),0)),IF(F655="",0,IFNA(VLOOKUP(F655,Hitter_Trait_Coef!$A:$B,2,FALSE),0))+IF(G655="",0,IFNA(VLOOKUP(G655,Hitter_Trait_Coef!$A:$B,2,FALSE),0)))</f>
        <v/>
      </c>
      <c r="X655">
        <f>IF(Q655="P",IFNA(VLOOKUP(B655,Pitcher_Primary_Coef!$A:$B,2,FALSE),0),IFNA(VLOOKUP(B655,Hitter_Primary_Coef!$A:$B,2,FALSE),0))</f>
        <v/>
      </c>
      <c r="Y655">
        <f>IF(Q655="P",0,IFNA(VLOOKUP(IF(C655="","(none)",C655),Hitter_Secondary_Coef!$A:$B,2,FALSE),0))</f>
        <v/>
      </c>
      <c r="Z655">
        <f>IF(Q655="P",IF(ISNUMBER(SEARCH("2F",H655)),IFNA(VLOOKUP("2F",Pitch_Coef!$A:$B,2,FALSE),0),0)+IF(ISNUMBER(SEARCH("4F",H655)),IFNA(VLOOKUP("4F",Pitch_Coef!$A:$B,2,FALSE),0),0)+IF(ISNUMBER(SEARCH("CB",H655)),IFNA(VLOOKUP("CB",Pitch_Coef!$A:$B,2,FALSE),0),0)+IF(ISNUMBER(SEARCH("CF",H655)),IFNA(VLOOKUP("CF",Pitch_Coef!$A:$B,2,FALSE),0),0)+IF(ISNUMBER(SEARCH("CH",H655)),IFNA(VLOOKUP("CH",Pitch_Coef!$A:$B,2,FALSE),0),0)+IF(ISNUMBER(SEARCH("FK",H655)),IFNA(VLOOKUP("FK",Pitch_Coef!$A:$B,2,FALSE),0),0)+IF(ISNUMBER(SEARCH("SB",H655)),IFNA(VLOOKUP("SB",Pitch_Coef!$A:$B,2,FALSE),0),0)+IF(ISNUMBER(SEARCH("SL",H655)),IFNA(VLOOKUP("SL",Pitch_Coef!$A:$B,2,FALSE),0),0),0)</f>
        <v/>
      </c>
      <c r="AA655">
        <f>IF(Q655="P",16.5944849573+0.2529999141*N655+0.2665900378*O655+0.2632687105*P655+0.0427586837*I655+0.0534777057*J655+0.009015832*K655+0.0204898106*(O655*P655/100)+1.0091022427*U655+1.0968542297*IF(D655="L",1,0)+0.3771555045*IF(D655="S",1,0)-0.2226159177*IF(E655="L",1,0)+1.21385024*R655-1.1652812274*S655+W655+X655+Z655,10.5965166711+0.2825983581*I655+0.2806503532*J655+0.2027213083*K655+0.1147824982*L655+0.0915305332*M655-0.0088454122*(I655*J655/100)-0.0336045706*(K655*L655/100)+2.8497389733*IF(D655="L",1,0)+4.5116226727*IF(D655="S",1,0)-0.6571546448*IF(E655="L",1,0)+0.0850728147*T655+0.0129488446*(T655*T655)+0.1909373936*IF(OR(F655="Utility",G655="Utility"),T655,0)+0.9656824071*R655-1.7517683256*S655+W655+X655+Y655)</f>
        <v/>
      </c>
      <c r="AB655">
        <f>LOOKUP(AA655,Grade_Scale!$A$2:$A$18,Grade_Scale!$B$2:$B$18)</f>
        <v/>
      </c>
      <c r="AC655">
        <f>LOOKUP(AA655,Grade_Scale!$A$2:$A$18,Grade_Scale!$C$2:$C$18)</f>
        <v/>
      </c>
      <c r="AE655">
        <f>IF(AD655="","",AB655-VLOOKUP(AD655,Grade_Scale!$C$2:$E$18,3,FALSE))</f>
        <v/>
      </c>
    </row>
    <row r="656">
      <c r="Q656">
        <f>IF(OR(B656="SP",B656="RP",B656="CP",B656="SP/RP"),"P","H")</f>
        <v/>
      </c>
      <c r="R656">
        <f>IF(F656="",0,IFNA(VLOOKUP(F656,Trait_Polarity!$A:$C,2,FALSE),0))+IF(G656="",0,IFNA(VLOOKUP(G656,Trait_Polarity!$A:$C,2,FALSE),0))</f>
        <v/>
      </c>
      <c r="S656">
        <f>IF(F656="",0,IFNA(VLOOKUP(F656,Trait_Polarity!$A:$C,3,FALSE),0))+IF(G656="",0,IFNA(VLOOKUP(G656,Trait_Polarity!$A:$C,3,FALSE),0))</f>
        <v/>
      </c>
      <c r="T656">
        <f>IF(Q656="P",0,IFNA(VLOOKUP(IF(C656="","(none)",C656),Secondary_Versatility!$A:$B,2,FALSE),0))</f>
        <v/>
      </c>
      <c r="U656">
        <f>IF(H656="",0,LEN(H656)-LEN(SUBSTITUTE(H656,"|",""))+1)</f>
        <v/>
      </c>
      <c r="V656">
        <f>IF(Q656="P",(N656+O656+P656)/3,0.3*I656+0.3*J656+0.2*K656+0.1*L656+0.1*M656)</f>
        <v/>
      </c>
      <c r="W656">
        <f>IF(Q656="P",IF(F656="",0,IFNA(VLOOKUP(F656,Pitcher_Trait_Coef!$A:$B,2,FALSE),0))+IF(G656="",0,IFNA(VLOOKUP(G656,Pitcher_Trait_Coef!$A:$B,2,FALSE),0)),IF(F656="",0,IFNA(VLOOKUP(F656,Hitter_Trait_Coef!$A:$B,2,FALSE),0))+IF(G656="",0,IFNA(VLOOKUP(G656,Hitter_Trait_Coef!$A:$B,2,FALSE),0)))</f>
        <v/>
      </c>
      <c r="X656">
        <f>IF(Q656="P",IFNA(VLOOKUP(B656,Pitcher_Primary_Coef!$A:$B,2,FALSE),0),IFNA(VLOOKUP(B656,Hitter_Primary_Coef!$A:$B,2,FALSE),0))</f>
        <v/>
      </c>
      <c r="Y656">
        <f>IF(Q656="P",0,IFNA(VLOOKUP(IF(C656="","(none)",C656),Hitter_Secondary_Coef!$A:$B,2,FALSE),0))</f>
        <v/>
      </c>
      <c r="Z656">
        <f>IF(Q656="P",IF(ISNUMBER(SEARCH("2F",H656)),IFNA(VLOOKUP("2F",Pitch_Coef!$A:$B,2,FALSE),0),0)+IF(ISNUMBER(SEARCH("4F",H656)),IFNA(VLOOKUP("4F",Pitch_Coef!$A:$B,2,FALSE),0),0)+IF(ISNUMBER(SEARCH("CB",H656)),IFNA(VLOOKUP("CB",Pitch_Coef!$A:$B,2,FALSE),0),0)+IF(ISNUMBER(SEARCH("CF",H656)),IFNA(VLOOKUP("CF",Pitch_Coef!$A:$B,2,FALSE),0),0)+IF(ISNUMBER(SEARCH("CH",H656)),IFNA(VLOOKUP("CH",Pitch_Coef!$A:$B,2,FALSE),0),0)+IF(ISNUMBER(SEARCH("FK",H656)),IFNA(VLOOKUP("FK",Pitch_Coef!$A:$B,2,FALSE),0),0)+IF(ISNUMBER(SEARCH("SB",H656)),IFNA(VLOOKUP("SB",Pitch_Coef!$A:$B,2,FALSE),0),0)+IF(ISNUMBER(SEARCH("SL",H656)),IFNA(VLOOKUP("SL",Pitch_Coef!$A:$B,2,FALSE),0),0),0)</f>
        <v/>
      </c>
      <c r="AA656">
        <f>IF(Q656="P",16.5944849573+0.2529999141*N656+0.2665900378*O656+0.2632687105*P656+0.0427586837*I656+0.0534777057*J656+0.009015832*K656+0.0204898106*(O656*P656/100)+1.0091022427*U656+1.0968542297*IF(D656="L",1,0)+0.3771555045*IF(D656="S",1,0)-0.2226159177*IF(E656="L",1,0)+1.21385024*R656-1.1652812274*S656+W656+X656+Z656,10.5965166711+0.2825983581*I656+0.2806503532*J656+0.2027213083*K656+0.1147824982*L656+0.0915305332*M656-0.0088454122*(I656*J656/100)-0.0336045706*(K656*L656/100)+2.8497389733*IF(D656="L",1,0)+4.5116226727*IF(D656="S",1,0)-0.6571546448*IF(E656="L",1,0)+0.0850728147*T656+0.0129488446*(T656*T656)+0.1909373936*IF(OR(F656="Utility",G656="Utility"),T656,0)+0.9656824071*R656-1.7517683256*S656+W656+X656+Y656)</f>
        <v/>
      </c>
      <c r="AB656">
        <f>LOOKUP(AA656,Grade_Scale!$A$2:$A$18,Grade_Scale!$B$2:$B$18)</f>
        <v/>
      </c>
      <c r="AC656">
        <f>LOOKUP(AA656,Grade_Scale!$A$2:$A$18,Grade_Scale!$C$2:$C$18)</f>
        <v/>
      </c>
      <c r="AE656">
        <f>IF(AD656="","",AB656-VLOOKUP(AD656,Grade_Scale!$C$2:$E$18,3,FALSE))</f>
        <v/>
      </c>
    </row>
    <row r="657">
      <c r="Q657">
        <f>IF(OR(B657="SP",B657="RP",B657="CP",B657="SP/RP"),"P","H")</f>
        <v/>
      </c>
      <c r="R657">
        <f>IF(F657="",0,IFNA(VLOOKUP(F657,Trait_Polarity!$A:$C,2,FALSE),0))+IF(G657="",0,IFNA(VLOOKUP(G657,Trait_Polarity!$A:$C,2,FALSE),0))</f>
        <v/>
      </c>
      <c r="S657">
        <f>IF(F657="",0,IFNA(VLOOKUP(F657,Trait_Polarity!$A:$C,3,FALSE),0))+IF(G657="",0,IFNA(VLOOKUP(G657,Trait_Polarity!$A:$C,3,FALSE),0))</f>
        <v/>
      </c>
      <c r="T657">
        <f>IF(Q657="P",0,IFNA(VLOOKUP(IF(C657="","(none)",C657),Secondary_Versatility!$A:$B,2,FALSE),0))</f>
        <v/>
      </c>
      <c r="U657">
        <f>IF(H657="",0,LEN(H657)-LEN(SUBSTITUTE(H657,"|",""))+1)</f>
        <v/>
      </c>
      <c r="V657">
        <f>IF(Q657="P",(N657+O657+P657)/3,0.3*I657+0.3*J657+0.2*K657+0.1*L657+0.1*M657)</f>
        <v/>
      </c>
      <c r="W657">
        <f>IF(Q657="P",IF(F657="",0,IFNA(VLOOKUP(F657,Pitcher_Trait_Coef!$A:$B,2,FALSE),0))+IF(G657="",0,IFNA(VLOOKUP(G657,Pitcher_Trait_Coef!$A:$B,2,FALSE),0)),IF(F657="",0,IFNA(VLOOKUP(F657,Hitter_Trait_Coef!$A:$B,2,FALSE),0))+IF(G657="",0,IFNA(VLOOKUP(G657,Hitter_Trait_Coef!$A:$B,2,FALSE),0)))</f>
        <v/>
      </c>
      <c r="X657">
        <f>IF(Q657="P",IFNA(VLOOKUP(B657,Pitcher_Primary_Coef!$A:$B,2,FALSE),0),IFNA(VLOOKUP(B657,Hitter_Primary_Coef!$A:$B,2,FALSE),0))</f>
        <v/>
      </c>
      <c r="Y657">
        <f>IF(Q657="P",0,IFNA(VLOOKUP(IF(C657="","(none)",C657),Hitter_Secondary_Coef!$A:$B,2,FALSE),0))</f>
        <v/>
      </c>
      <c r="Z657">
        <f>IF(Q657="P",IF(ISNUMBER(SEARCH("2F",H657)),IFNA(VLOOKUP("2F",Pitch_Coef!$A:$B,2,FALSE),0),0)+IF(ISNUMBER(SEARCH("4F",H657)),IFNA(VLOOKUP("4F",Pitch_Coef!$A:$B,2,FALSE),0),0)+IF(ISNUMBER(SEARCH("CB",H657)),IFNA(VLOOKUP("CB",Pitch_Coef!$A:$B,2,FALSE),0),0)+IF(ISNUMBER(SEARCH("CF",H657)),IFNA(VLOOKUP("CF",Pitch_Coef!$A:$B,2,FALSE),0),0)+IF(ISNUMBER(SEARCH("CH",H657)),IFNA(VLOOKUP("CH",Pitch_Coef!$A:$B,2,FALSE),0),0)+IF(ISNUMBER(SEARCH("FK",H657)),IFNA(VLOOKUP("FK",Pitch_Coef!$A:$B,2,FALSE),0),0)+IF(ISNUMBER(SEARCH("SB",H657)),IFNA(VLOOKUP("SB",Pitch_Coef!$A:$B,2,FALSE),0),0)+IF(ISNUMBER(SEARCH("SL",H657)),IFNA(VLOOKUP("SL",Pitch_Coef!$A:$B,2,FALSE),0),0),0)</f>
        <v/>
      </c>
      <c r="AA657">
        <f>IF(Q657="P",16.5944849573+0.2529999141*N657+0.2665900378*O657+0.2632687105*P657+0.0427586837*I657+0.0534777057*J657+0.009015832*K657+0.0204898106*(O657*P657/100)+1.0091022427*U657+1.0968542297*IF(D657="L",1,0)+0.3771555045*IF(D657="S",1,0)-0.2226159177*IF(E657="L",1,0)+1.21385024*R657-1.1652812274*S657+W657+X657+Z657,10.5965166711+0.2825983581*I657+0.2806503532*J657+0.2027213083*K657+0.1147824982*L657+0.0915305332*M657-0.0088454122*(I657*J657/100)-0.0336045706*(K657*L657/100)+2.8497389733*IF(D657="L",1,0)+4.5116226727*IF(D657="S",1,0)-0.6571546448*IF(E657="L",1,0)+0.0850728147*T657+0.0129488446*(T657*T657)+0.1909373936*IF(OR(F657="Utility",G657="Utility"),T657,0)+0.9656824071*R657-1.7517683256*S657+W657+X657+Y657)</f>
        <v/>
      </c>
      <c r="AB657">
        <f>LOOKUP(AA657,Grade_Scale!$A$2:$A$18,Grade_Scale!$B$2:$B$18)</f>
        <v/>
      </c>
      <c r="AC657">
        <f>LOOKUP(AA657,Grade_Scale!$A$2:$A$18,Grade_Scale!$C$2:$C$18)</f>
        <v/>
      </c>
      <c r="AE657">
        <f>IF(AD657="","",AB657-VLOOKUP(AD657,Grade_Scale!$C$2:$E$18,3,FALSE))</f>
        <v/>
      </c>
    </row>
    <row r="658">
      <c r="Q658">
        <f>IF(OR(B658="SP",B658="RP",B658="CP",B658="SP/RP"),"P","H")</f>
        <v/>
      </c>
      <c r="R658">
        <f>IF(F658="",0,IFNA(VLOOKUP(F658,Trait_Polarity!$A:$C,2,FALSE),0))+IF(G658="",0,IFNA(VLOOKUP(G658,Trait_Polarity!$A:$C,2,FALSE),0))</f>
        <v/>
      </c>
      <c r="S658">
        <f>IF(F658="",0,IFNA(VLOOKUP(F658,Trait_Polarity!$A:$C,3,FALSE),0))+IF(G658="",0,IFNA(VLOOKUP(G658,Trait_Polarity!$A:$C,3,FALSE),0))</f>
        <v/>
      </c>
      <c r="T658">
        <f>IF(Q658="P",0,IFNA(VLOOKUP(IF(C658="","(none)",C658),Secondary_Versatility!$A:$B,2,FALSE),0))</f>
        <v/>
      </c>
      <c r="U658">
        <f>IF(H658="",0,LEN(H658)-LEN(SUBSTITUTE(H658,"|",""))+1)</f>
        <v/>
      </c>
      <c r="V658">
        <f>IF(Q658="P",(N658+O658+P658)/3,0.3*I658+0.3*J658+0.2*K658+0.1*L658+0.1*M658)</f>
        <v/>
      </c>
      <c r="W658">
        <f>IF(Q658="P",IF(F658="",0,IFNA(VLOOKUP(F658,Pitcher_Trait_Coef!$A:$B,2,FALSE),0))+IF(G658="",0,IFNA(VLOOKUP(G658,Pitcher_Trait_Coef!$A:$B,2,FALSE),0)),IF(F658="",0,IFNA(VLOOKUP(F658,Hitter_Trait_Coef!$A:$B,2,FALSE),0))+IF(G658="",0,IFNA(VLOOKUP(G658,Hitter_Trait_Coef!$A:$B,2,FALSE),0)))</f>
        <v/>
      </c>
      <c r="X658">
        <f>IF(Q658="P",IFNA(VLOOKUP(B658,Pitcher_Primary_Coef!$A:$B,2,FALSE),0),IFNA(VLOOKUP(B658,Hitter_Primary_Coef!$A:$B,2,FALSE),0))</f>
        <v/>
      </c>
      <c r="Y658">
        <f>IF(Q658="P",0,IFNA(VLOOKUP(IF(C658="","(none)",C658),Hitter_Secondary_Coef!$A:$B,2,FALSE),0))</f>
        <v/>
      </c>
      <c r="Z658">
        <f>IF(Q658="P",IF(ISNUMBER(SEARCH("2F",H658)),IFNA(VLOOKUP("2F",Pitch_Coef!$A:$B,2,FALSE),0),0)+IF(ISNUMBER(SEARCH("4F",H658)),IFNA(VLOOKUP("4F",Pitch_Coef!$A:$B,2,FALSE),0),0)+IF(ISNUMBER(SEARCH("CB",H658)),IFNA(VLOOKUP("CB",Pitch_Coef!$A:$B,2,FALSE),0),0)+IF(ISNUMBER(SEARCH("CF",H658)),IFNA(VLOOKUP("CF",Pitch_Coef!$A:$B,2,FALSE),0),0)+IF(ISNUMBER(SEARCH("CH",H658)),IFNA(VLOOKUP("CH",Pitch_Coef!$A:$B,2,FALSE),0),0)+IF(ISNUMBER(SEARCH("FK",H658)),IFNA(VLOOKUP("FK",Pitch_Coef!$A:$B,2,FALSE),0),0)+IF(ISNUMBER(SEARCH("SB",H658)),IFNA(VLOOKUP("SB",Pitch_Coef!$A:$B,2,FALSE),0),0)+IF(ISNUMBER(SEARCH("SL",H658)),IFNA(VLOOKUP("SL",Pitch_Coef!$A:$B,2,FALSE),0),0),0)</f>
        <v/>
      </c>
      <c r="AA658">
        <f>IF(Q658="P",16.5944849573+0.2529999141*N658+0.2665900378*O658+0.2632687105*P658+0.0427586837*I658+0.0534777057*J658+0.009015832*K658+0.0204898106*(O658*P658/100)+1.0091022427*U658+1.0968542297*IF(D658="L",1,0)+0.3771555045*IF(D658="S",1,0)-0.2226159177*IF(E658="L",1,0)+1.21385024*R658-1.1652812274*S658+W658+X658+Z658,10.5965166711+0.2825983581*I658+0.2806503532*J658+0.2027213083*K658+0.1147824982*L658+0.0915305332*M658-0.0088454122*(I658*J658/100)-0.0336045706*(K658*L658/100)+2.8497389733*IF(D658="L",1,0)+4.5116226727*IF(D658="S",1,0)-0.6571546448*IF(E658="L",1,0)+0.0850728147*T658+0.0129488446*(T658*T658)+0.1909373936*IF(OR(F658="Utility",G658="Utility"),T658,0)+0.9656824071*R658-1.7517683256*S658+W658+X658+Y658)</f>
        <v/>
      </c>
      <c r="AB658">
        <f>LOOKUP(AA658,Grade_Scale!$A$2:$A$18,Grade_Scale!$B$2:$B$18)</f>
        <v/>
      </c>
      <c r="AC658">
        <f>LOOKUP(AA658,Grade_Scale!$A$2:$A$18,Grade_Scale!$C$2:$C$18)</f>
        <v/>
      </c>
      <c r="AE658">
        <f>IF(AD658="","",AB658-VLOOKUP(AD658,Grade_Scale!$C$2:$E$18,3,FALSE))</f>
        <v/>
      </c>
    </row>
    <row r="659">
      <c r="Q659">
        <f>IF(OR(B659="SP",B659="RP",B659="CP",B659="SP/RP"),"P","H")</f>
        <v/>
      </c>
      <c r="R659">
        <f>IF(F659="",0,IFNA(VLOOKUP(F659,Trait_Polarity!$A:$C,2,FALSE),0))+IF(G659="",0,IFNA(VLOOKUP(G659,Trait_Polarity!$A:$C,2,FALSE),0))</f>
        <v/>
      </c>
      <c r="S659">
        <f>IF(F659="",0,IFNA(VLOOKUP(F659,Trait_Polarity!$A:$C,3,FALSE),0))+IF(G659="",0,IFNA(VLOOKUP(G659,Trait_Polarity!$A:$C,3,FALSE),0))</f>
        <v/>
      </c>
      <c r="T659">
        <f>IF(Q659="P",0,IFNA(VLOOKUP(IF(C659="","(none)",C659),Secondary_Versatility!$A:$B,2,FALSE),0))</f>
        <v/>
      </c>
      <c r="U659">
        <f>IF(H659="",0,LEN(H659)-LEN(SUBSTITUTE(H659,"|",""))+1)</f>
        <v/>
      </c>
      <c r="V659">
        <f>IF(Q659="P",(N659+O659+P659)/3,0.3*I659+0.3*J659+0.2*K659+0.1*L659+0.1*M659)</f>
        <v/>
      </c>
      <c r="W659">
        <f>IF(Q659="P",IF(F659="",0,IFNA(VLOOKUP(F659,Pitcher_Trait_Coef!$A:$B,2,FALSE),0))+IF(G659="",0,IFNA(VLOOKUP(G659,Pitcher_Trait_Coef!$A:$B,2,FALSE),0)),IF(F659="",0,IFNA(VLOOKUP(F659,Hitter_Trait_Coef!$A:$B,2,FALSE),0))+IF(G659="",0,IFNA(VLOOKUP(G659,Hitter_Trait_Coef!$A:$B,2,FALSE),0)))</f>
        <v/>
      </c>
      <c r="X659">
        <f>IF(Q659="P",IFNA(VLOOKUP(B659,Pitcher_Primary_Coef!$A:$B,2,FALSE),0),IFNA(VLOOKUP(B659,Hitter_Primary_Coef!$A:$B,2,FALSE),0))</f>
        <v/>
      </c>
      <c r="Y659">
        <f>IF(Q659="P",0,IFNA(VLOOKUP(IF(C659="","(none)",C659),Hitter_Secondary_Coef!$A:$B,2,FALSE),0))</f>
        <v/>
      </c>
      <c r="Z659">
        <f>IF(Q659="P",IF(ISNUMBER(SEARCH("2F",H659)),IFNA(VLOOKUP("2F",Pitch_Coef!$A:$B,2,FALSE),0),0)+IF(ISNUMBER(SEARCH("4F",H659)),IFNA(VLOOKUP("4F",Pitch_Coef!$A:$B,2,FALSE),0),0)+IF(ISNUMBER(SEARCH("CB",H659)),IFNA(VLOOKUP("CB",Pitch_Coef!$A:$B,2,FALSE),0),0)+IF(ISNUMBER(SEARCH("CF",H659)),IFNA(VLOOKUP("CF",Pitch_Coef!$A:$B,2,FALSE),0),0)+IF(ISNUMBER(SEARCH("CH",H659)),IFNA(VLOOKUP("CH",Pitch_Coef!$A:$B,2,FALSE),0),0)+IF(ISNUMBER(SEARCH("FK",H659)),IFNA(VLOOKUP("FK",Pitch_Coef!$A:$B,2,FALSE),0),0)+IF(ISNUMBER(SEARCH("SB",H659)),IFNA(VLOOKUP("SB",Pitch_Coef!$A:$B,2,FALSE),0),0)+IF(ISNUMBER(SEARCH("SL",H659)),IFNA(VLOOKUP("SL",Pitch_Coef!$A:$B,2,FALSE),0),0),0)</f>
        <v/>
      </c>
      <c r="AA659">
        <f>IF(Q659="P",16.5944849573+0.2529999141*N659+0.2665900378*O659+0.2632687105*P659+0.0427586837*I659+0.0534777057*J659+0.009015832*K659+0.0204898106*(O659*P659/100)+1.0091022427*U659+1.0968542297*IF(D659="L",1,0)+0.3771555045*IF(D659="S",1,0)-0.2226159177*IF(E659="L",1,0)+1.21385024*R659-1.1652812274*S659+W659+X659+Z659,10.5965166711+0.2825983581*I659+0.2806503532*J659+0.2027213083*K659+0.1147824982*L659+0.0915305332*M659-0.0088454122*(I659*J659/100)-0.0336045706*(K659*L659/100)+2.8497389733*IF(D659="L",1,0)+4.5116226727*IF(D659="S",1,0)-0.6571546448*IF(E659="L",1,0)+0.0850728147*T659+0.0129488446*(T659*T659)+0.1909373936*IF(OR(F659="Utility",G659="Utility"),T659,0)+0.9656824071*R659-1.7517683256*S659+W659+X659+Y659)</f>
        <v/>
      </c>
      <c r="AB659">
        <f>LOOKUP(AA659,Grade_Scale!$A$2:$A$18,Grade_Scale!$B$2:$B$18)</f>
        <v/>
      </c>
      <c r="AC659">
        <f>LOOKUP(AA659,Grade_Scale!$A$2:$A$18,Grade_Scale!$C$2:$C$18)</f>
        <v/>
      </c>
      <c r="AE659">
        <f>IF(AD659="","",AB659-VLOOKUP(AD659,Grade_Scale!$C$2:$E$18,3,FALSE))</f>
        <v/>
      </c>
    </row>
    <row r="660">
      <c r="Q660">
        <f>IF(OR(B660="SP",B660="RP",B660="CP",B660="SP/RP"),"P","H")</f>
        <v/>
      </c>
      <c r="R660">
        <f>IF(F660="",0,IFNA(VLOOKUP(F660,Trait_Polarity!$A:$C,2,FALSE),0))+IF(G660="",0,IFNA(VLOOKUP(G660,Trait_Polarity!$A:$C,2,FALSE),0))</f>
        <v/>
      </c>
      <c r="S660">
        <f>IF(F660="",0,IFNA(VLOOKUP(F660,Trait_Polarity!$A:$C,3,FALSE),0))+IF(G660="",0,IFNA(VLOOKUP(G660,Trait_Polarity!$A:$C,3,FALSE),0))</f>
        <v/>
      </c>
      <c r="T660">
        <f>IF(Q660="P",0,IFNA(VLOOKUP(IF(C660="","(none)",C660),Secondary_Versatility!$A:$B,2,FALSE),0))</f>
        <v/>
      </c>
      <c r="U660">
        <f>IF(H660="",0,LEN(H660)-LEN(SUBSTITUTE(H660,"|",""))+1)</f>
        <v/>
      </c>
      <c r="V660">
        <f>IF(Q660="P",(N660+O660+P660)/3,0.3*I660+0.3*J660+0.2*K660+0.1*L660+0.1*M660)</f>
        <v/>
      </c>
      <c r="W660">
        <f>IF(Q660="P",IF(F660="",0,IFNA(VLOOKUP(F660,Pitcher_Trait_Coef!$A:$B,2,FALSE),0))+IF(G660="",0,IFNA(VLOOKUP(G660,Pitcher_Trait_Coef!$A:$B,2,FALSE),0)),IF(F660="",0,IFNA(VLOOKUP(F660,Hitter_Trait_Coef!$A:$B,2,FALSE),0))+IF(G660="",0,IFNA(VLOOKUP(G660,Hitter_Trait_Coef!$A:$B,2,FALSE),0)))</f>
        <v/>
      </c>
      <c r="X660">
        <f>IF(Q660="P",IFNA(VLOOKUP(B660,Pitcher_Primary_Coef!$A:$B,2,FALSE),0),IFNA(VLOOKUP(B660,Hitter_Primary_Coef!$A:$B,2,FALSE),0))</f>
        <v/>
      </c>
      <c r="Y660">
        <f>IF(Q660="P",0,IFNA(VLOOKUP(IF(C660="","(none)",C660),Hitter_Secondary_Coef!$A:$B,2,FALSE),0))</f>
        <v/>
      </c>
      <c r="Z660">
        <f>IF(Q660="P",IF(ISNUMBER(SEARCH("2F",H660)),IFNA(VLOOKUP("2F",Pitch_Coef!$A:$B,2,FALSE),0),0)+IF(ISNUMBER(SEARCH("4F",H660)),IFNA(VLOOKUP("4F",Pitch_Coef!$A:$B,2,FALSE),0),0)+IF(ISNUMBER(SEARCH("CB",H660)),IFNA(VLOOKUP("CB",Pitch_Coef!$A:$B,2,FALSE),0),0)+IF(ISNUMBER(SEARCH("CF",H660)),IFNA(VLOOKUP("CF",Pitch_Coef!$A:$B,2,FALSE),0),0)+IF(ISNUMBER(SEARCH("CH",H660)),IFNA(VLOOKUP("CH",Pitch_Coef!$A:$B,2,FALSE),0),0)+IF(ISNUMBER(SEARCH("FK",H660)),IFNA(VLOOKUP("FK",Pitch_Coef!$A:$B,2,FALSE),0),0)+IF(ISNUMBER(SEARCH("SB",H660)),IFNA(VLOOKUP("SB",Pitch_Coef!$A:$B,2,FALSE),0),0)+IF(ISNUMBER(SEARCH("SL",H660)),IFNA(VLOOKUP("SL",Pitch_Coef!$A:$B,2,FALSE),0),0),0)</f>
        <v/>
      </c>
      <c r="AA660">
        <f>IF(Q660="P",16.5944849573+0.2529999141*N660+0.2665900378*O660+0.2632687105*P660+0.0427586837*I660+0.0534777057*J660+0.009015832*K660+0.0204898106*(O660*P660/100)+1.0091022427*U660+1.0968542297*IF(D660="L",1,0)+0.3771555045*IF(D660="S",1,0)-0.2226159177*IF(E660="L",1,0)+1.21385024*R660-1.1652812274*S660+W660+X660+Z660,10.5965166711+0.2825983581*I660+0.2806503532*J660+0.2027213083*K660+0.1147824982*L660+0.0915305332*M660-0.0088454122*(I660*J660/100)-0.0336045706*(K660*L660/100)+2.8497389733*IF(D660="L",1,0)+4.5116226727*IF(D660="S",1,0)-0.6571546448*IF(E660="L",1,0)+0.0850728147*T660+0.0129488446*(T660*T660)+0.1909373936*IF(OR(F660="Utility",G660="Utility"),T660,0)+0.9656824071*R660-1.7517683256*S660+W660+X660+Y660)</f>
        <v/>
      </c>
      <c r="AB660">
        <f>LOOKUP(AA660,Grade_Scale!$A$2:$A$18,Grade_Scale!$B$2:$B$18)</f>
        <v/>
      </c>
      <c r="AC660">
        <f>LOOKUP(AA660,Grade_Scale!$A$2:$A$18,Grade_Scale!$C$2:$C$18)</f>
        <v/>
      </c>
      <c r="AE660">
        <f>IF(AD660="","",AB660-VLOOKUP(AD660,Grade_Scale!$C$2:$E$18,3,FALSE))</f>
        <v/>
      </c>
    </row>
    <row r="661">
      <c r="Q661">
        <f>IF(OR(B661="SP",B661="RP",B661="CP",B661="SP/RP"),"P","H")</f>
        <v/>
      </c>
      <c r="R661">
        <f>IF(F661="",0,IFNA(VLOOKUP(F661,Trait_Polarity!$A:$C,2,FALSE),0))+IF(G661="",0,IFNA(VLOOKUP(G661,Trait_Polarity!$A:$C,2,FALSE),0))</f>
        <v/>
      </c>
      <c r="S661">
        <f>IF(F661="",0,IFNA(VLOOKUP(F661,Trait_Polarity!$A:$C,3,FALSE),0))+IF(G661="",0,IFNA(VLOOKUP(G661,Trait_Polarity!$A:$C,3,FALSE),0))</f>
        <v/>
      </c>
      <c r="T661">
        <f>IF(Q661="P",0,IFNA(VLOOKUP(IF(C661="","(none)",C661),Secondary_Versatility!$A:$B,2,FALSE),0))</f>
        <v/>
      </c>
      <c r="U661">
        <f>IF(H661="",0,LEN(H661)-LEN(SUBSTITUTE(H661,"|",""))+1)</f>
        <v/>
      </c>
      <c r="V661">
        <f>IF(Q661="P",(N661+O661+P661)/3,0.3*I661+0.3*J661+0.2*K661+0.1*L661+0.1*M661)</f>
        <v/>
      </c>
      <c r="W661">
        <f>IF(Q661="P",IF(F661="",0,IFNA(VLOOKUP(F661,Pitcher_Trait_Coef!$A:$B,2,FALSE),0))+IF(G661="",0,IFNA(VLOOKUP(G661,Pitcher_Trait_Coef!$A:$B,2,FALSE),0)),IF(F661="",0,IFNA(VLOOKUP(F661,Hitter_Trait_Coef!$A:$B,2,FALSE),0))+IF(G661="",0,IFNA(VLOOKUP(G661,Hitter_Trait_Coef!$A:$B,2,FALSE),0)))</f>
        <v/>
      </c>
      <c r="X661">
        <f>IF(Q661="P",IFNA(VLOOKUP(B661,Pitcher_Primary_Coef!$A:$B,2,FALSE),0),IFNA(VLOOKUP(B661,Hitter_Primary_Coef!$A:$B,2,FALSE),0))</f>
        <v/>
      </c>
      <c r="Y661">
        <f>IF(Q661="P",0,IFNA(VLOOKUP(IF(C661="","(none)",C661),Hitter_Secondary_Coef!$A:$B,2,FALSE),0))</f>
        <v/>
      </c>
      <c r="Z661">
        <f>IF(Q661="P",IF(ISNUMBER(SEARCH("2F",H661)),IFNA(VLOOKUP("2F",Pitch_Coef!$A:$B,2,FALSE),0),0)+IF(ISNUMBER(SEARCH("4F",H661)),IFNA(VLOOKUP("4F",Pitch_Coef!$A:$B,2,FALSE),0),0)+IF(ISNUMBER(SEARCH("CB",H661)),IFNA(VLOOKUP("CB",Pitch_Coef!$A:$B,2,FALSE),0),0)+IF(ISNUMBER(SEARCH("CF",H661)),IFNA(VLOOKUP("CF",Pitch_Coef!$A:$B,2,FALSE),0),0)+IF(ISNUMBER(SEARCH("CH",H661)),IFNA(VLOOKUP("CH",Pitch_Coef!$A:$B,2,FALSE),0),0)+IF(ISNUMBER(SEARCH("FK",H661)),IFNA(VLOOKUP("FK",Pitch_Coef!$A:$B,2,FALSE),0),0)+IF(ISNUMBER(SEARCH("SB",H661)),IFNA(VLOOKUP("SB",Pitch_Coef!$A:$B,2,FALSE),0),0)+IF(ISNUMBER(SEARCH("SL",H661)),IFNA(VLOOKUP("SL",Pitch_Coef!$A:$B,2,FALSE),0),0),0)</f>
        <v/>
      </c>
      <c r="AA661">
        <f>IF(Q661="P",16.5944849573+0.2529999141*N661+0.2665900378*O661+0.2632687105*P661+0.0427586837*I661+0.0534777057*J661+0.009015832*K661+0.0204898106*(O661*P661/100)+1.0091022427*U661+1.0968542297*IF(D661="L",1,0)+0.3771555045*IF(D661="S",1,0)-0.2226159177*IF(E661="L",1,0)+1.21385024*R661-1.1652812274*S661+W661+X661+Z661,10.5965166711+0.2825983581*I661+0.2806503532*J661+0.2027213083*K661+0.1147824982*L661+0.0915305332*M661-0.0088454122*(I661*J661/100)-0.0336045706*(K661*L661/100)+2.8497389733*IF(D661="L",1,0)+4.5116226727*IF(D661="S",1,0)-0.6571546448*IF(E661="L",1,0)+0.0850728147*T661+0.0129488446*(T661*T661)+0.1909373936*IF(OR(F661="Utility",G661="Utility"),T661,0)+0.9656824071*R661-1.7517683256*S661+W661+X661+Y661)</f>
        <v/>
      </c>
      <c r="AB661">
        <f>LOOKUP(AA661,Grade_Scale!$A$2:$A$18,Grade_Scale!$B$2:$B$18)</f>
        <v/>
      </c>
      <c r="AC661">
        <f>LOOKUP(AA661,Grade_Scale!$A$2:$A$18,Grade_Scale!$C$2:$C$18)</f>
        <v/>
      </c>
      <c r="AE661">
        <f>IF(AD661="","",AB661-VLOOKUP(AD661,Grade_Scale!$C$2:$E$18,3,FALSE))</f>
        <v/>
      </c>
    </row>
    <row r="662">
      <c r="Q662">
        <f>IF(OR(B662="SP",B662="RP",B662="CP",B662="SP/RP"),"P","H")</f>
        <v/>
      </c>
      <c r="R662">
        <f>IF(F662="",0,IFNA(VLOOKUP(F662,Trait_Polarity!$A:$C,2,FALSE),0))+IF(G662="",0,IFNA(VLOOKUP(G662,Trait_Polarity!$A:$C,2,FALSE),0))</f>
        <v/>
      </c>
      <c r="S662">
        <f>IF(F662="",0,IFNA(VLOOKUP(F662,Trait_Polarity!$A:$C,3,FALSE),0))+IF(G662="",0,IFNA(VLOOKUP(G662,Trait_Polarity!$A:$C,3,FALSE),0))</f>
        <v/>
      </c>
      <c r="T662">
        <f>IF(Q662="P",0,IFNA(VLOOKUP(IF(C662="","(none)",C662),Secondary_Versatility!$A:$B,2,FALSE),0))</f>
        <v/>
      </c>
      <c r="U662">
        <f>IF(H662="",0,LEN(H662)-LEN(SUBSTITUTE(H662,"|",""))+1)</f>
        <v/>
      </c>
      <c r="V662">
        <f>IF(Q662="P",(N662+O662+P662)/3,0.3*I662+0.3*J662+0.2*K662+0.1*L662+0.1*M662)</f>
        <v/>
      </c>
      <c r="W662">
        <f>IF(Q662="P",IF(F662="",0,IFNA(VLOOKUP(F662,Pitcher_Trait_Coef!$A:$B,2,FALSE),0))+IF(G662="",0,IFNA(VLOOKUP(G662,Pitcher_Trait_Coef!$A:$B,2,FALSE),0)),IF(F662="",0,IFNA(VLOOKUP(F662,Hitter_Trait_Coef!$A:$B,2,FALSE),0))+IF(G662="",0,IFNA(VLOOKUP(G662,Hitter_Trait_Coef!$A:$B,2,FALSE),0)))</f>
        <v/>
      </c>
      <c r="X662">
        <f>IF(Q662="P",IFNA(VLOOKUP(B662,Pitcher_Primary_Coef!$A:$B,2,FALSE),0),IFNA(VLOOKUP(B662,Hitter_Primary_Coef!$A:$B,2,FALSE),0))</f>
        <v/>
      </c>
      <c r="Y662">
        <f>IF(Q662="P",0,IFNA(VLOOKUP(IF(C662="","(none)",C662),Hitter_Secondary_Coef!$A:$B,2,FALSE),0))</f>
        <v/>
      </c>
      <c r="Z662">
        <f>IF(Q662="P",IF(ISNUMBER(SEARCH("2F",H662)),IFNA(VLOOKUP("2F",Pitch_Coef!$A:$B,2,FALSE),0),0)+IF(ISNUMBER(SEARCH("4F",H662)),IFNA(VLOOKUP("4F",Pitch_Coef!$A:$B,2,FALSE),0),0)+IF(ISNUMBER(SEARCH("CB",H662)),IFNA(VLOOKUP("CB",Pitch_Coef!$A:$B,2,FALSE),0),0)+IF(ISNUMBER(SEARCH("CF",H662)),IFNA(VLOOKUP("CF",Pitch_Coef!$A:$B,2,FALSE),0),0)+IF(ISNUMBER(SEARCH("CH",H662)),IFNA(VLOOKUP("CH",Pitch_Coef!$A:$B,2,FALSE),0),0)+IF(ISNUMBER(SEARCH("FK",H662)),IFNA(VLOOKUP("FK",Pitch_Coef!$A:$B,2,FALSE),0),0)+IF(ISNUMBER(SEARCH("SB",H662)),IFNA(VLOOKUP("SB",Pitch_Coef!$A:$B,2,FALSE),0),0)+IF(ISNUMBER(SEARCH("SL",H662)),IFNA(VLOOKUP("SL",Pitch_Coef!$A:$B,2,FALSE),0),0),0)</f>
        <v/>
      </c>
      <c r="AA662">
        <f>IF(Q662="P",16.5944849573+0.2529999141*N662+0.2665900378*O662+0.2632687105*P662+0.0427586837*I662+0.0534777057*J662+0.009015832*K662+0.0204898106*(O662*P662/100)+1.0091022427*U662+1.0968542297*IF(D662="L",1,0)+0.3771555045*IF(D662="S",1,0)-0.2226159177*IF(E662="L",1,0)+1.21385024*R662-1.1652812274*S662+W662+X662+Z662,10.5965166711+0.2825983581*I662+0.2806503532*J662+0.2027213083*K662+0.1147824982*L662+0.0915305332*M662-0.0088454122*(I662*J662/100)-0.0336045706*(K662*L662/100)+2.8497389733*IF(D662="L",1,0)+4.5116226727*IF(D662="S",1,0)-0.6571546448*IF(E662="L",1,0)+0.0850728147*T662+0.0129488446*(T662*T662)+0.1909373936*IF(OR(F662="Utility",G662="Utility"),T662,0)+0.9656824071*R662-1.7517683256*S662+W662+X662+Y662)</f>
        <v/>
      </c>
      <c r="AB662">
        <f>LOOKUP(AA662,Grade_Scale!$A$2:$A$18,Grade_Scale!$B$2:$B$18)</f>
        <v/>
      </c>
      <c r="AC662">
        <f>LOOKUP(AA662,Grade_Scale!$A$2:$A$18,Grade_Scale!$C$2:$C$18)</f>
        <v/>
      </c>
      <c r="AE662">
        <f>IF(AD662="","",AB662-VLOOKUP(AD662,Grade_Scale!$C$2:$E$18,3,FALSE))</f>
        <v/>
      </c>
    </row>
    <row r="663">
      <c r="Q663">
        <f>IF(OR(B663="SP",B663="RP",B663="CP",B663="SP/RP"),"P","H")</f>
        <v/>
      </c>
      <c r="R663">
        <f>IF(F663="",0,IFNA(VLOOKUP(F663,Trait_Polarity!$A:$C,2,FALSE),0))+IF(G663="",0,IFNA(VLOOKUP(G663,Trait_Polarity!$A:$C,2,FALSE),0))</f>
        <v/>
      </c>
      <c r="S663">
        <f>IF(F663="",0,IFNA(VLOOKUP(F663,Trait_Polarity!$A:$C,3,FALSE),0))+IF(G663="",0,IFNA(VLOOKUP(G663,Trait_Polarity!$A:$C,3,FALSE),0))</f>
        <v/>
      </c>
      <c r="T663">
        <f>IF(Q663="P",0,IFNA(VLOOKUP(IF(C663="","(none)",C663),Secondary_Versatility!$A:$B,2,FALSE),0))</f>
        <v/>
      </c>
      <c r="U663">
        <f>IF(H663="",0,LEN(H663)-LEN(SUBSTITUTE(H663,"|",""))+1)</f>
        <v/>
      </c>
      <c r="V663">
        <f>IF(Q663="P",(N663+O663+P663)/3,0.3*I663+0.3*J663+0.2*K663+0.1*L663+0.1*M663)</f>
        <v/>
      </c>
      <c r="W663">
        <f>IF(Q663="P",IF(F663="",0,IFNA(VLOOKUP(F663,Pitcher_Trait_Coef!$A:$B,2,FALSE),0))+IF(G663="",0,IFNA(VLOOKUP(G663,Pitcher_Trait_Coef!$A:$B,2,FALSE),0)),IF(F663="",0,IFNA(VLOOKUP(F663,Hitter_Trait_Coef!$A:$B,2,FALSE),0))+IF(G663="",0,IFNA(VLOOKUP(G663,Hitter_Trait_Coef!$A:$B,2,FALSE),0)))</f>
        <v/>
      </c>
      <c r="X663">
        <f>IF(Q663="P",IFNA(VLOOKUP(B663,Pitcher_Primary_Coef!$A:$B,2,FALSE),0),IFNA(VLOOKUP(B663,Hitter_Primary_Coef!$A:$B,2,FALSE),0))</f>
        <v/>
      </c>
      <c r="Y663">
        <f>IF(Q663="P",0,IFNA(VLOOKUP(IF(C663="","(none)",C663),Hitter_Secondary_Coef!$A:$B,2,FALSE),0))</f>
        <v/>
      </c>
      <c r="Z663">
        <f>IF(Q663="P",IF(ISNUMBER(SEARCH("2F",H663)),IFNA(VLOOKUP("2F",Pitch_Coef!$A:$B,2,FALSE),0),0)+IF(ISNUMBER(SEARCH("4F",H663)),IFNA(VLOOKUP("4F",Pitch_Coef!$A:$B,2,FALSE),0),0)+IF(ISNUMBER(SEARCH("CB",H663)),IFNA(VLOOKUP("CB",Pitch_Coef!$A:$B,2,FALSE),0),0)+IF(ISNUMBER(SEARCH("CF",H663)),IFNA(VLOOKUP("CF",Pitch_Coef!$A:$B,2,FALSE),0),0)+IF(ISNUMBER(SEARCH("CH",H663)),IFNA(VLOOKUP("CH",Pitch_Coef!$A:$B,2,FALSE),0),0)+IF(ISNUMBER(SEARCH("FK",H663)),IFNA(VLOOKUP("FK",Pitch_Coef!$A:$B,2,FALSE),0),0)+IF(ISNUMBER(SEARCH("SB",H663)),IFNA(VLOOKUP("SB",Pitch_Coef!$A:$B,2,FALSE),0),0)+IF(ISNUMBER(SEARCH("SL",H663)),IFNA(VLOOKUP("SL",Pitch_Coef!$A:$B,2,FALSE),0),0),0)</f>
        <v/>
      </c>
      <c r="AA663">
        <f>IF(Q663="P",16.5944849573+0.2529999141*N663+0.2665900378*O663+0.2632687105*P663+0.0427586837*I663+0.0534777057*J663+0.009015832*K663+0.0204898106*(O663*P663/100)+1.0091022427*U663+1.0968542297*IF(D663="L",1,0)+0.3771555045*IF(D663="S",1,0)-0.2226159177*IF(E663="L",1,0)+1.21385024*R663-1.1652812274*S663+W663+X663+Z663,10.5965166711+0.2825983581*I663+0.2806503532*J663+0.2027213083*K663+0.1147824982*L663+0.0915305332*M663-0.0088454122*(I663*J663/100)-0.0336045706*(K663*L663/100)+2.8497389733*IF(D663="L",1,0)+4.5116226727*IF(D663="S",1,0)-0.6571546448*IF(E663="L",1,0)+0.0850728147*T663+0.0129488446*(T663*T663)+0.1909373936*IF(OR(F663="Utility",G663="Utility"),T663,0)+0.9656824071*R663-1.7517683256*S663+W663+X663+Y663)</f>
        <v/>
      </c>
      <c r="AB663">
        <f>LOOKUP(AA663,Grade_Scale!$A$2:$A$18,Grade_Scale!$B$2:$B$18)</f>
        <v/>
      </c>
      <c r="AC663">
        <f>LOOKUP(AA663,Grade_Scale!$A$2:$A$18,Grade_Scale!$C$2:$C$18)</f>
        <v/>
      </c>
      <c r="AE663">
        <f>IF(AD663="","",AB663-VLOOKUP(AD663,Grade_Scale!$C$2:$E$18,3,FALSE))</f>
        <v/>
      </c>
    </row>
    <row r="664">
      <c r="Q664">
        <f>IF(OR(B664="SP",B664="RP",B664="CP",B664="SP/RP"),"P","H")</f>
        <v/>
      </c>
      <c r="R664">
        <f>IF(F664="",0,IFNA(VLOOKUP(F664,Trait_Polarity!$A:$C,2,FALSE),0))+IF(G664="",0,IFNA(VLOOKUP(G664,Trait_Polarity!$A:$C,2,FALSE),0))</f>
        <v/>
      </c>
      <c r="S664">
        <f>IF(F664="",0,IFNA(VLOOKUP(F664,Trait_Polarity!$A:$C,3,FALSE),0))+IF(G664="",0,IFNA(VLOOKUP(G664,Trait_Polarity!$A:$C,3,FALSE),0))</f>
        <v/>
      </c>
      <c r="T664">
        <f>IF(Q664="P",0,IFNA(VLOOKUP(IF(C664="","(none)",C664),Secondary_Versatility!$A:$B,2,FALSE),0))</f>
        <v/>
      </c>
      <c r="U664">
        <f>IF(H664="",0,LEN(H664)-LEN(SUBSTITUTE(H664,"|",""))+1)</f>
        <v/>
      </c>
      <c r="V664">
        <f>IF(Q664="P",(N664+O664+P664)/3,0.3*I664+0.3*J664+0.2*K664+0.1*L664+0.1*M664)</f>
        <v/>
      </c>
      <c r="W664">
        <f>IF(Q664="P",IF(F664="",0,IFNA(VLOOKUP(F664,Pitcher_Trait_Coef!$A:$B,2,FALSE),0))+IF(G664="",0,IFNA(VLOOKUP(G664,Pitcher_Trait_Coef!$A:$B,2,FALSE),0)),IF(F664="",0,IFNA(VLOOKUP(F664,Hitter_Trait_Coef!$A:$B,2,FALSE),0))+IF(G664="",0,IFNA(VLOOKUP(G664,Hitter_Trait_Coef!$A:$B,2,FALSE),0)))</f>
        <v/>
      </c>
      <c r="X664">
        <f>IF(Q664="P",IFNA(VLOOKUP(B664,Pitcher_Primary_Coef!$A:$B,2,FALSE),0),IFNA(VLOOKUP(B664,Hitter_Primary_Coef!$A:$B,2,FALSE),0))</f>
        <v/>
      </c>
      <c r="Y664">
        <f>IF(Q664="P",0,IFNA(VLOOKUP(IF(C664="","(none)",C664),Hitter_Secondary_Coef!$A:$B,2,FALSE),0))</f>
        <v/>
      </c>
      <c r="Z664">
        <f>IF(Q664="P",IF(ISNUMBER(SEARCH("2F",H664)),IFNA(VLOOKUP("2F",Pitch_Coef!$A:$B,2,FALSE),0),0)+IF(ISNUMBER(SEARCH("4F",H664)),IFNA(VLOOKUP("4F",Pitch_Coef!$A:$B,2,FALSE),0),0)+IF(ISNUMBER(SEARCH("CB",H664)),IFNA(VLOOKUP("CB",Pitch_Coef!$A:$B,2,FALSE),0),0)+IF(ISNUMBER(SEARCH("CF",H664)),IFNA(VLOOKUP("CF",Pitch_Coef!$A:$B,2,FALSE),0),0)+IF(ISNUMBER(SEARCH("CH",H664)),IFNA(VLOOKUP("CH",Pitch_Coef!$A:$B,2,FALSE),0),0)+IF(ISNUMBER(SEARCH("FK",H664)),IFNA(VLOOKUP("FK",Pitch_Coef!$A:$B,2,FALSE),0),0)+IF(ISNUMBER(SEARCH("SB",H664)),IFNA(VLOOKUP("SB",Pitch_Coef!$A:$B,2,FALSE),0),0)+IF(ISNUMBER(SEARCH("SL",H664)),IFNA(VLOOKUP("SL",Pitch_Coef!$A:$B,2,FALSE),0),0),0)</f>
        <v/>
      </c>
      <c r="AA664">
        <f>IF(Q664="P",16.5944849573+0.2529999141*N664+0.2665900378*O664+0.2632687105*P664+0.0427586837*I664+0.0534777057*J664+0.009015832*K664+0.0204898106*(O664*P664/100)+1.0091022427*U664+1.0968542297*IF(D664="L",1,0)+0.3771555045*IF(D664="S",1,0)-0.2226159177*IF(E664="L",1,0)+1.21385024*R664-1.1652812274*S664+W664+X664+Z664,10.5965166711+0.2825983581*I664+0.2806503532*J664+0.2027213083*K664+0.1147824982*L664+0.0915305332*M664-0.0088454122*(I664*J664/100)-0.0336045706*(K664*L664/100)+2.8497389733*IF(D664="L",1,0)+4.5116226727*IF(D664="S",1,0)-0.6571546448*IF(E664="L",1,0)+0.0850728147*T664+0.0129488446*(T664*T664)+0.1909373936*IF(OR(F664="Utility",G664="Utility"),T664,0)+0.9656824071*R664-1.7517683256*S664+W664+X664+Y664)</f>
        <v/>
      </c>
      <c r="AB664">
        <f>LOOKUP(AA664,Grade_Scale!$A$2:$A$18,Grade_Scale!$B$2:$B$18)</f>
        <v/>
      </c>
      <c r="AC664">
        <f>LOOKUP(AA664,Grade_Scale!$A$2:$A$18,Grade_Scale!$C$2:$C$18)</f>
        <v/>
      </c>
      <c r="AE664">
        <f>IF(AD664="","",AB664-VLOOKUP(AD664,Grade_Scale!$C$2:$E$18,3,FALSE))</f>
        <v/>
      </c>
    </row>
    <row r="665">
      <c r="Q665">
        <f>IF(OR(B665="SP",B665="RP",B665="CP",B665="SP/RP"),"P","H")</f>
        <v/>
      </c>
      <c r="R665">
        <f>IF(F665="",0,IFNA(VLOOKUP(F665,Trait_Polarity!$A:$C,2,FALSE),0))+IF(G665="",0,IFNA(VLOOKUP(G665,Trait_Polarity!$A:$C,2,FALSE),0))</f>
        <v/>
      </c>
      <c r="S665">
        <f>IF(F665="",0,IFNA(VLOOKUP(F665,Trait_Polarity!$A:$C,3,FALSE),0))+IF(G665="",0,IFNA(VLOOKUP(G665,Trait_Polarity!$A:$C,3,FALSE),0))</f>
        <v/>
      </c>
      <c r="T665">
        <f>IF(Q665="P",0,IFNA(VLOOKUP(IF(C665="","(none)",C665),Secondary_Versatility!$A:$B,2,FALSE),0))</f>
        <v/>
      </c>
      <c r="U665">
        <f>IF(H665="",0,LEN(H665)-LEN(SUBSTITUTE(H665,"|",""))+1)</f>
        <v/>
      </c>
      <c r="V665">
        <f>IF(Q665="P",(N665+O665+P665)/3,0.3*I665+0.3*J665+0.2*K665+0.1*L665+0.1*M665)</f>
        <v/>
      </c>
      <c r="W665">
        <f>IF(Q665="P",IF(F665="",0,IFNA(VLOOKUP(F665,Pitcher_Trait_Coef!$A:$B,2,FALSE),0))+IF(G665="",0,IFNA(VLOOKUP(G665,Pitcher_Trait_Coef!$A:$B,2,FALSE),0)),IF(F665="",0,IFNA(VLOOKUP(F665,Hitter_Trait_Coef!$A:$B,2,FALSE),0))+IF(G665="",0,IFNA(VLOOKUP(G665,Hitter_Trait_Coef!$A:$B,2,FALSE),0)))</f>
        <v/>
      </c>
      <c r="X665">
        <f>IF(Q665="P",IFNA(VLOOKUP(B665,Pitcher_Primary_Coef!$A:$B,2,FALSE),0),IFNA(VLOOKUP(B665,Hitter_Primary_Coef!$A:$B,2,FALSE),0))</f>
        <v/>
      </c>
      <c r="Y665">
        <f>IF(Q665="P",0,IFNA(VLOOKUP(IF(C665="","(none)",C665),Hitter_Secondary_Coef!$A:$B,2,FALSE),0))</f>
        <v/>
      </c>
      <c r="Z665">
        <f>IF(Q665="P",IF(ISNUMBER(SEARCH("2F",H665)),IFNA(VLOOKUP("2F",Pitch_Coef!$A:$B,2,FALSE),0),0)+IF(ISNUMBER(SEARCH("4F",H665)),IFNA(VLOOKUP("4F",Pitch_Coef!$A:$B,2,FALSE),0),0)+IF(ISNUMBER(SEARCH("CB",H665)),IFNA(VLOOKUP("CB",Pitch_Coef!$A:$B,2,FALSE),0),0)+IF(ISNUMBER(SEARCH("CF",H665)),IFNA(VLOOKUP("CF",Pitch_Coef!$A:$B,2,FALSE),0),0)+IF(ISNUMBER(SEARCH("CH",H665)),IFNA(VLOOKUP("CH",Pitch_Coef!$A:$B,2,FALSE),0),0)+IF(ISNUMBER(SEARCH("FK",H665)),IFNA(VLOOKUP("FK",Pitch_Coef!$A:$B,2,FALSE),0),0)+IF(ISNUMBER(SEARCH("SB",H665)),IFNA(VLOOKUP("SB",Pitch_Coef!$A:$B,2,FALSE),0),0)+IF(ISNUMBER(SEARCH("SL",H665)),IFNA(VLOOKUP("SL",Pitch_Coef!$A:$B,2,FALSE),0),0),0)</f>
        <v/>
      </c>
      <c r="AA665">
        <f>IF(Q665="P",16.5944849573+0.2529999141*N665+0.2665900378*O665+0.2632687105*P665+0.0427586837*I665+0.0534777057*J665+0.009015832*K665+0.0204898106*(O665*P665/100)+1.0091022427*U665+1.0968542297*IF(D665="L",1,0)+0.3771555045*IF(D665="S",1,0)-0.2226159177*IF(E665="L",1,0)+1.21385024*R665-1.1652812274*S665+W665+X665+Z665,10.5965166711+0.2825983581*I665+0.2806503532*J665+0.2027213083*K665+0.1147824982*L665+0.0915305332*M665-0.0088454122*(I665*J665/100)-0.0336045706*(K665*L665/100)+2.8497389733*IF(D665="L",1,0)+4.5116226727*IF(D665="S",1,0)-0.6571546448*IF(E665="L",1,0)+0.0850728147*T665+0.0129488446*(T665*T665)+0.1909373936*IF(OR(F665="Utility",G665="Utility"),T665,0)+0.9656824071*R665-1.7517683256*S665+W665+X665+Y665)</f>
        <v/>
      </c>
      <c r="AB665">
        <f>LOOKUP(AA665,Grade_Scale!$A$2:$A$18,Grade_Scale!$B$2:$B$18)</f>
        <v/>
      </c>
      <c r="AC665">
        <f>LOOKUP(AA665,Grade_Scale!$A$2:$A$18,Grade_Scale!$C$2:$C$18)</f>
        <v/>
      </c>
      <c r="AE665">
        <f>IF(AD665="","",AB665-VLOOKUP(AD665,Grade_Scale!$C$2:$E$18,3,FALSE))</f>
        <v/>
      </c>
    </row>
    <row r="666">
      <c r="Q666">
        <f>IF(OR(B666="SP",B666="RP",B666="CP",B666="SP/RP"),"P","H")</f>
        <v/>
      </c>
      <c r="R666">
        <f>IF(F666="",0,IFNA(VLOOKUP(F666,Trait_Polarity!$A:$C,2,FALSE),0))+IF(G666="",0,IFNA(VLOOKUP(G666,Trait_Polarity!$A:$C,2,FALSE),0))</f>
        <v/>
      </c>
      <c r="S666">
        <f>IF(F666="",0,IFNA(VLOOKUP(F666,Trait_Polarity!$A:$C,3,FALSE),0))+IF(G666="",0,IFNA(VLOOKUP(G666,Trait_Polarity!$A:$C,3,FALSE),0))</f>
        <v/>
      </c>
      <c r="T666">
        <f>IF(Q666="P",0,IFNA(VLOOKUP(IF(C666="","(none)",C666),Secondary_Versatility!$A:$B,2,FALSE),0))</f>
        <v/>
      </c>
      <c r="U666">
        <f>IF(H666="",0,LEN(H666)-LEN(SUBSTITUTE(H666,"|",""))+1)</f>
        <v/>
      </c>
      <c r="V666">
        <f>IF(Q666="P",(N666+O666+P666)/3,0.3*I666+0.3*J666+0.2*K666+0.1*L666+0.1*M666)</f>
        <v/>
      </c>
      <c r="W666">
        <f>IF(Q666="P",IF(F666="",0,IFNA(VLOOKUP(F666,Pitcher_Trait_Coef!$A:$B,2,FALSE),0))+IF(G666="",0,IFNA(VLOOKUP(G666,Pitcher_Trait_Coef!$A:$B,2,FALSE),0)),IF(F666="",0,IFNA(VLOOKUP(F666,Hitter_Trait_Coef!$A:$B,2,FALSE),0))+IF(G666="",0,IFNA(VLOOKUP(G666,Hitter_Trait_Coef!$A:$B,2,FALSE),0)))</f>
        <v/>
      </c>
      <c r="X666">
        <f>IF(Q666="P",IFNA(VLOOKUP(B666,Pitcher_Primary_Coef!$A:$B,2,FALSE),0),IFNA(VLOOKUP(B666,Hitter_Primary_Coef!$A:$B,2,FALSE),0))</f>
        <v/>
      </c>
      <c r="Y666">
        <f>IF(Q666="P",0,IFNA(VLOOKUP(IF(C666="","(none)",C666),Hitter_Secondary_Coef!$A:$B,2,FALSE),0))</f>
        <v/>
      </c>
      <c r="Z666">
        <f>IF(Q666="P",IF(ISNUMBER(SEARCH("2F",H666)),IFNA(VLOOKUP("2F",Pitch_Coef!$A:$B,2,FALSE),0),0)+IF(ISNUMBER(SEARCH("4F",H666)),IFNA(VLOOKUP("4F",Pitch_Coef!$A:$B,2,FALSE),0),0)+IF(ISNUMBER(SEARCH("CB",H666)),IFNA(VLOOKUP("CB",Pitch_Coef!$A:$B,2,FALSE),0),0)+IF(ISNUMBER(SEARCH("CF",H666)),IFNA(VLOOKUP("CF",Pitch_Coef!$A:$B,2,FALSE),0),0)+IF(ISNUMBER(SEARCH("CH",H666)),IFNA(VLOOKUP("CH",Pitch_Coef!$A:$B,2,FALSE),0),0)+IF(ISNUMBER(SEARCH("FK",H666)),IFNA(VLOOKUP("FK",Pitch_Coef!$A:$B,2,FALSE),0),0)+IF(ISNUMBER(SEARCH("SB",H666)),IFNA(VLOOKUP("SB",Pitch_Coef!$A:$B,2,FALSE),0),0)+IF(ISNUMBER(SEARCH("SL",H666)),IFNA(VLOOKUP("SL",Pitch_Coef!$A:$B,2,FALSE),0),0),0)</f>
        <v/>
      </c>
      <c r="AA666">
        <f>IF(Q666="P",16.5944849573+0.2529999141*N666+0.2665900378*O666+0.2632687105*P666+0.0427586837*I666+0.0534777057*J666+0.009015832*K666+0.0204898106*(O666*P666/100)+1.0091022427*U666+1.0968542297*IF(D666="L",1,0)+0.3771555045*IF(D666="S",1,0)-0.2226159177*IF(E666="L",1,0)+1.21385024*R666-1.1652812274*S666+W666+X666+Z666,10.5965166711+0.2825983581*I666+0.2806503532*J666+0.2027213083*K666+0.1147824982*L666+0.0915305332*M666-0.0088454122*(I666*J666/100)-0.0336045706*(K666*L666/100)+2.8497389733*IF(D666="L",1,0)+4.5116226727*IF(D666="S",1,0)-0.6571546448*IF(E666="L",1,0)+0.0850728147*T666+0.0129488446*(T666*T666)+0.1909373936*IF(OR(F666="Utility",G666="Utility"),T666,0)+0.9656824071*R666-1.7517683256*S666+W666+X666+Y666)</f>
        <v/>
      </c>
      <c r="AB666">
        <f>LOOKUP(AA666,Grade_Scale!$A$2:$A$18,Grade_Scale!$B$2:$B$18)</f>
        <v/>
      </c>
      <c r="AC666">
        <f>LOOKUP(AA666,Grade_Scale!$A$2:$A$18,Grade_Scale!$C$2:$C$18)</f>
        <v/>
      </c>
      <c r="AE666">
        <f>IF(AD666="","",AB666-VLOOKUP(AD666,Grade_Scale!$C$2:$E$18,3,FALSE))</f>
        <v/>
      </c>
    </row>
    <row r="667">
      <c r="Q667">
        <f>IF(OR(B667="SP",B667="RP",B667="CP",B667="SP/RP"),"P","H")</f>
        <v/>
      </c>
      <c r="R667">
        <f>IF(F667="",0,IFNA(VLOOKUP(F667,Trait_Polarity!$A:$C,2,FALSE),0))+IF(G667="",0,IFNA(VLOOKUP(G667,Trait_Polarity!$A:$C,2,FALSE),0))</f>
        <v/>
      </c>
      <c r="S667">
        <f>IF(F667="",0,IFNA(VLOOKUP(F667,Trait_Polarity!$A:$C,3,FALSE),0))+IF(G667="",0,IFNA(VLOOKUP(G667,Trait_Polarity!$A:$C,3,FALSE),0))</f>
        <v/>
      </c>
      <c r="T667">
        <f>IF(Q667="P",0,IFNA(VLOOKUP(IF(C667="","(none)",C667),Secondary_Versatility!$A:$B,2,FALSE),0))</f>
        <v/>
      </c>
      <c r="U667">
        <f>IF(H667="",0,LEN(H667)-LEN(SUBSTITUTE(H667,"|",""))+1)</f>
        <v/>
      </c>
      <c r="V667">
        <f>IF(Q667="P",(N667+O667+P667)/3,0.3*I667+0.3*J667+0.2*K667+0.1*L667+0.1*M667)</f>
        <v/>
      </c>
      <c r="W667">
        <f>IF(Q667="P",IF(F667="",0,IFNA(VLOOKUP(F667,Pitcher_Trait_Coef!$A:$B,2,FALSE),0))+IF(G667="",0,IFNA(VLOOKUP(G667,Pitcher_Trait_Coef!$A:$B,2,FALSE),0)),IF(F667="",0,IFNA(VLOOKUP(F667,Hitter_Trait_Coef!$A:$B,2,FALSE),0))+IF(G667="",0,IFNA(VLOOKUP(G667,Hitter_Trait_Coef!$A:$B,2,FALSE),0)))</f>
        <v/>
      </c>
      <c r="X667">
        <f>IF(Q667="P",IFNA(VLOOKUP(B667,Pitcher_Primary_Coef!$A:$B,2,FALSE),0),IFNA(VLOOKUP(B667,Hitter_Primary_Coef!$A:$B,2,FALSE),0))</f>
        <v/>
      </c>
      <c r="Y667">
        <f>IF(Q667="P",0,IFNA(VLOOKUP(IF(C667="","(none)",C667),Hitter_Secondary_Coef!$A:$B,2,FALSE),0))</f>
        <v/>
      </c>
      <c r="Z667">
        <f>IF(Q667="P",IF(ISNUMBER(SEARCH("2F",H667)),IFNA(VLOOKUP("2F",Pitch_Coef!$A:$B,2,FALSE),0),0)+IF(ISNUMBER(SEARCH("4F",H667)),IFNA(VLOOKUP("4F",Pitch_Coef!$A:$B,2,FALSE),0),0)+IF(ISNUMBER(SEARCH("CB",H667)),IFNA(VLOOKUP("CB",Pitch_Coef!$A:$B,2,FALSE),0),0)+IF(ISNUMBER(SEARCH("CF",H667)),IFNA(VLOOKUP("CF",Pitch_Coef!$A:$B,2,FALSE),0),0)+IF(ISNUMBER(SEARCH("CH",H667)),IFNA(VLOOKUP("CH",Pitch_Coef!$A:$B,2,FALSE),0),0)+IF(ISNUMBER(SEARCH("FK",H667)),IFNA(VLOOKUP("FK",Pitch_Coef!$A:$B,2,FALSE),0),0)+IF(ISNUMBER(SEARCH("SB",H667)),IFNA(VLOOKUP("SB",Pitch_Coef!$A:$B,2,FALSE),0),0)+IF(ISNUMBER(SEARCH("SL",H667)),IFNA(VLOOKUP("SL",Pitch_Coef!$A:$B,2,FALSE),0),0),0)</f>
        <v/>
      </c>
      <c r="AA667">
        <f>IF(Q667="P",16.5944849573+0.2529999141*N667+0.2665900378*O667+0.2632687105*P667+0.0427586837*I667+0.0534777057*J667+0.009015832*K667+0.0204898106*(O667*P667/100)+1.0091022427*U667+1.0968542297*IF(D667="L",1,0)+0.3771555045*IF(D667="S",1,0)-0.2226159177*IF(E667="L",1,0)+1.21385024*R667-1.1652812274*S667+W667+X667+Z667,10.5965166711+0.2825983581*I667+0.2806503532*J667+0.2027213083*K667+0.1147824982*L667+0.0915305332*M667-0.0088454122*(I667*J667/100)-0.0336045706*(K667*L667/100)+2.8497389733*IF(D667="L",1,0)+4.5116226727*IF(D667="S",1,0)-0.6571546448*IF(E667="L",1,0)+0.0850728147*T667+0.0129488446*(T667*T667)+0.1909373936*IF(OR(F667="Utility",G667="Utility"),T667,0)+0.9656824071*R667-1.7517683256*S667+W667+X667+Y667)</f>
        <v/>
      </c>
      <c r="AB667">
        <f>LOOKUP(AA667,Grade_Scale!$A$2:$A$18,Grade_Scale!$B$2:$B$18)</f>
        <v/>
      </c>
      <c r="AC667">
        <f>LOOKUP(AA667,Grade_Scale!$A$2:$A$18,Grade_Scale!$C$2:$C$18)</f>
        <v/>
      </c>
      <c r="AE667">
        <f>IF(AD667="","",AB667-VLOOKUP(AD667,Grade_Scale!$C$2:$E$18,3,FALSE))</f>
        <v/>
      </c>
    </row>
    <row r="668">
      <c r="Q668">
        <f>IF(OR(B668="SP",B668="RP",B668="CP",B668="SP/RP"),"P","H")</f>
        <v/>
      </c>
      <c r="R668">
        <f>IF(F668="",0,IFNA(VLOOKUP(F668,Trait_Polarity!$A:$C,2,FALSE),0))+IF(G668="",0,IFNA(VLOOKUP(G668,Trait_Polarity!$A:$C,2,FALSE),0))</f>
        <v/>
      </c>
      <c r="S668">
        <f>IF(F668="",0,IFNA(VLOOKUP(F668,Trait_Polarity!$A:$C,3,FALSE),0))+IF(G668="",0,IFNA(VLOOKUP(G668,Trait_Polarity!$A:$C,3,FALSE),0))</f>
        <v/>
      </c>
      <c r="T668">
        <f>IF(Q668="P",0,IFNA(VLOOKUP(IF(C668="","(none)",C668),Secondary_Versatility!$A:$B,2,FALSE),0))</f>
        <v/>
      </c>
      <c r="U668">
        <f>IF(H668="",0,LEN(H668)-LEN(SUBSTITUTE(H668,"|",""))+1)</f>
        <v/>
      </c>
      <c r="V668">
        <f>IF(Q668="P",(N668+O668+P668)/3,0.3*I668+0.3*J668+0.2*K668+0.1*L668+0.1*M668)</f>
        <v/>
      </c>
      <c r="W668">
        <f>IF(Q668="P",IF(F668="",0,IFNA(VLOOKUP(F668,Pitcher_Trait_Coef!$A:$B,2,FALSE),0))+IF(G668="",0,IFNA(VLOOKUP(G668,Pitcher_Trait_Coef!$A:$B,2,FALSE),0)),IF(F668="",0,IFNA(VLOOKUP(F668,Hitter_Trait_Coef!$A:$B,2,FALSE),0))+IF(G668="",0,IFNA(VLOOKUP(G668,Hitter_Trait_Coef!$A:$B,2,FALSE),0)))</f>
        <v/>
      </c>
      <c r="X668">
        <f>IF(Q668="P",IFNA(VLOOKUP(B668,Pitcher_Primary_Coef!$A:$B,2,FALSE),0),IFNA(VLOOKUP(B668,Hitter_Primary_Coef!$A:$B,2,FALSE),0))</f>
        <v/>
      </c>
      <c r="Y668">
        <f>IF(Q668="P",0,IFNA(VLOOKUP(IF(C668="","(none)",C668),Hitter_Secondary_Coef!$A:$B,2,FALSE),0))</f>
        <v/>
      </c>
      <c r="Z668">
        <f>IF(Q668="P",IF(ISNUMBER(SEARCH("2F",H668)),IFNA(VLOOKUP("2F",Pitch_Coef!$A:$B,2,FALSE),0),0)+IF(ISNUMBER(SEARCH("4F",H668)),IFNA(VLOOKUP("4F",Pitch_Coef!$A:$B,2,FALSE),0),0)+IF(ISNUMBER(SEARCH("CB",H668)),IFNA(VLOOKUP("CB",Pitch_Coef!$A:$B,2,FALSE),0),0)+IF(ISNUMBER(SEARCH("CF",H668)),IFNA(VLOOKUP("CF",Pitch_Coef!$A:$B,2,FALSE),0),0)+IF(ISNUMBER(SEARCH("CH",H668)),IFNA(VLOOKUP("CH",Pitch_Coef!$A:$B,2,FALSE),0),0)+IF(ISNUMBER(SEARCH("FK",H668)),IFNA(VLOOKUP("FK",Pitch_Coef!$A:$B,2,FALSE),0),0)+IF(ISNUMBER(SEARCH("SB",H668)),IFNA(VLOOKUP("SB",Pitch_Coef!$A:$B,2,FALSE),0),0)+IF(ISNUMBER(SEARCH("SL",H668)),IFNA(VLOOKUP("SL",Pitch_Coef!$A:$B,2,FALSE),0),0),0)</f>
        <v/>
      </c>
      <c r="AA668">
        <f>IF(Q668="P",16.5944849573+0.2529999141*N668+0.2665900378*O668+0.2632687105*P668+0.0427586837*I668+0.0534777057*J668+0.009015832*K668+0.0204898106*(O668*P668/100)+1.0091022427*U668+1.0968542297*IF(D668="L",1,0)+0.3771555045*IF(D668="S",1,0)-0.2226159177*IF(E668="L",1,0)+1.21385024*R668-1.1652812274*S668+W668+X668+Z668,10.5965166711+0.2825983581*I668+0.2806503532*J668+0.2027213083*K668+0.1147824982*L668+0.0915305332*M668-0.0088454122*(I668*J668/100)-0.0336045706*(K668*L668/100)+2.8497389733*IF(D668="L",1,0)+4.5116226727*IF(D668="S",1,0)-0.6571546448*IF(E668="L",1,0)+0.0850728147*T668+0.0129488446*(T668*T668)+0.1909373936*IF(OR(F668="Utility",G668="Utility"),T668,0)+0.9656824071*R668-1.7517683256*S668+W668+X668+Y668)</f>
        <v/>
      </c>
      <c r="AB668">
        <f>LOOKUP(AA668,Grade_Scale!$A$2:$A$18,Grade_Scale!$B$2:$B$18)</f>
        <v/>
      </c>
      <c r="AC668">
        <f>LOOKUP(AA668,Grade_Scale!$A$2:$A$18,Grade_Scale!$C$2:$C$18)</f>
        <v/>
      </c>
      <c r="AE668">
        <f>IF(AD668="","",AB668-VLOOKUP(AD668,Grade_Scale!$C$2:$E$18,3,FALSE))</f>
        <v/>
      </c>
    </row>
    <row r="669">
      <c r="Q669">
        <f>IF(OR(B669="SP",B669="RP",B669="CP",B669="SP/RP"),"P","H")</f>
        <v/>
      </c>
      <c r="R669">
        <f>IF(F669="",0,IFNA(VLOOKUP(F669,Trait_Polarity!$A:$C,2,FALSE),0))+IF(G669="",0,IFNA(VLOOKUP(G669,Trait_Polarity!$A:$C,2,FALSE),0))</f>
        <v/>
      </c>
      <c r="S669">
        <f>IF(F669="",0,IFNA(VLOOKUP(F669,Trait_Polarity!$A:$C,3,FALSE),0))+IF(G669="",0,IFNA(VLOOKUP(G669,Trait_Polarity!$A:$C,3,FALSE),0))</f>
        <v/>
      </c>
      <c r="T669">
        <f>IF(Q669="P",0,IFNA(VLOOKUP(IF(C669="","(none)",C669),Secondary_Versatility!$A:$B,2,FALSE),0))</f>
        <v/>
      </c>
      <c r="U669">
        <f>IF(H669="",0,LEN(H669)-LEN(SUBSTITUTE(H669,"|",""))+1)</f>
        <v/>
      </c>
      <c r="V669">
        <f>IF(Q669="P",(N669+O669+P669)/3,0.3*I669+0.3*J669+0.2*K669+0.1*L669+0.1*M669)</f>
        <v/>
      </c>
      <c r="W669">
        <f>IF(Q669="P",IF(F669="",0,IFNA(VLOOKUP(F669,Pitcher_Trait_Coef!$A:$B,2,FALSE),0))+IF(G669="",0,IFNA(VLOOKUP(G669,Pitcher_Trait_Coef!$A:$B,2,FALSE),0)),IF(F669="",0,IFNA(VLOOKUP(F669,Hitter_Trait_Coef!$A:$B,2,FALSE),0))+IF(G669="",0,IFNA(VLOOKUP(G669,Hitter_Trait_Coef!$A:$B,2,FALSE),0)))</f>
        <v/>
      </c>
      <c r="X669">
        <f>IF(Q669="P",IFNA(VLOOKUP(B669,Pitcher_Primary_Coef!$A:$B,2,FALSE),0),IFNA(VLOOKUP(B669,Hitter_Primary_Coef!$A:$B,2,FALSE),0))</f>
        <v/>
      </c>
      <c r="Y669">
        <f>IF(Q669="P",0,IFNA(VLOOKUP(IF(C669="","(none)",C669),Hitter_Secondary_Coef!$A:$B,2,FALSE),0))</f>
        <v/>
      </c>
      <c r="Z669">
        <f>IF(Q669="P",IF(ISNUMBER(SEARCH("2F",H669)),IFNA(VLOOKUP("2F",Pitch_Coef!$A:$B,2,FALSE),0),0)+IF(ISNUMBER(SEARCH("4F",H669)),IFNA(VLOOKUP("4F",Pitch_Coef!$A:$B,2,FALSE),0),0)+IF(ISNUMBER(SEARCH("CB",H669)),IFNA(VLOOKUP("CB",Pitch_Coef!$A:$B,2,FALSE),0),0)+IF(ISNUMBER(SEARCH("CF",H669)),IFNA(VLOOKUP("CF",Pitch_Coef!$A:$B,2,FALSE),0),0)+IF(ISNUMBER(SEARCH("CH",H669)),IFNA(VLOOKUP("CH",Pitch_Coef!$A:$B,2,FALSE),0),0)+IF(ISNUMBER(SEARCH("FK",H669)),IFNA(VLOOKUP("FK",Pitch_Coef!$A:$B,2,FALSE),0),0)+IF(ISNUMBER(SEARCH("SB",H669)),IFNA(VLOOKUP("SB",Pitch_Coef!$A:$B,2,FALSE),0),0)+IF(ISNUMBER(SEARCH("SL",H669)),IFNA(VLOOKUP("SL",Pitch_Coef!$A:$B,2,FALSE),0),0),0)</f>
        <v/>
      </c>
      <c r="AA669">
        <f>IF(Q669="P",16.5944849573+0.2529999141*N669+0.2665900378*O669+0.2632687105*P669+0.0427586837*I669+0.0534777057*J669+0.009015832*K669+0.0204898106*(O669*P669/100)+1.0091022427*U669+1.0968542297*IF(D669="L",1,0)+0.3771555045*IF(D669="S",1,0)-0.2226159177*IF(E669="L",1,0)+1.21385024*R669-1.1652812274*S669+W669+X669+Z669,10.5965166711+0.2825983581*I669+0.2806503532*J669+0.2027213083*K669+0.1147824982*L669+0.0915305332*M669-0.0088454122*(I669*J669/100)-0.0336045706*(K669*L669/100)+2.8497389733*IF(D669="L",1,0)+4.5116226727*IF(D669="S",1,0)-0.6571546448*IF(E669="L",1,0)+0.0850728147*T669+0.0129488446*(T669*T669)+0.1909373936*IF(OR(F669="Utility",G669="Utility"),T669,0)+0.9656824071*R669-1.7517683256*S669+W669+X669+Y669)</f>
        <v/>
      </c>
      <c r="AB669">
        <f>LOOKUP(AA669,Grade_Scale!$A$2:$A$18,Grade_Scale!$B$2:$B$18)</f>
        <v/>
      </c>
      <c r="AC669">
        <f>LOOKUP(AA669,Grade_Scale!$A$2:$A$18,Grade_Scale!$C$2:$C$18)</f>
        <v/>
      </c>
      <c r="AE669">
        <f>IF(AD669="","",AB669-VLOOKUP(AD669,Grade_Scale!$C$2:$E$18,3,FALSE))</f>
        <v/>
      </c>
    </row>
    <row r="670">
      <c r="Q670">
        <f>IF(OR(B670="SP",B670="RP",B670="CP",B670="SP/RP"),"P","H")</f>
        <v/>
      </c>
      <c r="R670">
        <f>IF(F670="",0,IFNA(VLOOKUP(F670,Trait_Polarity!$A:$C,2,FALSE),0))+IF(G670="",0,IFNA(VLOOKUP(G670,Trait_Polarity!$A:$C,2,FALSE),0))</f>
        <v/>
      </c>
      <c r="S670">
        <f>IF(F670="",0,IFNA(VLOOKUP(F670,Trait_Polarity!$A:$C,3,FALSE),0))+IF(G670="",0,IFNA(VLOOKUP(G670,Trait_Polarity!$A:$C,3,FALSE),0))</f>
        <v/>
      </c>
      <c r="T670">
        <f>IF(Q670="P",0,IFNA(VLOOKUP(IF(C670="","(none)",C670),Secondary_Versatility!$A:$B,2,FALSE),0))</f>
        <v/>
      </c>
      <c r="U670">
        <f>IF(H670="",0,LEN(H670)-LEN(SUBSTITUTE(H670,"|",""))+1)</f>
        <v/>
      </c>
      <c r="V670">
        <f>IF(Q670="P",(N670+O670+P670)/3,0.3*I670+0.3*J670+0.2*K670+0.1*L670+0.1*M670)</f>
        <v/>
      </c>
      <c r="W670">
        <f>IF(Q670="P",IF(F670="",0,IFNA(VLOOKUP(F670,Pitcher_Trait_Coef!$A:$B,2,FALSE),0))+IF(G670="",0,IFNA(VLOOKUP(G670,Pitcher_Trait_Coef!$A:$B,2,FALSE),0)),IF(F670="",0,IFNA(VLOOKUP(F670,Hitter_Trait_Coef!$A:$B,2,FALSE),0))+IF(G670="",0,IFNA(VLOOKUP(G670,Hitter_Trait_Coef!$A:$B,2,FALSE),0)))</f>
        <v/>
      </c>
      <c r="X670">
        <f>IF(Q670="P",IFNA(VLOOKUP(B670,Pitcher_Primary_Coef!$A:$B,2,FALSE),0),IFNA(VLOOKUP(B670,Hitter_Primary_Coef!$A:$B,2,FALSE),0))</f>
        <v/>
      </c>
      <c r="Y670">
        <f>IF(Q670="P",0,IFNA(VLOOKUP(IF(C670="","(none)",C670),Hitter_Secondary_Coef!$A:$B,2,FALSE),0))</f>
        <v/>
      </c>
      <c r="Z670">
        <f>IF(Q670="P",IF(ISNUMBER(SEARCH("2F",H670)),IFNA(VLOOKUP("2F",Pitch_Coef!$A:$B,2,FALSE),0),0)+IF(ISNUMBER(SEARCH("4F",H670)),IFNA(VLOOKUP("4F",Pitch_Coef!$A:$B,2,FALSE),0),0)+IF(ISNUMBER(SEARCH("CB",H670)),IFNA(VLOOKUP("CB",Pitch_Coef!$A:$B,2,FALSE),0),0)+IF(ISNUMBER(SEARCH("CF",H670)),IFNA(VLOOKUP("CF",Pitch_Coef!$A:$B,2,FALSE),0),0)+IF(ISNUMBER(SEARCH("CH",H670)),IFNA(VLOOKUP("CH",Pitch_Coef!$A:$B,2,FALSE),0),0)+IF(ISNUMBER(SEARCH("FK",H670)),IFNA(VLOOKUP("FK",Pitch_Coef!$A:$B,2,FALSE),0),0)+IF(ISNUMBER(SEARCH("SB",H670)),IFNA(VLOOKUP("SB",Pitch_Coef!$A:$B,2,FALSE),0),0)+IF(ISNUMBER(SEARCH("SL",H670)),IFNA(VLOOKUP("SL",Pitch_Coef!$A:$B,2,FALSE),0),0),0)</f>
        <v/>
      </c>
      <c r="AA670">
        <f>IF(Q670="P",16.5944849573+0.2529999141*N670+0.2665900378*O670+0.2632687105*P670+0.0427586837*I670+0.0534777057*J670+0.009015832*K670+0.0204898106*(O670*P670/100)+1.0091022427*U670+1.0968542297*IF(D670="L",1,0)+0.3771555045*IF(D670="S",1,0)-0.2226159177*IF(E670="L",1,0)+1.21385024*R670-1.1652812274*S670+W670+X670+Z670,10.5965166711+0.2825983581*I670+0.2806503532*J670+0.2027213083*K670+0.1147824982*L670+0.0915305332*M670-0.0088454122*(I670*J670/100)-0.0336045706*(K670*L670/100)+2.8497389733*IF(D670="L",1,0)+4.5116226727*IF(D670="S",1,0)-0.6571546448*IF(E670="L",1,0)+0.0850728147*T670+0.0129488446*(T670*T670)+0.1909373936*IF(OR(F670="Utility",G670="Utility"),T670,0)+0.9656824071*R670-1.7517683256*S670+W670+X670+Y670)</f>
        <v/>
      </c>
      <c r="AB670">
        <f>LOOKUP(AA670,Grade_Scale!$A$2:$A$18,Grade_Scale!$B$2:$B$18)</f>
        <v/>
      </c>
      <c r="AC670">
        <f>LOOKUP(AA670,Grade_Scale!$A$2:$A$18,Grade_Scale!$C$2:$C$18)</f>
        <v/>
      </c>
      <c r="AE670">
        <f>IF(AD670="","",AB670-VLOOKUP(AD670,Grade_Scale!$C$2:$E$18,3,FALSE))</f>
        <v/>
      </c>
    </row>
    <row r="671">
      <c r="Q671">
        <f>IF(OR(B671="SP",B671="RP",B671="CP",B671="SP/RP"),"P","H")</f>
        <v/>
      </c>
      <c r="R671">
        <f>IF(F671="",0,IFNA(VLOOKUP(F671,Trait_Polarity!$A:$C,2,FALSE),0))+IF(G671="",0,IFNA(VLOOKUP(G671,Trait_Polarity!$A:$C,2,FALSE),0))</f>
        <v/>
      </c>
      <c r="S671">
        <f>IF(F671="",0,IFNA(VLOOKUP(F671,Trait_Polarity!$A:$C,3,FALSE),0))+IF(G671="",0,IFNA(VLOOKUP(G671,Trait_Polarity!$A:$C,3,FALSE),0))</f>
        <v/>
      </c>
      <c r="T671">
        <f>IF(Q671="P",0,IFNA(VLOOKUP(IF(C671="","(none)",C671),Secondary_Versatility!$A:$B,2,FALSE),0))</f>
        <v/>
      </c>
      <c r="U671">
        <f>IF(H671="",0,LEN(H671)-LEN(SUBSTITUTE(H671,"|",""))+1)</f>
        <v/>
      </c>
      <c r="V671">
        <f>IF(Q671="P",(N671+O671+P671)/3,0.3*I671+0.3*J671+0.2*K671+0.1*L671+0.1*M671)</f>
        <v/>
      </c>
      <c r="W671">
        <f>IF(Q671="P",IF(F671="",0,IFNA(VLOOKUP(F671,Pitcher_Trait_Coef!$A:$B,2,FALSE),0))+IF(G671="",0,IFNA(VLOOKUP(G671,Pitcher_Trait_Coef!$A:$B,2,FALSE),0)),IF(F671="",0,IFNA(VLOOKUP(F671,Hitter_Trait_Coef!$A:$B,2,FALSE),0))+IF(G671="",0,IFNA(VLOOKUP(G671,Hitter_Trait_Coef!$A:$B,2,FALSE),0)))</f>
        <v/>
      </c>
      <c r="X671">
        <f>IF(Q671="P",IFNA(VLOOKUP(B671,Pitcher_Primary_Coef!$A:$B,2,FALSE),0),IFNA(VLOOKUP(B671,Hitter_Primary_Coef!$A:$B,2,FALSE),0))</f>
        <v/>
      </c>
      <c r="Y671">
        <f>IF(Q671="P",0,IFNA(VLOOKUP(IF(C671="","(none)",C671),Hitter_Secondary_Coef!$A:$B,2,FALSE),0))</f>
        <v/>
      </c>
      <c r="Z671">
        <f>IF(Q671="P",IF(ISNUMBER(SEARCH("2F",H671)),IFNA(VLOOKUP("2F",Pitch_Coef!$A:$B,2,FALSE),0),0)+IF(ISNUMBER(SEARCH("4F",H671)),IFNA(VLOOKUP("4F",Pitch_Coef!$A:$B,2,FALSE),0),0)+IF(ISNUMBER(SEARCH("CB",H671)),IFNA(VLOOKUP("CB",Pitch_Coef!$A:$B,2,FALSE),0),0)+IF(ISNUMBER(SEARCH("CF",H671)),IFNA(VLOOKUP("CF",Pitch_Coef!$A:$B,2,FALSE),0),0)+IF(ISNUMBER(SEARCH("CH",H671)),IFNA(VLOOKUP("CH",Pitch_Coef!$A:$B,2,FALSE),0),0)+IF(ISNUMBER(SEARCH("FK",H671)),IFNA(VLOOKUP("FK",Pitch_Coef!$A:$B,2,FALSE),0),0)+IF(ISNUMBER(SEARCH("SB",H671)),IFNA(VLOOKUP("SB",Pitch_Coef!$A:$B,2,FALSE),0),0)+IF(ISNUMBER(SEARCH("SL",H671)),IFNA(VLOOKUP("SL",Pitch_Coef!$A:$B,2,FALSE),0),0),0)</f>
        <v/>
      </c>
      <c r="AA671">
        <f>IF(Q671="P",16.5944849573+0.2529999141*N671+0.2665900378*O671+0.2632687105*P671+0.0427586837*I671+0.0534777057*J671+0.009015832*K671+0.0204898106*(O671*P671/100)+1.0091022427*U671+1.0968542297*IF(D671="L",1,0)+0.3771555045*IF(D671="S",1,0)-0.2226159177*IF(E671="L",1,0)+1.21385024*R671-1.1652812274*S671+W671+X671+Z671,10.5965166711+0.2825983581*I671+0.2806503532*J671+0.2027213083*K671+0.1147824982*L671+0.0915305332*M671-0.0088454122*(I671*J671/100)-0.0336045706*(K671*L671/100)+2.8497389733*IF(D671="L",1,0)+4.5116226727*IF(D671="S",1,0)-0.6571546448*IF(E671="L",1,0)+0.0850728147*T671+0.0129488446*(T671*T671)+0.1909373936*IF(OR(F671="Utility",G671="Utility"),T671,0)+0.9656824071*R671-1.7517683256*S671+W671+X671+Y671)</f>
        <v/>
      </c>
      <c r="AB671">
        <f>LOOKUP(AA671,Grade_Scale!$A$2:$A$18,Grade_Scale!$B$2:$B$18)</f>
        <v/>
      </c>
      <c r="AC671">
        <f>LOOKUP(AA671,Grade_Scale!$A$2:$A$18,Grade_Scale!$C$2:$C$18)</f>
        <v/>
      </c>
      <c r="AE671">
        <f>IF(AD671="","",AB671-VLOOKUP(AD671,Grade_Scale!$C$2:$E$18,3,FALSE))</f>
        <v/>
      </c>
    </row>
    <row r="672">
      <c r="Q672">
        <f>IF(OR(B672="SP",B672="RP",B672="CP",B672="SP/RP"),"P","H")</f>
        <v/>
      </c>
      <c r="R672">
        <f>IF(F672="",0,IFNA(VLOOKUP(F672,Trait_Polarity!$A:$C,2,FALSE),0))+IF(G672="",0,IFNA(VLOOKUP(G672,Trait_Polarity!$A:$C,2,FALSE),0))</f>
        <v/>
      </c>
      <c r="S672">
        <f>IF(F672="",0,IFNA(VLOOKUP(F672,Trait_Polarity!$A:$C,3,FALSE),0))+IF(G672="",0,IFNA(VLOOKUP(G672,Trait_Polarity!$A:$C,3,FALSE),0))</f>
        <v/>
      </c>
      <c r="T672">
        <f>IF(Q672="P",0,IFNA(VLOOKUP(IF(C672="","(none)",C672),Secondary_Versatility!$A:$B,2,FALSE),0))</f>
        <v/>
      </c>
      <c r="U672">
        <f>IF(H672="",0,LEN(H672)-LEN(SUBSTITUTE(H672,"|",""))+1)</f>
        <v/>
      </c>
      <c r="V672">
        <f>IF(Q672="P",(N672+O672+P672)/3,0.3*I672+0.3*J672+0.2*K672+0.1*L672+0.1*M672)</f>
        <v/>
      </c>
      <c r="W672">
        <f>IF(Q672="P",IF(F672="",0,IFNA(VLOOKUP(F672,Pitcher_Trait_Coef!$A:$B,2,FALSE),0))+IF(G672="",0,IFNA(VLOOKUP(G672,Pitcher_Trait_Coef!$A:$B,2,FALSE),0)),IF(F672="",0,IFNA(VLOOKUP(F672,Hitter_Trait_Coef!$A:$B,2,FALSE),0))+IF(G672="",0,IFNA(VLOOKUP(G672,Hitter_Trait_Coef!$A:$B,2,FALSE),0)))</f>
        <v/>
      </c>
      <c r="X672">
        <f>IF(Q672="P",IFNA(VLOOKUP(B672,Pitcher_Primary_Coef!$A:$B,2,FALSE),0),IFNA(VLOOKUP(B672,Hitter_Primary_Coef!$A:$B,2,FALSE),0))</f>
        <v/>
      </c>
      <c r="Y672">
        <f>IF(Q672="P",0,IFNA(VLOOKUP(IF(C672="","(none)",C672),Hitter_Secondary_Coef!$A:$B,2,FALSE),0))</f>
        <v/>
      </c>
      <c r="Z672">
        <f>IF(Q672="P",IF(ISNUMBER(SEARCH("2F",H672)),IFNA(VLOOKUP("2F",Pitch_Coef!$A:$B,2,FALSE),0),0)+IF(ISNUMBER(SEARCH("4F",H672)),IFNA(VLOOKUP("4F",Pitch_Coef!$A:$B,2,FALSE),0),0)+IF(ISNUMBER(SEARCH("CB",H672)),IFNA(VLOOKUP("CB",Pitch_Coef!$A:$B,2,FALSE),0),0)+IF(ISNUMBER(SEARCH("CF",H672)),IFNA(VLOOKUP("CF",Pitch_Coef!$A:$B,2,FALSE),0),0)+IF(ISNUMBER(SEARCH("CH",H672)),IFNA(VLOOKUP("CH",Pitch_Coef!$A:$B,2,FALSE),0),0)+IF(ISNUMBER(SEARCH("FK",H672)),IFNA(VLOOKUP("FK",Pitch_Coef!$A:$B,2,FALSE),0),0)+IF(ISNUMBER(SEARCH("SB",H672)),IFNA(VLOOKUP("SB",Pitch_Coef!$A:$B,2,FALSE),0),0)+IF(ISNUMBER(SEARCH("SL",H672)),IFNA(VLOOKUP("SL",Pitch_Coef!$A:$B,2,FALSE),0),0),0)</f>
        <v/>
      </c>
      <c r="AA672">
        <f>IF(Q672="P",16.5944849573+0.2529999141*N672+0.2665900378*O672+0.2632687105*P672+0.0427586837*I672+0.0534777057*J672+0.009015832*K672+0.0204898106*(O672*P672/100)+1.0091022427*U672+1.0968542297*IF(D672="L",1,0)+0.3771555045*IF(D672="S",1,0)-0.2226159177*IF(E672="L",1,0)+1.21385024*R672-1.1652812274*S672+W672+X672+Z672,10.5965166711+0.2825983581*I672+0.2806503532*J672+0.2027213083*K672+0.1147824982*L672+0.0915305332*M672-0.0088454122*(I672*J672/100)-0.0336045706*(K672*L672/100)+2.8497389733*IF(D672="L",1,0)+4.5116226727*IF(D672="S",1,0)-0.6571546448*IF(E672="L",1,0)+0.0850728147*T672+0.0129488446*(T672*T672)+0.1909373936*IF(OR(F672="Utility",G672="Utility"),T672,0)+0.9656824071*R672-1.7517683256*S672+W672+X672+Y672)</f>
        <v/>
      </c>
      <c r="AB672">
        <f>LOOKUP(AA672,Grade_Scale!$A$2:$A$18,Grade_Scale!$B$2:$B$18)</f>
        <v/>
      </c>
      <c r="AC672">
        <f>LOOKUP(AA672,Grade_Scale!$A$2:$A$18,Grade_Scale!$C$2:$C$18)</f>
        <v/>
      </c>
      <c r="AE672">
        <f>IF(AD672="","",AB672-VLOOKUP(AD672,Grade_Scale!$C$2:$E$18,3,FALSE))</f>
        <v/>
      </c>
    </row>
    <row r="673">
      <c r="Q673">
        <f>IF(OR(B673="SP",B673="RP",B673="CP",B673="SP/RP"),"P","H")</f>
        <v/>
      </c>
      <c r="R673">
        <f>IF(F673="",0,IFNA(VLOOKUP(F673,Trait_Polarity!$A:$C,2,FALSE),0))+IF(G673="",0,IFNA(VLOOKUP(G673,Trait_Polarity!$A:$C,2,FALSE),0))</f>
        <v/>
      </c>
      <c r="S673">
        <f>IF(F673="",0,IFNA(VLOOKUP(F673,Trait_Polarity!$A:$C,3,FALSE),0))+IF(G673="",0,IFNA(VLOOKUP(G673,Trait_Polarity!$A:$C,3,FALSE),0))</f>
        <v/>
      </c>
      <c r="T673">
        <f>IF(Q673="P",0,IFNA(VLOOKUP(IF(C673="","(none)",C673),Secondary_Versatility!$A:$B,2,FALSE),0))</f>
        <v/>
      </c>
      <c r="U673">
        <f>IF(H673="",0,LEN(H673)-LEN(SUBSTITUTE(H673,"|",""))+1)</f>
        <v/>
      </c>
      <c r="V673">
        <f>IF(Q673="P",(N673+O673+P673)/3,0.3*I673+0.3*J673+0.2*K673+0.1*L673+0.1*M673)</f>
        <v/>
      </c>
      <c r="W673">
        <f>IF(Q673="P",IF(F673="",0,IFNA(VLOOKUP(F673,Pitcher_Trait_Coef!$A:$B,2,FALSE),0))+IF(G673="",0,IFNA(VLOOKUP(G673,Pitcher_Trait_Coef!$A:$B,2,FALSE),0)),IF(F673="",0,IFNA(VLOOKUP(F673,Hitter_Trait_Coef!$A:$B,2,FALSE),0))+IF(G673="",0,IFNA(VLOOKUP(G673,Hitter_Trait_Coef!$A:$B,2,FALSE),0)))</f>
        <v/>
      </c>
      <c r="X673">
        <f>IF(Q673="P",IFNA(VLOOKUP(B673,Pitcher_Primary_Coef!$A:$B,2,FALSE),0),IFNA(VLOOKUP(B673,Hitter_Primary_Coef!$A:$B,2,FALSE),0))</f>
        <v/>
      </c>
      <c r="Y673">
        <f>IF(Q673="P",0,IFNA(VLOOKUP(IF(C673="","(none)",C673),Hitter_Secondary_Coef!$A:$B,2,FALSE),0))</f>
        <v/>
      </c>
      <c r="Z673">
        <f>IF(Q673="P",IF(ISNUMBER(SEARCH("2F",H673)),IFNA(VLOOKUP("2F",Pitch_Coef!$A:$B,2,FALSE),0),0)+IF(ISNUMBER(SEARCH("4F",H673)),IFNA(VLOOKUP("4F",Pitch_Coef!$A:$B,2,FALSE),0),0)+IF(ISNUMBER(SEARCH("CB",H673)),IFNA(VLOOKUP("CB",Pitch_Coef!$A:$B,2,FALSE),0),0)+IF(ISNUMBER(SEARCH("CF",H673)),IFNA(VLOOKUP("CF",Pitch_Coef!$A:$B,2,FALSE),0),0)+IF(ISNUMBER(SEARCH("CH",H673)),IFNA(VLOOKUP("CH",Pitch_Coef!$A:$B,2,FALSE),0),0)+IF(ISNUMBER(SEARCH("FK",H673)),IFNA(VLOOKUP("FK",Pitch_Coef!$A:$B,2,FALSE),0),0)+IF(ISNUMBER(SEARCH("SB",H673)),IFNA(VLOOKUP("SB",Pitch_Coef!$A:$B,2,FALSE),0),0)+IF(ISNUMBER(SEARCH("SL",H673)),IFNA(VLOOKUP("SL",Pitch_Coef!$A:$B,2,FALSE),0),0),0)</f>
        <v/>
      </c>
      <c r="AA673">
        <f>IF(Q673="P",16.5944849573+0.2529999141*N673+0.2665900378*O673+0.2632687105*P673+0.0427586837*I673+0.0534777057*J673+0.009015832*K673+0.0204898106*(O673*P673/100)+1.0091022427*U673+1.0968542297*IF(D673="L",1,0)+0.3771555045*IF(D673="S",1,0)-0.2226159177*IF(E673="L",1,0)+1.21385024*R673-1.1652812274*S673+W673+X673+Z673,10.5965166711+0.2825983581*I673+0.2806503532*J673+0.2027213083*K673+0.1147824982*L673+0.0915305332*M673-0.0088454122*(I673*J673/100)-0.0336045706*(K673*L673/100)+2.8497389733*IF(D673="L",1,0)+4.5116226727*IF(D673="S",1,0)-0.6571546448*IF(E673="L",1,0)+0.0850728147*T673+0.0129488446*(T673*T673)+0.1909373936*IF(OR(F673="Utility",G673="Utility"),T673,0)+0.9656824071*R673-1.7517683256*S673+W673+X673+Y673)</f>
        <v/>
      </c>
      <c r="AB673">
        <f>LOOKUP(AA673,Grade_Scale!$A$2:$A$18,Grade_Scale!$B$2:$B$18)</f>
        <v/>
      </c>
      <c r="AC673">
        <f>LOOKUP(AA673,Grade_Scale!$A$2:$A$18,Grade_Scale!$C$2:$C$18)</f>
        <v/>
      </c>
      <c r="AE673">
        <f>IF(AD673="","",AB673-VLOOKUP(AD673,Grade_Scale!$C$2:$E$18,3,FALSE))</f>
        <v/>
      </c>
    </row>
    <row r="674">
      <c r="Q674">
        <f>IF(OR(B674="SP",B674="RP",B674="CP",B674="SP/RP"),"P","H")</f>
        <v/>
      </c>
      <c r="R674">
        <f>IF(F674="",0,IFNA(VLOOKUP(F674,Trait_Polarity!$A:$C,2,FALSE),0))+IF(G674="",0,IFNA(VLOOKUP(G674,Trait_Polarity!$A:$C,2,FALSE),0))</f>
        <v/>
      </c>
      <c r="S674">
        <f>IF(F674="",0,IFNA(VLOOKUP(F674,Trait_Polarity!$A:$C,3,FALSE),0))+IF(G674="",0,IFNA(VLOOKUP(G674,Trait_Polarity!$A:$C,3,FALSE),0))</f>
        <v/>
      </c>
      <c r="T674">
        <f>IF(Q674="P",0,IFNA(VLOOKUP(IF(C674="","(none)",C674),Secondary_Versatility!$A:$B,2,FALSE),0))</f>
        <v/>
      </c>
      <c r="U674">
        <f>IF(H674="",0,LEN(H674)-LEN(SUBSTITUTE(H674,"|",""))+1)</f>
        <v/>
      </c>
      <c r="V674">
        <f>IF(Q674="P",(N674+O674+P674)/3,0.3*I674+0.3*J674+0.2*K674+0.1*L674+0.1*M674)</f>
        <v/>
      </c>
      <c r="W674">
        <f>IF(Q674="P",IF(F674="",0,IFNA(VLOOKUP(F674,Pitcher_Trait_Coef!$A:$B,2,FALSE),0))+IF(G674="",0,IFNA(VLOOKUP(G674,Pitcher_Trait_Coef!$A:$B,2,FALSE),0)),IF(F674="",0,IFNA(VLOOKUP(F674,Hitter_Trait_Coef!$A:$B,2,FALSE),0))+IF(G674="",0,IFNA(VLOOKUP(G674,Hitter_Trait_Coef!$A:$B,2,FALSE),0)))</f>
        <v/>
      </c>
      <c r="X674">
        <f>IF(Q674="P",IFNA(VLOOKUP(B674,Pitcher_Primary_Coef!$A:$B,2,FALSE),0),IFNA(VLOOKUP(B674,Hitter_Primary_Coef!$A:$B,2,FALSE),0))</f>
        <v/>
      </c>
      <c r="Y674">
        <f>IF(Q674="P",0,IFNA(VLOOKUP(IF(C674="","(none)",C674),Hitter_Secondary_Coef!$A:$B,2,FALSE),0))</f>
        <v/>
      </c>
      <c r="Z674">
        <f>IF(Q674="P",IF(ISNUMBER(SEARCH("2F",H674)),IFNA(VLOOKUP("2F",Pitch_Coef!$A:$B,2,FALSE),0),0)+IF(ISNUMBER(SEARCH("4F",H674)),IFNA(VLOOKUP("4F",Pitch_Coef!$A:$B,2,FALSE),0),0)+IF(ISNUMBER(SEARCH("CB",H674)),IFNA(VLOOKUP("CB",Pitch_Coef!$A:$B,2,FALSE),0),0)+IF(ISNUMBER(SEARCH("CF",H674)),IFNA(VLOOKUP("CF",Pitch_Coef!$A:$B,2,FALSE),0),0)+IF(ISNUMBER(SEARCH("CH",H674)),IFNA(VLOOKUP("CH",Pitch_Coef!$A:$B,2,FALSE),0),0)+IF(ISNUMBER(SEARCH("FK",H674)),IFNA(VLOOKUP("FK",Pitch_Coef!$A:$B,2,FALSE),0),0)+IF(ISNUMBER(SEARCH("SB",H674)),IFNA(VLOOKUP("SB",Pitch_Coef!$A:$B,2,FALSE),0),0)+IF(ISNUMBER(SEARCH("SL",H674)),IFNA(VLOOKUP("SL",Pitch_Coef!$A:$B,2,FALSE),0),0),0)</f>
        <v/>
      </c>
      <c r="AA674">
        <f>IF(Q674="P",16.5944849573+0.2529999141*N674+0.2665900378*O674+0.2632687105*P674+0.0427586837*I674+0.0534777057*J674+0.009015832*K674+0.0204898106*(O674*P674/100)+1.0091022427*U674+1.0968542297*IF(D674="L",1,0)+0.3771555045*IF(D674="S",1,0)-0.2226159177*IF(E674="L",1,0)+1.21385024*R674-1.1652812274*S674+W674+X674+Z674,10.5965166711+0.2825983581*I674+0.2806503532*J674+0.2027213083*K674+0.1147824982*L674+0.0915305332*M674-0.0088454122*(I674*J674/100)-0.0336045706*(K674*L674/100)+2.8497389733*IF(D674="L",1,0)+4.5116226727*IF(D674="S",1,0)-0.6571546448*IF(E674="L",1,0)+0.0850728147*T674+0.0129488446*(T674*T674)+0.1909373936*IF(OR(F674="Utility",G674="Utility"),T674,0)+0.9656824071*R674-1.7517683256*S674+W674+X674+Y674)</f>
        <v/>
      </c>
      <c r="AB674">
        <f>LOOKUP(AA674,Grade_Scale!$A$2:$A$18,Grade_Scale!$B$2:$B$18)</f>
        <v/>
      </c>
      <c r="AC674">
        <f>LOOKUP(AA674,Grade_Scale!$A$2:$A$18,Grade_Scale!$C$2:$C$18)</f>
        <v/>
      </c>
      <c r="AE674">
        <f>IF(AD674="","",AB674-VLOOKUP(AD674,Grade_Scale!$C$2:$E$18,3,FALSE))</f>
        <v/>
      </c>
    </row>
    <row r="675">
      <c r="Q675">
        <f>IF(OR(B675="SP",B675="RP",B675="CP",B675="SP/RP"),"P","H")</f>
        <v/>
      </c>
      <c r="R675">
        <f>IF(F675="",0,IFNA(VLOOKUP(F675,Trait_Polarity!$A:$C,2,FALSE),0))+IF(G675="",0,IFNA(VLOOKUP(G675,Trait_Polarity!$A:$C,2,FALSE),0))</f>
        <v/>
      </c>
      <c r="S675">
        <f>IF(F675="",0,IFNA(VLOOKUP(F675,Trait_Polarity!$A:$C,3,FALSE),0))+IF(G675="",0,IFNA(VLOOKUP(G675,Trait_Polarity!$A:$C,3,FALSE),0))</f>
        <v/>
      </c>
      <c r="T675">
        <f>IF(Q675="P",0,IFNA(VLOOKUP(IF(C675="","(none)",C675),Secondary_Versatility!$A:$B,2,FALSE),0))</f>
        <v/>
      </c>
      <c r="U675">
        <f>IF(H675="",0,LEN(H675)-LEN(SUBSTITUTE(H675,"|",""))+1)</f>
        <v/>
      </c>
      <c r="V675">
        <f>IF(Q675="P",(N675+O675+P675)/3,0.3*I675+0.3*J675+0.2*K675+0.1*L675+0.1*M675)</f>
        <v/>
      </c>
      <c r="W675">
        <f>IF(Q675="P",IF(F675="",0,IFNA(VLOOKUP(F675,Pitcher_Trait_Coef!$A:$B,2,FALSE),0))+IF(G675="",0,IFNA(VLOOKUP(G675,Pitcher_Trait_Coef!$A:$B,2,FALSE),0)),IF(F675="",0,IFNA(VLOOKUP(F675,Hitter_Trait_Coef!$A:$B,2,FALSE),0))+IF(G675="",0,IFNA(VLOOKUP(G675,Hitter_Trait_Coef!$A:$B,2,FALSE),0)))</f>
        <v/>
      </c>
      <c r="X675">
        <f>IF(Q675="P",IFNA(VLOOKUP(B675,Pitcher_Primary_Coef!$A:$B,2,FALSE),0),IFNA(VLOOKUP(B675,Hitter_Primary_Coef!$A:$B,2,FALSE),0))</f>
        <v/>
      </c>
      <c r="Y675">
        <f>IF(Q675="P",0,IFNA(VLOOKUP(IF(C675="","(none)",C675),Hitter_Secondary_Coef!$A:$B,2,FALSE),0))</f>
        <v/>
      </c>
      <c r="Z675">
        <f>IF(Q675="P",IF(ISNUMBER(SEARCH("2F",H675)),IFNA(VLOOKUP("2F",Pitch_Coef!$A:$B,2,FALSE),0),0)+IF(ISNUMBER(SEARCH("4F",H675)),IFNA(VLOOKUP("4F",Pitch_Coef!$A:$B,2,FALSE),0),0)+IF(ISNUMBER(SEARCH("CB",H675)),IFNA(VLOOKUP("CB",Pitch_Coef!$A:$B,2,FALSE),0),0)+IF(ISNUMBER(SEARCH("CF",H675)),IFNA(VLOOKUP("CF",Pitch_Coef!$A:$B,2,FALSE),0),0)+IF(ISNUMBER(SEARCH("CH",H675)),IFNA(VLOOKUP("CH",Pitch_Coef!$A:$B,2,FALSE),0),0)+IF(ISNUMBER(SEARCH("FK",H675)),IFNA(VLOOKUP("FK",Pitch_Coef!$A:$B,2,FALSE),0),0)+IF(ISNUMBER(SEARCH("SB",H675)),IFNA(VLOOKUP("SB",Pitch_Coef!$A:$B,2,FALSE),0),0)+IF(ISNUMBER(SEARCH("SL",H675)),IFNA(VLOOKUP("SL",Pitch_Coef!$A:$B,2,FALSE),0),0),0)</f>
        <v/>
      </c>
      <c r="AA675">
        <f>IF(Q675="P",16.5944849573+0.2529999141*N675+0.2665900378*O675+0.2632687105*P675+0.0427586837*I675+0.0534777057*J675+0.009015832*K675+0.0204898106*(O675*P675/100)+1.0091022427*U675+1.0968542297*IF(D675="L",1,0)+0.3771555045*IF(D675="S",1,0)-0.2226159177*IF(E675="L",1,0)+1.21385024*R675-1.1652812274*S675+W675+X675+Z675,10.5965166711+0.2825983581*I675+0.2806503532*J675+0.2027213083*K675+0.1147824982*L675+0.0915305332*M675-0.0088454122*(I675*J675/100)-0.0336045706*(K675*L675/100)+2.8497389733*IF(D675="L",1,0)+4.5116226727*IF(D675="S",1,0)-0.6571546448*IF(E675="L",1,0)+0.0850728147*T675+0.0129488446*(T675*T675)+0.1909373936*IF(OR(F675="Utility",G675="Utility"),T675,0)+0.9656824071*R675-1.7517683256*S675+W675+X675+Y675)</f>
        <v/>
      </c>
      <c r="AB675">
        <f>LOOKUP(AA675,Grade_Scale!$A$2:$A$18,Grade_Scale!$B$2:$B$18)</f>
        <v/>
      </c>
      <c r="AC675">
        <f>LOOKUP(AA675,Grade_Scale!$A$2:$A$18,Grade_Scale!$C$2:$C$18)</f>
        <v/>
      </c>
      <c r="AE675">
        <f>IF(AD675="","",AB675-VLOOKUP(AD675,Grade_Scale!$C$2:$E$18,3,FALSE))</f>
        <v/>
      </c>
    </row>
    <row r="676">
      <c r="Q676">
        <f>IF(OR(B676="SP",B676="RP",B676="CP",B676="SP/RP"),"P","H")</f>
        <v/>
      </c>
      <c r="R676">
        <f>IF(F676="",0,IFNA(VLOOKUP(F676,Trait_Polarity!$A:$C,2,FALSE),0))+IF(G676="",0,IFNA(VLOOKUP(G676,Trait_Polarity!$A:$C,2,FALSE),0))</f>
        <v/>
      </c>
      <c r="S676">
        <f>IF(F676="",0,IFNA(VLOOKUP(F676,Trait_Polarity!$A:$C,3,FALSE),0))+IF(G676="",0,IFNA(VLOOKUP(G676,Trait_Polarity!$A:$C,3,FALSE),0))</f>
        <v/>
      </c>
      <c r="T676">
        <f>IF(Q676="P",0,IFNA(VLOOKUP(IF(C676="","(none)",C676),Secondary_Versatility!$A:$B,2,FALSE),0))</f>
        <v/>
      </c>
      <c r="U676">
        <f>IF(H676="",0,LEN(H676)-LEN(SUBSTITUTE(H676,"|",""))+1)</f>
        <v/>
      </c>
      <c r="V676">
        <f>IF(Q676="P",(N676+O676+P676)/3,0.3*I676+0.3*J676+0.2*K676+0.1*L676+0.1*M676)</f>
        <v/>
      </c>
      <c r="W676">
        <f>IF(Q676="P",IF(F676="",0,IFNA(VLOOKUP(F676,Pitcher_Trait_Coef!$A:$B,2,FALSE),0))+IF(G676="",0,IFNA(VLOOKUP(G676,Pitcher_Trait_Coef!$A:$B,2,FALSE),0)),IF(F676="",0,IFNA(VLOOKUP(F676,Hitter_Trait_Coef!$A:$B,2,FALSE),0))+IF(G676="",0,IFNA(VLOOKUP(G676,Hitter_Trait_Coef!$A:$B,2,FALSE),0)))</f>
        <v/>
      </c>
      <c r="X676">
        <f>IF(Q676="P",IFNA(VLOOKUP(B676,Pitcher_Primary_Coef!$A:$B,2,FALSE),0),IFNA(VLOOKUP(B676,Hitter_Primary_Coef!$A:$B,2,FALSE),0))</f>
        <v/>
      </c>
      <c r="Y676">
        <f>IF(Q676="P",0,IFNA(VLOOKUP(IF(C676="","(none)",C676),Hitter_Secondary_Coef!$A:$B,2,FALSE),0))</f>
        <v/>
      </c>
      <c r="Z676">
        <f>IF(Q676="P",IF(ISNUMBER(SEARCH("2F",H676)),IFNA(VLOOKUP("2F",Pitch_Coef!$A:$B,2,FALSE),0),0)+IF(ISNUMBER(SEARCH("4F",H676)),IFNA(VLOOKUP("4F",Pitch_Coef!$A:$B,2,FALSE),0),0)+IF(ISNUMBER(SEARCH("CB",H676)),IFNA(VLOOKUP("CB",Pitch_Coef!$A:$B,2,FALSE),0),0)+IF(ISNUMBER(SEARCH("CF",H676)),IFNA(VLOOKUP("CF",Pitch_Coef!$A:$B,2,FALSE),0),0)+IF(ISNUMBER(SEARCH("CH",H676)),IFNA(VLOOKUP("CH",Pitch_Coef!$A:$B,2,FALSE),0),0)+IF(ISNUMBER(SEARCH("FK",H676)),IFNA(VLOOKUP("FK",Pitch_Coef!$A:$B,2,FALSE),0),0)+IF(ISNUMBER(SEARCH("SB",H676)),IFNA(VLOOKUP("SB",Pitch_Coef!$A:$B,2,FALSE),0),0)+IF(ISNUMBER(SEARCH("SL",H676)),IFNA(VLOOKUP("SL",Pitch_Coef!$A:$B,2,FALSE),0),0),0)</f>
        <v/>
      </c>
      <c r="AA676">
        <f>IF(Q676="P",16.5944849573+0.2529999141*N676+0.2665900378*O676+0.2632687105*P676+0.0427586837*I676+0.0534777057*J676+0.009015832*K676+0.0204898106*(O676*P676/100)+1.0091022427*U676+1.0968542297*IF(D676="L",1,0)+0.3771555045*IF(D676="S",1,0)-0.2226159177*IF(E676="L",1,0)+1.21385024*R676-1.1652812274*S676+W676+X676+Z676,10.5965166711+0.2825983581*I676+0.2806503532*J676+0.2027213083*K676+0.1147824982*L676+0.0915305332*M676-0.0088454122*(I676*J676/100)-0.0336045706*(K676*L676/100)+2.8497389733*IF(D676="L",1,0)+4.5116226727*IF(D676="S",1,0)-0.6571546448*IF(E676="L",1,0)+0.0850728147*T676+0.0129488446*(T676*T676)+0.1909373936*IF(OR(F676="Utility",G676="Utility"),T676,0)+0.9656824071*R676-1.7517683256*S676+W676+X676+Y676)</f>
        <v/>
      </c>
      <c r="AB676">
        <f>LOOKUP(AA676,Grade_Scale!$A$2:$A$18,Grade_Scale!$B$2:$B$18)</f>
        <v/>
      </c>
      <c r="AC676">
        <f>LOOKUP(AA676,Grade_Scale!$A$2:$A$18,Grade_Scale!$C$2:$C$18)</f>
        <v/>
      </c>
      <c r="AE676">
        <f>IF(AD676="","",AB676-VLOOKUP(AD676,Grade_Scale!$C$2:$E$18,3,FALSE))</f>
        <v/>
      </c>
    </row>
    <row r="677">
      <c r="Q677">
        <f>IF(OR(B677="SP",B677="RP",B677="CP",B677="SP/RP"),"P","H")</f>
        <v/>
      </c>
      <c r="R677">
        <f>IF(F677="",0,IFNA(VLOOKUP(F677,Trait_Polarity!$A:$C,2,FALSE),0))+IF(G677="",0,IFNA(VLOOKUP(G677,Trait_Polarity!$A:$C,2,FALSE),0))</f>
        <v/>
      </c>
      <c r="S677">
        <f>IF(F677="",0,IFNA(VLOOKUP(F677,Trait_Polarity!$A:$C,3,FALSE),0))+IF(G677="",0,IFNA(VLOOKUP(G677,Trait_Polarity!$A:$C,3,FALSE),0))</f>
        <v/>
      </c>
      <c r="T677">
        <f>IF(Q677="P",0,IFNA(VLOOKUP(IF(C677="","(none)",C677),Secondary_Versatility!$A:$B,2,FALSE),0))</f>
        <v/>
      </c>
      <c r="U677">
        <f>IF(H677="",0,LEN(H677)-LEN(SUBSTITUTE(H677,"|",""))+1)</f>
        <v/>
      </c>
      <c r="V677">
        <f>IF(Q677="P",(N677+O677+P677)/3,0.3*I677+0.3*J677+0.2*K677+0.1*L677+0.1*M677)</f>
        <v/>
      </c>
      <c r="W677">
        <f>IF(Q677="P",IF(F677="",0,IFNA(VLOOKUP(F677,Pitcher_Trait_Coef!$A:$B,2,FALSE),0))+IF(G677="",0,IFNA(VLOOKUP(G677,Pitcher_Trait_Coef!$A:$B,2,FALSE),0)),IF(F677="",0,IFNA(VLOOKUP(F677,Hitter_Trait_Coef!$A:$B,2,FALSE),0))+IF(G677="",0,IFNA(VLOOKUP(G677,Hitter_Trait_Coef!$A:$B,2,FALSE),0)))</f>
        <v/>
      </c>
      <c r="X677">
        <f>IF(Q677="P",IFNA(VLOOKUP(B677,Pitcher_Primary_Coef!$A:$B,2,FALSE),0),IFNA(VLOOKUP(B677,Hitter_Primary_Coef!$A:$B,2,FALSE),0))</f>
        <v/>
      </c>
      <c r="Y677">
        <f>IF(Q677="P",0,IFNA(VLOOKUP(IF(C677="","(none)",C677),Hitter_Secondary_Coef!$A:$B,2,FALSE),0))</f>
        <v/>
      </c>
      <c r="Z677">
        <f>IF(Q677="P",IF(ISNUMBER(SEARCH("2F",H677)),IFNA(VLOOKUP("2F",Pitch_Coef!$A:$B,2,FALSE),0),0)+IF(ISNUMBER(SEARCH("4F",H677)),IFNA(VLOOKUP("4F",Pitch_Coef!$A:$B,2,FALSE),0),0)+IF(ISNUMBER(SEARCH("CB",H677)),IFNA(VLOOKUP("CB",Pitch_Coef!$A:$B,2,FALSE),0),0)+IF(ISNUMBER(SEARCH("CF",H677)),IFNA(VLOOKUP("CF",Pitch_Coef!$A:$B,2,FALSE),0),0)+IF(ISNUMBER(SEARCH("CH",H677)),IFNA(VLOOKUP("CH",Pitch_Coef!$A:$B,2,FALSE),0),0)+IF(ISNUMBER(SEARCH("FK",H677)),IFNA(VLOOKUP("FK",Pitch_Coef!$A:$B,2,FALSE),0),0)+IF(ISNUMBER(SEARCH("SB",H677)),IFNA(VLOOKUP("SB",Pitch_Coef!$A:$B,2,FALSE),0),0)+IF(ISNUMBER(SEARCH("SL",H677)),IFNA(VLOOKUP("SL",Pitch_Coef!$A:$B,2,FALSE),0),0),0)</f>
        <v/>
      </c>
      <c r="AA677">
        <f>IF(Q677="P",16.5944849573+0.2529999141*N677+0.2665900378*O677+0.2632687105*P677+0.0427586837*I677+0.0534777057*J677+0.009015832*K677+0.0204898106*(O677*P677/100)+1.0091022427*U677+1.0968542297*IF(D677="L",1,0)+0.3771555045*IF(D677="S",1,0)-0.2226159177*IF(E677="L",1,0)+1.21385024*R677-1.1652812274*S677+W677+X677+Z677,10.5965166711+0.2825983581*I677+0.2806503532*J677+0.2027213083*K677+0.1147824982*L677+0.0915305332*M677-0.0088454122*(I677*J677/100)-0.0336045706*(K677*L677/100)+2.8497389733*IF(D677="L",1,0)+4.5116226727*IF(D677="S",1,0)-0.6571546448*IF(E677="L",1,0)+0.0850728147*T677+0.0129488446*(T677*T677)+0.1909373936*IF(OR(F677="Utility",G677="Utility"),T677,0)+0.9656824071*R677-1.7517683256*S677+W677+X677+Y677)</f>
        <v/>
      </c>
      <c r="AB677">
        <f>LOOKUP(AA677,Grade_Scale!$A$2:$A$18,Grade_Scale!$B$2:$B$18)</f>
        <v/>
      </c>
      <c r="AC677">
        <f>LOOKUP(AA677,Grade_Scale!$A$2:$A$18,Grade_Scale!$C$2:$C$18)</f>
        <v/>
      </c>
      <c r="AE677">
        <f>IF(AD677="","",AB677-VLOOKUP(AD677,Grade_Scale!$C$2:$E$18,3,FALSE))</f>
        <v/>
      </c>
    </row>
    <row r="678">
      <c r="Q678">
        <f>IF(OR(B678="SP",B678="RP",B678="CP",B678="SP/RP"),"P","H")</f>
        <v/>
      </c>
      <c r="R678">
        <f>IF(F678="",0,IFNA(VLOOKUP(F678,Trait_Polarity!$A:$C,2,FALSE),0))+IF(G678="",0,IFNA(VLOOKUP(G678,Trait_Polarity!$A:$C,2,FALSE),0))</f>
        <v/>
      </c>
      <c r="S678">
        <f>IF(F678="",0,IFNA(VLOOKUP(F678,Trait_Polarity!$A:$C,3,FALSE),0))+IF(G678="",0,IFNA(VLOOKUP(G678,Trait_Polarity!$A:$C,3,FALSE),0))</f>
        <v/>
      </c>
      <c r="T678">
        <f>IF(Q678="P",0,IFNA(VLOOKUP(IF(C678="","(none)",C678),Secondary_Versatility!$A:$B,2,FALSE),0))</f>
        <v/>
      </c>
      <c r="U678">
        <f>IF(H678="",0,LEN(H678)-LEN(SUBSTITUTE(H678,"|",""))+1)</f>
        <v/>
      </c>
      <c r="V678">
        <f>IF(Q678="P",(N678+O678+P678)/3,0.3*I678+0.3*J678+0.2*K678+0.1*L678+0.1*M678)</f>
        <v/>
      </c>
      <c r="W678">
        <f>IF(Q678="P",IF(F678="",0,IFNA(VLOOKUP(F678,Pitcher_Trait_Coef!$A:$B,2,FALSE),0))+IF(G678="",0,IFNA(VLOOKUP(G678,Pitcher_Trait_Coef!$A:$B,2,FALSE),0)),IF(F678="",0,IFNA(VLOOKUP(F678,Hitter_Trait_Coef!$A:$B,2,FALSE),0))+IF(G678="",0,IFNA(VLOOKUP(G678,Hitter_Trait_Coef!$A:$B,2,FALSE),0)))</f>
        <v/>
      </c>
      <c r="X678">
        <f>IF(Q678="P",IFNA(VLOOKUP(B678,Pitcher_Primary_Coef!$A:$B,2,FALSE),0),IFNA(VLOOKUP(B678,Hitter_Primary_Coef!$A:$B,2,FALSE),0))</f>
        <v/>
      </c>
      <c r="Y678">
        <f>IF(Q678="P",0,IFNA(VLOOKUP(IF(C678="","(none)",C678),Hitter_Secondary_Coef!$A:$B,2,FALSE),0))</f>
        <v/>
      </c>
      <c r="Z678">
        <f>IF(Q678="P",IF(ISNUMBER(SEARCH("2F",H678)),IFNA(VLOOKUP("2F",Pitch_Coef!$A:$B,2,FALSE),0),0)+IF(ISNUMBER(SEARCH("4F",H678)),IFNA(VLOOKUP("4F",Pitch_Coef!$A:$B,2,FALSE),0),0)+IF(ISNUMBER(SEARCH("CB",H678)),IFNA(VLOOKUP("CB",Pitch_Coef!$A:$B,2,FALSE),0),0)+IF(ISNUMBER(SEARCH("CF",H678)),IFNA(VLOOKUP("CF",Pitch_Coef!$A:$B,2,FALSE),0),0)+IF(ISNUMBER(SEARCH("CH",H678)),IFNA(VLOOKUP("CH",Pitch_Coef!$A:$B,2,FALSE),0),0)+IF(ISNUMBER(SEARCH("FK",H678)),IFNA(VLOOKUP("FK",Pitch_Coef!$A:$B,2,FALSE),0),0)+IF(ISNUMBER(SEARCH("SB",H678)),IFNA(VLOOKUP("SB",Pitch_Coef!$A:$B,2,FALSE),0),0)+IF(ISNUMBER(SEARCH("SL",H678)),IFNA(VLOOKUP("SL",Pitch_Coef!$A:$B,2,FALSE),0),0),0)</f>
        <v/>
      </c>
      <c r="AA678">
        <f>IF(Q678="P",16.5944849573+0.2529999141*N678+0.2665900378*O678+0.2632687105*P678+0.0427586837*I678+0.0534777057*J678+0.009015832*K678+0.0204898106*(O678*P678/100)+1.0091022427*U678+1.0968542297*IF(D678="L",1,0)+0.3771555045*IF(D678="S",1,0)-0.2226159177*IF(E678="L",1,0)+1.21385024*R678-1.1652812274*S678+W678+X678+Z678,10.5965166711+0.2825983581*I678+0.2806503532*J678+0.2027213083*K678+0.1147824982*L678+0.0915305332*M678-0.0088454122*(I678*J678/100)-0.0336045706*(K678*L678/100)+2.8497389733*IF(D678="L",1,0)+4.5116226727*IF(D678="S",1,0)-0.6571546448*IF(E678="L",1,0)+0.0850728147*T678+0.0129488446*(T678*T678)+0.1909373936*IF(OR(F678="Utility",G678="Utility"),T678,0)+0.9656824071*R678-1.7517683256*S678+W678+X678+Y678)</f>
        <v/>
      </c>
      <c r="AB678">
        <f>LOOKUP(AA678,Grade_Scale!$A$2:$A$18,Grade_Scale!$B$2:$B$18)</f>
        <v/>
      </c>
      <c r="AC678">
        <f>LOOKUP(AA678,Grade_Scale!$A$2:$A$18,Grade_Scale!$C$2:$C$18)</f>
        <v/>
      </c>
      <c r="AE678">
        <f>IF(AD678="","",AB678-VLOOKUP(AD678,Grade_Scale!$C$2:$E$18,3,FALSE))</f>
        <v/>
      </c>
    </row>
    <row r="679">
      <c r="Q679">
        <f>IF(OR(B679="SP",B679="RP",B679="CP",B679="SP/RP"),"P","H")</f>
        <v/>
      </c>
      <c r="R679">
        <f>IF(F679="",0,IFNA(VLOOKUP(F679,Trait_Polarity!$A:$C,2,FALSE),0))+IF(G679="",0,IFNA(VLOOKUP(G679,Trait_Polarity!$A:$C,2,FALSE),0))</f>
        <v/>
      </c>
      <c r="S679">
        <f>IF(F679="",0,IFNA(VLOOKUP(F679,Trait_Polarity!$A:$C,3,FALSE),0))+IF(G679="",0,IFNA(VLOOKUP(G679,Trait_Polarity!$A:$C,3,FALSE),0))</f>
        <v/>
      </c>
      <c r="T679">
        <f>IF(Q679="P",0,IFNA(VLOOKUP(IF(C679="","(none)",C679),Secondary_Versatility!$A:$B,2,FALSE),0))</f>
        <v/>
      </c>
      <c r="U679">
        <f>IF(H679="",0,LEN(H679)-LEN(SUBSTITUTE(H679,"|",""))+1)</f>
        <v/>
      </c>
      <c r="V679">
        <f>IF(Q679="P",(N679+O679+P679)/3,0.3*I679+0.3*J679+0.2*K679+0.1*L679+0.1*M679)</f>
        <v/>
      </c>
      <c r="W679">
        <f>IF(Q679="P",IF(F679="",0,IFNA(VLOOKUP(F679,Pitcher_Trait_Coef!$A:$B,2,FALSE),0))+IF(G679="",0,IFNA(VLOOKUP(G679,Pitcher_Trait_Coef!$A:$B,2,FALSE),0)),IF(F679="",0,IFNA(VLOOKUP(F679,Hitter_Trait_Coef!$A:$B,2,FALSE),0))+IF(G679="",0,IFNA(VLOOKUP(G679,Hitter_Trait_Coef!$A:$B,2,FALSE),0)))</f>
        <v/>
      </c>
      <c r="X679">
        <f>IF(Q679="P",IFNA(VLOOKUP(B679,Pitcher_Primary_Coef!$A:$B,2,FALSE),0),IFNA(VLOOKUP(B679,Hitter_Primary_Coef!$A:$B,2,FALSE),0))</f>
        <v/>
      </c>
      <c r="Y679">
        <f>IF(Q679="P",0,IFNA(VLOOKUP(IF(C679="","(none)",C679),Hitter_Secondary_Coef!$A:$B,2,FALSE),0))</f>
        <v/>
      </c>
      <c r="Z679">
        <f>IF(Q679="P",IF(ISNUMBER(SEARCH("2F",H679)),IFNA(VLOOKUP("2F",Pitch_Coef!$A:$B,2,FALSE),0),0)+IF(ISNUMBER(SEARCH("4F",H679)),IFNA(VLOOKUP("4F",Pitch_Coef!$A:$B,2,FALSE),0),0)+IF(ISNUMBER(SEARCH("CB",H679)),IFNA(VLOOKUP("CB",Pitch_Coef!$A:$B,2,FALSE),0),0)+IF(ISNUMBER(SEARCH("CF",H679)),IFNA(VLOOKUP("CF",Pitch_Coef!$A:$B,2,FALSE),0),0)+IF(ISNUMBER(SEARCH("CH",H679)),IFNA(VLOOKUP("CH",Pitch_Coef!$A:$B,2,FALSE),0),0)+IF(ISNUMBER(SEARCH("FK",H679)),IFNA(VLOOKUP("FK",Pitch_Coef!$A:$B,2,FALSE),0),0)+IF(ISNUMBER(SEARCH("SB",H679)),IFNA(VLOOKUP("SB",Pitch_Coef!$A:$B,2,FALSE),0),0)+IF(ISNUMBER(SEARCH("SL",H679)),IFNA(VLOOKUP("SL",Pitch_Coef!$A:$B,2,FALSE),0),0),0)</f>
        <v/>
      </c>
      <c r="AA679">
        <f>IF(Q679="P",16.5944849573+0.2529999141*N679+0.2665900378*O679+0.2632687105*P679+0.0427586837*I679+0.0534777057*J679+0.009015832*K679+0.0204898106*(O679*P679/100)+1.0091022427*U679+1.0968542297*IF(D679="L",1,0)+0.3771555045*IF(D679="S",1,0)-0.2226159177*IF(E679="L",1,0)+1.21385024*R679-1.1652812274*S679+W679+X679+Z679,10.5965166711+0.2825983581*I679+0.2806503532*J679+0.2027213083*K679+0.1147824982*L679+0.0915305332*M679-0.0088454122*(I679*J679/100)-0.0336045706*(K679*L679/100)+2.8497389733*IF(D679="L",1,0)+4.5116226727*IF(D679="S",1,0)-0.6571546448*IF(E679="L",1,0)+0.0850728147*T679+0.0129488446*(T679*T679)+0.1909373936*IF(OR(F679="Utility",G679="Utility"),T679,0)+0.9656824071*R679-1.7517683256*S679+W679+X679+Y679)</f>
        <v/>
      </c>
      <c r="AB679">
        <f>LOOKUP(AA679,Grade_Scale!$A$2:$A$18,Grade_Scale!$B$2:$B$18)</f>
        <v/>
      </c>
      <c r="AC679">
        <f>LOOKUP(AA679,Grade_Scale!$A$2:$A$18,Grade_Scale!$C$2:$C$18)</f>
        <v/>
      </c>
      <c r="AE679">
        <f>IF(AD679="","",AB679-VLOOKUP(AD679,Grade_Scale!$C$2:$E$18,3,FALSE))</f>
        <v/>
      </c>
    </row>
    <row r="680">
      <c r="Q680">
        <f>IF(OR(B680="SP",B680="RP",B680="CP",B680="SP/RP"),"P","H")</f>
        <v/>
      </c>
      <c r="R680">
        <f>IF(F680="",0,IFNA(VLOOKUP(F680,Trait_Polarity!$A:$C,2,FALSE),0))+IF(G680="",0,IFNA(VLOOKUP(G680,Trait_Polarity!$A:$C,2,FALSE),0))</f>
        <v/>
      </c>
      <c r="S680">
        <f>IF(F680="",0,IFNA(VLOOKUP(F680,Trait_Polarity!$A:$C,3,FALSE),0))+IF(G680="",0,IFNA(VLOOKUP(G680,Trait_Polarity!$A:$C,3,FALSE),0))</f>
        <v/>
      </c>
      <c r="T680">
        <f>IF(Q680="P",0,IFNA(VLOOKUP(IF(C680="","(none)",C680),Secondary_Versatility!$A:$B,2,FALSE),0))</f>
        <v/>
      </c>
      <c r="U680">
        <f>IF(H680="",0,LEN(H680)-LEN(SUBSTITUTE(H680,"|",""))+1)</f>
        <v/>
      </c>
      <c r="V680">
        <f>IF(Q680="P",(N680+O680+P680)/3,0.3*I680+0.3*J680+0.2*K680+0.1*L680+0.1*M680)</f>
        <v/>
      </c>
      <c r="W680">
        <f>IF(Q680="P",IF(F680="",0,IFNA(VLOOKUP(F680,Pitcher_Trait_Coef!$A:$B,2,FALSE),0))+IF(G680="",0,IFNA(VLOOKUP(G680,Pitcher_Trait_Coef!$A:$B,2,FALSE),0)),IF(F680="",0,IFNA(VLOOKUP(F680,Hitter_Trait_Coef!$A:$B,2,FALSE),0))+IF(G680="",0,IFNA(VLOOKUP(G680,Hitter_Trait_Coef!$A:$B,2,FALSE),0)))</f>
        <v/>
      </c>
      <c r="X680">
        <f>IF(Q680="P",IFNA(VLOOKUP(B680,Pitcher_Primary_Coef!$A:$B,2,FALSE),0),IFNA(VLOOKUP(B680,Hitter_Primary_Coef!$A:$B,2,FALSE),0))</f>
        <v/>
      </c>
      <c r="Y680">
        <f>IF(Q680="P",0,IFNA(VLOOKUP(IF(C680="","(none)",C680),Hitter_Secondary_Coef!$A:$B,2,FALSE),0))</f>
        <v/>
      </c>
      <c r="Z680">
        <f>IF(Q680="P",IF(ISNUMBER(SEARCH("2F",H680)),IFNA(VLOOKUP("2F",Pitch_Coef!$A:$B,2,FALSE),0),0)+IF(ISNUMBER(SEARCH("4F",H680)),IFNA(VLOOKUP("4F",Pitch_Coef!$A:$B,2,FALSE),0),0)+IF(ISNUMBER(SEARCH("CB",H680)),IFNA(VLOOKUP("CB",Pitch_Coef!$A:$B,2,FALSE),0),0)+IF(ISNUMBER(SEARCH("CF",H680)),IFNA(VLOOKUP("CF",Pitch_Coef!$A:$B,2,FALSE),0),0)+IF(ISNUMBER(SEARCH("CH",H680)),IFNA(VLOOKUP("CH",Pitch_Coef!$A:$B,2,FALSE),0),0)+IF(ISNUMBER(SEARCH("FK",H680)),IFNA(VLOOKUP("FK",Pitch_Coef!$A:$B,2,FALSE),0),0)+IF(ISNUMBER(SEARCH("SB",H680)),IFNA(VLOOKUP("SB",Pitch_Coef!$A:$B,2,FALSE),0),0)+IF(ISNUMBER(SEARCH("SL",H680)),IFNA(VLOOKUP("SL",Pitch_Coef!$A:$B,2,FALSE),0),0),0)</f>
        <v/>
      </c>
      <c r="AA680">
        <f>IF(Q680="P",16.5944849573+0.2529999141*N680+0.2665900378*O680+0.2632687105*P680+0.0427586837*I680+0.0534777057*J680+0.009015832*K680+0.0204898106*(O680*P680/100)+1.0091022427*U680+1.0968542297*IF(D680="L",1,0)+0.3771555045*IF(D680="S",1,0)-0.2226159177*IF(E680="L",1,0)+1.21385024*R680-1.1652812274*S680+W680+X680+Z680,10.5965166711+0.2825983581*I680+0.2806503532*J680+0.2027213083*K680+0.1147824982*L680+0.0915305332*M680-0.0088454122*(I680*J680/100)-0.0336045706*(K680*L680/100)+2.8497389733*IF(D680="L",1,0)+4.5116226727*IF(D680="S",1,0)-0.6571546448*IF(E680="L",1,0)+0.0850728147*T680+0.0129488446*(T680*T680)+0.1909373936*IF(OR(F680="Utility",G680="Utility"),T680,0)+0.9656824071*R680-1.7517683256*S680+W680+X680+Y680)</f>
        <v/>
      </c>
      <c r="AB680">
        <f>LOOKUP(AA680,Grade_Scale!$A$2:$A$18,Grade_Scale!$B$2:$B$18)</f>
        <v/>
      </c>
      <c r="AC680">
        <f>LOOKUP(AA680,Grade_Scale!$A$2:$A$18,Grade_Scale!$C$2:$C$18)</f>
        <v/>
      </c>
      <c r="AE680">
        <f>IF(AD680="","",AB680-VLOOKUP(AD680,Grade_Scale!$C$2:$E$18,3,FALSE))</f>
        <v/>
      </c>
    </row>
    <row r="681">
      <c r="Q681">
        <f>IF(OR(B681="SP",B681="RP",B681="CP",B681="SP/RP"),"P","H")</f>
        <v/>
      </c>
      <c r="R681">
        <f>IF(F681="",0,IFNA(VLOOKUP(F681,Trait_Polarity!$A:$C,2,FALSE),0))+IF(G681="",0,IFNA(VLOOKUP(G681,Trait_Polarity!$A:$C,2,FALSE),0))</f>
        <v/>
      </c>
      <c r="S681">
        <f>IF(F681="",0,IFNA(VLOOKUP(F681,Trait_Polarity!$A:$C,3,FALSE),0))+IF(G681="",0,IFNA(VLOOKUP(G681,Trait_Polarity!$A:$C,3,FALSE),0))</f>
        <v/>
      </c>
      <c r="T681">
        <f>IF(Q681="P",0,IFNA(VLOOKUP(IF(C681="","(none)",C681),Secondary_Versatility!$A:$B,2,FALSE),0))</f>
        <v/>
      </c>
      <c r="U681">
        <f>IF(H681="",0,LEN(H681)-LEN(SUBSTITUTE(H681,"|",""))+1)</f>
        <v/>
      </c>
      <c r="V681">
        <f>IF(Q681="P",(N681+O681+P681)/3,0.3*I681+0.3*J681+0.2*K681+0.1*L681+0.1*M681)</f>
        <v/>
      </c>
      <c r="W681">
        <f>IF(Q681="P",IF(F681="",0,IFNA(VLOOKUP(F681,Pitcher_Trait_Coef!$A:$B,2,FALSE),0))+IF(G681="",0,IFNA(VLOOKUP(G681,Pitcher_Trait_Coef!$A:$B,2,FALSE),0)),IF(F681="",0,IFNA(VLOOKUP(F681,Hitter_Trait_Coef!$A:$B,2,FALSE),0))+IF(G681="",0,IFNA(VLOOKUP(G681,Hitter_Trait_Coef!$A:$B,2,FALSE),0)))</f>
        <v/>
      </c>
      <c r="X681">
        <f>IF(Q681="P",IFNA(VLOOKUP(B681,Pitcher_Primary_Coef!$A:$B,2,FALSE),0),IFNA(VLOOKUP(B681,Hitter_Primary_Coef!$A:$B,2,FALSE),0))</f>
        <v/>
      </c>
      <c r="Y681">
        <f>IF(Q681="P",0,IFNA(VLOOKUP(IF(C681="","(none)",C681),Hitter_Secondary_Coef!$A:$B,2,FALSE),0))</f>
        <v/>
      </c>
      <c r="Z681">
        <f>IF(Q681="P",IF(ISNUMBER(SEARCH("2F",H681)),IFNA(VLOOKUP("2F",Pitch_Coef!$A:$B,2,FALSE),0),0)+IF(ISNUMBER(SEARCH("4F",H681)),IFNA(VLOOKUP("4F",Pitch_Coef!$A:$B,2,FALSE),0),0)+IF(ISNUMBER(SEARCH("CB",H681)),IFNA(VLOOKUP("CB",Pitch_Coef!$A:$B,2,FALSE),0),0)+IF(ISNUMBER(SEARCH("CF",H681)),IFNA(VLOOKUP("CF",Pitch_Coef!$A:$B,2,FALSE),0),0)+IF(ISNUMBER(SEARCH("CH",H681)),IFNA(VLOOKUP("CH",Pitch_Coef!$A:$B,2,FALSE),0),0)+IF(ISNUMBER(SEARCH("FK",H681)),IFNA(VLOOKUP("FK",Pitch_Coef!$A:$B,2,FALSE),0),0)+IF(ISNUMBER(SEARCH("SB",H681)),IFNA(VLOOKUP("SB",Pitch_Coef!$A:$B,2,FALSE),0),0)+IF(ISNUMBER(SEARCH("SL",H681)),IFNA(VLOOKUP("SL",Pitch_Coef!$A:$B,2,FALSE),0),0),0)</f>
        <v/>
      </c>
      <c r="AA681">
        <f>IF(Q681="P",16.5944849573+0.2529999141*N681+0.2665900378*O681+0.2632687105*P681+0.0427586837*I681+0.0534777057*J681+0.009015832*K681+0.0204898106*(O681*P681/100)+1.0091022427*U681+1.0968542297*IF(D681="L",1,0)+0.3771555045*IF(D681="S",1,0)-0.2226159177*IF(E681="L",1,0)+1.21385024*R681-1.1652812274*S681+W681+X681+Z681,10.5965166711+0.2825983581*I681+0.2806503532*J681+0.2027213083*K681+0.1147824982*L681+0.0915305332*M681-0.0088454122*(I681*J681/100)-0.0336045706*(K681*L681/100)+2.8497389733*IF(D681="L",1,0)+4.5116226727*IF(D681="S",1,0)-0.6571546448*IF(E681="L",1,0)+0.0850728147*T681+0.0129488446*(T681*T681)+0.1909373936*IF(OR(F681="Utility",G681="Utility"),T681,0)+0.9656824071*R681-1.7517683256*S681+W681+X681+Y681)</f>
        <v/>
      </c>
      <c r="AB681">
        <f>LOOKUP(AA681,Grade_Scale!$A$2:$A$18,Grade_Scale!$B$2:$B$18)</f>
        <v/>
      </c>
      <c r="AC681">
        <f>LOOKUP(AA681,Grade_Scale!$A$2:$A$18,Grade_Scale!$C$2:$C$18)</f>
        <v/>
      </c>
      <c r="AE681">
        <f>IF(AD681="","",AB681-VLOOKUP(AD681,Grade_Scale!$C$2:$E$18,3,FALSE))</f>
        <v/>
      </c>
    </row>
    <row r="682">
      <c r="Q682">
        <f>IF(OR(B682="SP",B682="RP",B682="CP",B682="SP/RP"),"P","H")</f>
        <v/>
      </c>
      <c r="R682">
        <f>IF(F682="",0,IFNA(VLOOKUP(F682,Trait_Polarity!$A:$C,2,FALSE),0))+IF(G682="",0,IFNA(VLOOKUP(G682,Trait_Polarity!$A:$C,2,FALSE),0))</f>
        <v/>
      </c>
      <c r="S682">
        <f>IF(F682="",0,IFNA(VLOOKUP(F682,Trait_Polarity!$A:$C,3,FALSE),0))+IF(G682="",0,IFNA(VLOOKUP(G682,Trait_Polarity!$A:$C,3,FALSE),0))</f>
        <v/>
      </c>
      <c r="T682">
        <f>IF(Q682="P",0,IFNA(VLOOKUP(IF(C682="","(none)",C682),Secondary_Versatility!$A:$B,2,FALSE),0))</f>
        <v/>
      </c>
      <c r="U682">
        <f>IF(H682="",0,LEN(H682)-LEN(SUBSTITUTE(H682,"|",""))+1)</f>
        <v/>
      </c>
      <c r="V682">
        <f>IF(Q682="P",(N682+O682+P682)/3,0.3*I682+0.3*J682+0.2*K682+0.1*L682+0.1*M682)</f>
        <v/>
      </c>
      <c r="W682">
        <f>IF(Q682="P",IF(F682="",0,IFNA(VLOOKUP(F682,Pitcher_Trait_Coef!$A:$B,2,FALSE),0))+IF(G682="",0,IFNA(VLOOKUP(G682,Pitcher_Trait_Coef!$A:$B,2,FALSE),0)),IF(F682="",0,IFNA(VLOOKUP(F682,Hitter_Trait_Coef!$A:$B,2,FALSE),0))+IF(G682="",0,IFNA(VLOOKUP(G682,Hitter_Trait_Coef!$A:$B,2,FALSE),0)))</f>
        <v/>
      </c>
      <c r="X682">
        <f>IF(Q682="P",IFNA(VLOOKUP(B682,Pitcher_Primary_Coef!$A:$B,2,FALSE),0),IFNA(VLOOKUP(B682,Hitter_Primary_Coef!$A:$B,2,FALSE),0))</f>
        <v/>
      </c>
      <c r="Y682">
        <f>IF(Q682="P",0,IFNA(VLOOKUP(IF(C682="","(none)",C682),Hitter_Secondary_Coef!$A:$B,2,FALSE),0))</f>
        <v/>
      </c>
      <c r="Z682">
        <f>IF(Q682="P",IF(ISNUMBER(SEARCH("2F",H682)),IFNA(VLOOKUP("2F",Pitch_Coef!$A:$B,2,FALSE),0),0)+IF(ISNUMBER(SEARCH("4F",H682)),IFNA(VLOOKUP("4F",Pitch_Coef!$A:$B,2,FALSE),0),0)+IF(ISNUMBER(SEARCH("CB",H682)),IFNA(VLOOKUP("CB",Pitch_Coef!$A:$B,2,FALSE),0),0)+IF(ISNUMBER(SEARCH("CF",H682)),IFNA(VLOOKUP("CF",Pitch_Coef!$A:$B,2,FALSE),0),0)+IF(ISNUMBER(SEARCH("CH",H682)),IFNA(VLOOKUP("CH",Pitch_Coef!$A:$B,2,FALSE),0),0)+IF(ISNUMBER(SEARCH("FK",H682)),IFNA(VLOOKUP("FK",Pitch_Coef!$A:$B,2,FALSE),0),0)+IF(ISNUMBER(SEARCH("SB",H682)),IFNA(VLOOKUP("SB",Pitch_Coef!$A:$B,2,FALSE),0),0)+IF(ISNUMBER(SEARCH("SL",H682)),IFNA(VLOOKUP("SL",Pitch_Coef!$A:$B,2,FALSE),0),0),0)</f>
        <v/>
      </c>
      <c r="AA682">
        <f>IF(Q682="P",16.5944849573+0.2529999141*N682+0.2665900378*O682+0.2632687105*P682+0.0427586837*I682+0.0534777057*J682+0.009015832*K682+0.0204898106*(O682*P682/100)+1.0091022427*U682+1.0968542297*IF(D682="L",1,0)+0.3771555045*IF(D682="S",1,0)-0.2226159177*IF(E682="L",1,0)+1.21385024*R682-1.1652812274*S682+W682+X682+Z682,10.5965166711+0.2825983581*I682+0.2806503532*J682+0.2027213083*K682+0.1147824982*L682+0.0915305332*M682-0.0088454122*(I682*J682/100)-0.0336045706*(K682*L682/100)+2.8497389733*IF(D682="L",1,0)+4.5116226727*IF(D682="S",1,0)-0.6571546448*IF(E682="L",1,0)+0.0850728147*T682+0.0129488446*(T682*T682)+0.1909373936*IF(OR(F682="Utility",G682="Utility"),T682,0)+0.9656824071*R682-1.7517683256*S682+W682+X682+Y682)</f>
        <v/>
      </c>
      <c r="AB682">
        <f>LOOKUP(AA682,Grade_Scale!$A$2:$A$18,Grade_Scale!$B$2:$B$18)</f>
        <v/>
      </c>
      <c r="AC682">
        <f>LOOKUP(AA682,Grade_Scale!$A$2:$A$18,Grade_Scale!$C$2:$C$18)</f>
        <v/>
      </c>
      <c r="AE682">
        <f>IF(AD682="","",AB682-VLOOKUP(AD682,Grade_Scale!$C$2:$E$18,3,FALSE))</f>
        <v/>
      </c>
    </row>
    <row r="683">
      <c r="Q683">
        <f>IF(OR(B683="SP",B683="RP",B683="CP",B683="SP/RP"),"P","H")</f>
        <v/>
      </c>
      <c r="R683">
        <f>IF(F683="",0,IFNA(VLOOKUP(F683,Trait_Polarity!$A:$C,2,FALSE),0))+IF(G683="",0,IFNA(VLOOKUP(G683,Trait_Polarity!$A:$C,2,FALSE),0))</f>
        <v/>
      </c>
      <c r="S683">
        <f>IF(F683="",0,IFNA(VLOOKUP(F683,Trait_Polarity!$A:$C,3,FALSE),0))+IF(G683="",0,IFNA(VLOOKUP(G683,Trait_Polarity!$A:$C,3,FALSE),0))</f>
        <v/>
      </c>
      <c r="T683">
        <f>IF(Q683="P",0,IFNA(VLOOKUP(IF(C683="","(none)",C683),Secondary_Versatility!$A:$B,2,FALSE),0))</f>
        <v/>
      </c>
      <c r="U683">
        <f>IF(H683="",0,LEN(H683)-LEN(SUBSTITUTE(H683,"|",""))+1)</f>
        <v/>
      </c>
      <c r="V683">
        <f>IF(Q683="P",(N683+O683+P683)/3,0.3*I683+0.3*J683+0.2*K683+0.1*L683+0.1*M683)</f>
        <v/>
      </c>
      <c r="W683">
        <f>IF(Q683="P",IF(F683="",0,IFNA(VLOOKUP(F683,Pitcher_Trait_Coef!$A:$B,2,FALSE),0))+IF(G683="",0,IFNA(VLOOKUP(G683,Pitcher_Trait_Coef!$A:$B,2,FALSE),0)),IF(F683="",0,IFNA(VLOOKUP(F683,Hitter_Trait_Coef!$A:$B,2,FALSE),0))+IF(G683="",0,IFNA(VLOOKUP(G683,Hitter_Trait_Coef!$A:$B,2,FALSE),0)))</f>
        <v/>
      </c>
      <c r="X683">
        <f>IF(Q683="P",IFNA(VLOOKUP(B683,Pitcher_Primary_Coef!$A:$B,2,FALSE),0),IFNA(VLOOKUP(B683,Hitter_Primary_Coef!$A:$B,2,FALSE),0))</f>
        <v/>
      </c>
      <c r="Y683">
        <f>IF(Q683="P",0,IFNA(VLOOKUP(IF(C683="","(none)",C683),Hitter_Secondary_Coef!$A:$B,2,FALSE),0))</f>
        <v/>
      </c>
      <c r="Z683">
        <f>IF(Q683="P",IF(ISNUMBER(SEARCH("2F",H683)),IFNA(VLOOKUP("2F",Pitch_Coef!$A:$B,2,FALSE),0),0)+IF(ISNUMBER(SEARCH("4F",H683)),IFNA(VLOOKUP("4F",Pitch_Coef!$A:$B,2,FALSE),0),0)+IF(ISNUMBER(SEARCH("CB",H683)),IFNA(VLOOKUP("CB",Pitch_Coef!$A:$B,2,FALSE),0),0)+IF(ISNUMBER(SEARCH("CF",H683)),IFNA(VLOOKUP("CF",Pitch_Coef!$A:$B,2,FALSE),0),0)+IF(ISNUMBER(SEARCH("CH",H683)),IFNA(VLOOKUP("CH",Pitch_Coef!$A:$B,2,FALSE),0),0)+IF(ISNUMBER(SEARCH("FK",H683)),IFNA(VLOOKUP("FK",Pitch_Coef!$A:$B,2,FALSE),0),0)+IF(ISNUMBER(SEARCH("SB",H683)),IFNA(VLOOKUP("SB",Pitch_Coef!$A:$B,2,FALSE),0),0)+IF(ISNUMBER(SEARCH("SL",H683)),IFNA(VLOOKUP("SL",Pitch_Coef!$A:$B,2,FALSE),0),0),0)</f>
        <v/>
      </c>
      <c r="AA683">
        <f>IF(Q683="P",16.5944849573+0.2529999141*N683+0.2665900378*O683+0.2632687105*P683+0.0427586837*I683+0.0534777057*J683+0.009015832*K683+0.0204898106*(O683*P683/100)+1.0091022427*U683+1.0968542297*IF(D683="L",1,0)+0.3771555045*IF(D683="S",1,0)-0.2226159177*IF(E683="L",1,0)+1.21385024*R683-1.1652812274*S683+W683+X683+Z683,10.5965166711+0.2825983581*I683+0.2806503532*J683+0.2027213083*K683+0.1147824982*L683+0.0915305332*M683-0.0088454122*(I683*J683/100)-0.0336045706*(K683*L683/100)+2.8497389733*IF(D683="L",1,0)+4.5116226727*IF(D683="S",1,0)-0.6571546448*IF(E683="L",1,0)+0.0850728147*T683+0.0129488446*(T683*T683)+0.1909373936*IF(OR(F683="Utility",G683="Utility"),T683,0)+0.9656824071*R683-1.7517683256*S683+W683+X683+Y683)</f>
        <v/>
      </c>
      <c r="AB683">
        <f>LOOKUP(AA683,Grade_Scale!$A$2:$A$18,Grade_Scale!$B$2:$B$18)</f>
        <v/>
      </c>
      <c r="AC683">
        <f>LOOKUP(AA683,Grade_Scale!$A$2:$A$18,Grade_Scale!$C$2:$C$18)</f>
        <v/>
      </c>
      <c r="AE683">
        <f>IF(AD683="","",AB683-VLOOKUP(AD683,Grade_Scale!$C$2:$E$18,3,FALSE))</f>
        <v/>
      </c>
    </row>
    <row r="684">
      <c r="Q684">
        <f>IF(OR(B684="SP",B684="RP",B684="CP",B684="SP/RP"),"P","H")</f>
        <v/>
      </c>
      <c r="R684">
        <f>IF(F684="",0,IFNA(VLOOKUP(F684,Trait_Polarity!$A:$C,2,FALSE),0))+IF(G684="",0,IFNA(VLOOKUP(G684,Trait_Polarity!$A:$C,2,FALSE),0))</f>
        <v/>
      </c>
      <c r="S684">
        <f>IF(F684="",0,IFNA(VLOOKUP(F684,Trait_Polarity!$A:$C,3,FALSE),0))+IF(G684="",0,IFNA(VLOOKUP(G684,Trait_Polarity!$A:$C,3,FALSE),0))</f>
        <v/>
      </c>
      <c r="T684">
        <f>IF(Q684="P",0,IFNA(VLOOKUP(IF(C684="","(none)",C684),Secondary_Versatility!$A:$B,2,FALSE),0))</f>
        <v/>
      </c>
      <c r="U684">
        <f>IF(H684="",0,LEN(H684)-LEN(SUBSTITUTE(H684,"|",""))+1)</f>
        <v/>
      </c>
      <c r="V684">
        <f>IF(Q684="P",(N684+O684+P684)/3,0.3*I684+0.3*J684+0.2*K684+0.1*L684+0.1*M684)</f>
        <v/>
      </c>
      <c r="W684">
        <f>IF(Q684="P",IF(F684="",0,IFNA(VLOOKUP(F684,Pitcher_Trait_Coef!$A:$B,2,FALSE),0))+IF(G684="",0,IFNA(VLOOKUP(G684,Pitcher_Trait_Coef!$A:$B,2,FALSE),0)),IF(F684="",0,IFNA(VLOOKUP(F684,Hitter_Trait_Coef!$A:$B,2,FALSE),0))+IF(G684="",0,IFNA(VLOOKUP(G684,Hitter_Trait_Coef!$A:$B,2,FALSE),0)))</f>
        <v/>
      </c>
      <c r="X684">
        <f>IF(Q684="P",IFNA(VLOOKUP(B684,Pitcher_Primary_Coef!$A:$B,2,FALSE),0),IFNA(VLOOKUP(B684,Hitter_Primary_Coef!$A:$B,2,FALSE),0))</f>
        <v/>
      </c>
      <c r="Y684">
        <f>IF(Q684="P",0,IFNA(VLOOKUP(IF(C684="","(none)",C684),Hitter_Secondary_Coef!$A:$B,2,FALSE),0))</f>
        <v/>
      </c>
      <c r="Z684">
        <f>IF(Q684="P",IF(ISNUMBER(SEARCH("2F",H684)),IFNA(VLOOKUP("2F",Pitch_Coef!$A:$B,2,FALSE),0),0)+IF(ISNUMBER(SEARCH("4F",H684)),IFNA(VLOOKUP("4F",Pitch_Coef!$A:$B,2,FALSE),0),0)+IF(ISNUMBER(SEARCH("CB",H684)),IFNA(VLOOKUP("CB",Pitch_Coef!$A:$B,2,FALSE),0),0)+IF(ISNUMBER(SEARCH("CF",H684)),IFNA(VLOOKUP("CF",Pitch_Coef!$A:$B,2,FALSE),0),0)+IF(ISNUMBER(SEARCH("CH",H684)),IFNA(VLOOKUP("CH",Pitch_Coef!$A:$B,2,FALSE),0),0)+IF(ISNUMBER(SEARCH("FK",H684)),IFNA(VLOOKUP("FK",Pitch_Coef!$A:$B,2,FALSE),0),0)+IF(ISNUMBER(SEARCH("SB",H684)),IFNA(VLOOKUP("SB",Pitch_Coef!$A:$B,2,FALSE),0),0)+IF(ISNUMBER(SEARCH("SL",H684)),IFNA(VLOOKUP("SL",Pitch_Coef!$A:$B,2,FALSE),0),0),0)</f>
        <v/>
      </c>
      <c r="AA684">
        <f>IF(Q684="P",16.5944849573+0.2529999141*N684+0.2665900378*O684+0.2632687105*P684+0.0427586837*I684+0.0534777057*J684+0.009015832*K684+0.0204898106*(O684*P684/100)+1.0091022427*U684+1.0968542297*IF(D684="L",1,0)+0.3771555045*IF(D684="S",1,0)-0.2226159177*IF(E684="L",1,0)+1.21385024*R684-1.1652812274*S684+W684+X684+Z684,10.5965166711+0.2825983581*I684+0.2806503532*J684+0.2027213083*K684+0.1147824982*L684+0.0915305332*M684-0.0088454122*(I684*J684/100)-0.0336045706*(K684*L684/100)+2.8497389733*IF(D684="L",1,0)+4.5116226727*IF(D684="S",1,0)-0.6571546448*IF(E684="L",1,0)+0.0850728147*T684+0.0129488446*(T684*T684)+0.1909373936*IF(OR(F684="Utility",G684="Utility"),T684,0)+0.9656824071*R684-1.7517683256*S684+W684+X684+Y684)</f>
        <v/>
      </c>
      <c r="AB684">
        <f>LOOKUP(AA684,Grade_Scale!$A$2:$A$18,Grade_Scale!$B$2:$B$18)</f>
        <v/>
      </c>
      <c r="AC684">
        <f>LOOKUP(AA684,Grade_Scale!$A$2:$A$18,Grade_Scale!$C$2:$C$18)</f>
        <v/>
      </c>
      <c r="AE684">
        <f>IF(AD684="","",AB684-VLOOKUP(AD684,Grade_Scale!$C$2:$E$18,3,FALSE))</f>
        <v/>
      </c>
    </row>
    <row r="685">
      <c r="Q685">
        <f>IF(OR(B685="SP",B685="RP",B685="CP",B685="SP/RP"),"P","H")</f>
        <v/>
      </c>
      <c r="R685">
        <f>IF(F685="",0,IFNA(VLOOKUP(F685,Trait_Polarity!$A:$C,2,FALSE),0))+IF(G685="",0,IFNA(VLOOKUP(G685,Trait_Polarity!$A:$C,2,FALSE),0))</f>
        <v/>
      </c>
      <c r="S685">
        <f>IF(F685="",0,IFNA(VLOOKUP(F685,Trait_Polarity!$A:$C,3,FALSE),0))+IF(G685="",0,IFNA(VLOOKUP(G685,Trait_Polarity!$A:$C,3,FALSE),0))</f>
        <v/>
      </c>
      <c r="T685">
        <f>IF(Q685="P",0,IFNA(VLOOKUP(IF(C685="","(none)",C685),Secondary_Versatility!$A:$B,2,FALSE),0))</f>
        <v/>
      </c>
      <c r="U685">
        <f>IF(H685="",0,LEN(H685)-LEN(SUBSTITUTE(H685,"|",""))+1)</f>
        <v/>
      </c>
      <c r="V685">
        <f>IF(Q685="P",(N685+O685+P685)/3,0.3*I685+0.3*J685+0.2*K685+0.1*L685+0.1*M685)</f>
        <v/>
      </c>
      <c r="W685">
        <f>IF(Q685="P",IF(F685="",0,IFNA(VLOOKUP(F685,Pitcher_Trait_Coef!$A:$B,2,FALSE),0))+IF(G685="",0,IFNA(VLOOKUP(G685,Pitcher_Trait_Coef!$A:$B,2,FALSE),0)),IF(F685="",0,IFNA(VLOOKUP(F685,Hitter_Trait_Coef!$A:$B,2,FALSE),0))+IF(G685="",0,IFNA(VLOOKUP(G685,Hitter_Trait_Coef!$A:$B,2,FALSE),0)))</f>
        <v/>
      </c>
      <c r="X685">
        <f>IF(Q685="P",IFNA(VLOOKUP(B685,Pitcher_Primary_Coef!$A:$B,2,FALSE),0),IFNA(VLOOKUP(B685,Hitter_Primary_Coef!$A:$B,2,FALSE),0))</f>
        <v/>
      </c>
      <c r="Y685">
        <f>IF(Q685="P",0,IFNA(VLOOKUP(IF(C685="","(none)",C685),Hitter_Secondary_Coef!$A:$B,2,FALSE),0))</f>
        <v/>
      </c>
      <c r="Z685">
        <f>IF(Q685="P",IF(ISNUMBER(SEARCH("2F",H685)),IFNA(VLOOKUP("2F",Pitch_Coef!$A:$B,2,FALSE),0),0)+IF(ISNUMBER(SEARCH("4F",H685)),IFNA(VLOOKUP("4F",Pitch_Coef!$A:$B,2,FALSE),0),0)+IF(ISNUMBER(SEARCH("CB",H685)),IFNA(VLOOKUP("CB",Pitch_Coef!$A:$B,2,FALSE),0),0)+IF(ISNUMBER(SEARCH("CF",H685)),IFNA(VLOOKUP("CF",Pitch_Coef!$A:$B,2,FALSE),0),0)+IF(ISNUMBER(SEARCH("CH",H685)),IFNA(VLOOKUP("CH",Pitch_Coef!$A:$B,2,FALSE),0),0)+IF(ISNUMBER(SEARCH("FK",H685)),IFNA(VLOOKUP("FK",Pitch_Coef!$A:$B,2,FALSE),0),0)+IF(ISNUMBER(SEARCH("SB",H685)),IFNA(VLOOKUP("SB",Pitch_Coef!$A:$B,2,FALSE),0),0)+IF(ISNUMBER(SEARCH("SL",H685)),IFNA(VLOOKUP("SL",Pitch_Coef!$A:$B,2,FALSE),0),0),0)</f>
        <v/>
      </c>
      <c r="AA685">
        <f>IF(Q685="P",16.5944849573+0.2529999141*N685+0.2665900378*O685+0.2632687105*P685+0.0427586837*I685+0.0534777057*J685+0.009015832*K685+0.0204898106*(O685*P685/100)+1.0091022427*U685+1.0968542297*IF(D685="L",1,0)+0.3771555045*IF(D685="S",1,0)-0.2226159177*IF(E685="L",1,0)+1.21385024*R685-1.1652812274*S685+W685+X685+Z685,10.5965166711+0.2825983581*I685+0.2806503532*J685+0.2027213083*K685+0.1147824982*L685+0.0915305332*M685-0.0088454122*(I685*J685/100)-0.0336045706*(K685*L685/100)+2.8497389733*IF(D685="L",1,0)+4.5116226727*IF(D685="S",1,0)-0.6571546448*IF(E685="L",1,0)+0.0850728147*T685+0.0129488446*(T685*T685)+0.1909373936*IF(OR(F685="Utility",G685="Utility"),T685,0)+0.9656824071*R685-1.7517683256*S685+W685+X685+Y685)</f>
        <v/>
      </c>
      <c r="AB685">
        <f>LOOKUP(AA685,Grade_Scale!$A$2:$A$18,Grade_Scale!$B$2:$B$18)</f>
        <v/>
      </c>
      <c r="AC685">
        <f>LOOKUP(AA685,Grade_Scale!$A$2:$A$18,Grade_Scale!$C$2:$C$18)</f>
        <v/>
      </c>
      <c r="AE685">
        <f>IF(AD685="","",AB685-VLOOKUP(AD685,Grade_Scale!$C$2:$E$18,3,FALSE))</f>
        <v/>
      </c>
    </row>
    <row r="686">
      <c r="Q686">
        <f>IF(OR(B686="SP",B686="RP",B686="CP",B686="SP/RP"),"P","H")</f>
        <v/>
      </c>
      <c r="R686">
        <f>IF(F686="",0,IFNA(VLOOKUP(F686,Trait_Polarity!$A:$C,2,FALSE),0))+IF(G686="",0,IFNA(VLOOKUP(G686,Trait_Polarity!$A:$C,2,FALSE),0))</f>
        <v/>
      </c>
      <c r="S686">
        <f>IF(F686="",0,IFNA(VLOOKUP(F686,Trait_Polarity!$A:$C,3,FALSE),0))+IF(G686="",0,IFNA(VLOOKUP(G686,Trait_Polarity!$A:$C,3,FALSE),0))</f>
        <v/>
      </c>
      <c r="T686">
        <f>IF(Q686="P",0,IFNA(VLOOKUP(IF(C686="","(none)",C686),Secondary_Versatility!$A:$B,2,FALSE),0))</f>
        <v/>
      </c>
      <c r="U686">
        <f>IF(H686="",0,LEN(H686)-LEN(SUBSTITUTE(H686,"|",""))+1)</f>
        <v/>
      </c>
      <c r="V686">
        <f>IF(Q686="P",(N686+O686+P686)/3,0.3*I686+0.3*J686+0.2*K686+0.1*L686+0.1*M686)</f>
        <v/>
      </c>
      <c r="W686">
        <f>IF(Q686="P",IF(F686="",0,IFNA(VLOOKUP(F686,Pitcher_Trait_Coef!$A:$B,2,FALSE),0))+IF(G686="",0,IFNA(VLOOKUP(G686,Pitcher_Trait_Coef!$A:$B,2,FALSE),0)),IF(F686="",0,IFNA(VLOOKUP(F686,Hitter_Trait_Coef!$A:$B,2,FALSE),0))+IF(G686="",0,IFNA(VLOOKUP(G686,Hitter_Trait_Coef!$A:$B,2,FALSE),0)))</f>
        <v/>
      </c>
      <c r="X686">
        <f>IF(Q686="P",IFNA(VLOOKUP(B686,Pitcher_Primary_Coef!$A:$B,2,FALSE),0),IFNA(VLOOKUP(B686,Hitter_Primary_Coef!$A:$B,2,FALSE),0))</f>
        <v/>
      </c>
      <c r="Y686">
        <f>IF(Q686="P",0,IFNA(VLOOKUP(IF(C686="","(none)",C686),Hitter_Secondary_Coef!$A:$B,2,FALSE),0))</f>
        <v/>
      </c>
      <c r="Z686">
        <f>IF(Q686="P",IF(ISNUMBER(SEARCH("2F",H686)),IFNA(VLOOKUP("2F",Pitch_Coef!$A:$B,2,FALSE),0),0)+IF(ISNUMBER(SEARCH("4F",H686)),IFNA(VLOOKUP("4F",Pitch_Coef!$A:$B,2,FALSE),0),0)+IF(ISNUMBER(SEARCH("CB",H686)),IFNA(VLOOKUP("CB",Pitch_Coef!$A:$B,2,FALSE),0),0)+IF(ISNUMBER(SEARCH("CF",H686)),IFNA(VLOOKUP("CF",Pitch_Coef!$A:$B,2,FALSE),0),0)+IF(ISNUMBER(SEARCH("CH",H686)),IFNA(VLOOKUP("CH",Pitch_Coef!$A:$B,2,FALSE),0),0)+IF(ISNUMBER(SEARCH("FK",H686)),IFNA(VLOOKUP("FK",Pitch_Coef!$A:$B,2,FALSE),0),0)+IF(ISNUMBER(SEARCH("SB",H686)),IFNA(VLOOKUP("SB",Pitch_Coef!$A:$B,2,FALSE),0),0)+IF(ISNUMBER(SEARCH("SL",H686)),IFNA(VLOOKUP("SL",Pitch_Coef!$A:$B,2,FALSE),0),0),0)</f>
        <v/>
      </c>
      <c r="AA686">
        <f>IF(Q686="P",16.5944849573+0.2529999141*N686+0.2665900378*O686+0.2632687105*P686+0.0427586837*I686+0.0534777057*J686+0.009015832*K686+0.0204898106*(O686*P686/100)+1.0091022427*U686+1.0968542297*IF(D686="L",1,0)+0.3771555045*IF(D686="S",1,0)-0.2226159177*IF(E686="L",1,0)+1.21385024*R686-1.1652812274*S686+W686+X686+Z686,10.5965166711+0.2825983581*I686+0.2806503532*J686+0.2027213083*K686+0.1147824982*L686+0.0915305332*M686-0.0088454122*(I686*J686/100)-0.0336045706*(K686*L686/100)+2.8497389733*IF(D686="L",1,0)+4.5116226727*IF(D686="S",1,0)-0.6571546448*IF(E686="L",1,0)+0.0850728147*T686+0.0129488446*(T686*T686)+0.1909373936*IF(OR(F686="Utility",G686="Utility"),T686,0)+0.9656824071*R686-1.7517683256*S686+W686+X686+Y686)</f>
        <v/>
      </c>
      <c r="AB686">
        <f>LOOKUP(AA686,Grade_Scale!$A$2:$A$18,Grade_Scale!$B$2:$B$18)</f>
        <v/>
      </c>
      <c r="AC686">
        <f>LOOKUP(AA686,Grade_Scale!$A$2:$A$18,Grade_Scale!$C$2:$C$18)</f>
        <v/>
      </c>
      <c r="AE686">
        <f>IF(AD686="","",AB686-VLOOKUP(AD686,Grade_Scale!$C$2:$E$18,3,FALSE))</f>
        <v/>
      </c>
    </row>
    <row r="687">
      <c r="Q687">
        <f>IF(OR(B687="SP",B687="RP",B687="CP",B687="SP/RP"),"P","H")</f>
        <v/>
      </c>
      <c r="R687">
        <f>IF(F687="",0,IFNA(VLOOKUP(F687,Trait_Polarity!$A:$C,2,FALSE),0))+IF(G687="",0,IFNA(VLOOKUP(G687,Trait_Polarity!$A:$C,2,FALSE),0))</f>
        <v/>
      </c>
      <c r="S687">
        <f>IF(F687="",0,IFNA(VLOOKUP(F687,Trait_Polarity!$A:$C,3,FALSE),0))+IF(G687="",0,IFNA(VLOOKUP(G687,Trait_Polarity!$A:$C,3,FALSE),0))</f>
        <v/>
      </c>
      <c r="T687">
        <f>IF(Q687="P",0,IFNA(VLOOKUP(IF(C687="","(none)",C687),Secondary_Versatility!$A:$B,2,FALSE),0))</f>
        <v/>
      </c>
      <c r="U687">
        <f>IF(H687="",0,LEN(H687)-LEN(SUBSTITUTE(H687,"|",""))+1)</f>
        <v/>
      </c>
      <c r="V687">
        <f>IF(Q687="P",(N687+O687+P687)/3,0.3*I687+0.3*J687+0.2*K687+0.1*L687+0.1*M687)</f>
        <v/>
      </c>
      <c r="W687">
        <f>IF(Q687="P",IF(F687="",0,IFNA(VLOOKUP(F687,Pitcher_Trait_Coef!$A:$B,2,FALSE),0))+IF(G687="",0,IFNA(VLOOKUP(G687,Pitcher_Trait_Coef!$A:$B,2,FALSE),0)),IF(F687="",0,IFNA(VLOOKUP(F687,Hitter_Trait_Coef!$A:$B,2,FALSE),0))+IF(G687="",0,IFNA(VLOOKUP(G687,Hitter_Trait_Coef!$A:$B,2,FALSE),0)))</f>
        <v/>
      </c>
      <c r="X687">
        <f>IF(Q687="P",IFNA(VLOOKUP(B687,Pitcher_Primary_Coef!$A:$B,2,FALSE),0),IFNA(VLOOKUP(B687,Hitter_Primary_Coef!$A:$B,2,FALSE),0))</f>
        <v/>
      </c>
      <c r="Y687">
        <f>IF(Q687="P",0,IFNA(VLOOKUP(IF(C687="","(none)",C687),Hitter_Secondary_Coef!$A:$B,2,FALSE),0))</f>
        <v/>
      </c>
      <c r="Z687">
        <f>IF(Q687="P",IF(ISNUMBER(SEARCH("2F",H687)),IFNA(VLOOKUP("2F",Pitch_Coef!$A:$B,2,FALSE),0),0)+IF(ISNUMBER(SEARCH("4F",H687)),IFNA(VLOOKUP("4F",Pitch_Coef!$A:$B,2,FALSE),0),0)+IF(ISNUMBER(SEARCH("CB",H687)),IFNA(VLOOKUP("CB",Pitch_Coef!$A:$B,2,FALSE),0),0)+IF(ISNUMBER(SEARCH("CF",H687)),IFNA(VLOOKUP("CF",Pitch_Coef!$A:$B,2,FALSE),0),0)+IF(ISNUMBER(SEARCH("CH",H687)),IFNA(VLOOKUP("CH",Pitch_Coef!$A:$B,2,FALSE),0),0)+IF(ISNUMBER(SEARCH("FK",H687)),IFNA(VLOOKUP("FK",Pitch_Coef!$A:$B,2,FALSE),0),0)+IF(ISNUMBER(SEARCH("SB",H687)),IFNA(VLOOKUP("SB",Pitch_Coef!$A:$B,2,FALSE),0),0)+IF(ISNUMBER(SEARCH("SL",H687)),IFNA(VLOOKUP("SL",Pitch_Coef!$A:$B,2,FALSE),0),0),0)</f>
        <v/>
      </c>
      <c r="AA687">
        <f>IF(Q687="P",16.5944849573+0.2529999141*N687+0.2665900378*O687+0.2632687105*P687+0.0427586837*I687+0.0534777057*J687+0.009015832*K687+0.0204898106*(O687*P687/100)+1.0091022427*U687+1.0968542297*IF(D687="L",1,0)+0.3771555045*IF(D687="S",1,0)-0.2226159177*IF(E687="L",1,0)+1.21385024*R687-1.1652812274*S687+W687+X687+Z687,10.5965166711+0.2825983581*I687+0.2806503532*J687+0.2027213083*K687+0.1147824982*L687+0.0915305332*M687-0.0088454122*(I687*J687/100)-0.0336045706*(K687*L687/100)+2.8497389733*IF(D687="L",1,0)+4.5116226727*IF(D687="S",1,0)-0.6571546448*IF(E687="L",1,0)+0.0850728147*T687+0.0129488446*(T687*T687)+0.1909373936*IF(OR(F687="Utility",G687="Utility"),T687,0)+0.9656824071*R687-1.7517683256*S687+W687+X687+Y687)</f>
        <v/>
      </c>
      <c r="AB687">
        <f>LOOKUP(AA687,Grade_Scale!$A$2:$A$18,Grade_Scale!$B$2:$B$18)</f>
        <v/>
      </c>
      <c r="AC687">
        <f>LOOKUP(AA687,Grade_Scale!$A$2:$A$18,Grade_Scale!$C$2:$C$18)</f>
        <v/>
      </c>
      <c r="AE687">
        <f>IF(AD687="","",AB687-VLOOKUP(AD687,Grade_Scale!$C$2:$E$18,3,FALSE))</f>
        <v/>
      </c>
    </row>
    <row r="688">
      <c r="Q688">
        <f>IF(OR(B688="SP",B688="RP",B688="CP",B688="SP/RP"),"P","H")</f>
        <v/>
      </c>
      <c r="R688">
        <f>IF(F688="",0,IFNA(VLOOKUP(F688,Trait_Polarity!$A:$C,2,FALSE),0))+IF(G688="",0,IFNA(VLOOKUP(G688,Trait_Polarity!$A:$C,2,FALSE),0))</f>
        <v/>
      </c>
      <c r="S688">
        <f>IF(F688="",0,IFNA(VLOOKUP(F688,Trait_Polarity!$A:$C,3,FALSE),0))+IF(G688="",0,IFNA(VLOOKUP(G688,Trait_Polarity!$A:$C,3,FALSE),0))</f>
        <v/>
      </c>
      <c r="T688">
        <f>IF(Q688="P",0,IFNA(VLOOKUP(IF(C688="","(none)",C688),Secondary_Versatility!$A:$B,2,FALSE),0))</f>
        <v/>
      </c>
      <c r="U688">
        <f>IF(H688="",0,LEN(H688)-LEN(SUBSTITUTE(H688,"|",""))+1)</f>
        <v/>
      </c>
      <c r="V688">
        <f>IF(Q688="P",(N688+O688+P688)/3,0.3*I688+0.3*J688+0.2*K688+0.1*L688+0.1*M688)</f>
        <v/>
      </c>
      <c r="W688">
        <f>IF(Q688="P",IF(F688="",0,IFNA(VLOOKUP(F688,Pitcher_Trait_Coef!$A:$B,2,FALSE),0))+IF(G688="",0,IFNA(VLOOKUP(G688,Pitcher_Trait_Coef!$A:$B,2,FALSE),0)),IF(F688="",0,IFNA(VLOOKUP(F688,Hitter_Trait_Coef!$A:$B,2,FALSE),0))+IF(G688="",0,IFNA(VLOOKUP(G688,Hitter_Trait_Coef!$A:$B,2,FALSE),0)))</f>
        <v/>
      </c>
      <c r="X688">
        <f>IF(Q688="P",IFNA(VLOOKUP(B688,Pitcher_Primary_Coef!$A:$B,2,FALSE),0),IFNA(VLOOKUP(B688,Hitter_Primary_Coef!$A:$B,2,FALSE),0))</f>
        <v/>
      </c>
      <c r="Y688">
        <f>IF(Q688="P",0,IFNA(VLOOKUP(IF(C688="","(none)",C688),Hitter_Secondary_Coef!$A:$B,2,FALSE),0))</f>
        <v/>
      </c>
      <c r="Z688">
        <f>IF(Q688="P",IF(ISNUMBER(SEARCH("2F",H688)),IFNA(VLOOKUP("2F",Pitch_Coef!$A:$B,2,FALSE),0),0)+IF(ISNUMBER(SEARCH("4F",H688)),IFNA(VLOOKUP("4F",Pitch_Coef!$A:$B,2,FALSE),0),0)+IF(ISNUMBER(SEARCH("CB",H688)),IFNA(VLOOKUP("CB",Pitch_Coef!$A:$B,2,FALSE),0),0)+IF(ISNUMBER(SEARCH("CF",H688)),IFNA(VLOOKUP("CF",Pitch_Coef!$A:$B,2,FALSE),0),0)+IF(ISNUMBER(SEARCH("CH",H688)),IFNA(VLOOKUP("CH",Pitch_Coef!$A:$B,2,FALSE),0),0)+IF(ISNUMBER(SEARCH("FK",H688)),IFNA(VLOOKUP("FK",Pitch_Coef!$A:$B,2,FALSE),0),0)+IF(ISNUMBER(SEARCH("SB",H688)),IFNA(VLOOKUP("SB",Pitch_Coef!$A:$B,2,FALSE),0),0)+IF(ISNUMBER(SEARCH("SL",H688)),IFNA(VLOOKUP("SL",Pitch_Coef!$A:$B,2,FALSE),0),0),0)</f>
        <v/>
      </c>
      <c r="AA688">
        <f>IF(Q688="P",16.5944849573+0.2529999141*N688+0.2665900378*O688+0.2632687105*P688+0.0427586837*I688+0.0534777057*J688+0.009015832*K688+0.0204898106*(O688*P688/100)+1.0091022427*U688+1.0968542297*IF(D688="L",1,0)+0.3771555045*IF(D688="S",1,0)-0.2226159177*IF(E688="L",1,0)+1.21385024*R688-1.1652812274*S688+W688+X688+Z688,10.5965166711+0.2825983581*I688+0.2806503532*J688+0.2027213083*K688+0.1147824982*L688+0.0915305332*M688-0.0088454122*(I688*J688/100)-0.0336045706*(K688*L688/100)+2.8497389733*IF(D688="L",1,0)+4.5116226727*IF(D688="S",1,0)-0.6571546448*IF(E688="L",1,0)+0.0850728147*T688+0.0129488446*(T688*T688)+0.1909373936*IF(OR(F688="Utility",G688="Utility"),T688,0)+0.9656824071*R688-1.7517683256*S688+W688+X688+Y688)</f>
        <v/>
      </c>
      <c r="AB688">
        <f>LOOKUP(AA688,Grade_Scale!$A$2:$A$18,Grade_Scale!$B$2:$B$18)</f>
        <v/>
      </c>
      <c r="AC688">
        <f>LOOKUP(AA688,Grade_Scale!$A$2:$A$18,Grade_Scale!$C$2:$C$18)</f>
        <v/>
      </c>
      <c r="AE688">
        <f>IF(AD688="","",AB688-VLOOKUP(AD688,Grade_Scale!$C$2:$E$18,3,FALSE))</f>
        <v/>
      </c>
    </row>
    <row r="689">
      <c r="Q689">
        <f>IF(OR(B689="SP",B689="RP",B689="CP",B689="SP/RP"),"P","H")</f>
        <v/>
      </c>
      <c r="R689">
        <f>IF(F689="",0,IFNA(VLOOKUP(F689,Trait_Polarity!$A:$C,2,FALSE),0))+IF(G689="",0,IFNA(VLOOKUP(G689,Trait_Polarity!$A:$C,2,FALSE),0))</f>
        <v/>
      </c>
      <c r="S689">
        <f>IF(F689="",0,IFNA(VLOOKUP(F689,Trait_Polarity!$A:$C,3,FALSE),0))+IF(G689="",0,IFNA(VLOOKUP(G689,Trait_Polarity!$A:$C,3,FALSE),0))</f>
        <v/>
      </c>
      <c r="T689">
        <f>IF(Q689="P",0,IFNA(VLOOKUP(IF(C689="","(none)",C689),Secondary_Versatility!$A:$B,2,FALSE),0))</f>
        <v/>
      </c>
      <c r="U689">
        <f>IF(H689="",0,LEN(H689)-LEN(SUBSTITUTE(H689,"|",""))+1)</f>
        <v/>
      </c>
      <c r="V689">
        <f>IF(Q689="P",(N689+O689+P689)/3,0.3*I689+0.3*J689+0.2*K689+0.1*L689+0.1*M689)</f>
        <v/>
      </c>
      <c r="W689">
        <f>IF(Q689="P",IF(F689="",0,IFNA(VLOOKUP(F689,Pitcher_Trait_Coef!$A:$B,2,FALSE),0))+IF(G689="",0,IFNA(VLOOKUP(G689,Pitcher_Trait_Coef!$A:$B,2,FALSE),0)),IF(F689="",0,IFNA(VLOOKUP(F689,Hitter_Trait_Coef!$A:$B,2,FALSE),0))+IF(G689="",0,IFNA(VLOOKUP(G689,Hitter_Trait_Coef!$A:$B,2,FALSE),0)))</f>
        <v/>
      </c>
      <c r="X689">
        <f>IF(Q689="P",IFNA(VLOOKUP(B689,Pitcher_Primary_Coef!$A:$B,2,FALSE),0),IFNA(VLOOKUP(B689,Hitter_Primary_Coef!$A:$B,2,FALSE),0))</f>
        <v/>
      </c>
      <c r="Y689">
        <f>IF(Q689="P",0,IFNA(VLOOKUP(IF(C689="","(none)",C689),Hitter_Secondary_Coef!$A:$B,2,FALSE),0))</f>
        <v/>
      </c>
      <c r="Z689">
        <f>IF(Q689="P",IF(ISNUMBER(SEARCH("2F",H689)),IFNA(VLOOKUP("2F",Pitch_Coef!$A:$B,2,FALSE),0),0)+IF(ISNUMBER(SEARCH("4F",H689)),IFNA(VLOOKUP("4F",Pitch_Coef!$A:$B,2,FALSE),0),0)+IF(ISNUMBER(SEARCH("CB",H689)),IFNA(VLOOKUP("CB",Pitch_Coef!$A:$B,2,FALSE),0),0)+IF(ISNUMBER(SEARCH("CF",H689)),IFNA(VLOOKUP("CF",Pitch_Coef!$A:$B,2,FALSE),0),0)+IF(ISNUMBER(SEARCH("CH",H689)),IFNA(VLOOKUP("CH",Pitch_Coef!$A:$B,2,FALSE),0),0)+IF(ISNUMBER(SEARCH("FK",H689)),IFNA(VLOOKUP("FK",Pitch_Coef!$A:$B,2,FALSE),0),0)+IF(ISNUMBER(SEARCH("SB",H689)),IFNA(VLOOKUP("SB",Pitch_Coef!$A:$B,2,FALSE),0),0)+IF(ISNUMBER(SEARCH("SL",H689)),IFNA(VLOOKUP("SL",Pitch_Coef!$A:$B,2,FALSE),0),0),0)</f>
        <v/>
      </c>
      <c r="AA689">
        <f>IF(Q689="P",16.5944849573+0.2529999141*N689+0.2665900378*O689+0.2632687105*P689+0.0427586837*I689+0.0534777057*J689+0.009015832*K689+0.0204898106*(O689*P689/100)+1.0091022427*U689+1.0968542297*IF(D689="L",1,0)+0.3771555045*IF(D689="S",1,0)-0.2226159177*IF(E689="L",1,0)+1.21385024*R689-1.1652812274*S689+W689+X689+Z689,10.5965166711+0.2825983581*I689+0.2806503532*J689+0.2027213083*K689+0.1147824982*L689+0.0915305332*M689-0.0088454122*(I689*J689/100)-0.0336045706*(K689*L689/100)+2.8497389733*IF(D689="L",1,0)+4.5116226727*IF(D689="S",1,0)-0.6571546448*IF(E689="L",1,0)+0.0850728147*T689+0.0129488446*(T689*T689)+0.1909373936*IF(OR(F689="Utility",G689="Utility"),T689,0)+0.9656824071*R689-1.7517683256*S689+W689+X689+Y689)</f>
        <v/>
      </c>
      <c r="AB689">
        <f>LOOKUP(AA689,Grade_Scale!$A$2:$A$18,Grade_Scale!$B$2:$B$18)</f>
        <v/>
      </c>
      <c r="AC689">
        <f>LOOKUP(AA689,Grade_Scale!$A$2:$A$18,Grade_Scale!$C$2:$C$18)</f>
        <v/>
      </c>
      <c r="AE689">
        <f>IF(AD689="","",AB689-VLOOKUP(AD689,Grade_Scale!$C$2:$E$18,3,FALSE))</f>
        <v/>
      </c>
    </row>
    <row r="690">
      <c r="Q690">
        <f>IF(OR(B690="SP",B690="RP",B690="CP",B690="SP/RP"),"P","H")</f>
        <v/>
      </c>
      <c r="R690">
        <f>IF(F690="",0,IFNA(VLOOKUP(F690,Trait_Polarity!$A:$C,2,FALSE),0))+IF(G690="",0,IFNA(VLOOKUP(G690,Trait_Polarity!$A:$C,2,FALSE),0))</f>
        <v/>
      </c>
      <c r="S690">
        <f>IF(F690="",0,IFNA(VLOOKUP(F690,Trait_Polarity!$A:$C,3,FALSE),0))+IF(G690="",0,IFNA(VLOOKUP(G690,Trait_Polarity!$A:$C,3,FALSE),0))</f>
        <v/>
      </c>
      <c r="T690">
        <f>IF(Q690="P",0,IFNA(VLOOKUP(IF(C690="","(none)",C690),Secondary_Versatility!$A:$B,2,FALSE),0))</f>
        <v/>
      </c>
      <c r="U690">
        <f>IF(H690="",0,LEN(H690)-LEN(SUBSTITUTE(H690,"|",""))+1)</f>
        <v/>
      </c>
      <c r="V690">
        <f>IF(Q690="P",(N690+O690+P690)/3,0.3*I690+0.3*J690+0.2*K690+0.1*L690+0.1*M690)</f>
        <v/>
      </c>
      <c r="W690">
        <f>IF(Q690="P",IF(F690="",0,IFNA(VLOOKUP(F690,Pitcher_Trait_Coef!$A:$B,2,FALSE),0))+IF(G690="",0,IFNA(VLOOKUP(G690,Pitcher_Trait_Coef!$A:$B,2,FALSE),0)),IF(F690="",0,IFNA(VLOOKUP(F690,Hitter_Trait_Coef!$A:$B,2,FALSE),0))+IF(G690="",0,IFNA(VLOOKUP(G690,Hitter_Trait_Coef!$A:$B,2,FALSE),0)))</f>
        <v/>
      </c>
      <c r="X690">
        <f>IF(Q690="P",IFNA(VLOOKUP(B690,Pitcher_Primary_Coef!$A:$B,2,FALSE),0),IFNA(VLOOKUP(B690,Hitter_Primary_Coef!$A:$B,2,FALSE),0))</f>
        <v/>
      </c>
      <c r="Y690">
        <f>IF(Q690="P",0,IFNA(VLOOKUP(IF(C690="","(none)",C690),Hitter_Secondary_Coef!$A:$B,2,FALSE),0))</f>
        <v/>
      </c>
      <c r="Z690">
        <f>IF(Q690="P",IF(ISNUMBER(SEARCH("2F",H690)),IFNA(VLOOKUP("2F",Pitch_Coef!$A:$B,2,FALSE),0),0)+IF(ISNUMBER(SEARCH("4F",H690)),IFNA(VLOOKUP("4F",Pitch_Coef!$A:$B,2,FALSE),0),0)+IF(ISNUMBER(SEARCH("CB",H690)),IFNA(VLOOKUP("CB",Pitch_Coef!$A:$B,2,FALSE),0),0)+IF(ISNUMBER(SEARCH("CF",H690)),IFNA(VLOOKUP("CF",Pitch_Coef!$A:$B,2,FALSE),0),0)+IF(ISNUMBER(SEARCH("CH",H690)),IFNA(VLOOKUP("CH",Pitch_Coef!$A:$B,2,FALSE),0),0)+IF(ISNUMBER(SEARCH("FK",H690)),IFNA(VLOOKUP("FK",Pitch_Coef!$A:$B,2,FALSE),0),0)+IF(ISNUMBER(SEARCH("SB",H690)),IFNA(VLOOKUP("SB",Pitch_Coef!$A:$B,2,FALSE),0),0)+IF(ISNUMBER(SEARCH("SL",H690)),IFNA(VLOOKUP("SL",Pitch_Coef!$A:$B,2,FALSE),0),0),0)</f>
        <v/>
      </c>
      <c r="AA690">
        <f>IF(Q690="P",16.5944849573+0.2529999141*N690+0.2665900378*O690+0.2632687105*P690+0.0427586837*I690+0.0534777057*J690+0.009015832*K690+0.0204898106*(O690*P690/100)+1.0091022427*U690+1.0968542297*IF(D690="L",1,0)+0.3771555045*IF(D690="S",1,0)-0.2226159177*IF(E690="L",1,0)+1.21385024*R690-1.1652812274*S690+W690+X690+Z690,10.5965166711+0.2825983581*I690+0.2806503532*J690+0.2027213083*K690+0.1147824982*L690+0.0915305332*M690-0.0088454122*(I690*J690/100)-0.0336045706*(K690*L690/100)+2.8497389733*IF(D690="L",1,0)+4.5116226727*IF(D690="S",1,0)-0.6571546448*IF(E690="L",1,0)+0.0850728147*T690+0.0129488446*(T690*T690)+0.1909373936*IF(OR(F690="Utility",G690="Utility"),T690,0)+0.9656824071*R690-1.7517683256*S690+W690+X690+Y690)</f>
        <v/>
      </c>
      <c r="AB690">
        <f>LOOKUP(AA690,Grade_Scale!$A$2:$A$18,Grade_Scale!$B$2:$B$18)</f>
        <v/>
      </c>
      <c r="AC690">
        <f>LOOKUP(AA690,Grade_Scale!$A$2:$A$18,Grade_Scale!$C$2:$C$18)</f>
        <v/>
      </c>
      <c r="AE690">
        <f>IF(AD690="","",AB690-VLOOKUP(AD690,Grade_Scale!$C$2:$E$18,3,FALSE))</f>
        <v/>
      </c>
    </row>
    <row r="691">
      <c r="Q691">
        <f>IF(OR(B691="SP",B691="RP",B691="CP",B691="SP/RP"),"P","H")</f>
        <v/>
      </c>
      <c r="R691">
        <f>IF(F691="",0,IFNA(VLOOKUP(F691,Trait_Polarity!$A:$C,2,FALSE),0))+IF(G691="",0,IFNA(VLOOKUP(G691,Trait_Polarity!$A:$C,2,FALSE),0))</f>
        <v/>
      </c>
      <c r="S691">
        <f>IF(F691="",0,IFNA(VLOOKUP(F691,Trait_Polarity!$A:$C,3,FALSE),0))+IF(G691="",0,IFNA(VLOOKUP(G691,Trait_Polarity!$A:$C,3,FALSE),0))</f>
        <v/>
      </c>
      <c r="T691">
        <f>IF(Q691="P",0,IFNA(VLOOKUP(IF(C691="","(none)",C691),Secondary_Versatility!$A:$B,2,FALSE),0))</f>
        <v/>
      </c>
      <c r="U691">
        <f>IF(H691="",0,LEN(H691)-LEN(SUBSTITUTE(H691,"|",""))+1)</f>
        <v/>
      </c>
      <c r="V691">
        <f>IF(Q691="P",(N691+O691+P691)/3,0.3*I691+0.3*J691+0.2*K691+0.1*L691+0.1*M691)</f>
        <v/>
      </c>
      <c r="W691">
        <f>IF(Q691="P",IF(F691="",0,IFNA(VLOOKUP(F691,Pitcher_Trait_Coef!$A:$B,2,FALSE),0))+IF(G691="",0,IFNA(VLOOKUP(G691,Pitcher_Trait_Coef!$A:$B,2,FALSE),0)),IF(F691="",0,IFNA(VLOOKUP(F691,Hitter_Trait_Coef!$A:$B,2,FALSE),0))+IF(G691="",0,IFNA(VLOOKUP(G691,Hitter_Trait_Coef!$A:$B,2,FALSE),0)))</f>
        <v/>
      </c>
      <c r="X691">
        <f>IF(Q691="P",IFNA(VLOOKUP(B691,Pitcher_Primary_Coef!$A:$B,2,FALSE),0),IFNA(VLOOKUP(B691,Hitter_Primary_Coef!$A:$B,2,FALSE),0))</f>
        <v/>
      </c>
      <c r="Y691">
        <f>IF(Q691="P",0,IFNA(VLOOKUP(IF(C691="","(none)",C691),Hitter_Secondary_Coef!$A:$B,2,FALSE),0))</f>
        <v/>
      </c>
      <c r="Z691">
        <f>IF(Q691="P",IF(ISNUMBER(SEARCH("2F",H691)),IFNA(VLOOKUP("2F",Pitch_Coef!$A:$B,2,FALSE),0),0)+IF(ISNUMBER(SEARCH("4F",H691)),IFNA(VLOOKUP("4F",Pitch_Coef!$A:$B,2,FALSE),0),0)+IF(ISNUMBER(SEARCH("CB",H691)),IFNA(VLOOKUP("CB",Pitch_Coef!$A:$B,2,FALSE),0),0)+IF(ISNUMBER(SEARCH("CF",H691)),IFNA(VLOOKUP("CF",Pitch_Coef!$A:$B,2,FALSE),0),0)+IF(ISNUMBER(SEARCH("CH",H691)),IFNA(VLOOKUP("CH",Pitch_Coef!$A:$B,2,FALSE),0),0)+IF(ISNUMBER(SEARCH("FK",H691)),IFNA(VLOOKUP("FK",Pitch_Coef!$A:$B,2,FALSE),0),0)+IF(ISNUMBER(SEARCH("SB",H691)),IFNA(VLOOKUP("SB",Pitch_Coef!$A:$B,2,FALSE),0),0)+IF(ISNUMBER(SEARCH("SL",H691)),IFNA(VLOOKUP("SL",Pitch_Coef!$A:$B,2,FALSE),0),0),0)</f>
        <v/>
      </c>
      <c r="AA691">
        <f>IF(Q691="P",16.5944849573+0.2529999141*N691+0.2665900378*O691+0.2632687105*P691+0.0427586837*I691+0.0534777057*J691+0.009015832*K691+0.0204898106*(O691*P691/100)+1.0091022427*U691+1.0968542297*IF(D691="L",1,0)+0.3771555045*IF(D691="S",1,0)-0.2226159177*IF(E691="L",1,0)+1.21385024*R691-1.1652812274*S691+W691+X691+Z691,10.5965166711+0.2825983581*I691+0.2806503532*J691+0.2027213083*K691+0.1147824982*L691+0.0915305332*M691-0.0088454122*(I691*J691/100)-0.0336045706*(K691*L691/100)+2.8497389733*IF(D691="L",1,0)+4.5116226727*IF(D691="S",1,0)-0.6571546448*IF(E691="L",1,0)+0.0850728147*T691+0.0129488446*(T691*T691)+0.1909373936*IF(OR(F691="Utility",G691="Utility"),T691,0)+0.9656824071*R691-1.7517683256*S691+W691+X691+Y691)</f>
        <v/>
      </c>
      <c r="AB691">
        <f>LOOKUP(AA691,Grade_Scale!$A$2:$A$18,Grade_Scale!$B$2:$B$18)</f>
        <v/>
      </c>
      <c r="AC691">
        <f>LOOKUP(AA691,Grade_Scale!$A$2:$A$18,Grade_Scale!$C$2:$C$18)</f>
        <v/>
      </c>
      <c r="AE691">
        <f>IF(AD691="","",AB691-VLOOKUP(AD691,Grade_Scale!$C$2:$E$18,3,FALSE))</f>
        <v/>
      </c>
    </row>
    <row r="692">
      <c r="Q692">
        <f>IF(OR(B692="SP",B692="RP",B692="CP",B692="SP/RP"),"P","H")</f>
        <v/>
      </c>
      <c r="R692">
        <f>IF(F692="",0,IFNA(VLOOKUP(F692,Trait_Polarity!$A:$C,2,FALSE),0))+IF(G692="",0,IFNA(VLOOKUP(G692,Trait_Polarity!$A:$C,2,FALSE),0))</f>
        <v/>
      </c>
      <c r="S692">
        <f>IF(F692="",0,IFNA(VLOOKUP(F692,Trait_Polarity!$A:$C,3,FALSE),0))+IF(G692="",0,IFNA(VLOOKUP(G692,Trait_Polarity!$A:$C,3,FALSE),0))</f>
        <v/>
      </c>
      <c r="T692">
        <f>IF(Q692="P",0,IFNA(VLOOKUP(IF(C692="","(none)",C692),Secondary_Versatility!$A:$B,2,FALSE),0))</f>
        <v/>
      </c>
      <c r="U692">
        <f>IF(H692="",0,LEN(H692)-LEN(SUBSTITUTE(H692,"|",""))+1)</f>
        <v/>
      </c>
      <c r="V692">
        <f>IF(Q692="P",(N692+O692+P692)/3,0.3*I692+0.3*J692+0.2*K692+0.1*L692+0.1*M692)</f>
        <v/>
      </c>
      <c r="W692">
        <f>IF(Q692="P",IF(F692="",0,IFNA(VLOOKUP(F692,Pitcher_Trait_Coef!$A:$B,2,FALSE),0))+IF(G692="",0,IFNA(VLOOKUP(G692,Pitcher_Trait_Coef!$A:$B,2,FALSE),0)),IF(F692="",0,IFNA(VLOOKUP(F692,Hitter_Trait_Coef!$A:$B,2,FALSE),0))+IF(G692="",0,IFNA(VLOOKUP(G692,Hitter_Trait_Coef!$A:$B,2,FALSE),0)))</f>
        <v/>
      </c>
      <c r="X692">
        <f>IF(Q692="P",IFNA(VLOOKUP(B692,Pitcher_Primary_Coef!$A:$B,2,FALSE),0),IFNA(VLOOKUP(B692,Hitter_Primary_Coef!$A:$B,2,FALSE),0))</f>
        <v/>
      </c>
      <c r="Y692">
        <f>IF(Q692="P",0,IFNA(VLOOKUP(IF(C692="","(none)",C692),Hitter_Secondary_Coef!$A:$B,2,FALSE),0))</f>
        <v/>
      </c>
      <c r="Z692">
        <f>IF(Q692="P",IF(ISNUMBER(SEARCH("2F",H692)),IFNA(VLOOKUP("2F",Pitch_Coef!$A:$B,2,FALSE),0),0)+IF(ISNUMBER(SEARCH("4F",H692)),IFNA(VLOOKUP("4F",Pitch_Coef!$A:$B,2,FALSE),0),0)+IF(ISNUMBER(SEARCH("CB",H692)),IFNA(VLOOKUP("CB",Pitch_Coef!$A:$B,2,FALSE),0),0)+IF(ISNUMBER(SEARCH("CF",H692)),IFNA(VLOOKUP("CF",Pitch_Coef!$A:$B,2,FALSE),0),0)+IF(ISNUMBER(SEARCH("CH",H692)),IFNA(VLOOKUP("CH",Pitch_Coef!$A:$B,2,FALSE),0),0)+IF(ISNUMBER(SEARCH("FK",H692)),IFNA(VLOOKUP("FK",Pitch_Coef!$A:$B,2,FALSE),0),0)+IF(ISNUMBER(SEARCH("SB",H692)),IFNA(VLOOKUP("SB",Pitch_Coef!$A:$B,2,FALSE),0),0)+IF(ISNUMBER(SEARCH("SL",H692)),IFNA(VLOOKUP("SL",Pitch_Coef!$A:$B,2,FALSE),0),0),0)</f>
        <v/>
      </c>
      <c r="AA692">
        <f>IF(Q692="P",16.5944849573+0.2529999141*N692+0.2665900378*O692+0.2632687105*P692+0.0427586837*I692+0.0534777057*J692+0.009015832*K692+0.0204898106*(O692*P692/100)+1.0091022427*U692+1.0968542297*IF(D692="L",1,0)+0.3771555045*IF(D692="S",1,0)-0.2226159177*IF(E692="L",1,0)+1.21385024*R692-1.1652812274*S692+W692+X692+Z692,10.5965166711+0.2825983581*I692+0.2806503532*J692+0.2027213083*K692+0.1147824982*L692+0.0915305332*M692-0.0088454122*(I692*J692/100)-0.0336045706*(K692*L692/100)+2.8497389733*IF(D692="L",1,0)+4.5116226727*IF(D692="S",1,0)-0.6571546448*IF(E692="L",1,0)+0.0850728147*T692+0.0129488446*(T692*T692)+0.1909373936*IF(OR(F692="Utility",G692="Utility"),T692,0)+0.9656824071*R692-1.7517683256*S692+W692+X692+Y692)</f>
        <v/>
      </c>
      <c r="AB692">
        <f>LOOKUP(AA692,Grade_Scale!$A$2:$A$18,Grade_Scale!$B$2:$B$18)</f>
        <v/>
      </c>
      <c r="AC692">
        <f>LOOKUP(AA692,Grade_Scale!$A$2:$A$18,Grade_Scale!$C$2:$C$18)</f>
        <v/>
      </c>
      <c r="AE692">
        <f>IF(AD692="","",AB692-VLOOKUP(AD692,Grade_Scale!$C$2:$E$18,3,FALSE))</f>
        <v/>
      </c>
    </row>
    <row r="693">
      <c r="Q693">
        <f>IF(OR(B693="SP",B693="RP",B693="CP",B693="SP/RP"),"P","H")</f>
        <v/>
      </c>
      <c r="R693">
        <f>IF(F693="",0,IFNA(VLOOKUP(F693,Trait_Polarity!$A:$C,2,FALSE),0))+IF(G693="",0,IFNA(VLOOKUP(G693,Trait_Polarity!$A:$C,2,FALSE),0))</f>
        <v/>
      </c>
      <c r="S693">
        <f>IF(F693="",0,IFNA(VLOOKUP(F693,Trait_Polarity!$A:$C,3,FALSE),0))+IF(G693="",0,IFNA(VLOOKUP(G693,Trait_Polarity!$A:$C,3,FALSE),0))</f>
        <v/>
      </c>
      <c r="T693">
        <f>IF(Q693="P",0,IFNA(VLOOKUP(IF(C693="","(none)",C693),Secondary_Versatility!$A:$B,2,FALSE),0))</f>
        <v/>
      </c>
      <c r="U693">
        <f>IF(H693="",0,LEN(H693)-LEN(SUBSTITUTE(H693,"|",""))+1)</f>
        <v/>
      </c>
      <c r="V693">
        <f>IF(Q693="P",(N693+O693+P693)/3,0.3*I693+0.3*J693+0.2*K693+0.1*L693+0.1*M693)</f>
        <v/>
      </c>
      <c r="W693">
        <f>IF(Q693="P",IF(F693="",0,IFNA(VLOOKUP(F693,Pitcher_Trait_Coef!$A:$B,2,FALSE),0))+IF(G693="",0,IFNA(VLOOKUP(G693,Pitcher_Trait_Coef!$A:$B,2,FALSE),0)),IF(F693="",0,IFNA(VLOOKUP(F693,Hitter_Trait_Coef!$A:$B,2,FALSE),0))+IF(G693="",0,IFNA(VLOOKUP(G693,Hitter_Trait_Coef!$A:$B,2,FALSE),0)))</f>
        <v/>
      </c>
      <c r="X693">
        <f>IF(Q693="P",IFNA(VLOOKUP(B693,Pitcher_Primary_Coef!$A:$B,2,FALSE),0),IFNA(VLOOKUP(B693,Hitter_Primary_Coef!$A:$B,2,FALSE),0))</f>
        <v/>
      </c>
      <c r="Y693">
        <f>IF(Q693="P",0,IFNA(VLOOKUP(IF(C693="","(none)",C693),Hitter_Secondary_Coef!$A:$B,2,FALSE),0))</f>
        <v/>
      </c>
      <c r="Z693">
        <f>IF(Q693="P",IF(ISNUMBER(SEARCH("2F",H693)),IFNA(VLOOKUP("2F",Pitch_Coef!$A:$B,2,FALSE),0),0)+IF(ISNUMBER(SEARCH("4F",H693)),IFNA(VLOOKUP("4F",Pitch_Coef!$A:$B,2,FALSE),0),0)+IF(ISNUMBER(SEARCH("CB",H693)),IFNA(VLOOKUP("CB",Pitch_Coef!$A:$B,2,FALSE),0),0)+IF(ISNUMBER(SEARCH("CF",H693)),IFNA(VLOOKUP("CF",Pitch_Coef!$A:$B,2,FALSE),0),0)+IF(ISNUMBER(SEARCH("CH",H693)),IFNA(VLOOKUP("CH",Pitch_Coef!$A:$B,2,FALSE),0),0)+IF(ISNUMBER(SEARCH("FK",H693)),IFNA(VLOOKUP("FK",Pitch_Coef!$A:$B,2,FALSE),0),0)+IF(ISNUMBER(SEARCH("SB",H693)),IFNA(VLOOKUP("SB",Pitch_Coef!$A:$B,2,FALSE),0),0)+IF(ISNUMBER(SEARCH("SL",H693)),IFNA(VLOOKUP("SL",Pitch_Coef!$A:$B,2,FALSE),0),0),0)</f>
        <v/>
      </c>
      <c r="AA693">
        <f>IF(Q693="P",16.5944849573+0.2529999141*N693+0.2665900378*O693+0.2632687105*P693+0.0427586837*I693+0.0534777057*J693+0.009015832*K693+0.0204898106*(O693*P693/100)+1.0091022427*U693+1.0968542297*IF(D693="L",1,0)+0.3771555045*IF(D693="S",1,0)-0.2226159177*IF(E693="L",1,0)+1.21385024*R693-1.1652812274*S693+W693+X693+Z693,10.5965166711+0.2825983581*I693+0.2806503532*J693+0.2027213083*K693+0.1147824982*L693+0.0915305332*M693-0.0088454122*(I693*J693/100)-0.0336045706*(K693*L693/100)+2.8497389733*IF(D693="L",1,0)+4.5116226727*IF(D693="S",1,0)-0.6571546448*IF(E693="L",1,0)+0.0850728147*T693+0.0129488446*(T693*T693)+0.1909373936*IF(OR(F693="Utility",G693="Utility"),T693,0)+0.9656824071*R693-1.7517683256*S693+W693+X693+Y693)</f>
        <v/>
      </c>
      <c r="AB693">
        <f>LOOKUP(AA693,Grade_Scale!$A$2:$A$18,Grade_Scale!$B$2:$B$18)</f>
        <v/>
      </c>
      <c r="AC693">
        <f>LOOKUP(AA693,Grade_Scale!$A$2:$A$18,Grade_Scale!$C$2:$C$18)</f>
        <v/>
      </c>
      <c r="AE693">
        <f>IF(AD693="","",AB693-VLOOKUP(AD693,Grade_Scale!$C$2:$E$18,3,FALSE))</f>
        <v/>
      </c>
    </row>
    <row r="694">
      <c r="Q694">
        <f>IF(OR(B694="SP",B694="RP",B694="CP",B694="SP/RP"),"P","H")</f>
        <v/>
      </c>
      <c r="R694">
        <f>IF(F694="",0,IFNA(VLOOKUP(F694,Trait_Polarity!$A:$C,2,FALSE),0))+IF(G694="",0,IFNA(VLOOKUP(G694,Trait_Polarity!$A:$C,2,FALSE),0))</f>
        <v/>
      </c>
      <c r="S694">
        <f>IF(F694="",0,IFNA(VLOOKUP(F694,Trait_Polarity!$A:$C,3,FALSE),0))+IF(G694="",0,IFNA(VLOOKUP(G694,Trait_Polarity!$A:$C,3,FALSE),0))</f>
        <v/>
      </c>
      <c r="T694">
        <f>IF(Q694="P",0,IFNA(VLOOKUP(IF(C694="","(none)",C694),Secondary_Versatility!$A:$B,2,FALSE),0))</f>
        <v/>
      </c>
      <c r="U694">
        <f>IF(H694="",0,LEN(H694)-LEN(SUBSTITUTE(H694,"|",""))+1)</f>
        <v/>
      </c>
      <c r="V694">
        <f>IF(Q694="P",(N694+O694+P694)/3,0.3*I694+0.3*J694+0.2*K694+0.1*L694+0.1*M694)</f>
        <v/>
      </c>
      <c r="W694">
        <f>IF(Q694="P",IF(F694="",0,IFNA(VLOOKUP(F694,Pitcher_Trait_Coef!$A:$B,2,FALSE),0))+IF(G694="",0,IFNA(VLOOKUP(G694,Pitcher_Trait_Coef!$A:$B,2,FALSE),0)),IF(F694="",0,IFNA(VLOOKUP(F694,Hitter_Trait_Coef!$A:$B,2,FALSE),0))+IF(G694="",0,IFNA(VLOOKUP(G694,Hitter_Trait_Coef!$A:$B,2,FALSE),0)))</f>
        <v/>
      </c>
      <c r="X694">
        <f>IF(Q694="P",IFNA(VLOOKUP(B694,Pitcher_Primary_Coef!$A:$B,2,FALSE),0),IFNA(VLOOKUP(B694,Hitter_Primary_Coef!$A:$B,2,FALSE),0))</f>
        <v/>
      </c>
      <c r="Y694">
        <f>IF(Q694="P",0,IFNA(VLOOKUP(IF(C694="","(none)",C694),Hitter_Secondary_Coef!$A:$B,2,FALSE),0))</f>
        <v/>
      </c>
      <c r="Z694">
        <f>IF(Q694="P",IF(ISNUMBER(SEARCH("2F",H694)),IFNA(VLOOKUP("2F",Pitch_Coef!$A:$B,2,FALSE),0),0)+IF(ISNUMBER(SEARCH("4F",H694)),IFNA(VLOOKUP("4F",Pitch_Coef!$A:$B,2,FALSE),0),0)+IF(ISNUMBER(SEARCH("CB",H694)),IFNA(VLOOKUP("CB",Pitch_Coef!$A:$B,2,FALSE),0),0)+IF(ISNUMBER(SEARCH("CF",H694)),IFNA(VLOOKUP("CF",Pitch_Coef!$A:$B,2,FALSE),0),0)+IF(ISNUMBER(SEARCH("CH",H694)),IFNA(VLOOKUP("CH",Pitch_Coef!$A:$B,2,FALSE),0),0)+IF(ISNUMBER(SEARCH("FK",H694)),IFNA(VLOOKUP("FK",Pitch_Coef!$A:$B,2,FALSE),0),0)+IF(ISNUMBER(SEARCH("SB",H694)),IFNA(VLOOKUP("SB",Pitch_Coef!$A:$B,2,FALSE),0),0)+IF(ISNUMBER(SEARCH("SL",H694)),IFNA(VLOOKUP("SL",Pitch_Coef!$A:$B,2,FALSE),0),0),0)</f>
        <v/>
      </c>
      <c r="AA694">
        <f>IF(Q694="P",16.5944849573+0.2529999141*N694+0.2665900378*O694+0.2632687105*P694+0.0427586837*I694+0.0534777057*J694+0.009015832*K694+0.0204898106*(O694*P694/100)+1.0091022427*U694+1.0968542297*IF(D694="L",1,0)+0.3771555045*IF(D694="S",1,0)-0.2226159177*IF(E694="L",1,0)+1.21385024*R694-1.1652812274*S694+W694+X694+Z694,10.5965166711+0.2825983581*I694+0.2806503532*J694+0.2027213083*K694+0.1147824982*L694+0.0915305332*M694-0.0088454122*(I694*J694/100)-0.0336045706*(K694*L694/100)+2.8497389733*IF(D694="L",1,0)+4.5116226727*IF(D694="S",1,0)-0.6571546448*IF(E694="L",1,0)+0.0850728147*T694+0.0129488446*(T694*T694)+0.1909373936*IF(OR(F694="Utility",G694="Utility"),T694,0)+0.9656824071*R694-1.7517683256*S694+W694+X694+Y694)</f>
        <v/>
      </c>
      <c r="AB694">
        <f>LOOKUP(AA694,Grade_Scale!$A$2:$A$18,Grade_Scale!$B$2:$B$18)</f>
        <v/>
      </c>
      <c r="AC694">
        <f>LOOKUP(AA694,Grade_Scale!$A$2:$A$18,Grade_Scale!$C$2:$C$18)</f>
        <v/>
      </c>
      <c r="AE694">
        <f>IF(AD694="","",AB694-VLOOKUP(AD694,Grade_Scale!$C$2:$E$18,3,FALSE))</f>
        <v/>
      </c>
    </row>
    <row r="695">
      <c r="Q695">
        <f>IF(OR(B695="SP",B695="RP",B695="CP",B695="SP/RP"),"P","H")</f>
        <v/>
      </c>
      <c r="R695">
        <f>IF(F695="",0,IFNA(VLOOKUP(F695,Trait_Polarity!$A:$C,2,FALSE),0))+IF(G695="",0,IFNA(VLOOKUP(G695,Trait_Polarity!$A:$C,2,FALSE),0))</f>
        <v/>
      </c>
      <c r="S695">
        <f>IF(F695="",0,IFNA(VLOOKUP(F695,Trait_Polarity!$A:$C,3,FALSE),0))+IF(G695="",0,IFNA(VLOOKUP(G695,Trait_Polarity!$A:$C,3,FALSE),0))</f>
        <v/>
      </c>
      <c r="T695">
        <f>IF(Q695="P",0,IFNA(VLOOKUP(IF(C695="","(none)",C695),Secondary_Versatility!$A:$B,2,FALSE),0))</f>
        <v/>
      </c>
      <c r="U695">
        <f>IF(H695="",0,LEN(H695)-LEN(SUBSTITUTE(H695,"|",""))+1)</f>
        <v/>
      </c>
      <c r="V695">
        <f>IF(Q695="P",(N695+O695+P695)/3,0.3*I695+0.3*J695+0.2*K695+0.1*L695+0.1*M695)</f>
        <v/>
      </c>
      <c r="W695">
        <f>IF(Q695="P",IF(F695="",0,IFNA(VLOOKUP(F695,Pitcher_Trait_Coef!$A:$B,2,FALSE),0))+IF(G695="",0,IFNA(VLOOKUP(G695,Pitcher_Trait_Coef!$A:$B,2,FALSE),0)),IF(F695="",0,IFNA(VLOOKUP(F695,Hitter_Trait_Coef!$A:$B,2,FALSE),0))+IF(G695="",0,IFNA(VLOOKUP(G695,Hitter_Trait_Coef!$A:$B,2,FALSE),0)))</f>
        <v/>
      </c>
      <c r="X695">
        <f>IF(Q695="P",IFNA(VLOOKUP(B695,Pitcher_Primary_Coef!$A:$B,2,FALSE),0),IFNA(VLOOKUP(B695,Hitter_Primary_Coef!$A:$B,2,FALSE),0))</f>
        <v/>
      </c>
      <c r="Y695">
        <f>IF(Q695="P",0,IFNA(VLOOKUP(IF(C695="","(none)",C695),Hitter_Secondary_Coef!$A:$B,2,FALSE),0))</f>
        <v/>
      </c>
      <c r="Z695">
        <f>IF(Q695="P",IF(ISNUMBER(SEARCH("2F",H695)),IFNA(VLOOKUP("2F",Pitch_Coef!$A:$B,2,FALSE),0),0)+IF(ISNUMBER(SEARCH("4F",H695)),IFNA(VLOOKUP("4F",Pitch_Coef!$A:$B,2,FALSE),0),0)+IF(ISNUMBER(SEARCH("CB",H695)),IFNA(VLOOKUP("CB",Pitch_Coef!$A:$B,2,FALSE),0),0)+IF(ISNUMBER(SEARCH("CF",H695)),IFNA(VLOOKUP("CF",Pitch_Coef!$A:$B,2,FALSE),0),0)+IF(ISNUMBER(SEARCH("CH",H695)),IFNA(VLOOKUP("CH",Pitch_Coef!$A:$B,2,FALSE),0),0)+IF(ISNUMBER(SEARCH("FK",H695)),IFNA(VLOOKUP("FK",Pitch_Coef!$A:$B,2,FALSE),0),0)+IF(ISNUMBER(SEARCH("SB",H695)),IFNA(VLOOKUP("SB",Pitch_Coef!$A:$B,2,FALSE),0),0)+IF(ISNUMBER(SEARCH("SL",H695)),IFNA(VLOOKUP("SL",Pitch_Coef!$A:$B,2,FALSE),0),0),0)</f>
        <v/>
      </c>
      <c r="AA695">
        <f>IF(Q695="P",16.5944849573+0.2529999141*N695+0.2665900378*O695+0.2632687105*P695+0.0427586837*I695+0.0534777057*J695+0.009015832*K695+0.0204898106*(O695*P695/100)+1.0091022427*U695+1.0968542297*IF(D695="L",1,0)+0.3771555045*IF(D695="S",1,0)-0.2226159177*IF(E695="L",1,0)+1.21385024*R695-1.1652812274*S695+W695+X695+Z695,10.5965166711+0.2825983581*I695+0.2806503532*J695+0.2027213083*K695+0.1147824982*L695+0.0915305332*M695-0.0088454122*(I695*J695/100)-0.0336045706*(K695*L695/100)+2.8497389733*IF(D695="L",1,0)+4.5116226727*IF(D695="S",1,0)-0.6571546448*IF(E695="L",1,0)+0.0850728147*T695+0.0129488446*(T695*T695)+0.1909373936*IF(OR(F695="Utility",G695="Utility"),T695,0)+0.9656824071*R695-1.7517683256*S695+W695+X695+Y695)</f>
        <v/>
      </c>
      <c r="AB695">
        <f>LOOKUP(AA695,Grade_Scale!$A$2:$A$18,Grade_Scale!$B$2:$B$18)</f>
        <v/>
      </c>
      <c r="AC695">
        <f>LOOKUP(AA695,Grade_Scale!$A$2:$A$18,Grade_Scale!$C$2:$C$18)</f>
        <v/>
      </c>
      <c r="AE695">
        <f>IF(AD695="","",AB695-VLOOKUP(AD695,Grade_Scale!$C$2:$E$18,3,FALSE))</f>
        <v/>
      </c>
    </row>
    <row r="696">
      <c r="Q696">
        <f>IF(OR(B696="SP",B696="RP",B696="CP",B696="SP/RP"),"P","H")</f>
        <v/>
      </c>
      <c r="R696">
        <f>IF(F696="",0,IFNA(VLOOKUP(F696,Trait_Polarity!$A:$C,2,FALSE),0))+IF(G696="",0,IFNA(VLOOKUP(G696,Trait_Polarity!$A:$C,2,FALSE),0))</f>
        <v/>
      </c>
      <c r="S696">
        <f>IF(F696="",0,IFNA(VLOOKUP(F696,Trait_Polarity!$A:$C,3,FALSE),0))+IF(G696="",0,IFNA(VLOOKUP(G696,Trait_Polarity!$A:$C,3,FALSE),0))</f>
        <v/>
      </c>
      <c r="T696">
        <f>IF(Q696="P",0,IFNA(VLOOKUP(IF(C696="","(none)",C696),Secondary_Versatility!$A:$B,2,FALSE),0))</f>
        <v/>
      </c>
      <c r="U696">
        <f>IF(H696="",0,LEN(H696)-LEN(SUBSTITUTE(H696,"|",""))+1)</f>
        <v/>
      </c>
      <c r="V696">
        <f>IF(Q696="P",(N696+O696+P696)/3,0.3*I696+0.3*J696+0.2*K696+0.1*L696+0.1*M696)</f>
        <v/>
      </c>
      <c r="W696">
        <f>IF(Q696="P",IF(F696="",0,IFNA(VLOOKUP(F696,Pitcher_Trait_Coef!$A:$B,2,FALSE),0))+IF(G696="",0,IFNA(VLOOKUP(G696,Pitcher_Trait_Coef!$A:$B,2,FALSE),0)),IF(F696="",0,IFNA(VLOOKUP(F696,Hitter_Trait_Coef!$A:$B,2,FALSE),0))+IF(G696="",0,IFNA(VLOOKUP(G696,Hitter_Trait_Coef!$A:$B,2,FALSE),0)))</f>
        <v/>
      </c>
      <c r="X696">
        <f>IF(Q696="P",IFNA(VLOOKUP(B696,Pitcher_Primary_Coef!$A:$B,2,FALSE),0),IFNA(VLOOKUP(B696,Hitter_Primary_Coef!$A:$B,2,FALSE),0))</f>
        <v/>
      </c>
      <c r="Y696">
        <f>IF(Q696="P",0,IFNA(VLOOKUP(IF(C696="","(none)",C696),Hitter_Secondary_Coef!$A:$B,2,FALSE),0))</f>
        <v/>
      </c>
      <c r="Z696">
        <f>IF(Q696="P",IF(ISNUMBER(SEARCH("2F",H696)),IFNA(VLOOKUP("2F",Pitch_Coef!$A:$B,2,FALSE),0),0)+IF(ISNUMBER(SEARCH("4F",H696)),IFNA(VLOOKUP("4F",Pitch_Coef!$A:$B,2,FALSE),0),0)+IF(ISNUMBER(SEARCH("CB",H696)),IFNA(VLOOKUP("CB",Pitch_Coef!$A:$B,2,FALSE),0),0)+IF(ISNUMBER(SEARCH("CF",H696)),IFNA(VLOOKUP("CF",Pitch_Coef!$A:$B,2,FALSE),0),0)+IF(ISNUMBER(SEARCH("CH",H696)),IFNA(VLOOKUP("CH",Pitch_Coef!$A:$B,2,FALSE),0),0)+IF(ISNUMBER(SEARCH("FK",H696)),IFNA(VLOOKUP("FK",Pitch_Coef!$A:$B,2,FALSE),0),0)+IF(ISNUMBER(SEARCH("SB",H696)),IFNA(VLOOKUP("SB",Pitch_Coef!$A:$B,2,FALSE),0),0)+IF(ISNUMBER(SEARCH("SL",H696)),IFNA(VLOOKUP("SL",Pitch_Coef!$A:$B,2,FALSE),0),0),0)</f>
        <v/>
      </c>
      <c r="AA696">
        <f>IF(Q696="P",16.5944849573+0.2529999141*N696+0.2665900378*O696+0.2632687105*P696+0.0427586837*I696+0.0534777057*J696+0.009015832*K696+0.0204898106*(O696*P696/100)+1.0091022427*U696+1.0968542297*IF(D696="L",1,0)+0.3771555045*IF(D696="S",1,0)-0.2226159177*IF(E696="L",1,0)+1.21385024*R696-1.1652812274*S696+W696+X696+Z696,10.5965166711+0.2825983581*I696+0.2806503532*J696+0.2027213083*K696+0.1147824982*L696+0.0915305332*M696-0.0088454122*(I696*J696/100)-0.0336045706*(K696*L696/100)+2.8497389733*IF(D696="L",1,0)+4.5116226727*IF(D696="S",1,0)-0.6571546448*IF(E696="L",1,0)+0.0850728147*T696+0.0129488446*(T696*T696)+0.1909373936*IF(OR(F696="Utility",G696="Utility"),T696,0)+0.9656824071*R696-1.7517683256*S696+W696+X696+Y696)</f>
        <v/>
      </c>
      <c r="AB696">
        <f>LOOKUP(AA696,Grade_Scale!$A$2:$A$18,Grade_Scale!$B$2:$B$18)</f>
        <v/>
      </c>
      <c r="AC696">
        <f>LOOKUP(AA696,Grade_Scale!$A$2:$A$18,Grade_Scale!$C$2:$C$18)</f>
        <v/>
      </c>
      <c r="AE696">
        <f>IF(AD696="","",AB696-VLOOKUP(AD696,Grade_Scale!$C$2:$E$18,3,FALSE))</f>
        <v/>
      </c>
    </row>
    <row r="697">
      <c r="Q697">
        <f>IF(OR(B697="SP",B697="RP",B697="CP",B697="SP/RP"),"P","H")</f>
        <v/>
      </c>
      <c r="R697">
        <f>IF(F697="",0,IFNA(VLOOKUP(F697,Trait_Polarity!$A:$C,2,FALSE),0))+IF(G697="",0,IFNA(VLOOKUP(G697,Trait_Polarity!$A:$C,2,FALSE),0))</f>
        <v/>
      </c>
      <c r="S697">
        <f>IF(F697="",0,IFNA(VLOOKUP(F697,Trait_Polarity!$A:$C,3,FALSE),0))+IF(G697="",0,IFNA(VLOOKUP(G697,Trait_Polarity!$A:$C,3,FALSE),0))</f>
        <v/>
      </c>
      <c r="T697">
        <f>IF(Q697="P",0,IFNA(VLOOKUP(IF(C697="","(none)",C697),Secondary_Versatility!$A:$B,2,FALSE),0))</f>
        <v/>
      </c>
      <c r="U697">
        <f>IF(H697="",0,LEN(H697)-LEN(SUBSTITUTE(H697,"|",""))+1)</f>
        <v/>
      </c>
      <c r="V697">
        <f>IF(Q697="P",(N697+O697+P697)/3,0.3*I697+0.3*J697+0.2*K697+0.1*L697+0.1*M697)</f>
        <v/>
      </c>
      <c r="W697">
        <f>IF(Q697="P",IF(F697="",0,IFNA(VLOOKUP(F697,Pitcher_Trait_Coef!$A:$B,2,FALSE),0))+IF(G697="",0,IFNA(VLOOKUP(G697,Pitcher_Trait_Coef!$A:$B,2,FALSE),0)),IF(F697="",0,IFNA(VLOOKUP(F697,Hitter_Trait_Coef!$A:$B,2,FALSE),0))+IF(G697="",0,IFNA(VLOOKUP(G697,Hitter_Trait_Coef!$A:$B,2,FALSE),0)))</f>
        <v/>
      </c>
      <c r="X697">
        <f>IF(Q697="P",IFNA(VLOOKUP(B697,Pitcher_Primary_Coef!$A:$B,2,FALSE),0),IFNA(VLOOKUP(B697,Hitter_Primary_Coef!$A:$B,2,FALSE),0))</f>
        <v/>
      </c>
      <c r="Y697">
        <f>IF(Q697="P",0,IFNA(VLOOKUP(IF(C697="","(none)",C697),Hitter_Secondary_Coef!$A:$B,2,FALSE),0))</f>
        <v/>
      </c>
      <c r="Z697">
        <f>IF(Q697="P",IF(ISNUMBER(SEARCH("2F",H697)),IFNA(VLOOKUP("2F",Pitch_Coef!$A:$B,2,FALSE),0),0)+IF(ISNUMBER(SEARCH("4F",H697)),IFNA(VLOOKUP("4F",Pitch_Coef!$A:$B,2,FALSE),0),0)+IF(ISNUMBER(SEARCH("CB",H697)),IFNA(VLOOKUP("CB",Pitch_Coef!$A:$B,2,FALSE),0),0)+IF(ISNUMBER(SEARCH("CF",H697)),IFNA(VLOOKUP("CF",Pitch_Coef!$A:$B,2,FALSE),0),0)+IF(ISNUMBER(SEARCH("CH",H697)),IFNA(VLOOKUP("CH",Pitch_Coef!$A:$B,2,FALSE),0),0)+IF(ISNUMBER(SEARCH("FK",H697)),IFNA(VLOOKUP("FK",Pitch_Coef!$A:$B,2,FALSE),0),0)+IF(ISNUMBER(SEARCH("SB",H697)),IFNA(VLOOKUP("SB",Pitch_Coef!$A:$B,2,FALSE),0),0)+IF(ISNUMBER(SEARCH("SL",H697)),IFNA(VLOOKUP("SL",Pitch_Coef!$A:$B,2,FALSE),0),0),0)</f>
        <v/>
      </c>
      <c r="AA697">
        <f>IF(Q697="P",16.5944849573+0.2529999141*N697+0.2665900378*O697+0.2632687105*P697+0.0427586837*I697+0.0534777057*J697+0.009015832*K697+0.0204898106*(O697*P697/100)+1.0091022427*U697+1.0968542297*IF(D697="L",1,0)+0.3771555045*IF(D697="S",1,0)-0.2226159177*IF(E697="L",1,0)+1.21385024*R697-1.1652812274*S697+W697+X697+Z697,10.5965166711+0.2825983581*I697+0.2806503532*J697+0.2027213083*K697+0.1147824982*L697+0.0915305332*M697-0.0088454122*(I697*J697/100)-0.0336045706*(K697*L697/100)+2.8497389733*IF(D697="L",1,0)+4.5116226727*IF(D697="S",1,0)-0.6571546448*IF(E697="L",1,0)+0.0850728147*T697+0.0129488446*(T697*T697)+0.1909373936*IF(OR(F697="Utility",G697="Utility"),T697,0)+0.9656824071*R697-1.7517683256*S697+W697+X697+Y697)</f>
        <v/>
      </c>
      <c r="AB697">
        <f>LOOKUP(AA697,Grade_Scale!$A$2:$A$18,Grade_Scale!$B$2:$B$18)</f>
        <v/>
      </c>
      <c r="AC697">
        <f>LOOKUP(AA697,Grade_Scale!$A$2:$A$18,Grade_Scale!$C$2:$C$18)</f>
        <v/>
      </c>
      <c r="AE697">
        <f>IF(AD697="","",AB697-VLOOKUP(AD697,Grade_Scale!$C$2:$E$18,3,FALSE))</f>
        <v/>
      </c>
    </row>
    <row r="698">
      <c r="Q698">
        <f>IF(OR(B698="SP",B698="RP",B698="CP",B698="SP/RP"),"P","H")</f>
        <v/>
      </c>
      <c r="R698">
        <f>IF(F698="",0,IFNA(VLOOKUP(F698,Trait_Polarity!$A:$C,2,FALSE),0))+IF(G698="",0,IFNA(VLOOKUP(G698,Trait_Polarity!$A:$C,2,FALSE),0))</f>
        <v/>
      </c>
      <c r="S698">
        <f>IF(F698="",0,IFNA(VLOOKUP(F698,Trait_Polarity!$A:$C,3,FALSE),0))+IF(G698="",0,IFNA(VLOOKUP(G698,Trait_Polarity!$A:$C,3,FALSE),0))</f>
        <v/>
      </c>
      <c r="T698">
        <f>IF(Q698="P",0,IFNA(VLOOKUP(IF(C698="","(none)",C698),Secondary_Versatility!$A:$B,2,FALSE),0))</f>
        <v/>
      </c>
      <c r="U698">
        <f>IF(H698="",0,LEN(H698)-LEN(SUBSTITUTE(H698,"|",""))+1)</f>
        <v/>
      </c>
      <c r="V698">
        <f>IF(Q698="P",(N698+O698+P698)/3,0.3*I698+0.3*J698+0.2*K698+0.1*L698+0.1*M698)</f>
        <v/>
      </c>
      <c r="W698">
        <f>IF(Q698="P",IF(F698="",0,IFNA(VLOOKUP(F698,Pitcher_Trait_Coef!$A:$B,2,FALSE),0))+IF(G698="",0,IFNA(VLOOKUP(G698,Pitcher_Trait_Coef!$A:$B,2,FALSE),0)),IF(F698="",0,IFNA(VLOOKUP(F698,Hitter_Trait_Coef!$A:$B,2,FALSE),0))+IF(G698="",0,IFNA(VLOOKUP(G698,Hitter_Trait_Coef!$A:$B,2,FALSE),0)))</f>
        <v/>
      </c>
      <c r="X698">
        <f>IF(Q698="P",IFNA(VLOOKUP(B698,Pitcher_Primary_Coef!$A:$B,2,FALSE),0),IFNA(VLOOKUP(B698,Hitter_Primary_Coef!$A:$B,2,FALSE),0))</f>
        <v/>
      </c>
      <c r="Y698">
        <f>IF(Q698="P",0,IFNA(VLOOKUP(IF(C698="","(none)",C698),Hitter_Secondary_Coef!$A:$B,2,FALSE),0))</f>
        <v/>
      </c>
      <c r="Z698">
        <f>IF(Q698="P",IF(ISNUMBER(SEARCH("2F",H698)),IFNA(VLOOKUP("2F",Pitch_Coef!$A:$B,2,FALSE),0),0)+IF(ISNUMBER(SEARCH("4F",H698)),IFNA(VLOOKUP("4F",Pitch_Coef!$A:$B,2,FALSE),0),0)+IF(ISNUMBER(SEARCH("CB",H698)),IFNA(VLOOKUP("CB",Pitch_Coef!$A:$B,2,FALSE),0),0)+IF(ISNUMBER(SEARCH("CF",H698)),IFNA(VLOOKUP("CF",Pitch_Coef!$A:$B,2,FALSE),0),0)+IF(ISNUMBER(SEARCH("CH",H698)),IFNA(VLOOKUP("CH",Pitch_Coef!$A:$B,2,FALSE),0),0)+IF(ISNUMBER(SEARCH("FK",H698)),IFNA(VLOOKUP("FK",Pitch_Coef!$A:$B,2,FALSE),0),0)+IF(ISNUMBER(SEARCH("SB",H698)),IFNA(VLOOKUP("SB",Pitch_Coef!$A:$B,2,FALSE),0),0)+IF(ISNUMBER(SEARCH("SL",H698)),IFNA(VLOOKUP("SL",Pitch_Coef!$A:$B,2,FALSE),0),0),0)</f>
        <v/>
      </c>
      <c r="AA698">
        <f>IF(Q698="P",16.5944849573+0.2529999141*N698+0.2665900378*O698+0.2632687105*P698+0.0427586837*I698+0.0534777057*J698+0.009015832*K698+0.0204898106*(O698*P698/100)+1.0091022427*U698+1.0968542297*IF(D698="L",1,0)+0.3771555045*IF(D698="S",1,0)-0.2226159177*IF(E698="L",1,0)+1.21385024*R698-1.1652812274*S698+W698+X698+Z698,10.5965166711+0.2825983581*I698+0.2806503532*J698+0.2027213083*K698+0.1147824982*L698+0.0915305332*M698-0.0088454122*(I698*J698/100)-0.0336045706*(K698*L698/100)+2.8497389733*IF(D698="L",1,0)+4.5116226727*IF(D698="S",1,0)-0.6571546448*IF(E698="L",1,0)+0.0850728147*T698+0.0129488446*(T698*T698)+0.1909373936*IF(OR(F698="Utility",G698="Utility"),T698,0)+0.9656824071*R698-1.7517683256*S698+W698+X698+Y698)</f>
        <v/>
      </c>
      <c r="AB698">
        <f>LOOKUP(AA698,Grade_Scale!$A$2:$A$18,Grade_Scale!$B$2:$B$18)</f>
        <v/>
      </c>
      <c r="AC698">
        <f>LOOKUP(AA698,Grade_Scale!$A$2:$A$18,Grade_Scale!$C$2:$C$18)</f>
        <v/>
      </c>
      <c r="AE698">
        <f>IF(AD698="","",AB698-VLOOKUP(AD698,Grade_Scale!$C$2:$E$18,3,FALSE))</f>
        <v/>
      </c>
    </row>
    <row r="699">
      <c r="Q699">
        <f>IF(OR(B699="SP",B699="RP",B699="CP",B699="SP/RP"),"P","H")</f>
        <v/>
      </c>
      <c r="R699">
        <f>IF(F699="",0,IFNA(VLOOKUP(F699,Trait_Polarity!$A:$C,2,FALSE),0))+IF(G699="",0,IFNA(VLOOKUP(G699,Trait_Polarity!$A:$C,2,FALSE),0))</f>
        <v/>
      </c>
      <c r="S699">
        <f>IF(F699="",0,IFNA(VLOOKUP(F699,Trait_Polarity!$A:$C,3,FALSE),0))+IF(G699="",0,IFNA(VLOOKUP(G699,Trait_Polarity!$A:$C,3,FALSE),0))</f>
        <v/>
      </c>
      <c r="T699">
        <f>IF(Q699="P",0,IFNA(VLOOKUP(IF(C699="","(none)",C699),Secondary_Versatility!$A:$B,2,FALSE),0))</f>
        <v/>
      </c>
      <c r="U699">
        <f>IF(H699="",0,LEN(H699)-LEN(SUBSTITUTE(H699,"|",""))+1)</f>
        <v/>
      </c>
      <c r="V699">
        <f>IF(Q699="P",(N699+O699+P699)/3,0.3*I699+0.3*J699+0.2*K699+0.1*L699+0.1*M699)</f>
        <v/>
      </c>
      <c r="W699">
        <f>IF(Q699="P",IF(F699="",0,IFNA(VLOOKUP(F699,Pitcher_Trait_Coef!$A:$B,2,FALSE),0))+IF(G699="",0,IFNA(VLOOKUP(G699,Pitcher_Trait_Coef!$A:$B,2,FALSE),0)),IF(F699="",0,IFNA(VLOOKUP(F699,Hitter_Trait_Coef!$A:$B,2,FALSE),0))+IF(G699="",0,IFNA(VLOOKUP(G699,Hitter_Trait_Coef!$A:$B,2,FALSE),0)))</f>
        <v/>
      </c>
      <c r="X699">
        <f>IF(Q699="P",IFNA(VLOOKUP(B699,Pitcher_Primary_Coef!$A:$B,2,FALSE),0),IFNA(VLOOKUP(B699,Hitter_Primary_Coef!$A:$B,2,FALSE),0))</f>
        <v/>
      </c>
      <c r="Y699">
        <f>IF(Q699="P",0,IFNA(VLOOKUP(IF(C699="","(none)",C699),Hitter_Secondary_Coef!$A:$B,2,FALSE),0))</f>
        <v/>
      </c>
      <c r="Z699">
        <f>IF(Q699="P",IF(ISNUMBER(SEARCH("2F",H699)),IFNA(VLOOKUP("2F",Pitch_Coef!$A:$B,2,FALSE),0),0)+IF(ISNUMBER(SEARCH("4F",H699)),IFNA(VLOOKUP("4F",Pitch_Coef!$A:$B,2,FALSE),0),0)+IF(ISNUMBER(SEARCH("CB",H699)),IFNA(VLOOKUP("CB",Pitch_Coef!$A:$B,2,FALSE),0),0)+IF(ISNUMBER(SEARCH("CF",H699)),IFNA(VLOOKUP("CF",Pitch_Coef!$A:$B,2,FALSE),0),0)+IF(ISNUMBER(SEARCH("CH",H699)),IFNA(VLOOKUP("CH",Pitch_Coef!$A:$B,2,FALSE),0),0)+IF(ISNUMBER(SEARCH("FK",H699)),IFNA(VLOOKUP("FK",Pitch_Coef!$A:$B,2,FALSE),0),0)+IF(ISNUMBER(SEARCH("SB",H699)),IFNA(VLOOKUP("SB",Pitch_Coef!$A:$B,2,FALSE),0),0)+IF(ISNUMBER(SEARCH("SL",H699)),IFNA(VLOOKUP("SL",Pitch_Coef!$A:$B,2,FALSE),0),0),0)</f>
        <v/>
      </c>
      <c r="AA699">
        <f>IF(Q699="P",16.5944849573+0.2529999141*N699+0.2665900378*O699+0.2632687105*P699+0.0427586837*I699+0.0534777057*J699+0.009015832*K699+0.0204898106*(O699*P699/100)+1.0091022427*U699+1.0968542297*IF(D699="L",1,0)+0.3771555045*IF(D699="S",1,0)-0.2226159177*IF(E699="L",1,0)+1.21385024*R699-1.1652812274*S699+W699+X699+Z699,10.5965166711+0.2825983581*I699+0.2806503532*J699+0.2027213083*K699+0.1147824982*L699+0.0915305332*M699-0.0088454122*(I699*J699/100)-0.0336045706*(K699*L699/100)+2.8497389733*IF(D699="L",1,0)+4.5116226727*IF(D699="S",1,0)-0.6571546448*IF(E699="L",1,0)+0.0850728147*T699+0.0129488446*(T699*T699)+0.1909373936*IF(OR(F699="Utility",G699="Utility"),T699,0)+0.9656824071*R699-1.7517683256*S699+W699+X699+Y699)</f>
        <v/>
      </c>
      <c r="AB699">
        <f>LOOKUP(AA699,Grade_Scale!$A$2:$A$18,Grade_Scale!$B$2:$B$18)</f>
        <v/>
      </c>
      <c r="AC699">
        <f>LOOKUP(AA699,Grade_Scale!$A$2:$A$18,Grade_Scale!$C$2:$C$18)</f>
        <v/>
      </c>
      <c r="AE699">
        <f>IF(AD699="","",AB699-VLOOKUP(AD699,Grade_Scale!$C$2:$E$18,3,FALSE))</f>
        <v/>
      </c>
    </row>
    <row r="700">
      <c r="Q700">
        <f>IF(OR(B700="SP",B700="RP",B700="CP",B700="SP/RP"),"P","H")</f>
        <v/>
      </c>
      <c r="R700">
        <f>IF(F700="",0,IFNA(VLOOKUP(F700,Trait_Polarity!$A:$C,2,FALSE),0))+IF(G700="",0,IFNA(VLOOKUP(G700,Trait_Polarity!$A:$C,2,FALSE),0))</f>
        <v/>
      </c>
      <c r="S700">
        <f>IF(F700="",0,IFNA(VLOOKUP(F700,Trait_Polarity!$A:$C,3,FALSE),0))+IF(G700="",0,IFNA(VLOOKUP(G700,Trait_Polarity!$A:$C,3,FALSE),0))</f>
        <v/>
      </c>
      <c r="T700">
        <f>IF(Q700="P",0,IFNA(VLOOKUP(IF(C700="","(none)",C700),Secondary_Versatility!$A:$B,2,FALSE),0))</f>
        <v/>
      </c>
      <c r="U700">
        <f>IF(H700="",0,LEN(H700)-LEN(SUBSTITUTE(H700,"|",""))+1)</f>
        <v/>
      </c>
      <c r="V700">
        <f>IF(Q700="P",(N700+O700+P700)/3,0.3*I700+0.3*J700+0.2*K700+0.1*L700+0.1*M700)</f>
        <v/>
      </c>
      <c r="W700">
        <f>IF(Q700="P",IF(F700="",0,IFNA(VLOOKUP(F700,Pitcher_Trait_Coef!$A:$B,2,FALSE),0))+IF(G700="",0,IFNA(VLOOKUP(G700,Pitcher_Trait_Coef!$A:$B,2,FALSE),0)),IF(F700="",0,IFNA(VLOOKUP(F700,Hitter_Trait_Coef!$A:$B,2,FALSE),0))+IF(G700="",0,IFNA(VLOOKUP(G700,Hitter_Trait_Coef!$A:$B,2,FALSE),0)))</f>
        <v/>
      </c>
      <c r="X700">
        <f>IF(Q700="P",IFNA(VLOOKUP(B700,Pitcher_Primary_Coef!$A:$B,2,FALSE),0),IFNA(VLOOKUP(B700,Hitter_Primary_Coef!$A:$B,2,FALSE),0))</f>
        <v/>
      </c>
      <c r="Y700">
        <f>IF(Q700="P",0,IFNA(VLOOKUP(IF(C700="","(none)",C700),Hitter_Secondary_Coef!$A:$B,2,FALSE),0))</f>
        <v/>
      </c>
      <c r="Z700">
        <f>IF(Q700="P",IF(ISNUMBER(SEARCH("2F",H700)),IFNA(VLOOKUP("2F",Pitch_Coef!$A:$B,2,FALSE),0),0)+IF(ISNUMBER(SEARCH("4F",H700)),IFNA(VLOOKUP("4F",Pitch_Coef!$A:$B,2,FALSE),0),0)+IF(ISNUMBER(SEARCH("CB",H700)),IFNA(VLOOKUP("CB",Pitch_Coef!$A:$B,2,FALSE),0),0)+IF(ISNUMBER(SEARCH("CF",H700)),IFNA(VLOOKUP("CF",Pitch_Coef!$A:$B,2,FALSE),0),0)+IF(ISNUMBER(SEARCH("CH",H700)),IFNA(VLOOKUP("CH",Pitch_Coef!$A:$B,2,FALSE),0),0)+IF(ISNUMBER(SEARCH("FK",H700)),IFNA(VLOOKUP("FK",Pitch_Coef!$A:$B,2,FALSE),0),0)+IF(ISNUMBER(SEARCH("SB",H700)),IFNA(VLOOKUP("SB",Pitch_Coef!$A:$B,2,FALSE),0),0)+IF(ISNUMBER(SEARCH("SL",H700)),IFNA(VLOOKUP("SL",Pitch_Coef!$A:$B,2,FALSE),0),0),0)</f>
        <v/>
      </c>
      <c r="AA700">
        <f>IF(Q700="P",16.5944849573+0.2529999141*N700+0.2665900378*O700+0.2632687105*P700+0.0427586837*I700+0.0534777057*J700+0.009015832*K700+0.0204898106*(O700*P700/100)+1.0091022427*U700+1.0968542297*IF(D700="L",1,0)+0.3771555045*IF(D700="S",1,0)-0.2226159177*IF(E700="L",1,0)+1.21385024*R700-1.1652812274*S700+W700+X700+Z700,10.5965166711+0.2825983581*I700+0.2806503532*J700+0.2027213083*K700+0.1147824982*L700+0.0915305332*M700-0.0088454122*(I700*J700/100)-0.0336045706*(K700*L700/100)+2.8497389733*IF(D700="L",1,0)+4.5116226727*IF(D700="S",1,0)-0.6571546448*IF(E700="L",1,0)+0.0850728147*T700+0.0129488446*(T700*T700)+0.1909373936*IF(OR(F700="Utility",G700="Utility"),T700,0)+0.9656824071*R700-1.7517683256*S700+W700+X700+Y700)</f>
        <v/>
      </c>
      <c r="AB700">
        <f>LOOKUP(AA700,Grade_Scale!$A$2:$A$18,Grade_Scale!$B$2:$B$18)</f>
        <v/>
      </c>
      <c r="AC700">
        <f>LOOKUP(AA700,Grade_Scale!$A$2:$A$18,Grade_Scale!$C$2:$C$18)</f>
        <v/>
      </c>
      <c r="AE700">
        <f>IF(AD700="","",AB700-VLOOKUP(AD700,Grade_Scale!$C$2:$E$18,3,FALSE))</f>
        <v/>
      </c>
    </row>
    <row r="701">
      <c r="Q701">
        <f>IF(OR(B701="SP",B701="RP",B701="CP",B701="SP/RP"),"P","H")</f>
        <v/>
      </c>
      <c r="R701">
        <f>IF(F701="",0,IFNA(VLOOKUP(F701,Trait_Polarity!$A:$C,2,FALSE),0))+IF(G701="",0,IFNA(VLOOKUP(G701,Trait_Polarity!$A:$C,2,FALSE),0))</f>
        <v/>
      </c>
      <c r="S701">
        <f>IF(F701="",0,IFNA(VLOOKUP(F701,Trait_Polarity!$A:$C,3,FALSE),0))+IF(G701="",0,IFNA(VLOOKUP(G701,Trait_Polarity!$A:$C,3,FALSE),0))</f>
        <v/>
      </c>
      <c r="T701">
        <f>IF(Q701="P",0,IFNA(VLOOKUP(IF(C701="","(none)",C701),Secondary_Versatility!$A:$B,2,FALSE),0))</f>
        <v/>
      </c>
      <c r="U701">
        <f>IF(H701="",0,LEN(H701)-LEN(SUBSTITUTE(H701,"|",""))+1)</f>
        <v/>
      </c>
      <c r="V701">
        <f>IF(Q701="P",(N701+O701+P701)/3,0.3*I701+0.3*J701+0.2*K701+0.1*L701+0.1*M701)</f>
        <v/>
      </c>
      <c r="W701">
        <f>IF(Q701="P",IF(F701="",0,IFNA(VLOOKUP(F701,Pitcher_Trait_Coef!$A:$B,2,FALSE),0))+IF(G701="",0,IFNA(VLOOKUP(G701,Pitcher_Trait_Coef!$A:$B,2,FALSE),0)),IF(F701="",0,IFNA(VLOOKUP(F701,Hitter_Trait_Coef!$A:$B,2,FALSE),0))+IF(G701="",0,IFNA(VLOOKUP(G701,Hitter_Trait_Coef!$A:$B,2,FALSE),0)))</f>
        <v/>
      </c>
      <c r="X701">
        <f>IF(Q701="P",IFNA(VLOOKUP(B701,Pitcher_Primary_Coef!$A:$B,2,FALSE),0),IFNA(VLOOKUP(B701,Hitter_Primary_Coef!$A:$B,2,FALSE),0))</f>
        <v/>
      </c>
      <c r="Y701">
        <f>IF(Q701="P",0,IFNA(VLOOKUP(IF(C701="","(none)",C701),Hitter_Secondary_Coef!$A:$B,2,FALSE),0))</f>
        <v/>
      </c>
      <c r="Z701">
        <f>IF(Q701="P",IF(ISNUMBER(SEARCH("2F",H701)),IFNA(VLOOKUP("2F",Pitch_Coef!$A:$B,2,FALSE),0),0)+IF(ISNUMBER(SEARCH("4F",H701)),IFNA(VLOOKUP("4F",Pitch_Coef!$A:$B,2,FALSE),0),0)+IF(ISNUMBER(SEARCH("CB",H701)),IFNA(VLOOKUP("CB",Pitch_Coef!$A:$B,2,FALSE),0),0)+IF(ISNUMBER(SEARCH("CF",H701)),IFNA(VLOOKUP("CF",Pitch_Coef!$A:$B,2,FALSE),0),0)+IF(ISNUMBER(SEARCH("CH",H701)),IFNA(VLOOKUP("CH",Pitch_Coef!$A:$B,2,FALSE),0),0)+IF(ISNUMBER(SEARCH("FK",H701)),IFNA(VLOOKUP("FK",Pitch_Coef!$A:$B,2,FALSE),0),0)+IF(ISNUMBER(SEARCH("SB",H701)),IFNA(VLOOKUP("SB",Pitch_Coef!$A:$B,2,FALSE),0),0)+IF(ISNUMBER(SEARCH("SL",H701)),IFNA(VLOOKUP("SL",Pitch_Coef!$A:$B,2,FALSE),0),0),0)</f>
        <v/>
      </c>
      <c r="AA701">
        <f>IF(Q701="P",16.5944849573+0.2529999141*N701+0.2665900378*O701+0.2632687105*P701+0.0427586837*I701+0.0534777057*J701+0.009015832*K701+0.0204898106*(O701*P701/100)+1.0091022427*U701+1.0968542297*IF(D701="L",1,0)+0.3771555045*IF(D701="S",1,0)-0.2226159177*IF(E701="L",1,0)+1.21385024*R701-1.1652812274*S701+W701+X701+Z701,10.5965166711+0.2825983581*I701+0.2806503532*J701+0.2027213083*K701+0.1147824982*L701+0.0915305332*M701-0.0088454122*(I701*J701/100)-0.0336045706*(K701*L701/100)+2.8497389733*IF(D701="L",1,0)+4.5116226727*IF(D701="S",1,0)-0.6571546448*IF(E701="L",1,0)+0.0850728147*T701+0.0129488446*(T701*T701)+0.1909373936*IF(OR(F701="Utility",G701="Utility"),T701,0)+0.9656824071*R701-1.7517683256*S701+W701+X701+Y701)</f>
        <v/>
      </c>
      <c r="AB701">
        <f>LOOKUP(AA701,Grade_Scale!$A$2:$A$18,Grade_Scale!$B$2:$B$18)</f>
        <v/>
      </c>
      <c r="AC701">
        <f>LOOKUP(AA701,Grade_Scale!$A$2:$A$18,Grade_Scale!$C$2:$C$18)</f>
        <v/>
      </c>
      <c r="AE701">
        <f>IF(AD701="","",AB701-VLOOKUP(AD701,Grade_Scale!$C$2:$E$18,3,FALSE))</f>
        <v/>
      </c>
    </row>
    <row r="702">
      <c r="Q702">
        <f>IF(OR(B702="SP",B702="RP",B702="CP",B702="SP/RP"),"P","H")</f>
        <v/>
      </c>
      <c r="R702">
        <f>IF(F702="",0,IFNA(VLOOKUP(F702,Trait_Polarity!$A:$C,2,FALSE),0))+IF(G702="",0,IFNA(VLOOKUP(G702,Trait_Polarity!$A:$C,2,FALSE),0))</f>
        <v/>
      </c>
      <c r="S702">
        <f>IF(F702="",0,IFNA(VLOOKUP(F702,Trait_Polarity!$A:$C,3,FALSE),0))+IF(G702="",0,IFNA(VLOOKUP(G702,Trait_Polarity!$A:$C,3,FALSE),0))</f>
        <v/>
      </c>
      <c r="T702">
        <f>IF(Q702="P",0,IFNA(VLOOKUP(IF(C702="","(none)",C702),Secondary_Versatility!$A:$B,2,FALSE),0))</f>
        <v/>
      </c>
      <c r="U702">
        <f>IF(H702="",0,LEN(H702)-LEN(SUBSTITUTE(H702,"|",""))+1)</f>
        <v/>
      </c>
      <c r="V702">
        <f>IF(Q702="P",(N702+O702+P702)/3,0.3*I702+0.3*J702+0.2*K702+0.1*L702+0.1*M702)</f>
        <v/>
      </c>
      <c r="W702">
        <f>IF(Q702="P",IF(F702="",0,IFNA(VLOOKUP(F702,Pitcher_Trait_Coef!$A:$B,2,FALSE),0))+IF(G702="",0,IFNA(VLOOKUP(G702,Pitcher_Trait_Coef!$A:$B,2,FALSE),0)),IF(F702="",0,IFNA(VLOOKUP(F702,Hitter_Trait_Coef!$A:$B,2,FALSE),0))+IF(G702="",0,IFNA(VLOOKUP(G702,Hitter_Trait_Coef!$A:$B,2,FALSE),0)))</f>
        <v/>
      </c>
      <c r="X702">
        <f>IF(Q702="P",IFNA(VLOOKUP(B702,Pitcher_Primary_Coef!$A:$B,2,FALSE),0),IFNA(VLOOKUP(B702,Hitter_Primary_Coef!$A:$B,2,FALSE),0))</f>
        <v/>
      </c>
      <c r="Y702">
        <f>IF(Q702="P",0,IFNA(VLOOKUP(IF(C702="","(none)",C702),Hitter_Secondary_Coef!$A:$B,2,FALSE),0))</f>
        <v/>
      </c>
      <c r="Z702">
        <f>IF(Q702="P",IF(ISNUMBER(SEARCH("2F",H702)),IFNA(VLOOKUP("2F",Pitch_Coef!$A:$B,2,FALSE),0),0)+IF(ISNUMBER(SEARCH("4F",H702)),IFNA(VLOOKUP("4F",Pitch_Coef!$A:$B,2,FALSE),0),0)+IF(ISNUMBER(SEARCH("CB",H702)),IFNA(VLOOKUP("CB",Pitch_Coef!$A:$B,2,FALSE),0),0)+IF(ISNUMBER(SEARCH("CF",H702)),IFNA(VLOOKUP("CF",Pitch_Coef!$A:$B,2,FALSE),0),0)+IF(ISNUMBER(SEARCH("CH",H702)),IFNA(VLOOKUP("CH",Pitch_Coef!$A:$B,2,FALSE),0),0)+IF(ISNUMBER(SEARCH("FK",H702)),IFNA(VLOOKUP("FK",Pitch_Coef!$A:$B,2,FALSE),0),0)+IF(ISNUMBER(SEARCH("SB",H702)),IFNA(VLOOKUP("SB",Pitch_Coef!$A:$B,2,FALSE),0),0)+IF(ISNUMBER(SEARCH("SL",H702)),IFNA(VLOOKUP("SL",Pitch_Coef!$A:$B,2,FALSE),0),0),0)</f>
        <v/>
      </c>
      <c r="AA702">
        <f>IF(Q702="P",16.5944849573+0.2529999141*N702+0.2665900378*O702+0.2632687105*P702+0.0427586837*I702+0.0534777057*J702+0.009015832*K702+0.0204898106*(O702*P702/100)+1.0091022427*U702+1.0968542297*IF(D702="L",1,0)+0.3771555045*IF(D702="S",1,0)-0.2226159177*IF(E702="L",1,0)+1.21385024*R702-1.1652812274*S702+W702+X702+Z702,10.5965166711+0.2825983581*I702+0.2806503532*J702+0.2027213083*K702+0.1147824982*L702+0.0915305332*M702-0.0088454122*(I702*J702/100)-0.0336045706*(K702*L702/100)+2.8497389733*IF(D702="L",1,0)+4.5116226727*IF(D702="S",1,0)-0.6571546448*IF(E702="L",1,0)+0.0850728147*T702+0.0129488446*(T702*T702)+0.1909373936*IF(OR(F702="Utility",G702="Utility"),T702,0)+0.9656824071*R702-1.7517683256*S702+W702+X702+Y702)</f>
        <v/>
      </c>
      <c r="AB702">
        <f>LOOKUP(AA702,Grade_Scale!$A$2:$A$18,Grade_Scale!$B$2:$B$18)</f>
        <v/>
      </c>
      <c r="AC702">
        <f>LOOKUP(AA702,Grade_Scale!$A$2:$A$18,Grade_Scale!$C$2:$C$18)</f>
        <v/>
      </c>
      <c r="AE702">
        <f>IF(AD702="","",AB702-VLOOKUP(AD702,Grade_Scale!$C$2:$E$18,3,FALSE))</f>
        <v/>
      </c>
    </row>
    <row r="703">
      <c r="Q703">
        <f>IF(OR(B703="SP",B703="RP",B703="CP",B703="SP/RP"),"P","H")</f>
        <v/>
      </c>
      <c r="R703">
        <f>IF(F703="",0,IFNA(VLOOKUP(F703,Trait_Polarity!$A:$C,2,FALSE),0))+IF(G703="",0,IFNA(VLOOKUP(G703,Trait_Polarity!$A:$C,2,FALSE),0))</f>
        <v/>
      </c>
      <c r="S703">
        <f>IF(F703="",0,IFNA(VLOOKUP(F703,Trait_Polarity!$A:$C,3,FALSE),0))+IF(G703="",0,IFNA(VLOOKUP(G703,Trait_Polarity!$A:$C,3,FALSE),0))</f>
        <v/>
      </c>
      <c r="T703">
        <f>IF(Q703="P",0,IFNA(VLOOKUP(IF(C703="","(none)",C703),Secondary_Versatility!$A:$B,2,FALSE),0))</f>
        <v/>
      </c>
      <c r="U703">
        <f>IF(H703="",0,LEN(H703)-LEN(SUBSTITUTE(H703,"|",""))+1)</f>
        <v/>
      </c>
      <c r="V703">
        <f>IF(Q703="P",(N703+O703+P703)/3,0.3*I703+0.3*J703+0.2*K703+0.1*L703+0.1*M703)</f>
        <v/>
      </c>
      <c r="W703">
        <f>IF(Q703="P",IF(F703="",0,IFNA(VLOOKUP(F703,Pitcher_Trait_Coef!$A:$B,2,FALSE),0))+IF(G703="",0,IFNA(VLOOKUP(G703,Pitcher_Trait_Coef!$A:$B,2,FALSE),0)),IF(F703="",0,IFNA(VLOOKUP(F703,Hitter_Trait_Coef!$A:$B,2,FALSE),0))+IF(G703="",0,IFNA(VLOOKUP(G703,Hitter_Trait_Coef!$A:$B,2,FALSE),0)))</f>
        <v/>
      </c>
      <c r="X703">
        <f>IF(Q703="P",IFNA(VLOOKUP(B703,Pitcher_Primary_Coef!$A:$B,2,FALSE),0),IFNA(VLOOKUP(B703,Hitter_Primary_Coef!$A:$B,2,FALSE),0))</f>
        <v/>
      </c>
      <c r="Y703">
        <f>IF(Q703="P",0,IFNA(VLOOKUP(IF(C703="","(none)",C703),Hitter_Secondary_Coef!$A:$B,2,FALSE),0))</f>
        <v/>
      </c>
      <c r="Z703">
        <f>IF(Q703="P",IF(ISNUMBER(SEARCH("2F",H703)),IFNA(VLOOKUP("2F",Pitch_Coef!$A:$B,2,FALSE),0),0)+IF(ISNUMBER(SEARCH("4F",H703)),IFNA(VLOOKUP("4F",Pitch_Coef!$A:$B,2,FALSE),0),0)+IF(ISNUMBER(SEARCH("CB",H703)),IFNA(VLOOKUP("CB",Pitch_Coef!$A:$B,2,FALSE),0),0)+IF(ISNUMBER(SEARCH("CF",H703)),IFNA(VLOOKUP("CF",Pitch_Coef!$A:$B,2,FALSE),0),0)+IF(ISNUMBER(SEARCH("CH",H703)),IFNA(VLOOKUP("CH",Pitch_Coef!$A:$B,2,FALSE),0),0)+IF(ISNUMBER(SEARCH("FK",H703)),IFNA(VLOOKUP("FK",Pitch_Coef!$A:$B,2,FALSE),0),0)+IF(ISNUMBER(SEARCH("SB",H703)),IFNA(VLOOKUP("SB",Pitch_Coef!$A:$B,2,FALSE),0),0)+IF(ISNUMBER(SEARCH("SL",H703)),IFNA(VLOOKUP("SL",Pitch_Coef!$A:$B,2,FALSE),0),0),0)</f>
        <v/>
      </c>
      <c r="AA703">
        <f>IF(Q703="P",16.5944849573+0.2529999141*N703+0.2665900378*O703+0.2632687105*P703+0.0427586837*I703+0.0534777057*J703+0.009015832*K703+0.0204898106*(O703*P703/100)+1.0091022427*U703+1.0968542297*IF(D703="L",1,0)+0.3771555045*IF(D703="S",1,0)-0.2226159177*IF(E703="L",1,0)+1.21385024*R703-1.1652812274*S703+W703+X703+Z703,10.5965166711+0.2825983581*I703+0.2806503532*J703+0.2027213083*K703+0.1147824982*L703+0.0915305332*M703-0.0088454122*(I703*J703/100)-0.0336045706*(K703*L703/100)+2.8497389733*IF(D703="L",1,0)+4.5116226727*IF(D703="S",1,0)-0.6571546448*IF(E703="L",1,0)+0.0850728147*T703+0.0129488446*(T703*T703)+0.1909373936*IF(OR(F703="Utility",G703="Utility"),T703,0)+0.9656824071*R703-1.7517683256*S703+W703+X703+Y703)</f>
        <v/>
      </c>
      <c r="AB703">
        <f>LOOKUP(AA703,Grade_Scale!$A$2:$A$18,Grade_Scale!$B$2:$B$18)</f>
        <v/>
      </c>
      <c r="AC703">
        <f>LOOKUP(AA703,Grade_Scale!$A$2:$A$18,Grade_Scale!$C$2:$C$18)</f>
        <v/>
      </c>
      <c r="AE703">
        <f>IF(AD703="","",AB703-VLOOKUP(AD703,Grade_Scale!$C$2:$E$18,3,FALSE))</f>
        <v/>
      </c>
    </row>
    <row r="704">
      <c r="Q704">
        <f>IF(OR(B704="SP",B704="RP",B704="CP",B704="SP/RP"),"P","H")</f>
        <v/>
      </c>
      <c r="R704">
        <f>IF(F704="",0,IFNA(VLOOKUP(F704,Trait_Polarity!$A:$C,2,FALSE),0))+IF(G704="",0,IFNA(VLOOKUP(G704,Trait_Polarity!$A:$C,2,FALSE),0))</f>
        <v/>
      </c>
      <c r="S704">
        <f>IF(F704="",0,IFNA(VLOOKUP(F704,Trait_Polarity!$A:$C,3,FALSE),0))+IF(G704="",0,IFNA(VLOOKUP(G704,Trait_Polarity!$A:$C,3,FALSE),0))</f>
        <v/>
      </c>
      <c r="T704">
        <f>IF(Q704="P",0,IFNA(VLOOKUP(IF(C704="","(none)",C704),Secondary_Versatility!$A:$B,2,FALSE),0))</f>
        <v/>
      </c>
      <c r="U704">
        <f>IF(H704="",0,LEN(H704)-LEN(SUBSTITUTE(H704,"|",""))+1)</f>
        <v/>
      </c>
      <c r="V704">
        <f>IF(Q704="P",(N704+O704+P704)/3,0.3*I704+0.3*J704+0.2*K704+0.1*L704+0.1*M704)</f>
        <v/>
      </c>
      <c r="W704">
        <f>IF(Q704="P",IF(F704="",0,IFNA(VLOOKUP(F704,Pitcher_Trait_Coef!$A:$B,2,FALSE),0))+IF(G704="",0,IFNA(VLOOKUP(G704,Pitcher_Trait_Coef!$A:$B,2,FALSE),0)),IF(F704="",0,IFNA(VLOOKUP(F704,Hitter_Trait_Coef!$A:$B,2,FALSE),0))+IF(G704="",0,IFNA(VLOOKUP(G704,Hitter_Trait_Coef!$A:$B,2,FALSE),0)))</f>
        <v/>
      </c>
      <c r="X704">
        <f>IF(Q704="P",IFNA(VLOOKUP(B704,Pitcher_Primary_Coef!$A:$B,2,FALSE),0),IFNA(VLOOKUP(B704,Hitter_Primary_Coef!$A:$B,2,FALSE),0))</f>
        <v/>
      </c>
      <c r="Y704">
        <f>IF(Q704="P",0,IFNA(VLOOKUP(IF(C704="","(none)",C704),Hitter_Secondary_Coef!$A:$B,2,FALSE),0))</f>
        <v/>
      </c>
      <c r="Z704">
        <f>IF(Q704="P",IF(ISNUMBER(SEARCH("2F",H704)),IFNA(VLOOKUP("2F",Pitch_Coef!$A:$B,2,FALSE),0),0)+IF(ISNUMBER(SEARCH("4F",H704)),IFNA(VLOOKUP("4F",Pitch_Coef!$A:$B,2,FALSE),0),0)+IF(ISNUMBER(SEARCH("CB",H704)),IFNA(VLOOKUP("CB",Pitch_Coef!$A:$B,2,FALSE),0),0)+IF(ISNUMBER(SEARCH("CF",H704)),IFNA(VLOOKUP("CF",Pitch_Coef!$A:$B,2,FALSE),0),0)+IF(ISNUMBER(SEARCH("CH",H704)),IFNA(VLOOKUP("CH",Pitch_Coef!$A:$B,2,FALSE),0),0)+IF(ISNUMBER(SEARCH("FK",H704)),IFNA(VLOOKUP("FK",Pitch_Coef!$A:$B,2,FALSE),0),0)+IF(ISNUMBER(SEARCH("SB",H704)),IFNA(VLOOKUP("SB",Pitch_Coef!$A:$B,2,FALSE),0),0)+IF(ISNUMBER(SEARCH("SL",H704)),IFNA(VLOOKUP("SL",Pitch_Coef!$A:$B,2,FALSE),0),0),0)</f>
        <v/>
      </c>
      <c r="AA704">
        <f>IF(Q704="P",16.5944849573+0.2529999141*N704+0.2665900378*O704+0.2632687105*P704+0.0427586837*I704+0.0534777057*J704+0.009015832*K704+0.0204898106*(O704*P704/100)+1.0091022427*U704+1.0968542297*IF(D704="L",1,0)+0.3771555045*IF(D704="S",1,0)-0.2226159177*IF(E704="L",1,0)+1.21385024*R704-1.1652812274*S704+W704+X704+Z704,10.5965166711+0.2825983581*I704+0.2806503532*J704+0.2027213083*K704+0.1147824982*L704+0.0915305332*M704-0.0088454122*(I704*J704/100)-0.0336045706*(K704*L704/100)+2.8497389733*IF(D704="L",1,0)+4.5116226727*IF(D704="S",1,0)-0.6571546448*IF(E704="L",1,0)+0.0850728147*T704+0.0129488446*(T704*T704)+0.1909373936*IF(OR(F704="Utility",G704="Utility"),T704,0)+0.9656824071*R704-1.7517683256*S704+W704+X704+Y704)</f>
        <v/>
      </c>
      <c r="AB704">
        <f>LOOKUP(AA704,Grade_Scale!$A$2:$A$18,Grade_Scale!$B$2:$B$18)</f>
        <v/>
      </c>
      <c r="AC704">
        <f>LOOKUP(AA704,Grade_Scale!$A$2:$A$18,Grade_Scale!$C$2:$C$18)</f>
        <v/>
      </c>
      <c r="AE704">
        <f>IF(AD704="","",AB704-VLOOKUP(AD704,Grade_Scale!$C$2:$E$18,3,FALSE))</f>
        <v/>
      </c>
    </row>
    <row r="705">
      <c r="Q705">
        <f>IF(OR(B705="SP",B705="RP",B705="CP",B705="SP/RP"),"P","H")</f>
        <v/>
      </c>
      <c r="R705">
        <f>IF(F705="",0,IFNA(VLOOKUP(F705,Trait_Polarity!$A:$C,2,FALSE),0))+IF(G705="",0,IFNA(VLOOKUP(G705,Trait_Polarity!$A:$C,2,FALSE),0))</f>
        <v/>
      </c>
      <c r="S705">
        <f>IF(F705="",0,IFNA(VLOOKUP(F705,Trait_Polarity!$A:$C,3,FALSE),0))+IF(G705="",0,IFNA(VLOOKUP(G705,Trait_Polarity!$A:$C,3,FALSE),0))</f>
        <v/>
      </c>
      <c r="T705">
        <f>IF(Q705="P",0,IFNA(VLOOKUP(IF(C705="","(none)",C705),Secondary_Versatility!$A:$B,2,FALSE),0))</f>
        <v/>
      </c>
      <c r="U705">
        <f>IF(H705="",0,LEN(H705)-LEN(SUBSTITUTE(H705,"|",""))+1)</f>
        <v/>
      </c>
      <c r="V705">
        <f>IF(Q705="P",(N705+O705+P705)/3,0.3*I705+0.3*J705+0.2*K705+0.1*L705+0.1*M705)</f>
        <v/>
      </c>
      <c r="W705">
        <f>IF(Q705="P",IF(F705="",0,IFNA(VLOOKUP(F705,Pitcher_Trait_Coef!$A:$B,2,FALSE),0))+IF(G705="",0,IFNA(VLOOKUP(G705,Pitcher_Trait_Coef!$A:$B,2,FALSE),0)),IF(F705="",0,IFNA(VLOOKUP(F705,Hitter_Trait_Coef!$A:$B,2,FALSE),0))+IF(G705="",0,IFNA(VLOOKUP(G705,Hitter_Trait_Coef!$A:$B,2,FALSE),0)))</f>
        <v/>
      </c>
      <c r="X705">
        <f>IF(Q705="P",IFNA(VLOOKUP(B705,Pitcher_Primary_Coef!$A:$B,2,FALSE),0),IFNA(VLOOKUP(B705,Hitter_Primary_Coef!$A:$B,2,FALSE),0))</f>
        <v/>
      </c>
      <c r="Y705">
        <f>IF(Q705="P",0,IFNA(VLOOKUP(IF(C705="","(none)",C705),Hitter_Secondary_Coef!$A:$B,2,FALSE),0))</f>
        <v/>
      </c>
      <c r="Z705">
        <f>IF(Q705="P",IF(ISNUMBER(SEARCH("2F",H705)),IFNA(VLOOKUP("2F",Pitch_Coef!$A:$B,2,FALSE),0),0)+IF(ISNUMBER(SEARCH("4F",H705)),IFNA(VLOOKUP("4F",Pitch_Coef!$A:$B,2,FALSE),0),0)+IF(ISNUMBER(SEARCH("CB",H705)),IFNA(VLOOKUP("CB",Pitch_Coef!$A:$B,2,FALSE),0),0)+IF(ISNUMBER(SEARCH("CF",H705)),IFNA(VLOOKUP("CF",Pitch_Coef!$A:$B,2,FALSE),0),0)+IF(ISNUMBER(SEARCH("CH",H705)),IFNA(VLOOKUP("CH",Pitch_Coef!$A:$B,2,FALSE),0),0)+IF(ISNUMBER(SEARCH("FK",H705)),IFNA(VLOOKUP("FK",Pitch_Coef!$A:$B,2,FALSE),0),0)+IF(ISNUMBER(SEARCH("SB",H705)),IFNA(VLOOKUP("SB",Pitch_Coef!$A:$B,2,FALSE),0),0)+IF(ISNUMBER(SEARCH("SL",H705)),IFNA(VLOOKUP("SL",Pitch_Coef!$A:$B,2,FALSE),0),0),0)</f>
        <v/>
      </c>
      <c r="AA705">
        <f>IF(Q705="P",16.5944849573+0.2529999141*N705+0.2665900378*O705+0.2632687105*P705+0.0427586837*I705+0.0534777057*J705+0.009015832*K705+0.0204898106*(O705*P705/100)+1.0091022427*U705+1.0968542297*IF(D705="L",1,0)+0.3771555045*IF(D705="S",1,0)-0.2226159177*IF(E705="L",1,0)+1.21385024*R705-1.1652812274*S705+W705+X705+Z705,10.5965166711+0.2825983581*I705+0.2806503532*J705+0.2027213083*K705+0.1147824982*L705+0.0915305332*M705-0.0088454122*(I705*J705/100)-0.0336045706*(K705*L705/100)+2.8497389733*IF(D705="L",1,0)+4.5116226727*IF(D705="S",1,0)-0.6571546448*IF(E705="L",1,0)+0.0850728147*T705+0.0129488446*(T705*T705)+0.1909373936*IF(OR(F705="Utility",G705="Utility"),T705,0)+0.9656824071*R705-1.7517683256*S705+W705+X705+Y705)</f>
        <v/>
      </c>
      <c r="AB705">
        <f>LOOKUP(AA705,Grade_Scale!$A$2:$A$18,Grade_Scale!$B$2:$B$18)</f>
        <v/>
      </c>
      <c r="AC705">
        <f>LOOKUP(AA705,Grade_Scale!$A$2:$A$18,Grade_Scale!$C$2:$C$18)</f>
        <v/>
      </c>
      <c r="AE705">
        <f>IF(AD705="","",AB705-VLOOKUP(AD705,Grade_Scale!$C$2:$E$18,3,FALSE))</f>
        <v/>
      </c>
    </row>
    <row r="706">
      <c r="Q706">
        <f>IF(OR(B706="SP",B706="RP",B706="CP",B706="SP/RP"),"P","H")</f>
        <v/>
      </c>
      <c r="R706">
        <f>IF(F706="",0,IFNA(VLOOKUP(F706,Trait_Polarity!$A:$C,2,FALSE),0))+IF(G706="",0,IFNA(VLOOKUP(G706,Trait_Polarity!$A:$C,2,FALSE),0))</f>
        <v/>
      </c>
      <c r="S706">
        <f>IF(F706="",0,IFNA(VLOOKUP(F706,Trait_Polarity!$A:$C,3,FALSE),0))+IF(G706="",0,IFNA(VLOOKUP(G706,Trait_Polarity!$A:$C,3,FALSE),0))</f>
        <v/>
      </c>
      <c r="T706">
        <f>IF(Q706="P",0,IFNA(VLOOKUP(IF(C706="","(none)",C706),Secondary_Versatility!$A:$B,2,FALSE),0))</f>
        <v/>
      </c>
      <c r="U706">
        <f>IF(H706="",0,LEN(H706)-LEN(SUBSTITUTE(H706,"|",""))+1)</f>
        <v/>
      </c>
      <c r="V706">
        <f>IF(Q706="P",(N706+O706+P706)/3,0.3*I706+0.3*J706+0.2*K706+0.1*L706+0.1*M706)</f>
        <v/>
      </c>
      <c r="W706">
        <f>IF(Q706="P",IF(F706="",0,IFNA(VLOOKUP(F706,Pitcher_Trait_Coef!$A:$B,2,FALSE),0))+IF(G706="",0,IFNA(VLOOKUP(G706,Pitcher_Trait_Coef!$A:$B,2,FALSE),0)),IF(F706="",0,IFNA(VLOOKUP(F706,Hitter_Trait_Coef!$A:$B,2,FALSE),0))+IF(G706="",0,IFNA(VLOOKUP(G706,Hitter_Trait_Coef!$A:$B,2,FALSE),0)))</f>
        <v/>
      </c>
      <c r="X706">
        <f>IF(Q706="P",IFNA(VLOOKUP(B706,Pitcher_Primary_Coef!$A:$B,2,FALSE),0),IFNA(VLOOKUP(B706,Hitter_Primary_Coef!$A:$B,2,FALSE),0))</f>
        <v/>
      </c>
      <c r="Y706">
        <f>IF(Q706="P",0,IFNA(VLOOKUP(IF(C706="","(none)",C706),Hitter_Secondary_Coef!$A:$B,2,FALSE),0))</f>
        <v/>
      </c>
      <c r="Z706">
        <f>IF(Q706="P",IF(ISNUMBER(SEARCH("2F",H706)),IFNA(VLOOKUP("2F",Pitch_Coef!$A:$B,2,FALSE),0),0)+IF(ISNUMBER(SEARCH("4F",H706)),IFNA(VLOOKUP("4F",Pitch_Coef!$A:$B,2,FALSE),0),0)+IF(ISNUMBER(SEARCH("CB",H706)),IFNA(VLOOKUP("CB",Pitch_Coef!$A:$B,2,FALSE),0),0)+IF(ISNUMBER(SEARCH("CF",H706)),IFNA(VLOOKUP("CF",Pitch_Coef!$A:$B,2,FALSE),0),0)+IF(ISNUMBER(SEARCH("CH",H706)),IFNA(VLOOKUP("CH",Pitch_Coef!$A:$B,2,FALSE),0),0)+IF(ISNUMBER(SEARCH("FK",H706)),IFNA(VLOOKUP("FK",Pitch_Coef!$A:$B,2,FALSE),0),0)+IF(ISNUMBER(SEARCH("SB",H706)),IFNA(VLOOKUP("SB",Pitch_Coef!$A:$B,2,FALSE),0),0)+IF(ISNUMBER(SEARCH("SL",H706)),IFNA(VLOOKUP("SL",Pitch_Coef!$A:$B,2,FALSE),0),0),0)</f>
        <v/>
      </c>
      <c r="AA706">
        <f>IF(Q706="P",16.5944849573+0.2529999141*N706+0.2665900378*O706+0.2632687105*P706+0.0427586837*I706+0.0534777057*J706+0.009015832*K706+0.0204898106*(O706*P706/100)+1.0091022427*U706+1.0968542297*IF(D706="L",1,0)+0.3771555045*IF(D706="S",1,0)-0.2226159177*IF(E706="L",1,0)+1.21385024*R706-1.1652812274*S706+W706+X706+Z706,10.5965166711+0.2825983581*I706+0.2806503532*J706+0.2027213083*K706+0.1147824982*L706+0.0915305332*M706-0.0088454122*(I706*J706/100)-0.0336045706*(K706*L706/100)+2.8497389733*IF(D706="L",1,0)+4.5116226727*IF(D706="S",1,0)-0.6571546448*IF(E706="L",1,0)+0.0850728147*T706+0.0129488446*(T706*T706)+0.1909373936*IF(OR(F706="Utility",G706="Utility"),T706,0)+0.9656824071*R706-1.7517683256*S706+W706+X706+Y706)</f>
        <v/>
      </c>
      <c r="AB706">
        <f>LOOKUP(AA706,Grade_Scale!$A$2:$A$18,Grade_Scale!$B$2:$B$18)</f>
        <v/>
      </c>
      <c r="AC706">
        <f>LOOKUP(AA706,Grade_Scale!$A$2:$A$18,Grade_Scale!$C$2:$C$18)</f>
        <v/>
      </c>
      <c r="AE706">
        <f>IF(AD706="","",AB706-VLOOKUP(AD706,Grade_Scale!$C$2:$E$18,3,FALSE))</f>
        <v/>
      </c>
    </row>
    <row r="707">
      <c r="Q707">
        <f>IF(OR(B707="SP",B707="RP",B707="CP",B707="SP/RP"),"P","H")</f>
        <v/>
      </c>
      <c r="R707">
        <f>IF(F707="",0,IFNA(VLOOKUP(F707,Trait_Polarity!$A:$C,2,FALSE),0))+IF(G707="",0,IFNA(VLOOKUP(G707,Trait_Polarity!$A:$C,2,FALSE),0))</f>
        <v/>
      </c>
      <c r="S707">
        <f>IF(F707="",0,IFNA(VLOOKUP(F707,Trait_Polarity!$A:$C,3,FALSE),0))+IF(G707="",0,IFNA(VLOOKUP(G707,Trait_Polarity!$A:$C,3,FALSE),0))</f>
        <v/>
      </c>
      <c r="T707">
        <f>IF(Q707="P",0,IFNA(VLOOKUP(IF(C707="","(none)",C707),Secondary_Versatility!$A:$B,2,FALSE),0))</f>
        <v/>
      </c>
      <c r="U707">
        <f>IF(H707="",0,LEN(H707)-LEN(SUBSTITUTE(H707,"|",""))+1)</f>
        <v/>
      </c>
      <c r="V707">
        <f>IF(Q707="P",(N707+O707+P707)/3,0.3*I707+0.3*J707+0.2*K707+0.1*L707+0.1*M707)</f>
        <v/>
      </c>
      <c r="W707">
        <f>IF(Q707="P",IF(F707="",0,IFNA(VLOOKUP(F707,Pitcher_Trait_Coef!$A:$B,2,FALSE),0))+IF(G707="",0,IFNA(VLOOKUP(G707,Pitcher_Trait_Coef!$A:$B,2,FALSE),0)),IF(F707="",0,IFNA(VLOOKUP(F707,Hitter_Trait_Coef!$A:$B,2,FALSE),0))+IF(G707="",0,IFNA(VLOOKUP(G707,Hitter_Trait_Coef!$A:$B,2,FALSE),0)))</f>
        <v/>
      </c>
      <c r="X707">
        <f>IF(Q707="P",IFNA(VLOOKUP(B707,Pitcher_Primary_Coef!$A:$B,2,FALSE),0),IFNA(VLOOKUP(B707,Hitter_Primary_Coef!$A:$B,2,FALSE),0))</f>
        <v/>
      </c>
      <c r="Y707">
        <f>IF(Q707="P",0,IFNA(VLOOKUP(IF(C707="","(none)",C707),Hitter_Secondary_Coef!$A:$B,2,FALSE),0))</f>
        <v/>
      </c>
      <c r="Z707">
        <f>IF(Q707="P",IF(ISNUMBER(SEARCH("2F",H707)),IFNA(VLOOKUP("2F",Pitch_Coef!$A:$B,2,FALSE),0),0)+IF(ISNUMBER(SEARCH("4F",H707)),IFNA(VLOOKUP("4F",Pitch_Coef!$A:$B,2,FALSE),0),0)+IF(ISNUMBER(SEARCH("CB",H707)),IFNA(VLOOKUP("CB",Pitch_Coef!$A:$B,2,FALSE),0),0)+IF(ISNUMBER(SEARCH("CF",H707)),IFNA(VLOOKUP("CF",Pitch_Coef!$A:$B,2,FALSE),0),0)+IF(ISNUMBER(SEARCH("CH",H707)),IFNA(VLOOKUP("CH",Pitch_Coef!$A:$B,2,FALSE),0),0)+IF(ISNUMBER(SEARCH("FK",H707)),IFNA(VLOOKUP("FK",Pitch_Coef!$A:$B,2,FALSE),0),0)+IF(ISNUMBER(SEARCH("SB",H707)),IFNA(VLOOKUP("SB",Pitch_Coef!$A:$B,2,FALSE),0),0)+IF(ISNUMBER(SEARCH("SL",H707)),IFNA(VLOOKUP("SL",Pitch_Coef!$A:$B,2,FALSE),0),0),0)</f>
        <v/>
      </c>
      <c r="AA707">
        <f>IF(Q707="P",16.5944849573+0.2529999141*N707+0.2665900378*O707+0.2632687105*P707+0.0427586837*I707+0.0534777057*J707+0.009015832*K707+0.0204898106*(O707*P707/100)+1.0091022427*U707+1.0968542297*IF(D707="L",1,0)+0.3771555045*IF(D707="S",1,0)-0.2226159177*IF(E707="L",1,0)+1.21385024*R707-1.1652812274*S707+W707+X707+Z707,10.5965166711+0.2825983581*I707+0.2806503532*J707+0.2027213083*K707+0.1147824982*L707+0.0915305332*M707-0.0088454122*(I707*J707/100)-0.0336045706*(K707*L707/100)+2.8497389733*IF(D707="L",1,0)+4.5116226727*IF(D707="S",1,0)-0.6571546448*IF(E707="L",1,0)+0.0850728147*T707+0.0129488446*(T707*T707)+0.1909373936*IF(OR(F707="Utility",G707="Utility"),T707,0)+0.9656824071*R707-1.7517683256*S707+W707+X707+Y707)</f>
        <v/>
      </c>
      <c r="AB707">
        <f>LOOKUP(AA707,Grade_Scale!$A$2:$A$18,Grade_Scale!$B$2:$B$18)</f>
        <v/>
      </c>
      <c r="AC707">
        <f>LOOKUP(AA707,Grade_Scale!$A$2:$A$18,Grade_Scale!$C$2:$C$18)</f>
        <v/>
      </c>
      <c r="AE707">
        <f>IF(AD707="","",AB707-VLOOKUP(AD707,Grade_Scale!$C$2:$E$18,3,FALSE))</f>
        <v/>
      </c>
    </row>
    <row r="708">
      <c r="Q708">
        <f>IF(OR(B708="SP",B708="RP",B708="CP",B708="SP/RP"),"P","H")</f>
        <v/>
      </c>
      <c r="R708">
        <f>IF(F708="",0,IFNA(VLOOKUP(F708,Trait_Polarity!$A:$C,2,FALSE),0))+IF(G708="",0,IFNA(VLOOKUP(G708,Trait_Polarity!$A:$C,2,FALSE),0))</f>
        <v/>
      </c>
      <c r="S708">
        <f>IF(F708="",0,IFNA(VLOOKUP(F708,Trait_Polarity!$A:$C,3,FALSE),0))+IF(G708="",0,IFNA(VLOOKUP(G708,Trait_Polarity!$A:$C,3,FALSE),0))</f>
        <v/>
      </c>
      <c r="T708">
        <f>IF(Q708="P",0,IFNA(VLOOKUP(IF(C708="","(none)",C708),Secondary_Versatility!$A:$B,2,FALSE),0))</f>
        <v/>
      </c>
      <c r="U708">
        <f>IF(H708="",0,LEN(H708)-LEN(SUBSTITUTE(H708,"|",""))+1)</f>
        <v/>
      </c>
      <c r="V708">
        <f>IF(Q708="P",(N708+O708+P708)/3,0.3*I708+0.3*J708+0.2*K708+0.1*L708+0.1*M708)</f>
        <v/>
      </c>
      <c r="W708">
        <f>IF(Q708="P",IF(F708="",0,IFNA(VLOOKUP(F708,Pitcher_Trait_Coef!$A:$B,2,FALSE),0))+IF(G708="",0,IFNA(VLOOKUP(G708,Pitcher_Trait_Coef!$A:$B,2,FALSE),0)),IF(F708="",0,IFNA(VLOOKUP(F708,Hitter_Trait_Coef!$A:$B,2,FALSE),0))+IF(G708="",0,IFNA(VLOOKUP(G708,Hitter_Trait_Coef!$A:$B,2,FALSE),0)))</f>
        <v/>
      </c>
      <c r="X708">
        <f>IF(Q708="P",IFNA(VLOOKUP(B708,Pitcher_Primary_Coef!$A:$B,2,FALSE),0),IFNA(VLOOKUP(B708,Hitter_Primary_Coef!$A:$B,2,FALSE),0))</f>
        <v/>
      </c>
      <c r="Y708">
        <f>IF(Q708="P",0,IFNA(VLOOKUP(IF(C708="","(none)",C708),Hitter_Secondary_Coef!$A:$B,2,FALSE),0))</f>
        <v/>
      </c>
      <c r="Z708">
        <f>IF(Q708="P",IF(ISNUMBER(SEARCH("2F",H708)),IFNA(VLOOKUP("2F",Pitch_Coef!$A:$B,2,FALSE),0),0)+IF(ISNUMBER(SEARCH("4F",H708)),IFNA(VLOOKUP("4F",Pitch_Coef!$A:$B,2,FALSE),0),0)+IF(ISNUMBER(SEARCH("CB",H708)),IFNA(VLOOKUP("CB",Pitch_Coef!$A:$B,2,FALSE),0),0)+IF(ISNUMBER(SEARCH("CF",H708)),IFNA(VLOOKUP("CF",Pitch_Coef!$A:$B,2,FALSE),0),0)+IF(ISNUMBER(SEARCH("CH",H708)),IFNA(VLOOKUP("CH",Pitch_Coef!$A:$B,2,FALSE),0),0)+IF(ISNUMBER(SEARCH("FK",H708)),IFNA(VLOOKUP("FK",Pitch_Coef!$A:$B,2,FALSE),0),0)+IF(ISNUMBER(SEARCH("SB",H708)),IFNA(VLOOKUP("SB",Pitch_Coef!$A:$B,2,FALSE),0),0)+IF(ISNUMBER(SEARCH("SL",H708)),IFNA(VLOOKUP("SL",Pitch_Coef!$A:$B,2,FALSE),0),0),0)</f>
        <v/>
      </c>
      <c r="AA708">
        <f>IF(Q708="P",16.5944849573+0.2529999141*N708+0.2665900378*O708+0.2632687105*P708+0.0427586837*I708+0.0534777057*J708+0.009015832*K708+0.0204898106*(O708*P708/100)+1.0091022427*U708+1.0968542297*IF(D708="L",1,0)+0.3771555045*IF(D708="S",1,0)-0.2226159177*IF(E708="L",1,0)+1.21385024*R708-1.1652812274*S708+W708+X708+Z708,10.5965166711+0.2825983581*I708+0.2806503532*J708+0.2027213083*K708+0.1147824982*L708+0.0915305332*M708-0.0088454122*(I708*J708/100)-0.0336045706*(K708*L708/100)+2.8497389733*IF(D708="L",1,0)+4.5116226727*IF(D708="S",1,0)-0.6571546448*IF(E708="L",1,0)+0.0850728147*T708+0.0129488446*(T708*T708)+0.1909373936*IF(OR(F708="Utility",G708="Utility"),T708,0)+0.9656824071*R708-1.7517683256*S708+W708+X708+Y708)</f>
        <v/>
      </c>
      <c r="AB708">
        <f>LOOKUP(AA708,Grade_Scale!$A$2:$A$18,Grade_Scale!$B$2:$B$18)</f>
        <v/>
      </c>
      <c r="AC708">
        <f>LOOKUP(AA708,Grade_Scale!$A$2:$A$18,Grade_Scale!$C$2:$C$18)</f>
        <v/>
      </c>
      <c r="AE708">
        <f>IF(AD708="","",AB708-VLOOKUP(AD708,Grade_Scale!$C$2:$E$18,3,FALSE))</f>
        <v/>
      </c>
    </row>
    <row r="709">
      <c r="Q709">
        <f>IF(OR(B709="SP",B709="RP",B709="CP",B709="SP/RP"),"P","H")</f>
        <v/>
      </c>
      <c r="R709">
        <f>IF(F709="",0,IFNA(VLOOKUP(F709,Trait_Polarity!$A:$C,2,FALSE),0))+IF(G709="",0,IFNA(VLOOKUP(G709,Trait_Polarity!$A:$C,2,FALSE),0))</f>
        <v/>
      </c>
      <c r="S709">
        <f>IF(F709="",0,IFNA(VLOOKUP(F709,Trait_Polarity!$A:$C,3,FALSE),0))+IF(G709="",0,IFNA(VLOOKUP(G709,Trait_Polarity!$A:$C,3,FALSE),0))</f>
        <v/>
      </c>
      <c r="T709">
        <f>IF(Q709="P",0,IFNA(VLOOKUP(IF(C709="","(none)",C709),Secondary_Versatility!$A:$B,2,FALSE),0))</f>
        <v/>
      </c>
      <c r="U709">
        <f>IF(H709="",0,LEN(H709)-LEN(SUBSTITUTE(H709,"|",""))+1)</f>
        <v/>
      </c>
      <c r="V709">
        <f>IF(Q709="P",(N709+O709+P709)/3,0.3*I709+0.3*J709+0.2*K709+0.1*L709+0.1*M709)</f>
        <v/>
      </c>
      <c r="W709">
        <f>IF(Q709="P",IF(F709="",0,IFNA(VLOOKUP(F709,Pitcher_Trait_Coef!$A:$B,2,FALSE),0))+IF(G709="",0,IFNA(VLOOKUP(G709,Pitcher_Trait_Coef!$A:$B,2,FALSE),0)),IF(F709="",0,IFNA(VLOOKUP(F709,Hitter_Trait_Coef!$A:$B,2,FALSE),0))+IF(G709="",0,IFNA(VLOOKUP(G709,Hitter_Trait_Coef!$A:$B,2,FALSE),0)))</f>
        <v/>
      </c>
      <c r="X709">
        <f>IF(Q709="P",IFNA(VLOOKUP(B709,Pitcher_Primary_Coef!$A:$B,2,FALSE),0),IFNA(VLOOKUP(B709,Hitter_Primary_Coef!$A:$B,2,FALSE),0))</f>
        <v/>
      </c>
      <c r="Y709">
        <f>IF(Q709="P",0,IFNA(VLOOKUP(IF(C709="","(none)",C709),Hitter_Secondary_Coef!$A:$B,2,FALSE),0))</f>
        <v/>
      </c>
      <c r="Z709">
        <f>IF(Q709="P",IF(ISNUMBER(SEARCH("2F",H709)),IFNA(VLOOKUP("2F",Pitch_Coef!$A:$B,2,FALSE),0),0)+IF(ISNUMBER(SEARCH("4F",H709)),IFNA(VLOOKUP("4F",Pitch_Coef!$A:$B,2,FALSE),0),0)+IF(ISNUMBER(SEARCH("CB",H709)),IFNA(VLOOKUP("CB",Pitch_Coef!$A:$B,2,FALSE),0),0)+IF(ISNUMBER(SEARCH("CF",H709)),IFNA(VLOOKUP("CF",Pitch_Coef!$A:$B,2,FALSE),0),0)+IF(ISNUMBER(SEARCH("CH",H709)),IFNA(VLOOKUP("CH",Pitch_Coef!$A:$B,2,FALSE),0),0)+IF(ISNUMBER(SEARCH("FK",H709)),IFNA(VLOOKUP("FK",Pitch_Coef!$A:$B,2,FALSE),0),0)+IF(ISNUMBER(SEARCH("SB",H709)),IFNA(VLOOKUP("SB",Pitch_Coef!$A:$B,2,FALSE),0),0)+IF(ISNUMBER(SEARCH("SL",H709)),IFNA(VLOOKUP("SL",Pitch_Coef!$A:$B,2,FALSE),0),0),0)</f>
        <v/>
      </c>
      <c r="AA709">
        <f>IF(Q709="P",16.5944849573+0.2529999141*N709+0.2665900378*O709+0.2632687105*P709+0.0427586837*I709+0.0534777057*J709+0.009015832*K709+0.0204898106*(O709*P709/100)+1.0091022427*U709+1.0968542297*IF(D709="L",1,0)+0.3771555045*IF(D709="S",1,0)-0.2226159177*IF(E709="L",1,0)+1.21385024*R709-1.1652812274*S709+W709+X709+Z709,10.5965166711+0.2825983581*I709+0.2806503532*J709+0.2027213083*K709+0.1147824982*L709+0.0915305332*M709-0.0088454122*(I709*J709/100)-0.0336045706*(K709*L709/100)+2.8497389733*IF(D709="L",1,0)+4.5116226727*IF(D709="S",1,0)-0.6571546448*IF(E709="L",1,0)+0.0850728147*T709+0.0129488446*(T709*T709)+0.1909373936*IF(OR(F709="Utility",G709="Utility"),T709,0)+0.9656824071*R709-1.7517683256*S709+W709+X709+Y709)</f>
        <v/>
      </c>
      <c r="AB709">
        <f>LOOKUP(AA709,Grade_Scale!$A$2:$A$18,Grade_Scale!$B$2:$B$18)</f>
        <v/>
      </c>
      <c r="AC709">
        <f>LOOKUP(AA709,Grade_Scale!$A$2:$A$18,Grade_Scale!$C$2:$C$18)</f>
        <v/>
      </c>
      <c r="AE709">
        <f>IF(AD709="","",AB709-VLOOKUP(AD709,Grade_Scale!$C$2:$E$18,3,FALSE))</f>
        <v/>
      </c>
    </row>
    <row r="710">
      <c r="Q710">
        <f>IF(OR(B710="SP",B710="RP",B710="CP",B710="SP/RP"),"P","H")</f>
        <v/>
      </c>
      <c r="R710">
        <f>IF(F710="",0,IFNA(VLOOKUP(F710,Trait_Polarity!$A:$C,2,FALSE),0))+IF(G710="",0,IFNA(VLOOKUP(G710,Trait_Polarity!$A:$C,2,FALSE),0))</f>
        <v/>
      </c>
      <c r="S710">
        <f>IF(F710="",0,IFNA(VLOOKUP(F710,Trait_Polarity!$A:$C,3,FALSE),0))+IF(G710="",0,IFNA(VLOOKUP(G710,Trait_Polarity!$A:$C,3,FALSE),0))</f>
        <v/>
      </c>
      <c r="T710">
        <f>IF(Q710="P",0,IFNA(VLOOKUP(IF(C710="","(none)",C710),Secondary_Versatility!$A:$B,2,FALSE),0))</f>
        <v/>
      </c>
      <c r="U710">
        <f>IF(H710="",0,LEN(H710)-LEN(SUBSTITUTE(H710,"|",""))+1)</f>
        <v/>
      </c>
      <c r="V710">
        <f>IF(Q710="P",(N710+O710+P710)/3,0.3*I710+0.3*J710+0.2*K710+0.1*L710+0.1*M710)</f>
        <v/>
      </c>
      <c r="W710">
        <f>IF(Q710="P",IF(F710="",0,IFNA(VLOOKUP(F710,Pitcher_Trait_Coef!$A:$B,2,FALSE),0))+IF(G710="",0,IFNA(VLOOKUP(G710,Pitcher_Trait_Coef!$A:$B,2,FALSE),0)),IF(F710="",0,IFNA(VLOOKUP(F710,Hitter_Trait_Coef!$A:$B,2,FALSE),0))+IF(G710="",0,IFNA(VLOOKUP(G710,Hitter_Trait_Coef!$A:$B,2,FALSE),0)))</f>
        <v/>
      </c>
      <c r="X710">
        <f>IF(Q710="P",IFNA(VLOOKUP(B710,Pitcher_Primary_Coef!$A:$B,2,FALSE),0),IFNA(VLOOKUP(B710,Hitter_Primary_Coef!$A:$B,2,FALSE),0))</f>
        <v/>
      </c>
      <c r="Y710">
        <f>IF(Q710="P",0,IFNA(VLOOKUP(IF(C710="","(none)",C710),Hitter_Secondary_Coef!$A:$B,2,FALSE),0))</f>
        <v/>
      </c>
      <c r="Z710">
        <f>IF(Q710="P",IF(ISNUMBER(SEARCH("2F",H710)),IFNA(VLOOKUP("2F",Pitch_Coef!$A:$B,2,FALSE),0),0)+IF(ISNUMBER(SEARCH("4F",H710)),IFNA(VLOOKUP("4F",Pitch_Coef!$A:$B,2,FALSE),0),0)+IF(ISNUMBER(SEARCH("CB",H710)),IFNA(VLOOKUP("CB",Pitch_Coef!$A:$B,2,FALSE),0),0)+IF(ISNUMBER(SEARCH("CF",H710)),IFNA(VLOOKUP("CF",Pitch_Coef!$A:$B,2,FALSE),0),0)+IF(ISNUMBER(SEARCH("CH",H710)),IFNA(VLOOKUP("CH",Pitch_Coef!$A:$B,2,FALSE),0),0)+IF(ISNUMBER(SEARCH("FK",H710)),IFNA(VLOOKUP("FK",Pitch_Coef!$A:$B,2,FALSE),0),0)+IF(ISNUMBER(SEARCH("SB",H710)),IFNA(VLOOKUP("SB",Pitch_Coef!$A:$B,2,FALSE),0),0)+IF(ISNUMBER(SEARCH("SL",H710)),IFNA(VLOOKUP("SL",Pitch_Coef!$A:$B,2,FALSE),0),0),0)</f>
        <v/>
      </c>
      <c r="AA710">
        <f>IF(Q710="P",16.5944849573+0.2529999141*N710+0.2665900378*O710+0.2632687105*P710+0.0427586837*I710+0.0534777057*J710+0.009015832*K710+0.0204898106*(O710*P710/100)+1.0091022427*U710+1.0968542297*IF(D710="L",1,0)+0.3771555045*IF(D710="S",1,0)-0.2226159177*IF(E710="L",1,0)+1.21385024*R710-1.1652812274*S710+W710+X710+Z710,10.5965166711+0.2825983581*I710+0.2806503532*J710+0.2027213083*K710+0.1147824982*L710+0.0915305332*M710-0.0088454122*(I710*J710/100)-0.0336045706*(K710*L710/100)+2.8497389733*IF(D710="L",1,0)+4.5116226727*IF(D710="S",1,0)-0.6571546448*IF(E710="L",1,0)+0.0850728147*T710+0.0129488446*(T710*T710)+0.1909373936*IF(OR(F710="Utility",G710="Utility"),T710,0)+0.9656824071*R710-1.7517683256*S710+W710+X710+Y710)</f>
        <v/>
      </c>
      <c r="AB710">
        <f>LOOKUP(AA710,Grade_Scale!$A$2:$A$18,Grade_Scale!$B$2:$B$18)</f>
        <v/>
      </c>
      <c r="AC710">
        <f>LOOKUP(AA710,Grade_Scale!$A$2:$A$18,Grade_Scale!$C$2:$C$18)</f>
        <v/>
      </c>
      <c r="AE710">
        <f>IF(AD710="","",AB710-VLOOKUP(AD710,Grade_Scale!$C$2:$E$18,3,FALSE))</f>
        <v/>
      </c>
    </row>
    <row r="711">
      <c r="Q711">
        <f>IF(OR(B711="SP",B711="RP",B711="CP",B711="SP/RP"),"P","H")</f>
        <v/>
      </c>
      <c r="R711">
        <f>IF(F711="",0,IFNA(VLOOKUP(F711,Trait_Polarity!$A:$C,2,FALSE),0))+IF(G711="",0,IFNA(VLOOKUP(G711,Trait_Polarity!$A:$C,2,FALSE),0))</f>
        <v/>
      </c>
      <c r="S711">
        <f>IF(F711="",0,IFNA(VLOOKUP(F711,Trait_Polarity!$A:$C,3,FALSE),0))+IF(G711="",0,IFNA(VLOOKUP(G711,Trait_Polarity!$A:$C,3,FALSE),0))</f>
        <v/>
      </c>
      <c r="T711">
        <f>IF(Q711="P",0,IFNA(VLOOKUP(IF(C711="","(none)",C711),Secondary_Versatility!$A:$B,2,FALSE),0))</f>
        <v/>
      </c>
      <c r="U711">
        <f>IF(H711="",0,LEN(H711)-LEN(SUBSTITUTE(H711,"|",""))+1)</f>
        <v/>
      </c>
      <c r="V711">
        <f>IF(Q711="P",(N711+O711+P711)/3,0.3*I711+0.3*J711+0.2*K711+0.1*L711+0.1*M711)</f>
        <v/>
      </c>
      <c r="W711">
        <f>IF(Q711="P",IF(F711="",0,IFNA(VLOOKUP(F711,Pitcher_Trait_Coef!$A:$B,2,FALSE),0))+IF(G711="",0,IFNA(VLOOKUP(G711,Pitcher_Trait_Coef!$A:$B,2,FALSE),0)),IF(F711="",0,IFNA(VLOOKUP(F711,Hitter_Trait_Coef!$A:$B,2,FALSE),0))+IF(G711="",0,IFNA(VLOOKUP(G711,Hitter_Trait_Coef!$A:$B,2,FALSE),0)))</f>
        <v/>
      </c>
      <c r="X711">
        <f>IF(Q711="P",IFNA(VLOOKUP(B711,Pitcher_Primary_Coef!$A:$B,2,FALSE),0),IFNA(VLOOKUP(B711,Hitter_Primary_Coef!$A:$B,2,FALSE),0))</f>
        <v/>
      </c>
      <c r="Y711">
        <f>IF(Q711="P",0,IFNA(VLOOKUP(IF(C711="","(none)",C711),Hitter_Secondary_Coef!$A:$B,2,FALSE),0))</f>
        <v/>
      </c>
      <c r="Z711">
        <f>IF(Q711="P",IF(ISNUMBER(SEARCH("2F",H711)),IFNA(VLOOKUP("2F",Pitch_Coef!$A:$B,2,FALSE),0),0)+IF(ISNUMBER(SEARCH("4F",H711)),IFNA(VLOOKUP("4F",Pitch_Coef!$A:$B,2,FALSE),0),0)+IF(ISNUMBER(SEARCH("CB",H711)),IFNA(VLOOKUP("CB",Pitch_Coef!$A:$B,2,FALSE),0),0)+IF(ISNUMBER(SEARCH("CF",H711)),IFNA(VLOOKUP("CF",Pitch_Coef!$A:$B,2,FALSE),0),0)+IF(ISNUMBER(SEARCH("CH",H711)),IFNA(VLOOKUP("CH",Pitch_Coef!$A:$B,2,FALSE),0),0)+IF(ISNUMBER(SEARCH("FK",H711)),IFNA(VLOOKUP("FK",Pitch_Coef!$A:$B,2,FALSE),0),0)+IF(ISNUMBER(SEARCH("SB",H711)),IFNA(VLOOKUP("SB",Pitch_Coef!$A:$B,2,FALSE),0),0)+IF(ISNUMBER(SEARCH("SL",H711)),IFNA(VLOOKUP("SL",Pitch_Coef!$A:$B,2,FALSE),0),0),0)</f>
        <v/>
      </c>
      <c r="AA711">
        <f>IF(Q711="P",16.5944849573+0.2529999141*N711+0.2665900378*O711+0.2632687105*P711+0.0427586837*I711+0.0534777057*J711+0.009015832*K711+0.0204898106*(O711*P711/100)+1.0091022427*U711+1.0968542297*IF(D711="L",1,0)+0.3771555045*IF(D711="S",1,0)-0.2226159177*IF(E711="L",1,0)+1.21385024*R711-1.1652812274*S711+W711+X711+Z711,10.5965166711+0.2825983581*I711+0.2806503532*J711+0.2027213083*K711+0.1147824982*L711+0.0915305332*M711-0.0088454122*(I711*J711/100)-0.0336045706*(K711*L711/100)+2.8497389733*IF(D711="L",1,0)+4.5116226727*IF(D711="S",1,0)-0.6571546448*IF(E711="L",1,0)+0.0850728147*T711+0.0129488446*(T711*T711)+0.1909373936*IF(OR(F711="Utility",G711="Utility"),T711,0)+0.9656824071*R711-1.7517683256*S711+W711+X711+Y711)</f>
        <v/>
      </c>
      <c r="AB711">
        <f>LOOKUP(AA711,Grade_Scale!$A$2:$A$18,Grade_Scale!$B$2:$B$18)</f>
        <v/>
      </c>
      <c r="AC711">
        <f>LOOKUP(AA711,Grade_Scale!$A$2:$A$18,Grade_Scale!$C$2:$C$18)</f>
        <v/>
      </c>
      <c r="AE711">
        <f>IF(AD711="","",AB711-VLOOKUP(AD711,Grade_Scale!$C$2:$E$18,3,FALSE))</f>
        <v/>
      </c>
    </row>
    <row r="712">
      <c r="Q712">
        <f>IF(OR(B712="SP",B712="RP",B712="CP",B712="SP/RP"),"P","H")</f>
        <v/>
      </c>
      <c r="R712">
        <f>IF(F712="",0,IFNA(VLOOKUP(F712,Trait_Polarity!$A:$C,2,FALSE),0))+IF(G712="",0,IFNA(VLOOKUP(G712,Trait_Polarity!$A:$C,2,FALSE),0))</f>
        <v/>
      </c>
      <c r="S712">
        <f>IF(F712="",0,IFNA(VLOOKUP(F712,Trait_Polarity!$A:$C,3,FALSE),0))+IF(G712="",0,IFNA(VLOOKUP(G712,Trait_Polarity!$A:$C,3,FALSE),0))</f>
        <v/>
      </c>
      <c r="T712">
        <f>IF(Q712="P",0,IFNA(VLOOKUP(IF(C712="","(none)",C712),Secondary_Versatility!$A:$B,2,FALSE),0))</f>
        <v/>
      </c>
      <c r="U712">
        <f>IF(H712="",0,LEN(H712)-LEN(SUBSTITUTE(H712,"|",""))+1)</f>
        <v/>
      </c>
      <c r="V712">
        <f>IF(Q712="P",(N712+O712+P712)/3,0.3*I712+0.3*J712+0.2*K712+0.1*L712+0.1*M712)</f>
        <v/>
      </c>
      <c r="W712">
        <f>IF(Q712="P",IF(F712="",0,IFNA(VLOOKUP(F712,Pitcher_Trait_Coef!$A:$B,2,FALSE),0))+IF(G712="",0,IFNA(VLOOKUP(G712,Pitcher_Trait_Coef!$A:$B,2,FALSE),0)),IF(F712="",0,IFNA(VLOOKUP(F712,Hitter_Trait_Coef!$A:$B,2,FALSE),0))+IF(G712="",0,IFNA(VLOOKUP(G712,Hitter_Trait_Coef!$A:$B,2,FALSE),0)))</f>
        <v/>
      </c>
      <c r="X712">
        <f>IF(Q712="P",IFNA(VLOOKUP(B712,Pitcher_Primary_Coef!$A:$B,2,FALSE),0),IFNA(VLOOKUP(B712,Hitter_Primary_Coef!$A:$B,2,FALSE),0))</f>
        <v/>
      </c>
      <c r="Y712">
        <f>IF(Q712="P",0,IFNA(VLOOKUP(IF(C712="","(none)",C712),Hitter_Secondary_Coef!$A:$B,2,FALSE),0))</f>
        <v/>
      </c>
      <c r="Z712">
        <f>IF(Q712="P",IF(ISNUMBER(SEARCH("2F",H712)),IFNA(VLOOKUP("2F",Pitch_Coef!$A:$B,2,FALSE),0),0)+IF(ISNUMBER(SEARCH("4F",H712)),IFNA(VLOOKUP("4F",Pitch_Coef!$A:$B,2,FALSE),0),0)+IF(ISNUMBER(SEARCH("CB",H712)),IFNA(VLOOKUP("CB",Pitch_Coef!$A:$B,2,FALSE),0),0)+IF(ISNUMBER(SEARCH("CF",H712)),IFNA(VLOOKUP("CF",Pitch_Coef!$A:$B,2,FALSE),0),0)+IF(ISNUMBER(SEARCH("CH",H712)),IFNA(VLOOKUP("CH",Pitch_Coef!$A:$B,2,FALSE),0),0)+IF(ISNUMBER(SEARCH("FK",H712)),IFNA(VLOOKUP("FK",Pitch_Coef!$A:$B,2,FALSE),0),0)+IF(ISNUMBER(SEARCH("SB",H712)),IFNA(VLOOKUP("SB",Pitch_Coef!$A:$B,2,FALSE),0),0)+IF(ISNUMBER(SEARCH("SL",H712)),IFNA(VLOOKUP("SL",Pitch_Coef!$A:$B,2,FALSE),0),0),0)</f>
        <v/>
      </c>
      <c r="AA712">
        <f>IF(Q712="P",16.5944849573+0.2529999141*N712+0.2665900378*O712+0.2632687105*P712+0.0427586837*I712+0.0534777057*J712+0.009015832*K712+0.0204898106*(O712*P712/100)+1.0091022427*U712+1.0968542297*IF(D712="L",1,0)+0.3771555045*IF(D712="S",1,0)-0.2226159177*IF(E712="L",1,0)+1.21385024*R712-1.1652812274*S712+W712+X712+Z712,10.5965166711+0.2825983581*I712+0.2806503532*J712+0.2027213083*K712+0.1147824982*L712+0.0915305332*M712-0.0088454122*(I712*J712/100)-0.0336045706*(K712*L712/100)+2.8497389733*IF(D712="L",1,0)+4.5116226727*IF(D712="S",1,0)-0.6571546448*IF(E712="L",1,0)+0.0850728147*T712+0.0129488446*(T712*T712)+0.1909373936*IF(OR(F712="Utility",G712="Utility"),T712,0)+0.9656824071*R712-1.7517683256*S712+W712+X712+Y712)</f>
        <v/>
      </c>
      <c r="AB712">
        <f>LOOKUP(AA712,Grade_Scale!$A$2:$A$18,Grade_Scale!$B$2:$B$18)</f>
        <v/>
      </c>
      <c r="AC712">
        <f>LOOKUP(AA712,Grade_Scale!$A$2:$A$18,Grade_Scale!$C$2:$C$18)</f>
        <v/>
      </c>
      <c r="AE712">
        <f>IF(AD712="","",AB712-VLOOKUP(AD712,Grade_Scale!$C$2:$E$18,3,FALSE))</f>
        <v/>
      </c>
    </row>
    <row r="713">
      <c r="Q713">
        <f>IF(OR(B713="SP",B713="RP",B713="CP",B713="SP/RP"),"P","H")</f>
        <v/>
      </c>
      <c r="R713">
        <f>IF(F713="",0,IFNA(VLOOKUP(F713,Trait_Polarity!$A:$C,2,FALSE),0))+IF(G713="",0,IFNA(VLOOKUP(G713,Trait_Polarity!$A:$C,2,FALSE),0))</f>
        <v/>
      </c>
      <c r="S713">
        <f>IF(F713="",0,IFNA(VLOOKUP(F713,Trait_Polarity!$A:$C,3,FALSE),0))+IF(G713="",0,IFNA(VLOOKUP(G713,Trait_Polarity!$A:$C,3,FALSE),0))</f>
        <v/>
      </c>
      <c r="T713">
        <f>IF(Q713="P",0,IFNA(VLOOKUP(IF(C713="","(none)",C713),Secondary_Versatility!$A:$B,2,FALSE),0))</f>
        <v/>
      </c>
      <c r="U713">
        <f>IF(H713="",0,LEN(H713)-LEN(SUBSTITUTE(H713,"|",""))+1)</f>
        <v/>
      </c>
      <c r="V713">
        <f>IF(Q713="P",(N713+O713+P713)/3,0.3*I713+0.3*J713+0.2*K713+0.1*L713+0.1*M713)</f>
        <v/>
      </c>
      <c r="W713">
        <f>IF(Q713="P",IF(F713="",0,IFNA(VLOOKUP(F713,Pitcher_Trait_Coef!$A:$B,2,FALSE),0))+IF(G713="",0,IFNA(VLOOKUP(G713,Pitcher_Trait_Coef!$A:$B,2,FALSE),0)),IF(F713="",0,IFNA(VLOOKUP(F713,Hitter_Trait_Coef!$A:$B,2,FALSE),0))+IF(G713="",0,IFNA(VLOOKUP(G713,Hitter_Trait_Coef!$A:$B,2,FALSE),0)))</f>
        <v/>
      </c>
      <c r="X713">
        <f>IF(Q713="P",IFNA(VLOOKUP(B713,Pitcher_Primary_Coef!$A:$B,2,FALSE),0),IFNA(VLOOKUP(B713,Hitter_Primary_Coef!$A:$B,2,FALSE),0))</f>
        <v/>
      </c>
      <c r="Y713">
        <f>IF(Q713="P",0,IFNA(VLOOKUP(IF(C713="","(none)",C713),Hitter_Secondary_Coef!$A:$B,2,FALSE),0))</f>
        <v/>
      </c>
      <c r="Z713">
        <f>IF(Q713="P",IF(ISNUMBER(SEARCH("2F",H713)),IFNA(VLOOKUP("2F",Pitch_Coef!$A:$B,2,FALSE),0),0)+IF(ISNUMBER(SEARCH("4F",H713)),IFNA(VLOOKUP("4F",Pitch_Coef!$A:$B,2,FALSE),0),0)+IF(ISNUMBER(SEARCH("CB",H713)),IFNA(VLOOKUP("CB",Pitch_Coef!$A:$B,2,FALSE),0),0)+IF(ISNUMBER(SEARCH("CF",H713)),IFNA(VLOOKUP("CF",Pitch_Coef!$A:$B,2,FALSE),0),0)+IF(ISNUMBER(SEARCH("CH",H713)),IFNA(VLOOKUP("CH",Pitch_Coef!$A:$B,2,FALSE),0),0)+IF(ISNUMBER(SEARCH("FK",H713)),IFNA(VLOOKUP("FK",Pitch_Coef!$A:$B,2,FALSE),0),0)+IF(ISNUMBER(SEARCH("SB",H713)),IFNA(VLOOKUP("SB",Pitch_Coef!$A:$B,2,FALSE),0),0)+IF(ISNUMBER(SEARCH("SL",H713)),IFNA(VLOOKUP("SL",Pitch_Coef!$A:$B,2,FALSE),0),0),0)</f>
        <v/>
      </c>
      <c r="AA713">
        <f>IF(Q713="P",16.5944849573+0.2529999141*N713+0.2665900378*O713+0.2632687105*P713+0.0427586837*I713+0.0534777057*J713+0.009015832*K713+0.0204898106*(O713*P713/100)+1.0091022427*U713+1.0968542297*IF(D713="L",1,0)+0.3771555045*IF(D713="S",1,0)-0.2226159177*IF(E713="L",1,0)+1.21385024*R713-1.1652812274*S713+W713+X713+Z713,10.5965166711+0.2825983581*I713+0.2806503532*J713+0.2027213083*K713+0.1147824982*L713+0.0915305332*M713-0.0088454122*(I713*J713/100)-0.0336045706*(K713*L713/100)+2.8497389733*IF(D713="L",1,0)+4.5116226727*IF(D713="S",1,0)-0.6571546448*IF(E713="L",1,0)+0.0850728147*T713+0.0129488446*(T713*T713)+0.1909373936*IF(OR(F713="Utility",G713="Utility"),T713,0)+0.9656824071*R713-1.7517683256*S713+W713+X713+Y713)</f>
        <v/>
      </c>
      <c r="AB713">
        <f>LOOKUP(AA713,Grade_Scale!$A$2:$A$18,Grade_Scale!$B$2:$B$18)</f>
        <v/>
      </c>
      <c r="AC713">
        <f>LOOKUP(AA713,Grade_Scale!$A$2:$A$18,Grade_Scale!$C$2:$C$18)</f>
        <v/>
      </c>
      <c r="AE713">
        <f>IF(AD713="","",AB713-VLOOKUP(AD713,Grade_Scale!$C$2:$E$18,3,FALSE))</f>
        <v/>
      </c>
    </row>
    <row r="714">
      <c r="Q714">
        <f>IF(OR(B714="SP",B714="RP",B714="CP",B714="SP/RP"),"P","H")</f>
        <v/>
      </c>
      <c r="R714">
        <f>IF(F714="",0,IFNA(VLOOKUP(F714,Trait_Polarity!$A:$C,2,FALSE),0))+IF(G714="",0,IFNA(VLOOKUP(G714,Trait_Polarity!$A:$C,2,FALSE),0))</f>
        <v/>
      </c>
      <c r="S714">
        <f>IF(F714="",0,IFNA(VLOOKUP(F714,Trait_Polarity!$A:$C,3,FALSE),0))+IF(G714="",0,IFNA(VLOOKUP(G714,Trait_Polarity!$A:$C,3,FALSE),0))</f>
        <v/>
      </c>
      <c r="T714">
        <f>IF(Q714="P",0,IFNA(VLOOKUP(IF(C714="","(none)",C714),Secondary_Versatility!$A:$B,2,FALSE),0))</f>
        <v/>
      </c>
      <c r="U714">
        <f>IF(H714="",0,LEN(H714)-LEN(SUBSTITUTE(H714,"|",""))+1)</f>
        <v/>
      </c>
      <c r="V714">
        <f>IF(Q714="P",(N714+O714+P714)/3,0.3*I714+0.3*J714+0.2*K714+0.1*L714+0.1*M714)</f>
        <v/>
      </c>
      <c r="W714">
        <f>IF(Q714="P",IF(F714="",0,IFNA(VLOOKUP(F714,Pitcher_Trait_Coef!$A:$B,2,FALSE),0))+IF(G714="",0,IFNA(VLOOKUP(G714,Pitcher_Trait_Coef!$A:$B,2,FALSE),0)),IF(F714="",0,IFNA(VLOOKUP(F714,Hitter_Trait_Coef!$A:$B,2,FALSE),0))+IF(G714="",0,IFNA(VLOOKUP(G714,Hitter_Trait_Coef!$A:$B,2,FALSE),0)))</f>
        <v/>
      </c>
      <c r="X714">
        <f>IF(Q714="P",IFNA(VLOOKUP(B714,Pitcher_Primary_Coef!$A:$B,2,FALSE),0),IFNA(VLOOKUP(B714,Hitter_Primary_Coef!$A:$B,2,FALSE),0))</f>
        <v/>
      </c>
      <c r="Y714">
        <f>IF(Q714="P",0,IFNA(VLOOKUP(IF(C714="","(none)",C714),Hitter_Secondary_Coef!$A:$B,2,FALSE),0))</f>
        <v/>
      </c>
      <c r="Z714">
        <f>IF(Q714="P",IF(ISNUMBER(SEARCH("2F",H714)),IFNA(VLOOKUP("2F",Pitch_Coef!$A:$B,2,FALSE),0),0)+IF(ISNUMBER(SEARCH("4F",H714)),IFNA(VLOOKUP("4F",Pitch_Coef!$A:$B,2,FALSE),0),0)+IF(ISNUMBER(SEARCH("CB",H714)),IFNA(VLOOKUP("CB",Pitch_Coef!$A:$B,2,FALSE),0),0)+IF(ISNUMBER(SEARCH("CF",H714)),IFNA(VLOOKUP("CF",Pitch_Coef!$A:$B,2,FALSE),0),0)+IF(ISNUMBER(SEARCH("CH",H714)),IFNA(VLOOKUP("CH",Pitch_Coef!$A:$B,2,FALSE),0),0)+IF(ISNUMBER(SEARCH("FK",H714)),IFNA(VLOOKUP("FK",Pitch_Coef!$A:$B,2,FALSE),0),0)+IF(ISNUMBER(SEARCH("SB",H714)),IFNA(VLOOKUP("SB",Pitch_Coef!$A:$B,2,FALSE),0),0)+IF(ISNUMBER(SEARCH("SL",H714)),IFNA(VLOOKUP("SL",Pitch_Coef!$A:$B,2,FALSE),0),0),0)</f>
        <v/>
      </c>
      <c r="AA714">
        <f>IF(Q714="P",16.5944849573+0.2529999141*N714+0.2665900378*O714+0.2632687105*P714+0.0427586837*I714+0.0534777057*J714+0.009015832*K714+0.0204898106*(O714*P714/100)+1.0091022427*U714+1.0968542297*IF(D714="L",1,0)+0.3771555045*IF(D714="S",1,0)-0.2226159177*IF(E714="L",1,0)+1.21385024*R714-1.1652812274*S714+W714+X714+Z714,10.5965166711+0.2825983581*I714+0.2806503532*J714+0.2027213083*K714+0.1147824982*L714+0.0915305332*M714-0.0088454122*(I714*J714/100)-0.0336045706*(K714*L714/100)+2.8497389733*IF(D714="L",1,0)+4.5116226727*IF(D714="S",1,0)-0.6571546448*IF(E714="L",1,0)+0.0850728147*T714+0.0129488446*(T714*T714)+0.1909373936*IF(OR(F714="Utility",G714="Utility"),T714,0)+0.9656824071*R714-1.7517683256*S714+W714+X714+Y714)</f>
        <v/>
      </c>
      <c r="AB714">
        <f>LOOKUP(AA714,Grade_Scale!$A$2:$A$18,Grade_Scale!$B$2:$B$18)</f>
        <v/>
      </c>
      <c r="AC714">
        <f>LOOKUP(AA714,Grade_Scale!$A$2:$A$18,Grade_Scale!$C$2:$C$18)</f>
        <v/>
      </c>
      <c r="AE714">
        <f>IF(AD714="","",AB714-VLOOKUP(AD714,Grade_Scale!$C$2:$E$18,3,FALSE))</f>
        <v/>
      </c>
    </row>
    <row r="715">
      <c r="Q715">
        <f>IF(OR(B715="SP",B715="RP",B715="CP",B715="SP/RP"),"P","H")</f>
        <v/>
      </c>
      <c r="R715">
        <f>IF(F715="",0,IFNA(VLOOKUP(F715,Trait_Polarity!$A:$C,2,FALSE),0))+IF(G715="",0,IFNA(VLOOKUP(G715,Trait_Polarity!$A:$C,2,FALSE),0))</f>
        <v/>
      </c>
      <c r="S715">
        <f>IF(F715="",0,IFNA(VLOOKUP(F715,Trait_Polarity!$A:$C,3,FALSE),0))+IF(G715="",0,IFNA(VLOOKUP(G715,Trait_Polarity!$A:$C,3,FALSE),0))</f>
        <v/>
      </c>
      <c r="T715">
        <f>IF(Q715="P",0,IFNA(VLOOKUP(IF(C715="","(none)",C715),Secondary_Versatility!$A:$B,2,FALSE),0))</f>
        <v/>
      </c>
      <c r="U715">
        <f>IF(H715="",0,LEN(H715)-LEN(SUBSTITUTE(H715,"|",""))+1)</f>
        <v/>
      </c>
      <c r="V715">
        <f>IF(Q715="P",(N715+O715+P715)/3,0.3*I715+0.3*J715+0.2*K715+0.1*L715+0.1*M715)</f>
        <v/>
      </c>
      <c r="W715">
        <f>IF(Q715="P",IF(F715="",0,IFNA(VLOOKUP(F715,Pitcher_Trait_Coef!$A:$B,2,FALSE),0))+IF(G715="",0,IFNA(VLOOKUP(G715,Pitcher_Trait_Coef!$A:$B,2,FALSE),0)),IF(F715="",0,IFNA(VLOOKUP(F715,Hitter_Trait_Coef!$A:$B,2,FALSE),0))+IF(G715="",0,IFNA(VLOOKUP(G715,Hitter_Trait_Coef!$A:$B,2,FALSE),0)))</f>
        <v/>
      </c>
      <c r="X715">
        <f>IF(Q715="P",IFNA(VLOOKUP(B715,Pitcher_Primary_Coef!$A:$B,2,FALSE),0),IFNA(VLOOKUP(B715,Hitter_Primary_Coef!$A:$B,2,FALSE),0))</f>
        <v/>
      </c>
      <c r="Y715">
        <f>IF(Q715="P",0,IFNA(VLOOKUP(IF(C715="","(none)",C715),Hitter_Secondary_Coef!$A:$B,2,FALSE),0))</f>
        <v/>
      </c>
      <c r="Z715">
        <f>IF(Q715="P",IF(ISNUMBER(SEARCH("2F",H715)),IFNA(VLOOKUP("2F",Pitch_Coef!$A:$B,2,FALSE),0),0)+IF(ISNUMBER(SEARCH("4F",H715)),IFNA(VLOOKUP("4F",Pitch_Coef!$A:$B,2,FALSE),0),0)+IF(ISNUMBER(SEARCH("CB",H715)),IFNA(VLOOKUP("CB",Pitch_Coef!$A:$B,2,FALSE),0),0)+IF(ISNUMBER(SEARCH("CF",H715)),IFNA(VLOOKUP("CF",Pitch_Coef!$A:$B,2,FALSE),0),0)+IF(ISNUMBER(SEARCH("CH",H715)),IFNA(VLOOKUP("CH",Pitch_Coef!$A:$B,2,FALSE),0),0)+IF(ISNUMBER(SEARCH("FK",H715)),IFNA(VLOOKUP("FK",Pitch_Coef!$A:$B,2,FALSE),0),0)+IF(ISNUMBER(SEARCH("SB",H715)),IFNA(VLOOKUP("SB",Pitch_Coef!$A:$B,2,FALSE),0),0)+IF(ISNUMBER(SEARCH("SL",H715)),IFNA(VLOOKUP("SL",Pitch_Coef!$A:$B,2,FALSE),0),0),0)</f>
        <v/>
      </c>
      <c r="AA715">
        <f>IF(Q715="P",16.5944849573+0.2529999141*N715+0.2665900378*O715+0.2632687105*P715+0.0427586837*I715+0.0534777057*J715+0.009015832*K715+0.0204898106*(O715*P715/100)+1.0091022427*U715+1.0968542297*IF(D715="L",1,0)+0.3771555045*IF(D715="S",1,0)-0.2226159177*IF(E715="L",1,0)+1.21385024*R715-1.1652812274*S715+W715+X715+Z715,10.5965166711+0.2825983581*I715+0.2806503532*J715+0.2027213083*K715+0.1147824982*L715+0.0915305332*M715-0.0088454122*(I715*J715/100)-0.0336045706*(K715*L715/100)+2.8497389733*IF(D715="L",1,0)+4.5116226727*IF(D715="S",1,0)-0.6571546448*IF(E715="L",1,0)+0.0850728147*T715+0.0129488446*(T715*T715)+0.1909373936*IF(OR(F715="Utility",G715="Utility"),T715,0)+0.9656824071*R715-1.7517683256*S715+W715+X715+Y715)</f>
        <v/>
      </c>
      <c r="AB715">
        <f>LOOKUP(AA715,Grade_Scale!$A$2:$A$18,Grade_Scale!$B$2:$B$18)</f>
        <v/>
      </c>
      <c r="AC715">
        <f>LOOKUP(AA715,Grade_Scale!$A$2:$A$18,Grade_Scale!$C$2:$C$18)</f>
        <v/>
      </c>
      <c r="AE715">
        <f>IF(AD715="","",AB715-VLOOKUP(AD715,Grade_Scale!$C$2:$E$18,3,FALSE))</f>
        <v/>
      </c>
    </row>
    <row r="716">
      <c r="Q716">
        <f>IF(OR(B716="SP",B716="RP",B716="CP",B716="SP/RP"),"P","H")</f>
        <v/>
      </c>
      <c r="R716">
        <f>IF(F716="",0,IFNA(VLOOKUP(F716,Trait_Polarity!$A:$C,2,FALSE),0))+IF(G716="",0,IFNA(VLOOKUP(G716,Trait_Polarity!$A:$C,2,FALSE),0))</f>
        <v/>
      </c>
      <c r="S716">
        <f>IF(F716="",0,IFNA(VLOOKUP(F716,Trait_Polarity!$A:$C,3,FALSE),0))+IF(G716="",0,IFNA(VLOOKUP(G716,Trait_Polarity!$A:$C,3,FALSE),0))</f>
        <v/>
      </c>
      <c r="T716">
        <f>IF(Q716="P",0,IFNA(VLOOKUP(IF(C716="","(none)",C716),Secondary_Versatility!$A:$B,2,FALSE),0))</f>
        <v/>
      </c>
      <c r="U716">
        <f>IF(H716="",0,LEN(H716)-LEN(SUBSTITUTE(H716,"|",""))+1)</f>
        <v/>
      </c>
      <c r="V716">
        <f>IF(Q716="P",(N716+O716+P716)/3,0.3*I716+0.3*J716+0.2*K716+0.1*L716+0.1*M716)</f>
        <v/>
      </c>
      <c r="W716">
        <f>IF(Q716="P",IF(F716="",0,IFNA(VLOOKUP(F716,Pitcher_Trait_Coef!$A:$B,2,FALSE),0))+IF(G716="",0,IFNA(VLOOKUP(G716,Pitcher_Trait_Coef!$A:$B,2,FALSE),0)),IF(F716="",0,IFNA(VLOOKUP(F716,Hitter_Trait_Coef!$A:$B,2,FALSE),0))+IF(G716="",0,IFNA(VLOOKUP(G716,Hitter_Trait_Coef!$A:$B,2,FALSE),0)))</f>
        <v/>
      </c>
      <c r="X716">
        <f>IF(Q716="P",IFNA(VLOOKUP(B716,Pitcher_Primary_Coef!$A:$B,2,FALSE),0),IFNA(VLOOKUP(B716,Hitter_Primary_Coef!$A:$B,2,FALSE),0))</f>
        <v/>
      </c>
      <c r="Y716">
        <f>IF(Q716="P",0,IFNA(VLOOKUP(IF(C716="","(none)",C716),Hitter_Secondary_Coef!$A:$B,2,FALSE),0))</f>
        <v/>
      </c>
      <c r="Z716">
        <f>IF(Q716="P",IF(ISNUMBER(SEARCH("2F",H716)),IFNA(VLOOKUP("2F",Pitch_Coef!$A:$B,2,FALSE),0),0)+IF(ISNUMBER(SEARCH("4F",H716)),IFNA(VLOOKUP("4F",Pitch_Coef!$A:$B,2,FALSE),0),0)+IF(ISNUMBER(SEARCH("CB",H716)),IFNA(VLOOKUP("CB",Pitch_Coef!$A:$B,2,FALSE),0),0)+IF(ISNUMBER(SEARCH("CF",H716)),IFNA(VLOOKUP("CF",Pitch_Coef!$A:$B,2,FALSE),0),0)+IF(ISNUMBER(SEARCH("CH",H716)),IFNA(VLOOKUP("CH",Pitch_Coef!$A:$B,2,FALSE),0),0)+IF(ISNUMBER(SEARCH("FK",H716)),IFNA(VLOOKUP("FK",Pitch_Coef!$A:$B,2,FALSE),0),0)+IF(ISNUMBER(SEARCH("SB",H716)),IFNA(VLOOKUP("SB",Pitch_Coef!$A:$B,2,FALSE),0),0)+IF(ISNUMBER(SEARCH("SL",H716)),IFNA(VLOOKUP("SL",Pitch_Coef!$A:$B,2,FALSE),0),0),0)</f>
        <v/>
      </c>
      <c r="AA716">
        <f>IF(Q716="P",16.5944849573+0.2529999141*N716+0.2665900378*O716+0.2632687105*P716+0.0427586837*I716+0.0534777057*J716+0.009015832*K716+0.0204898106*(O716*P716/100)+1.0091022427*U716+1.0968542297*IF(D716="L",1,0)+0.3771555045*IF(D716="S",1,0)-0.2226159177*IF(E716="L",1,0)+1.21385024*R716-1.1652812274*S716+W716+X716+Z716,10.5965166711+0.2825983581*I716+0.2806503532*J716+0.2027213083*K716+0.1147824982*L716+0.0915305332*M716-0.0088454122*(I716*J716/100)-0.0336045706*(K716*L716/100)+2.8497389733*IF(D716="L",1,0)+4.5116226727*IF(D716="S",1,0)-0.6571546448*IF(E716="L",1,0)+0.0850728147*T716+0.0129488446*(T716*T716)+0.1909373936*IF(OR(F716="Utility",G716="Utility"),T716,0)+0.9656824071*R716-1.7517683256*S716+W716+X716+Y716)</f>
        <v/>
      </c>
      <c r="AB716">
        <f>LOOKUP(AA716,Grade_Scale!$A$2:$A$18,Grade_Scale!$B$2:$B$18)</f>
        <v/>
      </c>
      <c r="AC716">
        <f>LOOKUP(AA716,Grade_Scale!$A$2:$A$18,Grade_Scale!$C$2:$C$18)</f>
        <v/>
      </c>
      <c r="AE716">
        <f>IF(AD716="","",AB716-VLOOKUP(AD716,Grade_Scale!$C$2:$E$18,3,FALSE))</f>
        <v/>
      </c>
    </row>
    <row r="717">
      <c r="Q717">
        <f>IF(OR(B717="SP",B717="RP",B717="CP",B717="SP/RP"),"P","H")</f>
        <v/>
      </c>
      <c r="R717">
        <f>IF(F717="",0,IFNA(VLOOKUP(F717,Trait_Polarity!$A:$C,2,FALSE),0))+IF(G717="",0,IFNA(VLOOKUP(G717,Trait_Polarity!$A:$C,2,FALSE),0))</f>
        <v/>
      </c>
      <c r="S717">
        <f>IF(F717="",0,IFNA(VLOOKUP(F717,Trait_Polarity!$A:$C,3,FALSE),0))+IF(G717="",0,IFNA(VLOOKUP(G717,Trait_Polarity!$A:$C,3,FALSE),0))</f>
        <v/>
      </c>
      <c r="T717">
        <f>IF(Q717="P",0,IFNA(VLOOKUP(IF(C717="","(none)",C717),Secondary_Versatility!$A:$B,2,FALSE),0))</f>
        <v/>
      </c>
      <c r="U717">
        <f>IF(H717="",0,LEN(H717)-LEN(SUBSTITUTE(H717,"|",""))+1)</f>
        <v/>
      </c>
      <c r="V717">
        <f>IF(Q717="P",(N717+O717+P717)/3,0.3*I717+0.3*J717+0.2*K717+0.1*L717+0.1*M717)</f>
        <v/>
      </c>
      <c r="W717">
        <f>IF(Q717="P",IF(F717="",0,IFNA(VLOOKUP(F717,Pitcher_Trait_Coef!$A:$B,2,FALSE),0))+IF(G717="",0,IFNA(VLOOKUP(G717,Pitcher_Trait_Coef!$A:$B,2,FALSE),0)),IF(F717="",0,IFNA(VLOOKUP(F717,Hitter_Trait_Coef!$A:$B,2,FALSE),0))+IF(G717="",0,IFNA(VLOOKUP(G717,Hitter_Trait_Coef!$A:$B,2,FALSE),0)))</f>
        <v/>
      </c>
      <c r="X717">
        <f>IF(Q717="P",IFNA(VLOOKUP(B717,Pitcher_Primary_Coef!$A:$B,2,FALSE),0),IFNA(VLOOKUP(B717,Hitter_Primary_Coef!$A:$B,2,FALSE),0))</f>
        <v/>
      </c>
      <c r="Y717">
        <f>IF(Q717="P",0,IFNA(VLOOKUP(IF(C717="","(none)",C717),Hitter_Secondary_Coef!$A:$B,2,FALSE),0))</f>
        <v/>
      </c>
      <c r="Z717">
        <f>IF(Q717="P",IF(ISNUMBER(SEARCH("2F",H717)),IFNA(VLOOKUP("2F",Pitch_Coef!$A:$B,2,FALSE),0),0)+IF(ISNUMBER(SEARCH("4F",H717)),IFNA(VLOOKUP("4F",Pitch_Coef!$A:$B,2,FALSE),0),0)+IF(ISNUMBER(SEARCH("CB",H717)),IFNA(VLOOKUP("CB",Pitch_Coef!$A:$B,2,FALSE),0),0)+IF(ISNUMBER(SEARCH("CF",H717)),IFNA(VLOOKUP("CF",Pitch_Coef!$A:$B,2,FALSE),0),0)+IF(ISNUMBER(SEARCH("CH",H717)),IFNA(VLOOKUP("CH",Pitch_Coef!$A:$B,2,FALSE),0),0)+IF(ISNUMBER(SEARCH("FK",H717)),IFNA(VLOOKUP("FK",Pitch_Coef!$A:$B,2,FALSE),0),0)+IF(ISNUMBER(SEARCH("SB",H717)),IFNA(VLOOKUP("SB",Pitch_Coef!$A:$B,2,FALSE),0),0)+IF(ISNUMBER(SEARCH("SL",H717)),IFNA(VLOOKUP("SL",Pitch_Coef!$A:$B,2,FALSE),0),0),0)</f>
        <v/>
      </c>
      <c r="AA717">
        <f>IF(Q717="P",16.5944849573+0.2529999141*N717+0.2665900378*O717+0.2632687105*P717+0.0427586837*I717+0.0534777057*J717+0.009015832*K717+0.0204898106*(O717*P717/100)+1.0091022427*U717+1.0968542297*IF(D717="L",1,0)+0.3771555045*IF(D717="S",1,0)-0.2226159177*IF(E717="L",1,0)+1.21385024*R717-1.1652812274*S717+W717+X717+Z717,10.5965166711+0.2825983581*I717+0.2806503532*J717+0.2027213083*K717+0.1147824982*L717+0.0915305332*M717-0.0088454122*(I717*J717/100)-0.0336045706*(K717*L717/100)+2.8497389733*IF(D717="L",1,0)+4.5116226727*IF(D717="S",1,0)-0.6571546448*IF(E717="L",1,0)+0.0850728147*T717+0.0129488446*(T717*T717)+0.1909373936*IF(OR(F717="Utility",G717="Utility"),T717,0)+0.9656824071*R717-1.7517683256*S717+W717+X717+Y717)</f>
        <v/>
      </c>
      <c r="AB717">
        <f>LOOKUP(AA717,Grade_Scale!$A$2:$A$18,Grade_Scale!$B$2:$B$18)</f>
        <v/>
      </c>
      <c r="AC717">
        <f>LOOKUP(AA717,Grade_Scale!$A$2:$A$18,Grade_Scale!$C$2:$C$18)</f>
        <v/>
      </c>
      <c r="AE717">
        <f>IF(AD717="","",AB717-VLOOKUP(AD717,Grade_Scale!$C$2:$E$18,3,FALSE))</f>
        <v/>
      </c>
    </row>
    <row r="718">
      <c r="Q718">
        <f>IF(OR(B718="SP",B718="RP",B718="CP",B718="SP/RP"),"P","H")</f>
        <v/>
      </c>
      <c r="R718">
        <f>IF(F718="",0,IFNA(VLOOKUP(F718,Trait_Polarity!$A:$C,2,FALSE),0))+IF(G718="",0,IFNA(VLOOKUP(G718,Trait_Polarity!$A:$C,2,FALSE),0))</f>
        <v/>
      </c>
      <c r="S718">
        <f>IF(F718="",0,IFNA(VLOOKUP(F718,Trait_Polarity!$A:$C,3,FALSE),0))+IF(G718="",0,IFNA(VLOOKUP(G718,Trait_Polarity!$A:$C,3,FALSE),0))</f>
        <v/>
      </c>
      <c r="T718">
        <f>IF(Q718="P",0,IFNA(VLOOKUP(IF(C718="","(none)",C718),Secondary_Versatility!$A:$B,2,FALSE),0))</f>
        <v/>
      </c>
      <c r="U718">
        <f>IF(H718="",0,LEN(H718)-LEN(SUBSTITUTE(H718,"|",""))+1)</f>
        <v/>
      </c>
      <c r="V718">
        <f>IF(Q718="P",(N718+O718+P718)/3,0.3*I718+0.3*J718+0.2*K718+0.1*L718+0.1*M718)</f>
        <v/>
      </c>
      <c r="W718">
        <f>IF(Q718="P",IF(F718="",0,IFNA(VLOOKUP(F718,Pitcher_Trait_Coef!$A:$B,2,FALSE),0))+IF(G718="",0,IFNA(VLOOKUP(G718,Pitcher_Trait_Coef!$A:$B,2,FALSE),0)),IF(F718="",0,IFNA(VLOOKUP(F718,Hitter_Trait_Coef!$A:$B,2,FALSE),0))+IF(G718="",0,IFNA(VLOOKUP(G718,Hitter_Trait_Coef!$A:$B,2,FALSE),0)))</f>
        <v/>
      </c>
      <c r="X718">
        <f>IF(Q718="P",IFNA(VLOOKUP(B718,Pitcher_Primary_Coef!$A:$B,2,FALSE),0),IFNA(VLOOKUP(B718,Hitter_Primary_Coef!$A:$B,2,FALSE),0))</f>
        <v/>
      </c>
      <c r="Y718">
        <f>IF(Q718="P",0,IFNA(VLOOKUP(IF(C718="","(none)",C718),Hitter_Secondary_Coef!$A:$B,2,FALSE),0))</f>
        <v/>
      </c>
      <c r="Z718">
        <f>IF(Q718="P",IF(ISNUMBER(SEARCH("2F",H718)),IFNA(VLOOKUP("2F",Pitch_Coef!$A:$B,2,FALSE),0),0)+IF(ISNUMBER(SEARCH("4F",H718)),IFNA(VLOOKUP("4F",Pitch_Coef!$A:$B,2,FALSE),0),0)+IF(ISNUMBER(SEARCH("CB",H718)),IFNA(VLOOKUP("CB",Pitch_Coef!$A:$B,2,FALSE),0),0)+IF(ISNUMBER(SEARCH("CF",H718)),IFNA(VLOOKUP("CF",Pitch_Coef!$A:$B,2,FALSE),0),0)+IF(ISNUMBER(SEARCH("CH",H718)),IFNA(VLOOKUP("CH",Pitch_Coef!$A:$B,2,FALSE),0),0)+IF(ISNUMBER(SEARCH("FK",H718)),IFNA(VLOOKUP("FK",Pitch_Coef!$A:$B,2,FALSE),0),0)+IF(ISNUMBER(SEARCH("SB",H718)),IFNA(VLOOKUP("SB",Pitch_Coef!$A:$B,2,FALSE),0),0)+IF(ISNUMBER(SEARCH("SL",H718)),IFNA(VLOOKUP("SL",Pitch_Coef!$A:$B,2,FALSE),0),0),0)</f>
        <v/>
      </c>
      <c r="AA718">
        <f>IF(Q718="P",16.5944849573+0.2529999141*N718+0.2665900378*O718+0.2632687105*P718+0.0427586837*I718+0.0534777057*J718+0.009015832*K718+0.0204898106*(O718*P718/100)+1.0091022427*U718+1.0968542297*IF(D718="L",1,0)+0.3771555045*IF(D718="S",1,0)-0.2226159177*IF(E718="L",1,0)+1.21385024*R718-1.1652812274*S718+W718+X718+Z718,10.5965166711+0.2825983581*I718+0.2806503532*J718+0.2027213083*K718+0.1147824982*L718+0.0915305332*M718-0.0088454122*(I718*J718/100)-0.0336045706*(K718*L718/100)+2.8497389733*IF(D718="L",1,0)+4.5116226727*IF(D718="S",1,0)-0.6571546448*IF(E718="L",1,0)+0.0850728147*T718+0.0129488446*(T718*T718)+0.1909373936*IF(OR(F718="Utility",G718="Utility"),T718,0)+0.9656824071*R718-1.7517683256*S718+W718+X718+Y718)</f>
        <v/>
      </c>
      <c r="AB718">
        <f>LOOKUP(AA718,Grade_Scale!$A$2:$A$18,Grade_Scale!$B$2:$B$18)</f>
        <v/>
      </c>
      <c r="AC718">
        <f>LOOKUP(AA718,Grade_Scale!$A$2:$A$18,Grade_Scale!$C$2:$C$18)</f>
        <v/>
      </c>
      <c r="AE718">
        <f>IF(AD718="","",AB718-VLOOKUP(AD718,Grade_Scale!$C$2:$E$18,3,FALSE))</f>
        <v/>
      </c>
    </row>
    <row r="719">
      <c r="Q719">
        <f>IF(OR(B719="SP",B719="RP",B719="CP",B719="SP/RP"),"P","H")</f>
        <v/>
      </c>
      <c r="R719">
        <f>IF(F719="",0,IFNA(VLOOKUP(F719,Trait_Polarity!$A:$C,2,FALSE),0))+IF(G719="",0,IFNA(VLOOKUP(G719,Trait_Polarity!$A:$C,2,FALSE),0))</f>
        <v/>
      </c>
      <c r="S719">
        <f>IF(F719="",0,IFNA(VLOOKUP(F719,Trait_Polarity!$A:$C,3,FALSE),0))+IF(G719="",0,IFNA(VLOOKUP(G719,Trait_Polarity!$A:$C,3,FALSE),0))</f>
        <v/>
      </c>
      <c r="T719">
        <f>IF(Q719="P",0,IFNA(VLOOKUP(IF(C719="","(none)",C719),Secondary_Versatility!$A:$B,2,FALSE),0))</f>
        <v/>
      </c>
      <c r="U719">
        <f>IF(H719="",0,LEN(H719)-LEN(SUBSTITUTE(H719,"|",""))+1)</f>
        <v/>
      </c>
      <c r="V719">
        <f>IF(Q719="P",(N719+O719+P719)/3,0.3*I719+0.3*J719+0.2*K719+0.1*L719+0.1*M719)</f>
        <v/>
      </c>
      <c r="W719">
        <f>IF(Q719="P",IF(F719="",0,IFNA(VLOOKUP(F719,Pitcher_Trait_Coef!$A:$B,2,FALSE),0))+IF(G719="",0,IFNA(VLOOKUP(G719,Pitcher_Trait_Coef!$A:$B,2,FALSE),0)),IF(F719="",0,IFNA(VLOOKUP(F719,Hitter_Trait_Coef!$A:$B,2,FALSE),0))+IF(G719="",0,IFNA(VLOOKUP(G719,Hitter_Trait_Coef!$A:$B,2,FALSE),0)))</f>
        <v/>
      </c>
      <c r="X719">
        <f>IF(Q719="P",IFNA(VLOOKUP(B719,Pitcher_Primary_Coef!$A:$B,2,FALSE),0),IFNA(VLOOKUP(B719,Hitter_Primary_Coef!$A:$B,2,FALSE),0))</f>
        <v/>
      </c>
      <c r="Y719">
        <f>IF(Q719="P",0,IFNA(VLOOKUP(IF(C719="","(none)",C719),Hitter_Secondary_Coef!$A:$B,2,FALSE),0))</f>
        <v/>
      </c>
      <c r="Z719">
        <f>IF(Q719="P",IF(ISNUMBER(SEARCH("2F",H719)),IFNA(VLOOKUP("2F",Pitch_Coef!$A:$B,2,FALSE),0),0)+IF(ISNUMBER(SEARCH("4F",H719)),IFNA(VLOOKUP("4F",Pitch_Coef!$A:$B,2,FALSE),0),0)+IF(ISNUMBER(SEARCH("CB",H719)),IFNA(VLOOKUP("CB",Pitch_Coef!$A:$B,2,FALSE),0),0)+IF(ISNUMBER(SEARCH("CF",H719)),IFNA(VLOOKUP("CF",Pitch_Coef!$A:$B,2,FALSE),0),0)+IF(ISNUMBER(SEARCH("CH",H719)),IFNA(VLOOKUP("CH",Pitch_Coef!$A:$B,2,FALSE),0),0)+IF(ISNUMBER(SEARCH("FK",H719)),IFNA(VLOOKUP("FK",Pitch_Coef!$A:$B,2,FALSE),0),0)+IF(ISNUMBER(SEARCH("SB",H719)),IFNA(VLOOKUP("SB",Pitch_Coef!$A:$B,2,FALSE),0),0)+IF(ISNUMBER(SEARCH("SL",H719)),IFNA(VLOOKUP("SL",Pitch_Coef!$A:$B,2,FALSE),0),0),0)</f>
        <v/>
      </c>
      <c r="AA719">
        <f>IF(Q719="P",16.5944849573+0.2529999141*N719+0.2665900378*O719+0.2632687105*P719+0.0427586837*I719+0.0534777057*J719+0.009015832*K719+0.0204898106*(O719*P719/100)+1.0091022427*U719+1.0968542297*IF(D719="L",1,0)+0.3771555045*IF(D719="S",1,0)-0.2226159177*IF(E719="L",1,0)+1.21385024*R719-1.1652812274*S719+W719+X719+Z719,10.5965166711+0.2825983581*I719+0.2806503532*J719+0.2027213083*K719+0.1147824982*L719+0.0915305332*M719-0.0088454122*(I719*J719/100)-0.0336045706*(K719*L719/100)+2.8497389733*IF(D719="L",1,0)+4.5116226727*IF(D719="S",1,0)-0.6571546448*IF(E719="L",1,0)+0.0850728147*T719+0.0129488446*(T719*T719)+0.1909373936*IF(OR(F719="Utility",G719="Utility"),T719,0)+0.9656824071*R719-1.7517683256*S719+W719+X719+Y719)</f>
        <v/>
      </c>
      <c r="AB719">
        <f>LOOKUP(AA719,Grade_Scale!$A$2:$A$18,Grade_Scale!$B$2:$B$18)</f>
        <v/>
      </c>
      <c r="AC719">
        <f>LOOKUP(AA719,Grade_Scale!$A$2:$A$18,Grade_Scale!$C$2:$C$18)</f>
        <v/>
      </c>
      <c r="AE719">
        <f>IF(AD719="","",AB719-VLOOKUP(AD719,Grade_Scale!$C$2:$E$18,3,FALSE))</f>
        <v/>
      </c>
    </row>
    <row r="720">
      <c r="Q720">
        <f>IF(OR(B720="SP",B720="RP",B720="CP",B720="SP/RP"),"P","H")</f>
        <v/>
      </c>
      <c r="R720">
        <f>IF(F720="",0,IFNA(VLOOKUP(F720,Trait_Polarity!$A:$C,2,FALSE),0))+IF(G720="",0,IFNA(VLOOKUP(G720,Trait_Polarity!$A:$C,2,FALSE),0))</f>
        <v/>
      </c>
      <c r="S720">
        <f>IF(F720="",0,IFNA(VLOOKUP(F720,Trait_Polarity!$A:$C,3,FALSE),0))+IF(G720="",0,IFNA(VLOOKUP(G720,Trait_Polarity!$A:$C,3,FALSE),0))</f>
        <v/>
      </c>
      <c r="T720">
        <f>IF(Q720="P",0,IFNA(VLOOKUP(IF(C720="","(none)",C720),Secondary_Versatility!$A:$B,2,FALSE),0))</f>
        <v/>
      </c>
      <c r="U720">
        <f>IF(H720="",0,LEN(H720)-LEN(SUBSTITUTE(H720,"|",""))+1)</f>
        <v/>
      </c>
      <c r="V720">
        <f>IF(Q720="P",(N720+O720+P720)/3,0.3*I720+0.3*J720+0.2*K720+0.1*L720+0.1*M720)</f>
        <v/>
      </c>
      <c r="W720">
        <f>IF(Q720="P",IF(F720="",0,IFNA(VLOOKUP(F720,Pitcher_Trait_Coef!$A:$B,2,FALSE),0))+IF(G720="",0,IFNA(VLOOKUP(G720,Pitcher_Trait_Coef!$A:$B,2,FALSE),0)),IF(F720="",0,IFNA(VLOOKUP(F720,Hitter_Trait_Coef!$A:$B,2,FALSE),0))+IF(G720="",0,IFNA(VLOOKUP(G720,Hitter_Trait_Coef!$A:$B,2,FALSE),0)))</f>
        <v/>
      </c>
      <c r="X720">
        <f>IF(Q720="P",IFNA(VLOOKUP(B720,Pitcher_Primary_Coef!$A:$B,2,FALSE),0),IFNA(VLOOKUP(B720,Hitter_Primary_Coef!$A:$B,2,FALSE),0))</f>
        <v/>
      </c>
      <c r="Y720">
        <f>IF(Q720="P",0,IFNA(VLOOKUP(IF(C720="","(none)",C720),Hitter_Secondary_Coef!$A:$B,2,FALSE),0))</f>
        <v/>
      </c>
      <c r="Z720">
        <f>IF(Q720="P",IF(ISNUMBER(SEARCH("2F",H720)),IFNA(VLOOKUP("2F",Pitch_Coef!$A:$B,2,FALSE),0),0)+IF(ISNUMBER(SEARCH("4F",H720)),IFNA(VLOOKUP("4F",Pitch_Coef!$A:$B,2,FALSE),0),0)+IF(ISNUMBER(SEARCH("CB",H720)),IFNA(VLOOKUP("CB",Pitch_Coef!$A:$B,2,FALSE),0),0)+IF(ISNUMBER(SEARCH("CF",H720)),IFNA(VLOOKUP("CF",Pitch_Coef!$A:$B,2,FALSE),0),0)+IF(ISNUMBER(SEARCH("CH",H720)),IFNA(VLOOKUP("CH",Pitch_Coef!$A:$B,2,FALSE),0),0)+IF(ISNUMBER(SEARCH("FK",H720)),IFNA(VLOOKUP("FK",Pitch_Coef!$A:$B,2,FALSE),0),0)+IF(ISNUMBER(SEARCH("SB",H720)),IFNA(VLOOKUP("SB",Pitch_Coef!$A:$B,2,FALSE),0),0)+IF(ISNUMBER(SEARCH("SL",H720)),IFNA(VLOOKUP("SL",Pitch_Coef!$A:$B,2,FALSE),0),0),0)</f>
        <v/>
      </c>
      <c r="AA720">
        <f>IF(Q720="P",16.5944849573+0.2529999141*N720+0.2665900378*O720+0.2632687105*P720+0.0427586837*I720+0.0534777057*J720+0.009015832*K720+0.0204898106*(O720*P720/100)+1.0091022427*U720+1.0968542297*IF(D720="L",1,0)+0.3771555045*IF(D720="S",1,0)-0.2226159177*IF(E720="L",1,0)+1.21385024*R720-1.1652812274*S720+W720+X720+Z720,10.5965166711+0.2825983581*I720+0.2806503532*J720+0.2027213083*K720+0.1147824982*L720+0.0915305332*M720-0.0088454122*(I720*J720/100)-0.0336045706*(K720*L720/100)+2.8497389733*IF(D720="L",1,0)+4.5116226727*IF(D720="S",1,0)-0.6571546448*IF(E720="L",1,0)+0.0850728147*T720+0.0129488446*(T720*T720)+0.1909373936*IF(OR(F720="Utility",G720="Utility"),T720,0)+0.9656824071*R720-1.7517683256*S720+W720+X720+Y720)</f>
        <v/>
      </c>
      <c r="AB720">
        <f>LOOKUP(AA720,Grade_Scale!$A$2:$A$18,Grade_Scale!$B$2:$B$18)</f>
        <v/>
      </c>
      <c r="AC720">
        <f>LOOKUP(AA720,Grade_Scale!$A$2:$A$18,Grade_Scale!$C$2:$C$18)</f>
        <v/>
      </c>
      <c r="AE720">
        <f>IF(AD720="","",AB720-VLOOKUP(AD720,Grade_Scale!$C$2:$E$18,3,FALSE))</f>
        <v/>
      </c>
    </row>
    <row r="721">
      <c r="Q721">
        <f>IF(OR(B721="SP",B721="RP",B721="CP",B721="SP/RP"),"P","H")</f>
        <v/>
      </c>
      <c r="R721">
        <f>IF(F721="",0,IFNA(VLOOKUP(F721,Trait_Polarity!$A:$C,2,FALSE),0))+IF(G721="",0,IFNA(VLOOKUP(G721,Trait_Polarity!$A:$C,2,FALSE),0))</f>
        <v/>
      </c>
      <c r="S721">
        <f>IF(F721="",0,IFNA(VLOOKUP(F721,Trait_Polarity!$A:$C,3,FALSE),0))+IF(G721="",0,IFNA(VLOOKUP(G721,Trait_Polarity!$A:$C,3,FALSE),0))</f>
        <v/>
      </c>
      <c r="T721">
        <f>IF(Q721="P",0,IFNA(VLOOKUP(IF(C721="","(none)",C721),Secondary_Versatility!$A:$B,2,FALSE),0))</f>
        <v/>
      </c>
      <c r="U721">
        <f>IF(H721="",0,LEN(H721)-LEN(SUBSTITUTE(H721,"|",""))+1)</f>
        <v/>
      </c>
      <c r="V721">
        <f>IF(Q721="P",(N721+O721+P721)/3,0.3*I721+0.3*J721+0.2*K721+0.1*L721+0.1*M721)</f>
        <v/>
      </c>
      <c r="W721">
        <f>IF(Q721="P",IF(F721="",0,IFNA(VLOOKUP(F721,Pitcher_Trait_Coef!$A:$B,2,FALSE),0))+IF(G721="",0,IFNA(VLOOKUP(G721,Pitcher_Trait_Coef!$A:$B,2,FALSE),0)),IF(F721="",0,IFNA(VLOOKUP(F721,Hitter_Trait_Coef!$A:$B,2,FALSE),0))+IF(G721="",0,IFNA(VLOOKUP(G721,Hitter_Trait_Coef!$A:$B,2,FALSE),0)))</f>
        <v/>
      </c>
      <c r="X721">
        <f>IF(Q721="P",IFNA(VLOOKUP(B721,Pitcher_Primary_Coef!$A:$B,2,FALSE),0),IFNA(VLOOKUP(B721,Hitter_Primary_Coef!$A:$B,2,FALSE),0))</f>
        <v/>
      </c>
      <c r="Y721">
        <f>IF(Q721="P",0,IFNA(VLOOKUP(IF(C721="","(none)",C721),Hitter_Secondary_Coef!$A:$B,2,FALSE),0))</f>
        <v/>
      </c>
      <c r="Z721">
        <f>IF(Q721="P",IF(ISNUMBER(SEARCH("2F",H721)),IFNA(VLOOKUP("2F",Pitch_Coef!$A:$B,2,FALSE),0),0)+IF(ISNUMBER(SEARCH("4F",H721)),IFNA(VLOOKUP("4F",Pitch_Coef!$A:$B,2,FALSE),0),0)+IF(ISNUMBER(SEARCH("CB",H721)),IFNA(VLOOKUP("CB",Pitch_Coef!$A:$B,2,FALSE),0),0)+IF(ISNUMBER(SEARCH("CF",H721)),IFNA(VLOOKUP("CF",Pitch_Coef!$A:$B,2,FALSE),0),0)+IF(ISNUMBER(SEARCH("CH",H721)),IFNA(VLOOKUP("CH",Pitch_Coef!$A:$B,2,FALSE),0),0)+IF(ISNUMBER(SEARCH("FK",H721)),IFNA(VLOOKUP("FK",Pitch_Coef!$A:$B,2,FALSE),0),0)+IF(ISNUMBER(SEARCH("SB",H721)),IFNA(VLOOKUP("SB",Pitch_Coef!$A:$B,2,FALSE),0),0)+IF(ISNUMBER(SEARCH("SL",H721)),IFNA(VLOOKUP("SL",Pitch_Coef!$A:$B,2,FALSE),0),0),0)</f>
        <v/>
      </c>
      <c r="AA721">
        <f>IF(Q721="P",16.5944849573+0.2529999141*N721+0.2665900378*O721+0.2632687105*P721+0.0427586837*I721+0.0534777057*J721+0.009015832*K721+0.0204898106*(O721*P721/100)+1.0091022427*U721+1.0968542297*IF(D721="L",1,0)+0.3771555045*IF(D721="S",1,0)-0.2226159177*IF(E721="L",1,0)+1.21385024*R721-1.1652812274*S721+W721+X721+Z721,10.5965166711+0.2825983581*I721+0.2806503532*J721+0.2027213083*K721+0.1147824982*L721+0.0915305332*M721-0.0088454122*(I721*J721/100)-0.0336045706*(K721*L721/100)+2.8497389733*IF(D721="L",1,0)+4.5116226727*IF(D721="S",1,0)-0.6571546448*IF(E721="L",1,0)+0.0850728147*T721+0.0129488446*(T721*T721)+0.1909373936*IF(OR(F721="Utility",G721="Utility"),T721,0)+0.9656824071*R721-1.7517683256*S721+W721+X721+Y721)</f>
        <v/>
      </c>
      <c r="AB721">
        <f>LOOKUP(AA721,Grade_Scale!$A$2:$A$18,Grade_Scale!$B$2:$B$18)</f>
        <v/>
      </c>
      <c r="AC721">
        <f>LOOKUP(AA721,Grade_Scale!$A$2:$A$18,Grade_Scale!$C$2:$C$18)</f>
        <v/>
      </c>
      <c r="AE721">
        <f>IF(AD721="","",AB721-VLOOKUP(AD721,Grade_Scale!$C$2:$E$18,3,FALSE))</f>
        <v/>
      </c>
    </row>
    <row r="722">
      <c r="Q722">
        <f>IF(OR(B722="SP",B722="RP",B722="CP",B722="SP/RP"),"P","H")</f>
        <v/>
      </c>
      <c r="R722">
        <f>IF(F722="",0,IFNA(VLOOKUP(F722,Trait_Polarity!$A:$C,2,FALSE),0))+IF(G722="",0,IFNA(VLOOKUP(G722,Trait_Polarity!$A:$C,2,FALSE),0))</f>
        <v/>
      </c>
      <c r="S722">
        <f>IF(F722="",0,IFNA(VLOOKUP(F722,Trait_Polarity!$A:$C,3,FALSE),0))+IF(G722="",0,IFNA(VLOOKUP(G722,Trait_Polarity!$A:$C,3,FALSE),0))</f>
        <v/>
      </c>
      <c r="T722">
        <f>IF(Q722="P",0,IFNA(VLOOKUP(IF(C722="","(none)",C722),Secondary_Versatility!$A:$B,2,FALSE),0))</f>
        <v/>
      </c>
      <c r="U722">
        <f>IF(H722="",0,LEN(H722)-LEN(SUBSTITUTE(H722,"|",""))+1)</f>
        <v/>
      </c>
      <c r="V722">
        <f>IF(Q722="P",(N722+O722+P722)/3,0.3*I722+0.3*J722+0.2*K722+0.1*L722+0.1*M722)</f>
        <v/>
      </c>
      <c r="W722">
        <f>IF(Q722="P",IF(F722="",0,IFNA(VLOOKUP(F722,Pitcher_Trait_Coef!$A:$B,2,FALSE),0))+IF(G722="",0,IFNA(VLOOKUP(G722,Pitcher_Trait_Coef!$A:$B,2,FALSE),0)),IF(F722="",0,IFNA(VLOOKUP(F722,Hitter_Trait_Coef!$A:$B,2,FALSE),0))+IF(G722="",0,IFNA(VLOOKUP(G722,Hitter_Trait_Coef!$A:$B,2,FALSE),0)))</f>
        <v/>
      </c>
      <c r="X722">
        <f>IF(Q722="P",IFNA(VLOOKUP(B722,Pitcher_Primary_Coef!$A:$B,2,FALSE),0),IFNA(VLOOKUP(B722,Hitter_Primary_Coef!$A:$B,2,FALSE),0))</f>
        <v/>
      </c>
      <c r="Y722">
        <f>IF(Q722="P",0,IFNA(VLOOKUP(IF(C722="","(none)",C722),Hitter_Secondary_Coef!$A:$B,2,FALSE),0))</f>
        <v/>
      </c>
      <c r="Z722">
        <f>IF(Q722="P",IF(ISNUMBER(SEARCH("2F",H722)),IFNA(VLOOKUP("2F",Pitch_Coef!$A:$B,2,FALSE),0),0)+IF(ISNUMBER(SEARCH("4F",H722)),IFNA(VLOOKUP("4F",Pitch_Coef!$A:$B,2,FALSE),0),0)+IF(ISNUMBER(SEARCH("CB",H722)),IFNA(VLOOKUP("CB",Pitch_Coef!$A:$B,2,FALSE),0),0)+IF(ISNUMBER(SEARCH("CF",H722)),IFNA(VLOOKUP("CF",Pitch_Coef!$A:$B,2,FALSE),0),0)+IF(ISNUMBER(SEARCH("CH",H722)),IFNA(VLOOKUP("CH",Pitch_Coef!$A:$B,2,FALSE),0),0)+IF(ISNUMBER(SEARCH("FK",H722)),IFNA(VLOOKUP("FK",Pitch_Coef!$A:$B,2,FALSE),0),0)+IF(ISNUMBER(SEARCH("SB",H722)),IFNA(VLOOKUP("SB",Pitch_Coef!$A:$B,2,FALSE),0),0)+IF(ISNUMBER(SEARCH("SL",H722)),IFNA(VLOOKUP("SL",Pitch_Coef!$A:$B,2,FALSE),0),0),0)</f>
        <v/>
      </c>
      <c r="AA722">
        <f>IF(Q722="P",16.5944849573+0.2529999141*N722+0.2665900378*O722+0.2632687105*P722+0.0427586837*I722+0.0534777057*J722+0.009015832*K722+0.0204898106*(O722*P722/100)+1.0091022427*U722+1.0968542297*IF(D722="L",1,0)+0.3771555045*IF(D722="S",1,0)-0.2226159177*IF(E722="L",1,0)+1.21385024*R722-1.1652812274*S722+W722+X722+Z722,10.5965166711+0.2825983581*I722+0.2806503532*J722+0.2027213083*K722+0.1147824982*L722+0.0915305332*M722-0.0088454122*(I722*J722/100)-0.0336045706*(K722*L722/100)+2.8497389733*IF(D722="L",1,0)+4.5116226727*IF(D722="S",1,0)-0.6571546448*IF(E722="L",1,0)+0.0850728147*T722+0.0129488446*(T722*T722)+0.1909373936*IF(OR(F722="Utility",G722="Utility"),T722,0)+0.9656824071*R722-1.7517683256*S722+W722+X722+Y722)</f>
        <v/>
      </c>
      <c r="AB722">
        <f>LOOKUP(AA722,Grade_Scale!$A$2:$A$18,Grade_Scale!$B$2:$B$18)</f>
        <v/>
      </c>
      <c r="AC722">
        <f>LOOKUP(AA722,Grade_Scale!$A$2:$A$18,Grade_Scale!$C$2:$C$18)</f>
        <v/>
      </c>
      <c r="AE722">
        <f>IF(AD722="","",AB722-VLOOKUP(AD722,Grade_Scale!$C$2:$E$18,3,FALSE))</f>
        <v/>
      </c>
    </row>
    <row r="723">
      <c r="Q723">
        <f>IF(OR(B723="SP",B723="RP",B723="CP",B723="SP/RP"),"P","H")</f>
        <v/>
      </c>
      <c r="R723">
        <f>IF(F723="",0,IFNA(VLOOKUP(F723,Trait_Polarity!$A:$C,2,FALSE),0))+IF(G723="",0,IFNA(VLOOKUP(G723,Trait_Polarity!$A:$C,2,FALSE),0))</f>
        <v/>
      </c>
      <c r="S723">
        <f>IF(F723="",0,IFNA(VLOOKUP(F723,Trait_Polarity!$A:$C,3,FALSE),0))+IF(G723="",0,IFNA(VLOOKUP(G723,Trait_Polarity!$A:$C,3,FALSE),0))</f>
        <v/>
      </c>
      <c r="T723">
        <f>IF(Q723="P",0,IFNA(VLOOKUP(IF(C723="","(none)",C723),Secondary_Versatility!$A:$B,2,FALSE),0))</f>
        <v/>
      </c>
      <c r="U723">
        <f>IF(H723="",0,LEN(H723)-LEN(SUBSTITUTE(H723,"|",""))+1)</f>
        <v/>
      </c>
      <c r="V723">
        <f>IF(Q723="P",(N723+O723+P723)/3,0.3*I723+0.3*J723+0.2*K723+0.1*L723+0.1*M723)</f>
        <v/>
      </c>
      <c r="W723">
        <f>IF(Q723="P",IF(F723="",0,IFNA(VLOOKUP(F723,Pitcher_Trait_Coef!$A:$B,2,FALSE),0))+IF(G723="",0,IFNA(VLOOKUP(G723,Pitcher_Trait_Coef!$A:$B,2,FALSE),0)),IF(F723="",0,IFNA(VLOOKUP(F723,Hitter_Trait_Coef!$A:$B,2,FALSE),0))+IF(G723="",0,IFNA(VLOOKUP(G723,Hitter_Trait_Coef!$A:$B,2,FALSE),0)))</f>
        <v/>
      </c>
      <c r="X723">
        <f>IF(Q723="P",IFNA(VLOOKUP(B723,Pitcher_Primary_Coef!$A:$B,2,FALSE),0),IFNA(VLOOKUP(B723,Hitter_Primary_Coef!$A:$B,2,FALSE),0))</f>
        <v/>
      </c>
      <c r="Y723">
        <f>IF(Q723="P",0,IFNA(VLOOKUP(IF(C723="","(none)",C723),Hitter_Secondary_Coef!$A:$B,2,FALSE),0))</f>
        <v/>
      </c>
      <c r="Z723">
        <f>IF(Q723="P",IF(ISNUMBER(SEARCH("2F",H723)),IFNA(VLOOKUP("2F",Pitch_Coef!$A:$B,2,FALSE),0),0)+IF(ISNUMBER(SEARCH("4F",H723)),IFNA(VLOOKUP("4F",Pitch_Coef!$A:$B,2,FALSE),0),0)+IF(ISNUMBER(SEARCH("CB",H723)),IFNA(VLOOKUP("CB",Pitch_Coef!$A:$B,2,FALSE),0),0)+IF(ISNUMBER(SEARCH("CF",H723)),IFNA(VLOOKUP("CF",Pitch_Coef!$A:$B,2,FALSE),0),0)+IF(ISNUMBER(SEARCH("CH",H723)),IFNA(VLOOKUP("CH",Pitch_Coef!$A:$B,2,FALSE),0),0)+IF(ISNUMBER(SEARCH("FK",H723)),IFNA(VLOOKUP("FK",Pitch_Coef!$A:$B,2,FALSE),0),0)+IF(ISNUMBER(SEARCH("SB",H723)),IFNA(VLOOKUP("SB",Pitch_Coef!$A:$B,2,FALSE),0),0)+IF(ISNUMBER(SEARCH("SL",H723)),IFNA(VLOOKUP("SL",Pitch_Coef!$A:$B,2,FALSE),0),0),0)</f>
        <v/>
      </c>
      <c r="AA723">
        <f>IF(Q723="P",16.5944849573+0.2529999141*N723+0.2665900378*O723+0.2632687105*P723+0.0427586837*I723+0.0534777057*J723+0.009015832*K723+0.0204898106*(O723*P723/100)+1.0091022427*U723+1.0968542297*IF(D723="L",1,0)+0.3771555045*IF(D723="S",1,0)-0.2226159177*IF(E723="L",1,0)+1.21385024*R723-1.1652812274*S723+W723+X723+Z723,10.5965166711+0.2825983581*I723+0.2806503532*J723+0.2027213083*K723+0.1147824982*L723+0.0915305332*M723-0.0088454122*(I723*J723/100)-0.0336045706*(K723*L723/100)+2.8497389733*IF(D723="L",1,0)+4.5116226727*IF(D723="S",1,0)-0.6571546448*IF(E723="L",1,0)+0.0850728147*T723+0.0129488446*(T723*T723)+0.1909373936*IF(OR(F723="Utility",G723="Utility"),T723,0)+0.9656824071*R723-1.7517683256*S723+W723+X723+Y723)</f>
        <v/>
      </c>
      <c r="AB723">
        <f>LOOKUP(AA723,Grade_Scale!$A$2:$A$18,Grade_Scale!$B$2:$B$18)</f>
        <v/>
      </c>
      <c r="AC723">
        <f>LOOKUP(AA723,Grade_Scale!$A$2:$A$18,Grade_Scale!$C$2:$C$18)</f>
        <v/>
      </c>
      <c r="AE723">
        <f>IF(AD723="","",AB723-VLOOKUP(AD723,Grade_Scale!$C$2:$E$18,3,FALSE))</f>
        <v/>
      </c>
    </row>
    <row r="724">
      <c r="Q724">
        <f>IF(OR(B724="SP",B724="RP",B724="CP",B724="SP/RP"),"P","H")</f>
        <v/>
      </c>
      <c r="R724">
        <f>IF(F724="",0,IFNA(VLOOKUP(F724,Trait_Polarity!$A:$C,2,FALSE),0))+IF(G724="",0,IFNA(VLOOKUP(G724,Trait_Polarity!$A:$C,2,FALSE),0))</f>
        <v/>
      </c>
      <c r="S724">
        <f>IF(F724="",0,IFNA(VLOOKUP(F724,Trait_Polarity!$A:$C,3,FALSE),0))+IF(G724="",0,IFNA(VLOOKUP(G724,Trait_Polarity!$A:$C,3,FALSE),0))</f>
        <v/>
      </c>
      <c r="T724">
        <f>IF(Q724="P",0,IFNA(VLOOKUP(IF(C724="","(none)",C724),Secondary_Versatility!$A:$B,2,FALSE),0))</f>
        <v/>
      </c>
      <c r="U724">
        <f>IF(H724="",0,LEN(H724)-LEN(SUBSTITUTE(H724,"|",""))+1)</f>
        <v/>
      </c>
      <c r="V724">
        <f>IF(Q724="P",(N724+O724+P724)/3,0.3*I724+0.3*J724+0.2*K724+0.1*L724+0.1*M724)</f>
        <v/>
      </c>
      <c r="W724">
        <f>IF(Q724="P",IF(F724="",0,IFNA(VLOOKUP(F724,Pitcher_Trait_Coef!$A:$B,2,FALSE),0))+IF(G724="",0,IFNA(VLOOKUP(G724,Pitcher_Trait_Coef!$A:$B,2,FALSE),0)),IF(F724="",0,IFNA(VLOOKUP(F724,Hitter_Trait_Coef!$A:$B,2,FALSE),0))+IF(G724="",0,IFNA(VLOOKUP(G724,Hitter_Trait_Coef!$A:$B,2,FALSE),0)))</f>
        <v/>
      </c>
      <c r="X724">
        <f>IF(Q724="P",IFNA(VLOOKUP(B724,Pitcher_Primary_Coef!$A:$B,2,FALSE),0),IFNA(VLOOKUP(B724,Hitter_Primary_Coef!$A:$B,2,FALSE),0))</f>
        <v/>
      </c>
      <c r="Y724">
        <f>IF(Q724="P",0,IFNA(VLOOKUP(IF(C724="","(none)",C724),Hitter_Secondary_Coef!$A:$B,2,FALSE),0))</f>
        <v/>
      </c>
      <c r="Z724">
        <f>IF(Q724="P",IF(ISNUMBER(SEARCH("2F",H724)),IFNA(VLOOKUP("2F",Pitch_Coef!$A:$B,2,FALSE),0),0)+IF(ISNUMBER(SEARCH("4F",H724)),IFNA(VLOOKUP("4F",Pitch_Coef!$A:$B,2,FALSE),0),0)+IF(ISNUMBER(SEARCH("CB",H724)),IFNA(VLOOKUP("CB",Pitch_Coef!$A:$B,2,FALSE),0),0)+IF(ISNUMBER(SEARCH("CF",H724)),IFNA(VLOOKUP("CF",Pitch_Coef!$A:$B,2,FALSE),0),0)+IF(ISNUMBER(SEARCH("CH",H724)),IFNA(VLOOKUP("CH",Pitch_Coef!$A:$B,2,FALSE),0),0)+IF(ISNUMBER(SEARCH("FK",H724)),IFNA(VLOOKUP("FK",Pitch_Coef!$A:$B,2,FALSE),0),0)+IF(ISNUMBER(SEARCH("SB",H724)),IFNA(VLOOKUP("SB",Pitch_Coef!$A:$B,2,FALSE),0),0)+IF(ISNUMBER(SEARCH("SL",H724)),IFNA(VLOOKUP("SL",Pitch_Coef!$A:$B,2,FALSE),0),0),0)</f>
        <v/>
      </c>
      <c r="AA724">
        <f>IF(Q724="P",16.5944849573+0.2529999141*N724+0.2665900378*O724+0.2632687105*P724+0.0427586837*I724+0.0534777057*J724+0.009015832*K724+0.0204898106*(O724*P724/100)+1.0091022427*U724+1.0968542297*IF(D724="L",1,0)+0.3771555045*IF(D724="S",1,0)-0.2226159177*IF(E724="L",1,0)+1.21385024*R724-1.1652812274*S724+W724+X724+Z724,10.5965166711+0.2825983581*I724+0.2806503532*J724+0.2027213083*K724+0.1147824982*L724+0.0915305332*M724-0.0088454122*(I724*J724/100)-0.0336045706*(K724*L724/100)+2.8497389733*IF(D724="L",1,0)+4.5116226727*IF(D724="S",1,0)-0.6571546448*IF(E724="L",1,0)+0.0850728147*T724+0.0129488446*(T724*T724)+0.1909373936*IF(OR(F724="Utility",G724="Utility"),T724,0)+0.9656824071*R724-1.7517683256*S724+W724+X724+Y724)</f>
        <v/>
      </c>
      <c r="AB724">
        <f>LOOKUP(AA724,Grade_Scale!$A$2:$A$18,Grade_Scale!$B$2:$B$18)</f>
        <v/>
      </c>
      <c r="AC724">
        <f>LOOKUP(AA724,Grade_Scale!$A$2:$A$18,Grade_Scale!$C$2:$C$18)</f>
        <v/>
      </c>
      <c r="AE724">
        <f>IF(AD724="","",AB724-VLOOKUP(AD724,Grade_Scale!$C$2:$E$18,3,FALSE))</f>
        <v/>
      </c>
    </row>
    <row r="725">
      <c r="Q725">
        <f>IF(OR(B725="SP",B725="RP",B725="CP",B725="SP/RP"),"P","H")</f>
        <v/>
      </c>
      <c r="R725">
        <f>IF(F725="",0,IFNA(VLOOKUP(F725,Trait_Polarity!$A:$C,2,FALSE),0))+IF(G725="",0,IFNA(VLOOKUP(G725,Trait_Polarity!$A:$C,2,FALSE),0))</f>
        <v/>
      </c>
      <c r="S725">
        <f>IF(F725="",0,IFNA(VLOOKUP(F725,Trait_Polarity!$A:$C,3,FALSE),0))+IF(G725="",0,IFNA(VLOOKUP(G725,Trait_Polarity!$A:$C,3,FALSE),0))</f>
        <v/>
      </c>
      <c r="T725">
        <f>IF(Q725="P",0,IFNA(VLOOKUP(IF(C725="","(none)",C725),Secondary_Versatility!$A:$B,2,FALSE),0))</f>
        <v/>
      </c>
      <c r="U725">
        <f>IF(H725="",0,LEN(H725)-LEN(SUBSTITUTE(H725,"|",""))+1)</f>
        <v/>
      </c>
      <c r="V725">
        <f>IF(Q725="P",(N725+O725+P725)/3,0.3*I725+0.3*J725+0.2*K725+0.1*L725+0.1*M725)</f>
        <v/>
      </c>
      <c r="W725">
        <f>IF(Q725="P",IF(F725="",0,IFNA(VLOOKUP(F725,Pitcher_Trait_Coef!$A:$B,2,FALSE),0))+IF(G725="",0,IFNA(VLOOKUP(G725,Pitcher_Trait_Coef!$A:$B,2,FALSE),0)),IF(F725="",0,IFNA(VLOOKUP(F725,Hitter_Trait_Coef!$A:$B,2,FALSE),0))+IF(G725="",0,IFNA(VLOOKUP(G725,Hitter_Trait_Coef!$A:$B,2,FALSE),0)))</f>
        <v/>
      </c>
      <c r="X725">
        <f>IF(Q725="P",IFNA(VLOOKUP(B725,Pitcher_Primary_Coef!$A:$B,2,FALSE),0),IFNA(VLOOKUP(B725,Hitter_Primary_Coef!$A:$B,2,FALSE),0))</f>
        <v/>
      </c>
      <c r="Y725">
        <f>IF(Q725="P",0,IFNA(VLOOKUP(IF(C725="","(none)",C725),Hitter_Secondary_Coef!$A:$B,2,FALSE),0))</f>
        <v/>
      </c>
      <c r="Z725">
        <f>IF(Q725="P",IF(ISNUMBER(SEARCH("2F",H725)),IFNA(VLOOKUP("2F",Pitch_Coef!$A:$B,2,FALSE),0),0)+IF(ISNUMBER(SEARCH("4F",H725)),IFNA(VLOOKUP("4F",Pitch_Coef!$A:$B,2,FALSE),0),0)+IF(ISNUMBER(SEARCH("CB",H725)),IFNA(VLOOKUP("CB",Pitch_Coef!$A:$B,2,FALSE),0),0)+IF(ISNUMBER(SEARCH("CF",H725)),IFNA(VLOOKUP("CF",Pitch_Coef!$A:$B,2,FALSE),0),0)+IF(ISNUMBER(SEARCH("CH",H725)),IFNA(VLOOKUP("CH",Pitch_Coef!$A:$B,2,FALSE),0),0)+IF(ISNUMBER(SEARCH("FK",H725)),IFNA(VLOOKUP("FK",Pitch_Coef!$A:$B,2,FALSE),0),0)+IF(ISNUMBER(SEARCH("SB",H725)),IFNA(VLOOKUP("SB",Pitch_Coef!$A:$B,2,FALSE),0),0)+IF(ISNUMBER(SEARCH("SL",H725)),IFNA(VLOOKUP("SL",Pitch_Coef!$A:$B,2,FALSE),0),0),0)</f>
        <v/>
      </c>
      <c r="AA725">
        <f>IF(Q725="P",16.5944849573+0.2529999141*N725+0.2665900378*O725+0.2632687105*P725+0.0427586837*I725+0.0534777057*J725+0.009015832*K725+0.0204898106*(O725*P725/100)+1.0091022427*U725+1.0968542297*IF(D725="L",1,0)+0.3771555045*IF(D725="S",1,0)-0.2226159177*IF(E725="L",1,0)+1.21385024*R725-1.1652812274*S725+W725+X725+Z725,10.5965166711+0.2825983581*I725+0.2806503532*J725+0.2027213083*K725+0.1147824982*L725+0.0915305332*M725-0.0088454122*(I725*J725/100)-0.0336045706*(K725*L725/100)+2.8497389733*IF(D725="L",1,0)+4.5116226727*IF(D725="S",1,0)-0.6571546448*IF(E725="L",1,0)+0.0850728147*T725+0.0129488446*(T725*T725)+0.1909373936*IF(OR(F725="Utility",G725="Utility"),T725,0)+0.9656824071*R725-1.7517683256*S725+W725+X725+Y725)</f>
        <v/>
      </c>
      <c r="AB725">
        <f>LOOKUP(AA725,Grade_Scale!$A$2:$A$18,Grade_Scale!$B$2:$B$18)</f>
        <v/>
      </c>
      <c r="AC725">
        <f>LOOKUP(AA725,Grade_Scale!$A$2:$A$18,Grade_Scale!$C$2:$C$18)</f>
        <v/>
      </c>
      <c r="AE725">
        <f>IF(AD725="","",AB725-VLOOKUP(AD725,Grade_Scale!$C$2:$E$18,3,FALSE))</f>
        <v/>
      </c>
    </row>
    <row r="726">
      <c r="Q726">
        <f>IF(OR(B726="SP",B726="RP",B726="CP",B726="SP/RP"),"P","H")</f>
        <v/>
      </c>
      <c r="R726">
        <f>IF(F726="",0,IFNA(VLOOKUP(F726,Trait_Polarity!$A:$C,2,FALSE),0))+IF(G726="",0,IFNA(VLOOKUP(G726,Trait_Polarity!$A:$C,2,FALSE),0))</f>
        <v/>
      </c>
      <c r="S726">
        <f>IF(F726="",0,IFNA(VLOOKUP(F726,Trait_Polarity!$A:$C,3,FALSE),0))+IF(G726="",0,IFNA(VLOOKUP(G726,Trait_Polarity!$A:$C,3,FALSE),0))</f>
        <v/>
      </c>
      <c r="T726">
        <f>IF(Q726="P",0,IFNA(VLOOKUP(IF(C726="","(none)",C726),Secondary_Versatility!$A:$B,2,FALSE),0))</f>
        <v/>
      </c>
      <c r="U726">
        <f>IF(H726="",0,LEN(H726)-LEN(SUBSTITUTE(H726,"|",""))+1)</f>
        <v/>
      </c>
      <c r="V726">
        <f>IF(Q726="P",(N726+O726+P726)/3,0.3*I726+0.3*J726+0.2*K726+0.1*L726+0.1*M726)</f>
        <v/>
      </c>
      <c r="W726">
        <f>IF(Q726="P",IF(F726="",0,IFNA(VLOOKUP(F726,Pitcher_Trait_Coef!$A:$B,2,FALSE),0))+IF(G726="",0,IFNA(VLOOKUP(G726,Pitcher_Trait_Coef!$A:$B,2,FALSE),0)),IF(F726="",0,IFNA(VLOOKUP(F726,Hitter_Trait_Coef!$A:$B,2,FALSE),0))+IF(G726="",0,IFNA(VLOOKUP(G726,Hitter_Trait_Coef!$A:$B,2,FALSE),0)))</f>
        <v/>
      </c>
      <c r="X726">
        <f>IF(Q726="P",IFNA(VLOOKUP(B726,Pitcher_Primary_Coef!$A:$B,2,FALSE),0),IFNA(VLOOKUP(B726,Hitter_Primary_Coef!$A:$B,2,FALSE),0))</f>
        <v/>
      </c>
      <c r="Y726">
        <f>IF(Q726="P",0,IFNA(VLOOKUP(IF(C726="","(none)",C726),Hitter_Secondary_Coef!$A:$B,2,FALSE),0))</f>
        <v/>
      </c>
      <c r="Z726">
        <f>IF(Q726="P",IF(ISNUMBER(SEARCH("2F",H726)),IFNA(VLOOKUP("2F",Pitch_Coef!$A:$B,2,FALSE),0),0)+IF(ISNUMBER(SEARCH("4F",H726)),IFNA(VLOOKUP("4F",Pitch_Coef!$A:$B,2,FALSE),0),0)+IF(ISNUMBER(SEARCH("CB",H726)),IFNA(VLOOKUP("CB",Pitch_Coef!$A:$B,2,FALSE),0),0)+IF(ISNUMBER(SEARCH("CF",H726)),IFNA(VLOOKUP("CF",Pitch_Coef!$A:$B,2,FALSE),0),0)+IF(ISNUMBER(SEARCH("CH",H726)),IFNA(VLOOKUP("CH",Pitch_Coef!$A:$B,2,FALSE),0),0)+IF(ISNUMBER(SEARCH("FK",H726)),IFNA(VLOOKUP("FK",Pitch_Coef!$A:$B,2,FALSE),0),0)+IF(ISNUMBER(SEARCH("SB",H726)),IFNA(VLOOKUP("SB",Pitch_Coef!$A:$B,2,FALSE),0),0)+IF(ISNUMBER(SEARCH("SL",H726)),IFNA(VLOOKUP("SL",Pitch_Coef!$A:$B,2,FALSE),0),0),0)</f>
        <v/>
      </c>
      <c r="AA726">
        <f>IF(Q726="P",16.5944849573+0.2529999141*N726+0.2665900378*O726+0.2632687105*P726+0.0427586837*I726+0.0534777057*J726+0.009015832*K726+0.0204898106*(O726*P726/100)+1.0091022427*U726+1.0968542297*IF(D726="L",1,0)+0.3771555045*IF(D726="S",1,0)-0.2226159177*IF(E726="L",1,0)+1.21385024*R726-1.1652812274*S726+W726+X726+Z726,10.5965166711+0.2825983581*I726+0.2806503532*J726+0.2027213083*K726+0.1147824982*L726+0.0915305332*M726-0.0088454122*(I726*J726/100)-0.0336045706*(K726*L726/100)+2.8497389733*IF(D726="L",1,0)+4.5116226727*IF(D726="S",1,0)-0.6571546448*IF(E726="L",1,0)+0.0850728147*T726+0.0129488446*(T726*T726)+0.1909373936*IF(OR(F726="Utility",G726="Utility"),T726,0)+0.9656824071*R726-1.7517683256*S726+W726+X726+Y726)</f>
        <v/>
      </c>
      <c r="AB726">
        <f>LOOKUP(AA726,Grade_Scale!$A$2:$A$18,Grade_Scale!$B$2:$B$18)</f>
        <v/>
      </c>
      <c r="AC726">
        <f>LOOKUP(AA726,Grade_Scale!$A$2:$A$18,Grade_Scale!$C$2:$C$18)</f>
        <v/>
      </c>
      <c r="AE726">
        <f>IF(AD726="","",AB726-VLOOKUP(AD726,Grade_Scale!$C$2:$E$18,3,FALSE))</f>
        <v/>
      </c>
    </row>
    <row r="727">
      <c r="Q727">
        <f>IF(OR(B727="SP",B727="RP",B727="CP",B727="SP/RP"),"P","H")</f>
        <v/>
      </c>
      <c r="R727">
        <f>IF(F727="",0,IFNA(VLOOKUP(F727,Trait_Polarity!$A:$C,2,FALSE),0))+IF(G727="",0,IFNA(VLOOKUP(G727,Trait_Polarity!$A:$C,2,FALSE),0))</f>
        <v/>
      </c>
      <c r="S727">
        <f>IF(F727="",0,IFNA(VLOOKUP(F727,Trait_Polarity!$A:$C,3,FALSE),0))+IF(G727="",0,IFNA(VLOOKUP(G727,Trait_Polarity!$A:$C,3,FALSE),0))</f>
        <v/>
      </c>
      <c r="T727">
        <f>IF(Q727="P",0,IFNA(VLOOKUP(IF(C727="","(none)",C727),Secondary_Versatility!$A:$B,2,FALSE),0))</f>
        <v/>
      </c>
      <c r="U727">
        <f>IF(H727="",0,LEN(H727)-LEN(SUBSTITUTE(H727,"|",""))+1)</f>
        <v/>
      </c>
      <c r="V727">
        <f>IF(Q727="P",(N727+O727+P727)/3,0.3*I727+0.3*J727+0.2*K727+0.1*L727+0.1*M727)</f>
        <v/>
      </c>
      <c r="W727">
        <f>IF(Q727="P",IF(F727="",0,IFNA(VLOOKUP(F727,Pitcher_Trait_Coef!$A:$B,2,FALSE),0))+IF(G727="",0,IFNA(VLOOKUP(G727,Pitcher_Trait_Coef!$A:$B,2,FALSE),0)),IF(F727="",0,IFNA(VLOOKUP(F727,Hitter_Trait_Coef!$A:$B,2,FALSE),0))+IF(G727="",0,IFNA(VLOOKUP(G727,Hitter_Trait_Coef!$A:$B,2,FALSE),0)))</f>
        <v/>
      </c>
      <c r="X727">
        <f>IF(Q727="P",IFNA(VLOOKUP(B727,Pitcher_Primary_Coef!$A:$B,2,FALSE),0),IFNA(VLOOKUP(B727,Hitter_Primary_Coef!$A:$B,2,FALSE),0))</f>
        <v/>
      </c>
      <c r="Y727">
        <f>IF(Q727="P",0,IFNA(VLOOKUP(IF(C727="","(none)",C727),Hitter_Secondary_Coef!$A:$B,2,FALSE),0))</f>
        <v/>
      </c>
      <c r="Z727">
        <f>IF(Q727="P",IF(ISNUMBER(SEARCH("2F",H727)),IFNA(VLOOKUP("2F",Pitch_Coef!$A:$B,2,FALSE),0),0)+IF(ISNUMBER(SEARCH("4F",H727)),IFNA(VLOOKUP("4F",Pitch_Coef!$A:$B,2,FALSE),0),0)+IF(ISNUMBER(SEARCH("CB",H727)),IFNA(VLOOKUP("CB",Pitch_Coef!$A:$B,2,FALSE),0),0)+IF(ISNUMBER(SEARCH("CF",H727)),IFNA(VLOOKUP("CF",Pitch_Coef!$A:$B,2,FALSE),0),0)+IF(ISNUMBER(SEARCH("CH",H727)),IFNA(VLOOKUP("CH",Pitch_Coef!$A:$B,2,FALSE),0),0)+IF(ISNUMBER(SEARCH("FK",H727)),IFNA(VLOOKUP("FK",Pitch_Coef!$A:$B,2,FALSE),0),0)+IF(ISNUMBER(SEARCH("SB",H727)),IFNA(VLOOKUP("SB",Pitch_Coef!$A:$B,2,FALSE),0),0)+IF(ISNUMBER(SEARCH("SL",H727)),IFNA(VLOOKUP("SL",Pitch_Coef!$A:$B,2,FALSE),0),0),0)</f>
        <v/>
      </c>
      <c r="AA727">
        <f>IF(Q727="P",16.5944849573+0.2529999141*N727+0.2665900378*O727+0.2632687105*P727+0.0427586837*I727+0.0534777057*J727+0.009015832*K727+0.0204898106*(O727*P727/100)+1.0091022427*U727+1.0968542297*IF(D727="L",1,0)+0.3771555045*IF(D727="S",1,0)-0.2226159177*IF(E727="L",1,0)+1.21385024*R727-1.1652812274*S727+W727+X727+Z727,10.5965166711+0.2825983581*I727+0.2806503532*J727+0.2027213083*K727+0.1147824982*L727+0.0915305332*M727-0.0088454122*(I727*J727/100)-0.0336045706*(K727*L727/100)+2.8497389733*IF(D727="L",1,0)+4.5116226727*IF(D727="S",1,0)-0.6571546448*IF(E727="L",1,0)+0.0850728147*T727+0.0129488446*(T727*T727)+0.1909373936*IF(OR(F727="Utility",G727="Utility"),T727,0)+0.9656824071*R727-1.7517683256*S727+W727+X727+Y727)</f>
        <v/>
      </c>
      <c r="AB727">
        <f>LOOKUP(AA727,Grade_Scale!$A$2:$A$18,Grade_Scale!$B$2:$B$18)</f>
        <v/>
      </c>
      <c r="AC727">
        <f>LOOKUP(AA727,Grade_Scale!$A$2:$A$18,Grade_Scale!$C$2:$C$18)</f>
        <v/>
      </c>
      <c r="AE727">
        <f>IF(AD727="","",AB727-VLOOKUP(AD727,Grade_Scale!$C$2:$E$18,3,FALSE))</f>
        <v/>
      </c>
    </row>
    <row r="728">
      <c r="Q728">
        <f>IF(OR(B728="SP",B728="RP",B728="CP",B728="SP/RP"),"P","H")</f>
        <v/>
      </c>
      <c r="R728">
        <f>IF(F728="",0,IFNA(VLOOKUP(F728,Trait_Polarity!$A:$C,2,FALSE),0))+IF(G728="",0,IFNA(VLOOKUP(G728,Trait_Polarity!$A:$C,2,FALSE),0))</f>
        <v/>
      </c>
      <c r="S728">
        <f>IF(F728="",0,IFNA(VLOOKUP(F728,Trait_Polarity!$A:$C,3,FALSE),0))+IF(G728="",0,IFNA(VLOOKUP(G728,Trait_Polarity!$A:$C,3,FALSE),0))</f>
        <v/>
      </c>
      <c r="T728">
        <f>IF(Q728="P",0,IFNA(VLOOKUP(IF(C728="","(none)",C728),Secondary_Versatility!$A:$B,2,FALSE),0))</f>
        <v/>
      </c>
      <c r="U728">
        <f>IF(H728="",0,LEN(H728)-LEN(SUBSTITUTE(H728,"|",""))+1)</f>
        <v/>
      </c>
      <c r="V728">
        <f>IF(Q728="P",(N728+O728+P728)/3,0.3*I728+0.3*J728+0.2*K728+0.1*L728+0.1*M728)</f>
        <v/>
      </c>
      <c r="W728">
        <f>IF(Q728="P",IF(F728="",0,IFNA(VLOOKUP(F728,Pitcher_Trait_Coef!$A:$B,2,FALSE),0))+IF(G728="",0,IFNA(VLOOKUP(G728,Pitcher_Trait_Coef!$A:$B,2,FALSE),0)),IF(F728="",0,IFNA(VLOOKUP(F728,Hitter_Trait_Coef!$A:$B,2,FALSE),0))+IF(G728="",0,IFNA(VLOOKUP(G728,Hitter_Trait_Coef!$A:$B,2,FALSE),0)))</f>
        <v/>
      </c>
      <c r="X728">
        <f>IF(Q728="P",IFNA(VLOOKUP(B728,Pitcher_Primary_Coef!$A:$B,2,FALSE),0),IFNA(VLOOKUP(B728,Hitter_Primary_Coef!$A:$B,2,FALSE),0))</f>
        <v/>
      </c>
      <c r="Y728">
        <f>IF(Q728="P",0,IFNA(VLOOKUP(IF(C728="","(none)",C728),Hitter_Secondary_Coef!$A:$B,2,FALSE),0))</f>
        <v/>
      </c>
      <c r="Z728">
        <f>IF(Q728="P",IF(ISNUMBER(SEARCH("2F",H728)),IFNA(VLOOKUP("2F",Pitch_Coef!$A:$B,2,FALSE),0),0)+IF(ISNUMBER(SEARCH("4F",H728)),IFNA(VLOOKUP("4F",Pitch_Coef!$A:$B,2,FALSE),0),0)+IF(ISNUMBER(SEARCH("CB",H728)),IFNA(VLOOKUP("CB",Pitch_Coef!$A:$B,2,FALSE),0),0)+IF(ISNUMBER(SEARCH("CF",H728)),IFNA(VLOOKUP("CF",Pitch_Coef!$A:$B,2,FALSE),0),0)+IF(ISNUMBER(SEARCH("CH",H728)),IFNA(VLOOKUP("CH",Pitch_Coef!$A:$B,2,FALSE),0),0)+IF(ISNUMBER(SEARCH("FK",H728)),IFNA(VLOOKUP("FK",Pitch_Coef!$A:$B,2,FALSE),0),0)+IF(ISNUMBER(SEARCH("SB",H728)),IFNA(VLOOKUP("SB",Pitch_Coef!$A:$B,2,FALSE),0),0)+IF(ISNUMBER(SEARCH("SL",H728)),IFNA(VLOOKUP("SL",Pitch_Coef!$A:$B,2,FALSE),0),0),0)</f>
        <v/>
      </c>
      <c r="AA728">
        <f>IF(Q728="P",16.5944849573+0.2529999141*N728+0.2665900378*O728+0.2632687105*P728+0.0427586837*I728+0.0534777057*J728+0.009015832*K728+0.0204898106*(O728*P728/100)+1.0091022427*U728+1.0968542297*IF(D728="L",1,0)+0.3771555045*IF(D728="S",1,0)-0.2226159177*IF(E728="L",1,0)+1.21385024*R728-1.1652812274*S728+W728+X728+Z728,10.5965166711+0.2825983581*I728+0.2806503532*J728+0.2027213083*K728+0.1147824982*L728+0.0915305332*M728-0.0088454122*(I728*J728/100)-0.0336045706*(K728*L728/100)+2.8497389733*IF(D728="L",1,0)+4.5116226727*IF(D728="S",1,0)-0.6571546448*IF(E728="L",1,0)+0.0850728147*T728+0.0129488446*(T728*T728)+0.1909373936*IF(OR(F728="Utility",G728="Utility"),T728,0)+0.9656824071*R728-1.7517683256*S728+W728+X728+Y728)</f>
        <v/>
      </c>
      <c r="AB728">
        <f>LOOKUP(AA728,Grade_Scale!$A$2:$A$18,Grade_Scale!$B$2:$B$18)</f>
        <v/>
      </c>
      <c r="AC728">
        <f>LOOKUP(AA728,Grade_Scale!$A$2:$A$18,Grade_Scale!$C$2:$C$18)</f>
        <v/>
      </c>
      <c r="AE728">
        <f>IF(AD728="","",AB728-VLOOKUP(AD728,Grade_Scale!$C$2:$E$18,3,FALSE))</f>
        <v/>
      </c>
    </row>
    <row r="729">
      <c r="Q729">
        <f>IF(OR(B729="SP",B729="RP",B729="CP",B729="SP/RP"),"P","H")</f>
        <v/>
      </c>
      <c r="R729">
        <f>IF(F729="",0,IFNA(VLOOKUP(F729,Trait_Polarity!$A:$C,2,FALSE),0))+IF(G729="",0,IFNA(VLOOKUP(G729,Trait_Polarity!$A:$C,2,FALSE),0))</f>
        <v/>
      </c>
      <c r="S729">
        <f>IF(F729="",0,IFNA(VLOOKUP(F729,Trait_Polarity!$A:$C,3,FALSE),0))+IF(G729="",0,IFNA(VLOOKUP(G729,Trait_Polarity!$A:$C,3,FALSE),0))</f>
        <v/>
      </c>
      <c r="T729">
        <f>IF(Q729="P",0,IFNA(VLOOKUP(IF(C729="","(none)",C729),Secondary_Versatility!$A:$B,2,FALSE),0))</f>
        <v/>
      </c>
      <c r="U729">
        <f>IF(H729="",0,LEN(H729)-LEN(SUBSTITUTE(H729,"|",""))+1)</f>
        <v/>
      </c>
      <c r="V729">
        <f>IF(Q729="P",(N729+O729+P729)/3,0.3*I729+0.3*J729+0.2*K729+0.1*L729+0.1*M729)</f>
        <v/>
      </c>
      <c r="W729">
        <f>IF(Q729="P",IF(F729="",0,IFNA(VLOOKUP(F729,Pitcher_Trait_Coef!$A:$B,2,FALSE),0))+IF(G729="",0,IFNA(VLOOKUP(G729,Pitcher_Trait_Coef!$A:$B,2,FALSE),0)),IF(F729="",0,IFNA(VLOOKUP(F729,Hitter_Trait_Coef!$A:$B,2,FALSE),0))+IF(G729="",0,IFNA(VLOOKUP(G729,Hitter_Trait_Coef!$A:$B,2,FALSE),0)))</f>
        <v/>
      </c>
      <c r="X729">
        <f>IF(Q729="P",IFNA(VLOOKUP(B729,Pitcher_Primary_Coef!$A:$B,2,FALSE),0),IFNA(VLOOKUP(B729,Hitter_Primary_Coef!$A:$B,2,FALSE),0))</f>
        <v/>
      </c>
      <c r="Y729">
        <f>IF(Q729="P",0,IFNA(VLOOKUP(IF(C729="","(none)",C729),Hitter_Secondary_Coef!$A:$B,2,FALSE),0))</f>
        <v/>
      </c>
      <c r="Z729">
        <f>IF(Q729="P",IF(ISNUMBER(SEARCH("2F",H729)),IFNA(VLOOKUP("2F",Pitch_Coef!$A:$B,2,FALSE),0),0)+IF(ISNUMBER(SEARCH("4F",H729)),IFNA(VLOOKUP("4F",Pitch_Coef!$A:$B,2,FALSE),0),0)+IF(ISNUMBER(SEARCH("CB",H729)),IFNA(VLOOKUP("CB",Pitch_Coef!$A:$B,2,FALSE),0),0)+IF(ISNUMBER(SEARCH("CF",H729)),IFNA(VLOOKUP("CF",Pitch_Coef!$A:$B,2,FALSE),0),0)+IF(ISNUMBER(SEARCH("CH",H729)),IFNA(VLOOKUP("CH",Pitch_Coef!$A:$B,2,FALSE),0),0)+IF(ISNUMBER(SEARCH("FK",H729)),IFNA(VLOOKUP("FK",Pitch_Coef!$A:$B,2,FALSE),0),0)+IF(ISNUMBER(SEARCH("SB",H729)),IFNA(VLOOKUP("SB",Pitch_Coef!$A:$B,2,FALSE),0),0)+IF(ISNUMBER(SEARCH("SL",H729)),IFNA(VLOOKUP("SL",Pitch_Coef!$A:$B,2,FALSE),0),0),0)</f>
        <v/>
      </c>
      <c r="AA729">
        <f>IF(Q729="P",16.5944849573+0.2529999141*N729+0.2665900378*O729+0.2632687105*P729+0.0427586837*I729+0.0534777057*J729+0.009015832*K729+0.0204898106*(O729*P729/100)+1.0091022427*U729+1.0968542297*IF(D729="L",1,0)+0.3771555045*IF(D729="S",1,0)-0.2226159177*IF(E729="L",1,0)+1.21385024*R729-1.1652812274*S729+W729+X729+Z729,10.5965166711+0.2825983581*I729+0.2806503532*J729+0.2027213083*K729+0.1147824982*L729+0.0915305332*M729-0.0088454122*(I729*J729/100)-0.0336045706*(K729*L729/100)+2.8497389733*IF(D729="L",1,0)+4.5116226727*IF(D729="S",1,0)-0.6571546448*IF(E729="L",1,0)+0.0850728147*T729+0.0129488446*(T729*T729)+0.1909373936*IF(OR(F729="Utility",G729="Utility"),T729,0)+0.9656824071*R729-1.7517683256*S729+W729+X729+Y729)</f>
        <v/>
      </c>
      <c r="AB729">
        <f>LOOKUP(AA729,Grade_Scale!$A$2:$A$18,Grade_Scale!$B$2:$B$18)</f>
        <v/>
      </c>
      <c r="AC729">
        <f>LOOKUP(AA729,Grade_Scale!$A$2:$A$18,Grade_Scale!$C$2:$C$18)</f>
        <v/>
      </c>
      <c r="AE729">
        <f>IF(AD729="","",AB729-VLOOKUP(AD729,Grade_Scale!$C$2:$E$18,3,FALSE))</f>
        <v/>
      </c>
    </row>
    <row r="730">
      <c r="Q730">
        <f>IF(OR(B730="SP",B730="RP",B730="CP",B730="SP/RP"),"P","H")</f>
        <v/>
      </c>
      <c r="R730">
        <f>IF(F730="",0,IFNA(VLOOKUP(F730,Trait_Polarity!$A:$C,2,FALSE),0))+IF(G730="",0,IFNA(VLOOKUP(G730,Trait_Polarity!$A:$C,2,FALSE),0))</f>
        <v/>
      </c>
      <c r="S730">
        <f>IF(F730="",0,IFNA(VLOOKUP(F730,Trait_Polarity!$A:$C,3,FALSE),0))+IF(G730="",0,IFNA(VLOOKUP(G730,Trait_Polarity!$A:$C,3,FALSE),0))</f>
        <v/>
      </c>
      <c r="T730">
        <f>IF(Q730="P",0,IFNA(VLOOKUP(IF(C730="","(none)",C730),Secondary_Versatility!$A:$B,2,FALSE),0))</f>
        <v/>
      </c>
      <c r="U730">
        <f>IF(H730="",0,LEN(H730)-LEN(SUBSTITUTE(H730,"|",""))+1)</f>
        <v/>
      </c>
      <c r="V730">
        <f>IF(Q730="P",(N730+O730+P730)/3,0.3*I730+0.3*J730+0.2*K730+0.1*L730+0.1*M730)</f>
        <v/>
      </c>
      <c r="W730">
        <f>IF(Q730="P",IF(F730="",0,IFNA(VLOOKUP(F730,Pitcher_Trait_Coef!$A:$B,2,FALSE),0))+IF(G730="",0,IFNA(VLOOKUP(G730,Pitcher_Trait_Coef!$A:$B,2,FALSE),0)),IF(F730="",0,IFNA(VLOOKUP(F730,Hitter_Trait_Coef!$A:$B,2,FALSE),0))+IF(G730="",0,IFNA(VLOOKUP(G730,Hitter_Trait_Coef!$A:$B,2,FALSE),0)))</f>
        <v/>
      </c>
      <c r="X730">
        <f>IF(Q730="P",IFNA(VLOOKUP(B730,Pitcher_Primary_Coef!$A:$B,2,FALSE),0),IFNA(VLOOKUP(B730,Hitter_Primary_Coef!$A:$B,2,FALSE),0))</f>
        <v/>
      </c>
      <c r="Y730">
        <f>IF(Q730="P",0,IFNA(VLOOKUP(IF(C730="","(none)",C730),Hitter_Secondary_Coef!$A:$B,2,FALSE),0))</f>
        <v/>
      </c>
      <c r="Z730">
        <f>IF(Q730="P",IF(ISNUMBER(SEARCH("2F",H730)),IFNA(VLOOKUP("2F",Pitch_Coef!$A:$B,2,FALSE),0),0)+IF(ISNUMBER(SEARCH("4F",H730)),IFNA(VLOOKUP("4F",Pitch_Coef!$A:$B,2,FALSE),0),0)+IF(ISNUMBER(SEARCH("CB",H730)),IFNA(VLOOKUP("CB",Pitch_Coef!$A:$B,2,FALSE),0),0)+IF(ISNUMBER(SEARCH("CF",H730)),IFNA(VLOOKUP("CF",Pitch_Coef!$A:$B,2,FALSE),0),0)+IF(ISNUMBER(SEARCH("CH",H730)),IFNA(VLOOKUP("CH",Pitch_Coef!$A:$B,2,FALSE),0),0)+IF(ISNUMBER(SEARCH("FK",H730)),IFNA(VLOOKUP("FK",Pitch_Coef!$A:$B,2,FALSE),0),0)+IF(ISNUMBER(SEARCH("SB",H730)),IFNA(VLOOKUP("SB",Pitch_Coef!$A:$B,2,FALSE),0),0)+IF(ISNUMBER(SEARCH("SL",H730)),IFNA(VLOOKUP("SL",Pitch_Coef!$A:$B,2,FALSE),0),0),0)</f>
        <v/>
      </c>
      <c r="AA730">
        <f>IF(Q730="P",16.5944849573+0.2529999141*N730+0.2665900378*O730+0.2632687105*P730+0.0427586837*I730+0.0534777057*J730+0.009015832*K730+0.0204898106*(O730*P730/100)+1.0091022427*U730+1.0968542297*IF(D730="L",1,0)+0.3771555045*IF(D730="S",1,0)-0.2226159177*IF(E730="L",1,0)+1.21385024*R730-1.1652812274*S730+W730+X730+Z730,10.5965166711+0.2825983581*I730+0.2806503532*J730+0.2027213083*K730+0.1147824982*L730+0.0915305332*M730-0.0088454122*(I730*J730/100)-0.0336045706*(K730*L730/100)+2.8497389733*IF(D730="L",1,0)+4.5116226727*IF(D730="S",1,0)-0.6571546448*IF(E730="L",1,0)+0.0850728147*T730+0.0129488446*(T730*T730)+0.1909373936*IF(OR(F730="Utility",G730="Utility"),T730,0)+0.9656824071*R730-1.7517683256*S730+W730+X730+Y730)</f>
        <v/>
      </c>
      <c r="AB730">
        <f>LOOKUP(AA730,Grade_Scale!$A$2:$A$18,Grade_Scale!$B$2:$B$18)</f>
        <v/>
      </c>
      <c r="AC730">
        <f>LOOKUP(AA730,Grade_Scale!$A$2:$A$18,Grade_Scale!$C$2:$C$18)</f>
        <v/>
      </c>
      <c r="AE730">
        <f>IF(AD730="","",AB730-VLOOKUP(AD730,Grade_Scale!$C$2:$E$18,3,FALSE))</f>
        <v/>
      </c>
    </row>
    <row r="731">
      <c r="Q731">
        <f>IF(OR(B731="SP",B731="RP",B731="CP",B731="SP/RP"),"P","H")</f>
        <v/>
      </c>
      <c r="R731">
        <f>IF(F731="",0,IFNA(VLOOKUP(F731,Trait_Polarity!$A:$C,2,FALSE),0))+IF(G731="",0,IFNA(VLOOKUP(G731,Trait_Polarity!$A:$C,2,FALSE),0))</f>
        <v/>
      </c>
      <c r="S731">
        <f>IF(F731="",0,IFNA(VLOOKUP(F731,Trait_Polarity!$A:$C,3,FALSE),0))+IF(G731="",0,IFNA(VLOOKUP(G731,Trait_Polarity!$A:$C,3,FALSE),0))</f>
        <v/>
      </c>
      <c r="T731">
        <f>IF(Q731="P",0,IFNA(VLOOKUP(IF(C731="","(none)",C731),Secondary_Versatility!$A:$B,2,FALSE),0))</f>
        <v/>
      </c>
      <c r="U731">
        <f>IF(H731="",0,LEN(H731)-LEN(SUBSTITUTE(H731,"|",""))+1)</f>
        <v/>
      </c>
      <c r="V731">
        <f>IF(Q731="P",(N731+O731+P731)/3,0.3*I731+0.3*J731+0.2*K731+0.1*L731+0.1*M731)</f>
        <v/>
      </c>
      <c r="W731">
        <f>IF(Q731="P",IF(F731="",0,IFNA(VLOOKUP(F731,Pitcher_Trait_Coef!$A:$B,2,FALSE),0))+IF(G731="",0,IFNA(VLOOKUP(G731,Pitcher_Trait_Coef!$A:$B,2,FALSE),0)),IF(F731="",0,IFNA(VLOOKUP(F731,Hitter_Trait_Coef!$A:$B,2,FALSE),0))+IF(G731="",0,IFNA(VLOOKUP(G731,Hitter_Trait_Coef!$A:$B,2,FALSE),0)))</f>
        <v/>
      </c>
      <c r="X731">
        <f>IF(Q731="P",IFNA(VLOOKUP(B731,Pitcher_Primary_Coef!$A:$B,2,FALSE),0),IFNA(VLOOKUP(B731,Hitter_Primary_Coef!$A:$B,2,FALSE),0))</f>
        <v/>
      </c>
      <c r="Y731">
        <f>IF(Q731="P",0,IFNA(VLOOKUP(IF(C731="","(none)",C731),Hitter_Secondary_Coef!$A:$B,2,FALSE),0))</f>
        <v/>
      </c>
      <c r="Z731">
        <f>IF(Q731="P",IF(ISNUMBER(SEARCH("2F",H731)),IFNA(VLOOKUP("2F",Pitch_Coef!$A:$B,2,FALSE),0),0)+IF(ISNUMBER(SEARCH("4F",H731)),IFNA(VLOOKUP("4F",Pitch_Coef!$A:$B,2,FALSE),0),0)+IF(ISNUMBER(SEARCH("CB",H731)),IFNA(VLOOKUP("CB",Pitch_Coef!$A:$B,2,FALSE),0),0)+IF(ISNUMBER(SEARCH("CF",H731)),IFNA(VLOOKUP("CF",Pitch_Coef!$A:$B,2,FALSE),0),0)+IF(ISNUMBER(SEARCH("CH",H731)),IFNA(VLOOKUP("CH",Pitch_Coef!$A:$B,2,FALSE),0),0)+IF(ISNUMBER(SEARCH("FK",H731)),IFNA(VLOOKUP("FK",Pitch_Coef!$A:$B,2,FALSE),0),0)+IF(ISNUMBER(SEARCH("SB",H731)),IFNA(VLOOKUP("SB",Pitch_Coef!$A:$B,2,FALSE),0),0)+IF(ISNUMBER(SEARCH("SL",H731)),IFNA(VLOOKUP("SL",Pitch_Coef!$A:$B,2,FALSE),0),0),0)</f>
        <v/>
      </c>
      <c r="AA731">
        <f>IF(Q731="P",16.5944849573+0.2529999141*N731+0.2665900378*O731+0.2632687105*P731+0.0427586837*I731+0.0534777057*J731+0.009015832*K731+0.0204898106*(O731*P731/100)+1.0091022427*U731+1.0968542297*IF(D731="L",1,0)+0.3771555045*IF(D731="S",1,0)-0.2226159177*IF(E731="L",1,0)+1.21385024*R731-1.1652812274*S731+W731+X731+Z731,10.5965166711+0.2825983581*I731+0.2806503532*J731+0.2027213083*K731+0.1147824982*L731+0.0915305332*M731-0.0088454122*(I731*J731/100)-0.0336045706*(K731*L731/100)+2.8497389733*IF(D731="L",1,0)+4.5116226727*IF(D731="S",1,0)-0.6571546448*IF(E731="L",1,0)+0.0850728147*T731+0.0129488446*(T731*T731)+0.1909373936*IF(OR(F731="Utility",G731="Utility"),T731,0)+0.9656824071*R731-1.7517683256*S731+W731+X731+Y731)</f>
        <v/>
      </c>
      <c r="AB731">
        <f>LOOKUP(AA731,Grade_Scale!$A$2:$A$18,Grade_Scale!$B$2:$B$18)</f>
        <v/>
      </c>
      <c r="AC731">
        <f>LOOKUP(AA731,Grade_Scale!$A$2:$A$18,Grade_Scale!$C$2:$C$18)</f>
        <v/>
      </c>
      <c r="AE731">
        <f>IF(AD731="","",AB731-VLOOKUP(AD731,Grade_Scale!$C$2:$E$18,3,FALSE))</f>
        <v/>
      </c>
    </row>
    <row r="732">
      <c r="Q732">
        <f>IF(OR(B732="SP",B732="RP",B732="CP",B732="SP/RP"),"P","H")</f>
        <v/>
      </c>
      <c r="R732">
        <f>IF(F732="",0,IFNA(VLOOKUP(F732,Trait_Polarity!$A:$C,2,FALSE),0))+IF(G732="",0,IFNA(VLOOKUP(G732,Trait_Polarity!$A:$C,2,FALSE),0))</f>
        <v/>
      </c>
      <c r="S732">
        <f>IF(F732="",0,IFNA(VLOOKUP(F732,Trait_Polarity!$A:$C,3,FALSE),0))+IF(G732="",0,IFNA(VLOOKUP(G732,Trait_Polarity!$A:$C,3,FALSE),0))</f>
        <v/>
      </c>
      <c r="T732">
        <f>IF(Q732="P",0,IFNA(VLOOKUP(IF(C732="","(none)",C732),Secondary_Versatility!$A:$B,2,FALSE),0))</f>
        <v/>
      </c>
      <c r="U732">
        <f>IF(H732="",0,LEN(H732)-LEN(SUBSTITUTE(H732,"|",""))+1)</f>
        <v/>
      </c>
      <c r="V732">
        <f>IF(Q732="P",(N732+O732+P732)/3,0.3*I732+0.3*J732+0.2*K732+0.1*L732+0.1*M732)</f>
        <v/>
      </c>
      <c r="W732">
        <f>IF(Q732="P",IF(F732="",0,IFNA(VLOOKUP(F732,Pitcher_Trait_Coef!$A:$B,2,FALSE),0))+IF(G732="",0,IFNA(VLOOKUP(G732,Pitcher_Trait_Coef!$A:$B,2,FALSE),0)),IF(F732="",0,IFNA(VLOOKUP(F732,Hitter_Trait_Coef!$A:$B,2,FALSE),0))+IF(G732="",0,IFNA(VLOOKUP(G732,Hitter_Trait_Coef!$A:$B,2,FALSE),0)))</f>
        <v/>
      </c>
      <c r="X732">
        <f>IF(Q732="P",IFNA(VLOOKUP(B732,Pitcher_Primary_Coef!$A:$B,2,FALSE),0),IFNA(VLOOKUP(B732,Hitter_Primary_Coef!$A:$B,2,FALSE),0))</f>
        <v/>
      </c>
      <c r="Y732">
        <f>IF(Q732="P",0,IFNA(VLOOKUP(IF(C732="","(none)",C732),Hitter_Secondary_Coef!$A:$B,2,FALSE),0))</f>
        <v/>
      </c>
      <c r="Z732">
        <f>IF(Q732="P",IF(ISNUMBER(SEARCH("2F",H732)),IFNA(VLOOKUP("2F",Pitch_Coef!$A:$B,2,FALSE),0),0)+IF(ISNUMBER(SEARCH("4F",H732)),IFNA(VLOOKUP("4F",Pitch_Coef!$A:$B,2,FALSE),0),0)+IF(ISNUMBER(SEARCH("CB",H732)),IFNA(VLOOKUP("CB",Pitch_Coef!$A:$B,2,FALSE),0),0)+IF(ISNUMBER(SEARCH("CF",H732)),IFNA(VLOOKUP("CF",Pitch_Coef!$A:$B,2,FALSE),0),0)+IF(ISNUMBER(SEARCH("CH",H732)),IFNA(VLOOKUP("CH",Pitch_Coef!$A:$B,2,FALSE),0),0)+IF(ISNUMBER(SEARCH("FK",H732)),IFNA(VLOOKUP("FK",Pitch_Coef!$A:$B,2,FALSE),0),0)+IF(ISNUMBER(SEARCH("SB",H732)),IFNA(VLOOKUP("SB",Pitch_Coef!$A:$B,2,FALSE),0),0)+IF(ISNUMBER(SEARCH("SL",H732)),IFNA(VLOOKUP("SL",Pitch_Coef!$A:$B,2,FALSE),0),0),0)</f>
        <v/>
      </c>
      <c r="AA732">
        <f>IF(Q732="P",16.5944849573+0.2529999141*N732+0.2665900378*O732+0.2632687105*P732+0.0427586837*I732+0.0534777057*J732+0.009015832*K732+0.0204898106*(O732*P732/100)+1.0091022427*U732+1.0968542297*IF(D732="L",1,0)+0.3771555045*IF(D732="S",1,0)-0.2226159177*IF(E732="L",1,0)+1.21385024*R732-1.1652812274*S732+W732+X732+Z732,10.5965166711+0.2825983581*I732+0.2806503532*J732+0.2027213083*K732+0.1147824982*L732+0.0915305332*M732-0.0088454122*(I732*J732/100)-0.0336045706*(K732*L732/100)+2.8497389733*IF(D732="L",1,0)+4.5116226727*IF(D732="S",1,0)-0.6571546448*IF(E732="L",1,0)+0.0850728147*T732+0.0129488446*(T732*T732)+0.1909373936*IF(OR(F732="Utility",G732="Utility"),T732,0)+0.9656824071*R732-1.7517683256*S732+W732+X732+Y732)</f>
        <v/>
      </c>
      <c r="AB732">
        <f>LOOKUP(AA732,Grade_Scale!$A$2:$A$18,Grade_Scale!$B$2:$B$18)</f>
        <v/>
      </c>
      <c r="AC732">
        <f>LOOKUP(AA732,Grade_Scale!$A$2:$A$18,Grade_Scale!$C$2:$C$18)</f>
        <v/>
      </c>
      <c r="AE732">
        <f>IF(AD732="","",AB732-VLOOKUP(AD732,Grade_Scale!$C$2:$E$18,3,FALSE))</f>
        <v/>
      </c>
    </row>
    <row r="733">
      <c r="Q733">
        <f>IF(OR(B733="SP",B733="RP",B733="CP",B733="SP/RP"),"P","H")</f>
        <v/>
      </c>
      <c r="R733">
        <f>IF(F733="",0,IFNA(VLOOKUP(F733,Trait_Polarity!$A:$C,2,FALSE),0))+IF(G733="",0,IFNA(VLOOKUP(G733,Trait_Polarity!$A:$C,2,FALSE),0))</f>
        <v/>
      </c>
      <c r="S733">
        <f>IF(F733="",0,IFNA(VLOOKUP(F733,Trait_Polarity!$A:$C,3,FALSE),0))+IF(G733="",0,IFNA(VLOOKUP(G733,Trait_Polarity!$A:$C,3,FALSE),0))</f>
        <v/>
      </c>
      <c r="T733">
        <f>IF(Q733="P",0,IFNA(VLOOKUP(IF(C733="","(none)",C733),Secondary_Versatility!$A:$B,2,FALSE),0))</f>
        <v/>
      </c>
      <c r="U733">
        <f>IF(H733="",0,LEN(H733)-LEN(SUBSTITUTE(H733,"|",""))+1)</f>
        <v/>
      </c>
      <c r="V733">
        <f>IF(Q733="P",(N733+O733+P733)/3,0.3*I733+0.3*J733+0.2*K733+0.1*L733+0.1*M733)</f>
        <v/>
      </c>
      <c r="W733">
        <f>IF(Q733="P",IF(F733="",0,IFNA(VLOOKUP(F733,Pitcher_Trait_Coef!$A:$B,2,FALSE),0))+IF(G733="",0,IFNA(VLOOKUP(G733,Pitcher_Trait_Coef!$A:$B,2,FALSE),0)),IF(F733="",0,IFNA(VLOOKUP(F733,Hitter_Trait_Coef!$A:$B,2,FALSE),0))+IF(G733="",0,IFNA(VLOOKUP(G733,Hitter_Trait_Coef!$A:$B,2,FALSE),0)))</f>
        <v/>
      </c>
      <c r="X733">
        <f>IF(Q733="P",IFNA(VLOOKUP(B733,Pitcher_Primary_Coef!$A:$B,2,FALSE),0),IFNA(VLOOKUP(B733,Hitter_Primary_Coef!$A:$B,2,FALSE),0))</f>
        <v/>
      </c>
      <c r="Y733">
        <f>IF(Q733="P",0,IFNA(VLOOKUP(IF(C733="","(none)",C733),Hitter_Secondary_Coef!$A:$B,2,FALSE),0))</f>
        <v/>
      </c>
      <c r="Z733">
        <f>IF(Q733="P",IF(ISNUMBER(SEARCH("2F",H733)),IFNA(VLOOKUP("2F",Pitch_Coef!$A:$B,2,FALSE),0),0)+IF(ISNUMBER(SEARCH("4F",H733)),IFNA(VLOOKUP("4F",Pitch_Coef!$A:$B,2,FALSE),0),0)+IF(ISNUMBER(SEARCH("CB",H733)),IFNA(VLOOKUP("CB",Pitch_Coef!$A:$B,2,FALSE),0),0)+IF(ISNUMBER(SEARCH("CF",H733)),IFNA(VLOOKUP("CF",Pitch_Coef!$A:$B,2,FALSE),0),0)+IF(ISNUMBER(SEARCH("CH",H733)),IFNA(VLOOKUP("CH",Pitch_Coef!$A:$B,2,FALSE),0),0)+IF(ISNUMBER(SEARCH("FK",H733)),IFNA(VLOOKUP("FK",Pitch_Coef!$A:$B,2,FALSE),0),0)+IF(ISNUMBER(SEARCH("SB",H733)),IFNA(VLOOKUP("SB",Pitch_Coef!$A:$B,2,FALSE),0),0)+IF(ISNUMBER(SEARCH("SL",H733)),IFNA(VLOOKUP("SL",Pitch_Coef!$A:$B,2,FALSE),0),0),0)</f>
        <v/>
      </c>
      <c r="AA733">
        <f>IF(Q733="P",16.5944849573+0.2529999141*N733+0.2665900378*O733+0.2632687105*P733+0.0427586837*I733+0.0534777057*J733+0.009015832*K733+0.0204898106*(O733*P733/100)+1.0091022427*U733+1.0968542297*IF(D733="L",1,0)+0.3771555045*IF(D733="S",1,0)-0.2226159177*IF(E733="L",1,0)+1.21385024*R733-1.1652812274*S733+W733+X733+Z733,10.5965166711+0.2825983581*I733+0.2806503532*J733+0.2027213083*K733+0.1147824982*L733+0.0915305332*M733-0.0088454122*(I733*J733/100)-0.0336045706*(K733*L733/100)+2.8497389733*IF(D733="L",1,0)+4.5116226727*IF(D733="S",1,0)-0.6571546448*IF(E733="L",1,0)+0.0850728147*T733+0.0129488446*(T733*T733)+0.1909373936*IF(OR(F733="Utility",G733="Utility"),T733,0)+0.9656824071*R733-1.7517683256*S733+W733+X733+Y733)</f>
        <v/>
      </c>
      <c r="AB733">
        <f>LOOKUP(AA733,Grade_Scale!$A$2:$A$18,Grade_Scale!$B$2:$B$18)</f>
        <v/>
      </c>
      <c r="AC733">
        <f>LOOKUP(AA733,Grade_Scale!$A$2:$A$18,Grade_Scale!$C$2:$C$18)</f>
        <v/>
      </c>
      <c r="AE733">
        <f>IF(AD733="","",AB733-VLOOKUP(AD733,Grade_Scale!$C$2:$E$18,3,FALSE))</f>
        <v/>
      </c>
    </row>
    <row r="734">
      <c r="Q734">
        <f>IF(OR(B734="SP",B734="RP",B734="CP",B734="SP/RP"),"P","H")</f>
        <v/>
      </c>
      <c r="R734">
        <f>IF(F734="",0,IFNA(VLOOKUP(F734,Trait_Polarity!$A:$C,2,FALSE),0))+IF(G734="",0,IFNA(VLOOKUP(G734,Trait_Polarity!$A:$C,2,FALSE),0))</f>
        <v/>
      </c>
      <c r="S734">
        <f>IF(F734="",0,IFNA(VLOOKUP(F734,Trait_Polarity!$A:$C,3,FALSE),0))+IF(G734="",0,IFNA(VLOOKUP(G734,Trait_Polarity!$A:$C,3,FALSE),0))</f>
        <v/>
      </c>
      <c r="T734">
        <f>IF(Q734="P",0,IFNA(VLOOKUP(IF(C734="","(none)",C734),Secondary_Versatility!$A:$B,2,FALSE),0))</f>
        <v/>
      </c>
      <c r="U734">
        <f>IF(H734="",0,LEN(H734)-LEN(SUBSTITUTE(H734,"|",""))+1)</f>
        <v/>
      </c>
      <c r="V734">
        <f>IF(Q734="P",(N734+O734+P734)/3,0.3*I734+0.3*J734+0.2*K734+0.1*L734+0.1*M734)</f>
        <v/>
      </c>
      <c r="W734">
        <f>IF(Q734="P",IF(F734="",0,IFNA(VLOOKUP(F734,Pitcher_Trait_Coef!$A:$B,2,FALSE),0))+IF(G734="",0,IFNA(VLOOKUP(G734,Pitcher_Trait_Coef!$A:$B,2,FALSE),0)),IF(F734="",0,IFNA(VLOOKUP(F734,Hitter_Trait_Coef!$A:$B,2,FALSE),0))+IF(G734="",0,IFNA(VLOOKUP(G734,Hitter_Trait_Coef!$A:$B,2,FALSE),0)))</f>
        <v/>
      </c>
      <c r="X734">
        <f>IF(Q734="P",IFNA(VLOOKUP(B734,Pitcher_Primary_Coef!$A:$B,2,FALSE),0),IFNA(VLOOKUP(B734,Hitter_Primary_Coef!$A:$B,2,FALSE),0))</f>
        <v/>
      </c>
      <c r="Y734">
        <f>IF(Q734="P",0,IFNA(VLOOKUP(IF(C734="","(none)",C734),Hitter_Secondary_Coef!$A:$B,2,FALSE),0))</f>
        <v/>
      </c>
      <c r="Z734">
        <f>IF(Q734="P",IF(ISNUMBER(SEARCH("2F",H734)),IFNA(VLOOKUP("2F",Pitch_Coef!$A:$B,2,FALSE),0),0)+IF(ISNUMBER(SEARCH("4F",H734)),IFNA(VLOOKUP("4F",Pitch_Coef!$A:$B,2,FALSE),0),0)+IF(ISNUMBER(SEARCH("CB",H734)),IFNA(VLOOKUP("CB",Pitch_Coef!$A:$B,2,FALSE),0),0)+IF(ISNUMBER(SEARCH("CF",H734)),IFNA(VLOOKUP("CF",Pitch_Coef!$A:$B,2,FALSE),0),0)+IF(ISNUMBER(SEARCH("CH",H734)),IFNA(VLOOKUP("CH",Pitch_Coef!$A:$B,2,FALSE),0),0)+IF(ISNUMBER(SEARCH("FK",H734)),IFNA(VLOOKUP("FK",Pitch_Coef!$A:$B,2,FALSE),0),0)+IF(ISNUMBER(SEARCH("SB",H734)),IFNA(VLOOKUP("SB",Pitch_Coef!$A:$B,2,FALSE),0),0)+IF(ISNUMBER(SEARCH("SL",H734)),IFNA(VLOOKUP("SL",Pitch_Coef!$A:$B,2,FALSE),0),0),0)</f>
        <v/>
      </c>
      <c r="AA734">
        <f>IF(Q734="P",16.5944849573+0.2529999141*N734+0.2665900378*O734+0.2632687105*P734+0.0427586837*I734+0.0534777057*J734+0.009015832*K734+0.0204898106*(O734*P734/100)+1.0091022427*U734+1.0968542297*IF(D734="L",1,0)+0.3771555045*IF(D734="S",1,0)-0.2226159177*IF(E734="L",1,0)+1.21385024*R734-1.1652812274*S734+W734+X734+Z734,10.5965166711+0.2825983581*I734+0.2806503532*J734+0.2027213083*K734+0.1147824982*L734+0.0915305332*M734-0.0088454122*(I734*J734/100)-0.0336045706*(K734*L734/100)+2.8497389733*IF(D734="L",1,0)+4.5116226727*IF(D734="S",1,0)-0.6571546448*IF(E734="L",1,0)+0.0850728147*T734+0.0129488446*(T734*T734)+0.1909373936*IF(OR(F734="Utility",G734="Utility"),T734,0)+0.9656824071*R734-1.7517683256*S734+W734+X734+Y734)</f>
        <v/>
      </c>
      <c r="AB734">
        <f>LOOKUP(AA734,Grade_Scale!$A$2:$A$18,Grade_Scale!$B$2:$B$18)</f>
        <v/>
      </c>
      <c r="AC734">
        <f>LOOKUP(AA734,Grade_Scale!$A$2:$A$18,Grade_Scale!$C$2:$C$18)</f>
        <v/>
      </c>
      <c r="AE734">
        <f>IF(AD734="","",AB734-VLOOKUP(AD734,Grade_Scale!$C$2:$E$18,3,FALSE))</f>
        <v/>
      </c>
    </row>
    <row r="735">
      <c r="Q735">
        <f>IF(OR(B735="SP",B735="RP",B735="CP",B735="SP/RP"),"P","H")</f>
        <v/>
      </c>
      <c r="R735">
        <f>IF(F735="",0,IFNA(VLOOKUP(F735,Trait_Polarity!$A:$C,2,FALSE),0))+IF(G735="",0,IFNA(VLOOKUP(G735,Trait_Polarity!$A:$C,2,FALSE),0))</f>
        <v/>
      </c>
      <c r="S735">
        <f>IF(F735="",0,IFNA(VLOOKUP(F735,Trait_Polarity!$A:$C,3,FALSE),0))+IF(G735="",0,IFNA(VLOOKUP(G735,Trait_Polarity!$A:$C,3,FALSE),0))</f>
        <v/>
      </c>
      <c r="T735">
        <f>IF(Q735="P",0,IFNA(VLOOKUP(IF(C735="","(none)",C735),Secondary_Versatility!$A:$B,2,FALSE),0))</f>
        <v/>
      </c>
      <c r="U735">
        <f>IF(H735="",0,LEN(H735)-LEN(SUBSTITUTE(H735,"|",""))+1)</f>
        <v/>
      </c>
      <c r="V735">
        <f>IF(Q735="P",(N735+O735+P735)/3,0.3*I735+0.3*J735+0.2*K735+0.1*L735+0.1*M735)</f>
        <v/>
      </c>
      <c r="W735">
        <f>IF(Q735="P",IF(F735="",0,IFNA(VLOOKUP(F735,Pitcher_Trait_Coef!$A:$B,2,FALSE),0))+IF(G735="",0,IFNA(VLOOKUP(G735,Pitcher_Trait_Coef!$A:$B,2,FALSE),0)),IF(F735="",0,IFNA(VLOOKUP(F735,Hitter_Trait_Coef!$A:$B,2,FALSE),0))+IF(G735="",0,IFNA(VLOOKUP(G735,Hitter_Trait_Coef!$A:$B,2,FALSE),0)))</f>
        <v/>
      </c>
      <c r="X735">
        <f>IF(Q735="P",IFNA(VLOOKUP(B735,Pitcher_Primary_Coef!$A:$B,2,FALSE),0),IFNA(VLOOKUP(B735,Hitter_Primary_Coef!$A:$B,2,FALSE),0))</f>
        <v/>
      </c>
      <c r="Y735">
        <f>IF(Q735="P",0,IFNA(VLOOKUP(IF(C735="","(none)",C735),Hitter_Secondary_Coef!$A:$B,2,FALSE),0))</f>
        <v/>
      </c>
      <c r="Z735">
        <f>IF(Q735="P",IF(ISNUMBER(SEARCH("2F",H735)),IFNA(VLOOKUP("2F",Pitch_Coef!$A:$B,2,FALSE),0),0)+IF(ISNUMBER(SEARCH("4F",H735)),IFNA(VLOOKUP("4F",Pitch_Coef!$A:$B,2,FALSE),0),0)+IF(ISNUMBER(SEARCH("CB",H735)),IFNA(VLOOKUP("CB",Pitch_Coef!$A:$B,2,FALSE),0),0)+IF(ISNUMBER(SEARCH("CF",H735)),IFNA(VLOOKUP("CF",Pitch_Coef!$A:$B,2,FALSE),0),0)+IF(ISNUMBER(SEARCH("CH",H735)),IFNA(VLOOKUP("CH",Pitch_Coef!$A:$B,2,FALSE),0),0)+IF(ISNUMBER(SEARCH("FK",H735)),IFNA(VLOOKUP("FK",Pitch_Coef!$A:$B,2,FALSE),0),0)+IF(ISNUMBER(SEARCH("SB",H735)),IFNA(VLOOKUP("SB",Pitch_Coef!$A:$B,2,FALSE),0),0)+IF(ISNUMBER(SEARCH("SL",H735)),IFNA(VLOOKUP("SL",Pitch_Coef!$A:$B,2,FALSE),0),0),0)</f>
        <v/>
      </c>
      <c r="AA735">
        <f>IF(Q735="P",16.5944849573+0.2529999141*N735+0.2665900378*O735+0.2632687105*P735+0.0427586837*I735+0.0534777057*J735+0.009015832*K735+0.0204898106*(O735*P735/100)+1.0091022427*U735+1.0968542297*IF(D735="L",1,0)+0.3771555045*IF(D735="S",1,0)-0.2226159177*IF(E735="L",1,0)+1.21385024*R735-1.1652812274*S735+W735+X735+Z735,10.5965166711+0.2825983581*I735+0.2806503532*J735+0.2027213083*K735+0.1147824982*L735+0.0915305332*M735-0.0088454122*(I735*J735/100)-0.0336045706*(K735*L735/100)+2.8497389733*IF(D735="L",1,0)+4.5116226727*IF(D735="S",1,0)-0.6571546448*IF(E735="L",1,0)+0.0850728147*T735+0.0129488446*(T735*T735)+0.1909373936*IF(OR(F735="Utility",G735="Utility"),T735,0)+0.9656824071*R735-1.7517683256*S735+W735+X735+Y735)</f>
        <v/>
      </c>
      <c r="AB735">
        <f>LOOKUP(AA735,Grade_Scale!$A$2:$A$18,Grade_Scale!$B$2:$B$18)</f>
        <v/>
      </c>
      <c r="AC735">
        <f>LOOKUP(AA735,Grade_Scale!$A$2:$A$18,Grade_Scale!$C$2:$C$18)</f>
        <v/>
      </c>
      <c r="AE735">
        <f>IF(AD735="","",AB735-VLOOKUP(AD735,Grade_Scale!$C$2:$E$18,3,FALSE))</f>
        <v/>
      </c>
    </row>
    <row r="736">
      <c r="Q736">
        <f>IF(OR(B736="SP",B736="RP",B736="CP",B736="SP/RP"),"P","H")</f>
        <v/>
      </c>
      <c r="R736">
        <f>IF(F736="",0,IFNA(VLOOKUP(F736,Trait_Polarity!$A:$C,2,FALSE),0))+IF(G736="",0,IFNA(VLOOKUP(G736,Trait_Polarity!$A:$C,2,FALSE),0))</f>
        <v/>
      </c>
      <c r="S736">
        <f>IF(F736="",0,IFNA(VLOOKUP(F736,Trait_Polarity!$A:$C,3,FALSE),0))+IF(G736="",0,IFNA(VLOOKUP(G736,Trait_Polarity!$A:$C,3,FALSE),0))</f>
        <v/>
      </c>
      <c r="T736">
        <f>IF(Q736="P",0,IFNA(VLOOKUP(IF(C736="","(none)",C736),Secondary_Versatility!$A:$B,2,FALSE),0))</f>
        <v/>
      </c>
      <c r="U736">
        <f>IF(H736="",0,LEN(H736)-LEN(SUBSTITUTE(H736,"|",""))+1)</f>
        <v/>
      </c>
      <c r="V736">
        <f>IF(Q736="P",(N736+O736+P736)/3,0.3*I736+0.3*J736+0.2*K736+0.1*L736+0.1*M736)</f>
        <v/>
      </c>
      <c r="W736">
        <f>IF(Q736="P",IF(F736="",0,IFNA(VLOOKUP(F736,Pitcher_Trait_Coef!$A:$B,2,FALSE),0))+IF(G736="",0,IFNA(VLOOKUP(G736,Pitcher_Trait_Coef!$A:$B,2,FALSE),0)),IF(F736="",0,IFNA(VLOOKUP(F736,Hitter_Trait_Coef!$A:$B,2,FALSE),0))+IF(G736="",0,IFNA(VLOOKUP(G736,Hitter_Trait_Coef!$A:$B,2,FALSE),0)))</f>
        <v/>
      </c>
      <c r="X736">
        <f>IF(Q736="P",IFNA(VLOOKUP(B736,Pitcher_Primary_Coef!$A:$B,2,FALSE),0),IFNA(VLOOKUP(B736,Hitter_Primary_Coef!$A:$B,2,FALSE),0))</f>
        <v/>
      </c>
      <c r="Y736">
        <f>IF(Q736="P",0,IFNA(VLOOKUP(IF(C736="","(none)",C736),Hitter_Secondary_Coef!$A:$B,2,FALSE),0))</f>
        <v/>
      </c>
      <c r="Z736">
        <f>IF(Q736="P",IF(ISNUMBER(SEARCH("2F",H736)),IFNA(VLOOKUP("2F",Pitch_Coef!$A:$B,2,FALSE),0),0)+IF(ISNUMBER(SEARCH("4F",H736)),IFNA(VLOOKUP("4F",Pitch_Coef!$A:$B,2,FALSE),0),0)+IF(ISNUMBER(SEARCH("CB",H736)),IFNA(VLOOKUP("CB",Pitch_Coef!$A:$B,2,FALSE),0),0)+IF(ISNUMBER(SEARCH("CF",H736)),IFNA(VLOOKUP("CF",Pitch_Coef!$A:$B,2,FALSE),0),0)+IF(ISNUMBER(SEARCH("CH",H736)),IFNA(VLOOKUP("CH",Pitch_Coef!$A:$B,2,FALSE),0),0)+IF(ISNUMBER(SEARCH("FK",H736)),IFNA(VLOOKUP("FK",Pitch_Coef!$A:$B,2,FALSE),0),0)+IF(ISNUMBER(SEARCH("SB",H736)),IFNA(VLOOKUP("SB",Pitch_Coef!$A:$B,2,FALSE),0),0)+IF(ISNUMBER(SEARCH("SL",H736)),IFNA(VLOOKUP("SL",Pitch_Coef!$A:$B,2,FALSE),0),0),0)</f>
        <v/>
      </c>
      <c r="AA736">
        <f>IF(Q736="P",16.5944849573+0.2529999141*N736+0.2665900378*O736+0.2632687105*P736+0.0427586837*I736+0.0534777057*J736+0.009015832*K736+0.0204898106*(O736*P736/100)+1.0091022427*U736+1.0968542297*IF(D736="L",1,0)+0.3771555045*IF(D736="S",1,0)-0.2226159177*IF(E736="L",1,0)+1.21385024*R736-1.1652812274*S736+W736+X736+Z736,10.5965166711+0.2825983581*I736+0.2806503532*J736+0.2027213083*K736+0.1147824982*L736+0.0915305332*M736-0.0088454122*(I736*J736/100)-0.0336045706*(K736*L736/100)+2.8497389733*IF(D736="L",1,0)+4.5116226727*IF(D736="S",1,0)-0.6571546448*IF(E736="L",1,0)+0.0850728147*T736+0.0129488446*(T736*T736)+0.1909373936*IF(OR(F736="Utility",G736="Utility"),T736,0)+0.9656824071*R736-1.7517683256*S736+W736+X736+Y736)</f>
        <v/>
      </c>
      <c r="AB736">
        <f>LOOKUP(AA736,Grade_Scale!$A$2:$A$18,Grade_Scale!$B$2:$B$18)</f>
        <v/>
      </c>
      <c r="AC736">
        <f>LOOKUP(AA736,Grade_Scale!$A$2:$A$18,Grade_Scale!$C$2:$C$18)</f>
        <v/>
      </c>
      <c r="AE736">
        <f>IF(AD736="","",AB736-VLOOKUP(AD736,Grade_Scale!$C$2:$E$18,3,FALSE))</f>
        <v/>
      </c>
    </row>
    <row r="737">
      <c r="Q737">
        <f>IF(OR(B737="SP",B737="RP",B737="CP",B737="SP/RP"),"P","H")</f>
        <v/>
      </c>
      <c r="R737">
        <f>IF(F737="",0,IFNA(VLOOKUP(F737,Trait_Polarity!$A:$C,2,FALSE),0))+IF(G737="",0,IFNA(VLOOKUP(G737,Trait_Polarity!$A:$C,2,FALSE),0))</f>
        <v/>
      </c>
      <c r="S737">
        <f>IF(F737="",0,IFNA(VLOOKUP(F737,Trait_Polarity!$A:$C,3,FALSE),0))+IF(G737="",0,IFNA(VLOOKUP(G737,Trait_Polarity!$A:$C,3,FALSE),0))</f>
        <v/>
      </c>
      <c r="T737">
        <f>IF(Q737="P",0,IFNA(VLOOKUP(IF(C737="","(none)",C737),Secondary_Versatility!$A:$B,2,FALSE),0))</f>
        <v/>
      </c>
      <c r="U737">
        <f>IF(H737="",0,LEN(H737)-LEN(SUBSTITUTE(H737,"|",""))+1)</f>
        <v/>
      </c>
      <c r="V737">
        <f>IF(Q737="P",(N737+O737+P737)/3,0.3*I737+0.3*J737+0.2*K737+0.1*L737+0.1*M737)</f>
        <v/>
      </c>
      <c r="W737">
        <f>IF(Q737="P",IF(F737="",0,IFNA(VLOOKUP(F737,Pitcher_Trait_Coef!$A:$B,2,FALSE),0))+IF(G737="",0,IFNA(VLOOKUP(G737,Pitcher_Trait_Coef!$A:$B,2,FALSE),0)),IF(F737="",0,IFNA(VLOOKUP(F737,Hitter_Trait_Coef!$A:$B,2,FALSE),0))+IF(G737="",0,IFNA(VLOOKUP(G737,Hitter_Trait_Coef!$A:$B,2,FALSE),0)))</f>
        <v/>
      </c>
      <c r="X737">
        <f>IF(Q737="P",IFNA(VLOOKUP(B737,Pitcher_Primary_Coef!$A:$B,2,FALSE),0),IFNA(VLOOKUP(B737,Hitter_Primary_Coef!$A:$B,2,FALSE),0))</f>
        <v/>
      </c>
      <c r="Y737">
        <f>IF(Q737="P",0,IFNA(VLOOKUP(IF(C737="","(none)",C737),Hitter_Secondary_Coef!$A:$B,2,FALSE),0))</f>
        <v/>
      </c>
      <c r="Z737">
        <f>IF(Q737="P",IF(ISNUMBER(SEARCH("2F",H737)),IFNA(VLOOKUP("2F",Pitch_Coef!$A:$B,2,FALSE),0),0)+IF(ISNUMBER(SEARCH("4F",H737)),IFNA(VLOOKUP("4F",Pitch_Coef!$A:$B,2,FALSE),0),0)+IF(ISNUMBER(SEARCH("CB",H737)),IFNA(VLOOKUP("CB",Pitch_Coef!$A:$B,2,FALSE),0),0)+IF(ISNUMBER(SEARCH("CF",H737)),IFNA(VLOOKUP("CF",Pitch_Coef!$A:$B,2,FALSE),0),0)+IF(ISNUMBER(SEARCH("CH",H737)),IFNA(VLOOKUP("CH",Pitch_Coef!$A:$B,2,FALSE),0),0)+IF(ISNUMBER(SEARCH("FK",H737)),IFNA(VLOOKUP("FK",Pitch_Coef!$A:$B,2,FALSE),0),0)+IF(ISNUMBER(SEARCH("SB",H737)),IFNA(VLOOKUP("SB",Pitch_Coef!$A:$B,2,FALSE),0),0)+IF(ISNUMBER(SEARCH("SL",H737)),IFNA(VLOOKUP("SL",Pitch_Coef!$A:$B,2,FALSE),0),0),0)</f>
        <v/>
      </c>
      <c r="AA737">
        <f>IF(Q737="P",16.5944849573+0.2529999141*N737+0.2665900378*O737+0.2632687105*P737+0.0427586837*I737+0.0534777057*J737+0.009015832*K737+0.0204898106*(O737*P737/100)+1.0091022427*U737+1.0968542297*IF(D737="L",1,0)+0.3771555045*IF(D737="S",1,0)-0.2226159177*IF(E737="L",1,0)+1.21385024*R737-1.1652812274*S737+W737+X737+Z737,10.5965166711+0.2825983581*I737+0.2806503532*J737+0.2027213083*K737+0.1147824982*L737+0.0915305332*M737-0.0088454122*(I737*J737/100)-0.0336045706*(K737*L737/100)+2.8497389733*IF(D737="L",1,0)+4.5116226727*IF(D737="S",1,0)-0.6571546448*IF(E737="L",1,0)+0.0850728147*T737+0.0129488446*(T737*T737)+0.1909373936*IF(OR(F737="Utility",G737="Utility"),T737,0)+0.9656824071*R737-1.7517683256*S737+W737+X737+Y737)</f>
        <v/>
      </c>
      <c r="AB737">
        <f>LOOKUP(AA737,Grade_Scale!$A$2:$A$18,Grade_Scale!$B$2:$B$18)</f>
        <v/>
      </c>
      <c r="AC737">
        <f>LOOKUP(AA737,Grade_Scale!$A$2:$A$18,Grade_Scale!$C$2:$C$18)</f>
        <v/>
      </c>
      <c r="AE737">
        <f>IF(AD737="","",AB737-VLOOKUP(AD737,Grade_Scale!$C$2:$E$18,3,FALSE))</f>
        <v/>
      </c>
    </row>
    <row r="738">
      <c r="Q738">
        <f>IF(OR(B738="SP",B738="RP",B738="CP",B738="SP/RP"),"P","H")</f>
        <v/>
      </c>
      <c r="R738">
        <f>IF(F738="",0,IFNA(VLOOKUP(F738,Trait_Polarity!$A:$C,2,FALSE),0))+IF(G738="",0,IFNA(VLOOKUP(G738,Trait_Polarity!$A:$C,2,FALSE),0))</f>
        <v/>
      </c>
      <c r="S738">
        <f>IF(F738="",0,IFNA(VLOOKUP(F738,Trait_Polarity!$A:$C,3,FALSE),0))+IF(G738="",0,IFNA(VLOOKUP(G738,Trait_Polarity!$A:$C,3,FALSE),0))</f>
        <v/>
      </c>
      <c r="T738">
        <f>IF(Q738="P",0,IFNA(VLOOKUP(IF(C738="","(none)",C738),Secondary_Versatility!$A:$B,2,FALSE),0))</f>
        <v/>
      </c>
      <c r="U738">
        <f>IF(H738="",0,LEN(H738)-LEN(SUBSTITUTE(H738,"|",""))+1)</f>
        <v/>
      </c>
      <c r="V738">
        <f>IF(Q738="P",(N738+O738+P738)/3,0.3*I738+0.3*J738+0.2*K738+0.1*L738+0.1*M738)</f>
        <v/>
      </c>
      <c r="W738">
        <f>IF(Q738="P",IF(F738="",0,IFNA(VLOOKUP(F738,Pitcher_Trait_Coef!$A:$B,2,FALSE),0))+IF(G738="",0,IFNA(VLOOKUP(G738,Pitcher_Trait_Coef!$A:$B,2,FALSE),0)),IF(F738="",0,IFNA(VLOOKUP(F738,Hitter_Trait_Coef!$A:$B,2,FALSE),0))+IF(G738="",0,IFNA(VLOOKUP(G738,Hitter_Trait_Coef!$A:$B,2,FALSE),0)))</f>
        <v/>
      </c>
      <c r="X738">
        <f>IF(Q738="P",IFNA(VLOOKUP(B738,Pitcher_Primary_Coef!$A:$B,2,FALSE),0),IFNA(VLOOKUP(B738,Hitter_Primary_Coef!$A:$B,2,FALSE),0))</f>
        <v/>
      </c>
      <c r="Y738">
        <f>IF(Q738="P",0,IFNA(VLOOKUP(IF(C738="","(none)",C738),Hitter_Secondary_Coef!$A:$B,2,FALSE),0))</f>
        <v/>
      </c>
      <c r="Z738">
        <f>IF(Q738="P",IF(ISNUMBER(SEARCH("2F",H738)),IFNA(VLOOKUP("2F",Pitch_Coef!$A:$B,2,FALSE),0),0)+IF(ISNUMBER(SEARCH("4F",H738)),IFNA(VLOOKUP("4F",Pitch_Coef!$A:$B,2,FALSE),0),0)+IF(ISNUMBER(SEARCH("CB",H738)),IFNA(VLOOKUP("CB",Pitch_Coef!$A:$B,2,FALSE),0),0)+IF(ISNUMBER(SEARCH("CF",H738)),IFNA(VLOOKUP("CF",Pitch_Coef!$A:$B,2,FALSE),0),0)+IF(ISNUMBER(SEARCH("CH",H738)),IFNA(VLOOKUP("CH",Pitch_Coef!$A:$B,2,FALSE),0),0)+IF(ISNUMBER(SEARCH("FK",H738)),IFNA(VLOOKUP("FK",Pitch_Coef!$A:$B,2,FALSE),0),0)+IF(ISNUMBER(SEARCH("SB",H738)),IFNA(VLOOKUP("SB",Pitch_Coef!$A:$B,2,FALSE),0),0)+IF(ISNUMBER(SEARCH("SL",H738)),IFNA(VLOOKUP("SL",Pitch_Coef!$A:$B,2,FALSE),0),0),0)</f>
        <v/>
      </c>
      <c r="AA738">
        <f>IF(Q738="P",16.5944849573+0.2529999141*N738+0.2665900378*O738+0.2632687105*P738+0.0427586837*I738+0.0534777057*J738+0.009015832*K738+0.0204898106*(O738*P738/100)+1.0091022427*U738+1.0968542297*IF(D738="L",1,0)+0.3771555045*IF(D738="S",1,0)-0.2226159177*IF(E738="L",1,0)+1.21385024*R738-1.1652812274*S738+W738+X738+Z738,10.5965166711+0.2825983581*I738+0.2806503532*J738+0.2027213083*K738+0.1147824982*L738+0.0915305332*M738-0.0088454122*(I738*J738/100)-0.0336045706*(K738*L738/100)+2.8497389733*IF(D738="L",1,0)+4.5116226727*IF(D738="S",1,0)-0.6571546448*IF(E738="L",1,0)+0.0850728147*T738+0.0129488446*(T738*T738)+0.1909373936*IF(OR(F738="Utility",G738="Utility"),T738,0)+0.9656824071*R738-1.7517683256*S738+W738+X738+Y738)</f>
        <v/>
      </c>
      <c r="AB738">
        <f>LOOKUP(AA738,Grade_Scale!$A$2:$A$18,Grade_Scale!$B$2:$B$18)</f>
        <v/>
      </c>
      <c r="AC738">
        <f>LOOKUP(AA738,Grade_Scale!$A$2:$A$18,Grade_Scale!$C$2:$C$18)</f>
        <v/>
      </c>
      <c r="AE738">
        <f>IF(AD738="","",AB738-VLOOKUP(AD738,Grade_Scale!$C$2:$E$18,3,FALSE))</f>
        <v/>
      </c>
    </row>
    <row r="739">
      <c r="Q739">
        <f>IF(OR(B739="SP",B739="RP",B739="CP",B739="SP/RP"),"P","H")</f>
        <v/>
      </c>
      <c r="R739">
        <f>IF(F739="",0,IFNA(VLOOKUP(F739,Trait_Polarity!$A:$C,2,FALSE),0))+IF(G739="",0,IFNA(VLOOKUP(G739,Trait_Polarity!$A:$C,2,FALSE),0))</f>
        <v/>
      </c>
      <c r="S739">
        <f>IF(F739="",0,IFNA(VLOOKUP(F739,Trait_Polarity!$A:$C,3,FALSE),0))+IF(G739="",0,IFNA(VLOOKUP(G739,Trait_Polarity!$A:$C,3,FALSE),0))</f>
        <v/>
      </c>
      <c r="T739">
        <f>IF(Q739="P",0,IFNA(VLOOKUP(IF(C739="","(none)",C739),Secondary_Versatility!$A:$B,2,FALSE),0))</f>
        <v/>
      </c>
      <c r="U739">
        <f>IF(H739="",0,LEN(H739)-LEN(SUBSTITUTE(H739,"|",""))+1)</f>
        <v/>
      </c>
      <c r="V739">
        <f>IF(Q739="P",(N739+O739+P739)/3,0.3*I739+0.3*J739+0.2*K739+0.1*L739+0.1*M739)</f>
        <v/>
      </c>
      <c r="W739">
        <f>IF(Q739="P",IF(F739="",0,IFNA(VLOOKUP(F739,Pitcher_Trait_Coef!$A:$B,2,FALSE),0))+IF(G739="",0,IFNA(VLOOKUP(G739,Pitcher_Trait_Coef!$A:$B,2,FALSE),0)),IF(F739="",0,IFNA(VLOOKUP(F739,Hitter_Trait_Coef!$A:$B,2,FALSE),0))+IF(G739="",0,IFNA(VLOOKUP(G739,Hitter_Trait_Coef!$A:$B,2,FALSE),0)))</f>
        <v/>
      </c>
      <c r="X739">
        <f>IF(Q739="P",IFNA(VLOOKUP(B739,Pitcher_Primary_Coef!$A:$B,2,FALSE),0),IFNA(VLOOKUP(B739,Hitter_Primary_Coef!$A:$B,2,FALSE),0))</f>
        <v/>
      </c>
      <c r="Y739">
        <f>IF(Q739="P",0,IFNA(VLOOKUP(IF(C739="","(none)",C739),Hitter_Secondary_Coef!$A:$B,2,FALSE),0))</f>
        <v/>
      </c>
      <c r="Z739">
        <f>IF(Q739="P",IF(ISNUMBER(SEARCH("2F",H739)),IFNA(VLOOKUP("2F",Pitch_Coef!$A:$B,2,FALSE),0),0)+IF(ISNUMBER(SEARCH("4F",H739)),IFNA(VLOOKUP("4F",Pitch_Coef!$A:$B,2,FALSE),0),0)+IF(ISNUMBER(SEARCH("CB",H739)),IFNA(VLOOKUP("CB",Pitch_Coef!$A:$B,2,FALSE),0),0)+IF(ISNUMBER(SEARCH("CF",H739)),IFNA(VLOOKUP("CF",Pitch_Coef!$A:$B,2,FALSE),0),0)+IF(ISNUMBER(SEARCH("CH",H739)),IFNA(VLOOKUP("CH",Pitch_Coef!$A:$B,2,FALSE),0),0)+IF(ISNUMBER(SEARCH("FK",H739)),IFNA(VLOOKUP("FK",Pitch_Coef!$A:$B,2,FALSE),0),0)+IF(ISNUMBER(SEARCH("SB",H739)),IFNA(VLOOKUP("SB",Pitch_Coef!$A:$B,2,FALSE),0),0)+IF(ISNUMBER(SEARCH("SL",H739)),IFNA(VLOOKUP("SL",Pitch_Coef!$A:$B,2,FALSE),0),0),0)</f>
        <v/>
      </c>
      <c r="AA739">
        <f>IF(Q739="P",16.5944849573+0.2529999141*N739+0.2665900378*O739+0.2632687105*P739+0.0427586837*I739+0.0534777057*J739+0.009015832*K739+0.0204898106*(O739*P739/100)+1.0091022427*U739+1.0968542297*IF(D739="L",1,0)+0.3771555045*IF(D739="S",1,0)-0.2226159177*IF(E739="L",1,0)+1.21385024*R739-1.1652812274*S739+W739+X739+Z739,10.5965166711+0.2825983581*I739+0.2806503532*J739+0.2027213083*K739+0.1147824982*L739+0.0915305332*M739-0.0088454122*(I739*J739/100)-0.0336045706*(K739*L739/100)+2.8497389733*IF(D739="L",1,0)+4.5116226727*IF(D739="S",1,0)-0.6571546448*IF(E739="L",1,0)+0.0850728147*T739+0.0129488446*(T739*T739)+0.1909373936*IF(OR(F739="Utility",G739="Utility"),T739,0)+0.9656824071*R739-1.7517683256*S739+W739+X739+Y739)</f>
        <v/>
      </c>
      <c r="AB739">
        <f>LOOKUP(AA739,Grade_Scale!$A$2:$A$18,Grade_Scale!$B$2:$B$18)</f>
        <v/>
      </c>
      <c r="AC739">
        <f>LOOKUP(AA739,Grade_Scale!$A$2:$A$18,Grade_Scale!$C$2:$C$18)</f>
        <v/>
      </c>
      <c r="AE739">
        <f>IF(AD739="","",AB739-VLOOKUP(AD739,Grade_Scale!$C$2:$E$18,3,FALSE))</f>
        <v/>
      </c>
    </row>
    <row r="740">
      <c r="Q740">
        <f>IF(OR(B740="SP",B740="RP",B740="CP",B740="SP/RP"),"P","H")</f>
        <v/>
      </c>
      <c r="R740">
        <f>IF(F740="",0,IFNA(VLOOKUP(F740,Trait_Polarity!$A:$C,2,FALSE),0))+IF(G740="",0,IFNA(VLOOKUP(G740,Trait_Polarity!$A:$C,2,FALSE),0))</f>
        <v/>
      </c>
      <c r="S740">
        <f>IF(F740="",0,IFNA(VLOOKUP(F740,Trait_Polarity!$A:$C,3,FALSE),0))+IF(G740="",0,IFNA(VLOOKUP(G740,Trait_Polarity!$A:$C,3,FALSE),0))</f>
        <v/>
      </c>
      <c r="T740">
        <f>IF(Q740="P",0,IFNA(VLOOKUP(IF(C740="","(none)",C740),Secondary_Versatility!$A:$B,2,FALSE),0))</f>
        <v/>
      </c>
      <c r="U740">
        <f>IF(H740="",0,LEN(H740)-LEN(SUBSTITUTE(H740,"|",""))+1)</f>
        <v/>
      </c>
      <c r="V740">
        <f>IF(Q740="P",(N740+O740+P740)/3,0.3*I740+0.3*J740+0.2*K740+0.1*L740+0.1*M740)</f>
        <v/>
      </c>
      <c r="W740">
        <f>IF(Q740="P",IF(F740="",0,IFNA(VLOOKUP(F740,Pitcher_Trait_Coef!$A:$B,2,FALSE),0))+IF(G740="",0,IFNA(VLOOKUP(G740,Pitcher_Trait_Coef!$A:$B,2,FALSE),0)),IF(F740="",0,IFNA(VLOOKUP(F740,Hitter_Trait_Coef!$A:$B,2,FALSE),0))+IF(G740="",0,IFNA(VLOOKUP(G740,Hitter_Trait_Coef!$A:$B,2,FALSE),0)))</f>
        <v/>
      </c>
      <c r="X740">
        <f>IF(Q740="P",IFNA(VLOOKUP(B740,Pitcher_Primary_Coef!$A:$B,2,FALSE),0),IFNA(VLOOKUP(B740,Hitter_Primary_Coef!$A:$B,2,FALSE),0))</f>
        <v/>
      </c>
      <c r="Y740">
        <f>IF(Q740="P",0,IFNA(VLOOKUP(IF(C740="","(none)",C740),Hitter_Secondary_Coef!$A:$B,2,FALSE),0))</f>
        <v/>
      </c>
      <c r="Z740">
        <f>IF(Q740="P",IF(ISNUMBER(SEARCH("2F",H740)),IFNA(VLOOKUP("2F",Pitch_Coef!$A:$B,2,FALSE),0),0)+IF(ISNUMBER(SEARCH("4F",H740)),IFNA(VLOOKUP("4F",Pitch_Coef!$A:$B,2,FALSE),0),0)+IF(ISNUMBER(SEARCH("CB",H740)),IFNA(VLOOKUP("CB",Pitch_Coef!$A:$B,2,FALSE),0),0)+IF(ISNUMBER(SEARCH("CF",H740)),IFNA(VLOOKUP("CF",Pitch_Coef!$A:$B,2,FALSE),0),0)+IF(ISNUMBER(SEARCH("CH",H740)),IFNA(VLOOKUP("CH",Pitch_Coef!$A:$B,2,FALSE),0),0)+IF(ISNUMBER(SEARCH("FK",H740)),IFNA(VLOOKUP("FK",Pitch_Coef!$A:$B,2,FALSE),0),0)+IF(ISNUMBER(SEARCH("SB",H740)),IFNA(VLOOKUP("SB",Pitch_Coef!$A:$B,2,FALSE),0),0)+IF(ISNUMBER(SEARCH("SL",H740)),IFNA(VLOOKUP("SL",Pitch_Coef!$A:$B,2,FALSE),0),0),0)</f>
        <v/>
      </c>
      <c r="AA740">
        <f>IF(Q740="P",16.5944849573+0.2529999141*N740+0.2665900378*O740+0.2632687105*P740+0.0427586837*I740+0.0534777057*J740+0.009015832*K740+0.0204898106*(O740*P740/100)+1.0091022427*U740+1.0968542297*IF(D740="L",1,0)+0.3771555045*IF(D740="S",1,0)-0.2226159177*IF(E740="L",1,0)+1.21385024*R740-1.1652812274*S740+W740+X740+Z740,10.5965166711+0.2825983581*I740+0.2806503532*J740+0.2027213083*K740+0.1147824982*L740+0.0915305332*M740-0.0088454122*(I740*J740/100)-0.0336045706*(K740*L740/100)+2.8497389733*IF(D740="L",1,0)+4.5116226727*IF(D740="S",1,0)-0.6571546448*IF(E740="L",1,0)+0.0850728147*T740+0.0129488446*(T740*T740)+0.1909373936*IF(OR(F740="Utility",G740="Utility"),T740,0)+0.9656824071*R740-1.7517683256*S740+W740+X740+Y740)</f>
        <v/>
      </c>
      <c r="AB740">
        <f>LOOKUP(AA740,Grade_Scale!$A$2:$A$18,Grade_Scale!$B$2:$B$18)</f>
        <v/>
      </c>
      <c r="AC740">
        <f>LOOKUP(AA740,Grade_Scale!$A$2:$A$18,Grade_Scale!$C$2:$C$18)</f>
        <v/>
      </c>
      <c r="AE740">
        <f>IF(AD740="","",AB740-VLOOKUP(AD740,Grade_Scale!$C$2:$E$18,3,FALSE))</f>
        <v/>
      </c>
    </row>
    <row r="741">
      <c r="Q741">
        <f>IF(OR(B741="SP",B741="RP",B741="CP",B741="SP/RP"),"P","H")</f>
        <v/>
      </c>
      <c r="R741">
        <f>IF(F741="",0,IFNA(VLOOKUP(F741,Trait_Polarity!$A:$C,2,FALSE),0))+IF(G741="",0,IFNA(VLOOKUP(G741,Trait_Polarity!$A:$C,2,FALSE),0))</f>
        <v/>
      </c>
      <c r="S741">
        <f>IF(F741="",0,IFNA(VLOOKUP(F741,Trait_Polarity!$A:$C,3,FALSE),0))+IF(G741="",0,IFNA(VLOOKUP(G741,Trait_Polarity!$A:$C,3,FALSE),0))</f>
        <v/>
      </c>
      <c r="T741">
        <f>IF(Q741="P",0,IFNA(VLOOKUP(IF(C741="","(none)",C741),Secondary_Versatility!$A:$B,2,FALSE),0))</f>
        <v/>
      </c>
      <c r="U741">
        <f>IF(H741="",0,LEN(H741)-LEN(SUBSTITUTE(H741,"|",""))+1)</f>
        <v/>
      </c>
      <c r="V741">
        <f>IF(Q741="P",(N741+O741+P741)/3,0.3*I741+0.3*J741+0.2*K741+0.1*L741+0.1*M741)</f>
        <v/>
      </c>
      <c r="W741">
        <f>IF(Q741="P",IF(F741="",0,IFNA(VLOOKUP(F741,Pitcher_Trait_Coef!$A:$B,2,FALSE),0))+IF(G741="",0,IFNA(VLOOKUP(G741,Pitcher_Trait_Coef!$A:$B,2,FALSE),0)),IF(F741="",0,IFNA(VLOOKUP(F741,Hitter_Trait_Coef!$A:$B,2,FALSE),0))+IF(G741="",0,IFNA(VLOOKUP(G741,Hitter_Trait_Coef!$A:$B,2,FALSE),0)))</f>
        <v/>
      </c>
      <c r="X741">
        <f>IF(Q741="P",IFNA(VLOOKUP(B741,Pitcher_Primary_Coef!$A:$B,2,FALSE),0),IFNA(VLOOKUP(B741,Hitter_Primary_Coef!$A:$B,2,FALSE),0))</f>
        <v/>
      </c>
      <c r="Y741">
        <f>IF(Q741="P",0,IFNA(VLOOKUP(IF(C741="","(none)",C741),Hitter_Secondary_Coef!$A:$B,2,FALSE),0))</f>
        <v/>
      </c>
      <c r="Z741">
        <f>IF(Q741="P",IF(ISNUMBER(SEARCH("2F",H741)),IFNA(VLOOKUP("2F",Pitch_Coef!$A:$B,2,FALSE),0),0)+IF(ISNUMBER(SEARCH("4F",H741)),IFNA(VLOOKUP("4F",Pitch_Coef!$A:$B,2,FALSE),0),0)+IF(ISNUMBER(SEARCH("CB",H741)),IFNA(VLOOKUP("CB",Pitch_Coef!$A:$B,2,FALSE),0),0)+IF(ISNUMBER(SEARCH("CF",H741)),IFNA(VLOOKUP("CF",Pitch_Coef!$A:$B,2,FALSE),0),0)+IF(ISNUMBER(SEARCH("CH",H741)),IFNA(VLOOKUP("CH",Pitch_Coef!$A:$B,2,FALSE),0),0)+IF(ISNUMBER(SEARCH("FK",H741)),IFNA(VLOOKUP("FK",Pitch_Coef!$A:$B,2,FALSE),0),0)+IF(ISNUMBER(SEARCH("SB",H741)),IFNA(VLOOKUP("SB",Pitch_Coef!$A:$B,2,FALSE),0),0)+IF(ISNUMBER(SEARCH("SL",H741)),IFNA(VLOOKUP("SL",Pitch_Coef!$A:$B,2,FALSE),0),0),0)</f>
        <v/>
      </c>
      <c r="AA741">
        <f>IF(Q741="P",16.5944849573+0.2529999141*N741+0.2665900378*O741+0.2632687105*P741+0.0427586837*I741+0.0534777057*J741+0.009015832*K741+0.0204898106*(O741*P741/100)+1.0091022427*U741+1.0968542297*IF(D741="L",1,0)+0.3771555045*IF(D741="S",1,0)-0.2226159177*IF(E741="L",1,0)+1.21385024*R741-1.1652812274*S741+W741+X741+Z741,10.5965166711+0.2825983581*I741+0.2806503532*J741+0.2027213083*K741+0.1147824982*L741+0.0915305332*M741-0.0088454122*(I741*J741/100)-0.0336045706*(K741*L741/100)+2.8497389733*IF(D741="L",1,0)+4.5116226727*IF(D741="S",1,0)-0.6571546448*IF(E741="L",1,0)+0.0850728147*T741+0.0129488446*(T741*T741)+0.1909373936*IF(OR(F741="Utility",G741="Utility"),T741,0)+0.9656824071*R741-1.7517683256*S741+W741+X741+Y741)</f>
        <v/>
      </c>
      <c r="AB741">
        <f>LOOKUP(AA741,Grade_Scale!$A$2:$A$18,Grade_Scale!$B$2:$B$18)</f>
        <v/>
      </c>
      <c r="AC741">
        <f>LOOKUP(AA741,Grade_Scale!$A$2:$A$18,Grade_Scale!$C$2:$C$18)</f>
        <v/>
      </c>
      <c r="AE741">
        <f>IF(AD741="","",AB741-VLOOKUP(AD741,Grade_Scale!$C$2:$E$18,3,FALSE))</f>
        <v/>
      </c>
    </row>
    <row r="742">
      <c r="Q742">
        <f>IF(OR(B742="SP",B742="RP",B742="CP",B742="SP/RP"),"P","H")</f>
        <v/>
      </c>
      <c r="R742">
        <f>IF(F742="",0,IFNA(VLOOKUP(F742,Trait_Polarity!$A:$C,2,FALSE),0))+IF(G742="",0,IFNA(VLOOKUP(G742,Trait_Polarity!$A:$C,2,FALSE),0))</f>
        <v/>
      </c>
      <c r="S742">
        <f>IF(F742="",0,IFNA(VLOOKUP(F742,Trait_Polarity!$A:$C,3,FALSE),0))+IF(G742="",0,IFNA(VLOOKUP(G742,Trait_Polarity!$A:$C,3,FALSE),0))</f>
        <v/>
      </c>
      <c r="T742">
        <f>IF(Q742="P",0,IFNA(VLOOKUP(IF(C742="","(none)",C742),Secondary_Versatility!$A:$B,2,FALSE),0))</f>
        <v/>
      </c>
      <c r="U742">
        <f>IF(H742="",0,LEN(H742)-LEN(SUBSTITUTE(H742,"|",""))+1)</f>
        <v/>
      </c>
      <c r="V742">
        <f>IF(Q742="P",(N742+O742+P742)/3,0.3*I742+0.3*J742+0.2*K742+0.1*L742+0.1*M742)</f>
        <v/>
      </c>
      <c r="W742">
        <f>IF(Q742="P",IF(F742="",0,IFNA(VLOOKUP(F742,Pitcher_Trait_Coef!$A:$B,2,FALSE),0))+IF(G742="",0,IFNA(VLOOKUP(G742,Pitcher_Trait_Coef!$A:$B,2,FALSE),0)),IF(F742="",0,IFNA(VLOOKUP(F742,Hitter_Trait_Coef!$A:$B,2,FALSE),0))+IF(G742="",0,IFNA(VLOOKUP(G742,Hitter_Trait_Coef!$A:$B,2,FALSE),0)))</f>
        <v/>
      </c>
      <c r="X742">
        <f>IF(Q742="P",IFNA(VLOOKUP(B742,Pitcher_Primary_Coef!$A:$B,2,FALSE),0),IFNA(VLOOKUP(B742,Hitter_Primary_Coef!$A:$B,2,FALSE),0))</f>
        <v/>
      </c>
      <c r="Y742">
        <f>IF(Q742="P",0,IFNA(VLOOKUP(IF(C742="","(none)",C742),Hitter_Secondary_Coef!$A:$B,2,FALSE),0))</f>
        <v/>
      </c>
      <c r="Z742">
        <f>IF(Q742="P",IF(ISNUMBER(SEARCH("2F",H742)),IFNA(VLOOKUP("2F",Pitch_Coef!$A:$B,2,FALSE),0),0)+IF(ISNUMBER(SEARCH("4F",H742)),IFNA(VLOOKUP("4F",Pitch_Coef!$A:$B,2,FALSE),0),0)+IF(ISNUMBER(SEARCH("CB",H742)),IFNA(VLOOKUP("CB",Pitch_Coef!$A:$B,2,FALSE),0),0)+IF(ISNUMBER(SEARCH("CF",H742)),IFNA(VLOOKUP("CF",Pitch_Coef!$A:$B,2,FALSE),0),0)+IF(ISNUMBER(SEARCH("CH",H742)),IFNA(VLOOKUP("CH",Pitch_Coef!$A:$B,2,FALSE),0),0)+IF(ISNUMBER(SEARCH("FK",H742)),IFNA(VLOOKUP("FK",Pitch_Coef!$A:$B,2,FALSE),0),0)+IF(ISNUMBER(SEARCH("SB",H742)),IFNA(VLOOKUP("SB",Pitch_Coef!$A:$B,2,FALSE),0),0)+IF(ISNUMBER(SEARCH("SL",H742)),IFNA(VLOOKUP("SL",Pitch_Coef!$A:$B,2,FALSE),0),0),0)</f>
        <v/>
      </c>
      <c r="AA742">
        <f>IF(Q742="P",16.5944849573+0.2529999141*N742+0.2665900378*O742+0.2632687105*P742+0.0427586837*I742+0.0534777057*J742+0.009015832*K742+0.0204898106*(O742*P742/100)+1.0091022427*U742+1.0968542297*IF(D742="L",1,0)+0.3771555045*IF(D742="S",1,0)-0.2226159177*IF(E742="L",1,0)+1.21385024*R742-1.1652812274*S742+W742+X742+Z742,10.5965166711+0.2825983581*I742+0.2806503532*J742+0.2027213083*K742+0.1147824982*L742+0.0915305332*M742-0.0088454122*(I742*J742/100)-0.0336045706*(K742*L742/100)+2.8497389733*IF(D742="L",1,0)+4.5116226727*IF(D742="S",1,0)-0.6571546448*IF(E742="L",1,0)+0.0850728147*T742+0.0129488446*(T742*T742)+0.1909373936*IF(OR(F742="Utility",G742="Utility"),T742,0)+0.9656824071*R742-1.7517683256*S742+W742+X742+Y742)</f>
        <v/>
      </c>
      <c r="AB742">
        <f>LOOKUP(AA742,Grade_Scale!$A$2:$A$18,Grade_Scale!$B$2:$B$18)</f>
        <v/>
      </c>
      <c r="AC742">
        <f>LOOKUP(AA742,Grade_Scale!$A$2:$A$18,Grade_Scale!$C$2:$C$18)</f>
        <v/>
      </c>
      <c r="AE742">
        <f>IF(AD742="","",AB742-VLOOKUP(AD742,Grade_Scale!$C$2:$E$18,3,FALSE))</f>
        <v/>
      </c>
    </row>
    <row r="743">
      <c r="Q743">
        <f>IF(OR(B743="SP",B743="RP",B743="CP",B743="SP/RP"),"P","H")</f>
        <v/>
      </c>
      <c r="R743">
        <f>IF(F743="",0,IFNA(VLOOKUP(F743,Trait_Polarity!$A:$C,2,FALSE),0))+IF(G743="",0,IFNA(VLOOKUP(G743,Trait_Polarity!$A:$C,2,FALSE),0))</f>
        <v/>
      </c>
      <c r="S743">
        <f>IF(F743="",0,IFNA(VLOOKUP(F743,Trait_Polarity!$A:$C,3,FALSE),0))+IF(G743="",0,IFNA(VLOOKUP(G743,Trait_Polarity!$A:$C,3,FALSE),0))</f>
        <v/>
      </c>
      <c r="T743">
        <f>IF(Q743="P",0,IFNA(VLOOKUP(IF(C743="","(none)",C743),Secondary_Versatility!$A:$B,2,FALSE),0))</f>
        <v/>
      </c>
      <c r="U743">
        <f>IF(H743="",0,LEN(H743)-LEN(SUBSTITUTE(H743,"|",""))+1)</f>
        <v/>
      </c>
      <c r="V743">
        <f>IF(Q743="P",(N743+O743+P743)/3,0.3*I743+0.3*J743+0.2*K743+0.1*L743+0.1*M743)</f>
        <v/>
      </c>
      <c r="W743">
        <f>IF(Q743="P",IF(F743="",0,IFNA(VLOOKUP(F743,Pitcher_Trait_Coef!$A:$B,2,FALSE),0))+IF(G743="",0,IFNA(VLOOKUP(G743,Pitcher_Trait_Coef!$A:$B,2,FALSE),0)),IF(F743="",0,IFNA(VLOOKUP(F743,Hitter_Trait_Coef!$A:$B,2,FALSE),0))+IF(G743="",0,IFNA(VLOOKUP(G743,Hitter_Trait_Coef!$A:$B,2,FALSE),0)))</f>
        <v/>
      </c>
      <c r="X743">
        <f>IF(Q743="P",IFNA(VLOOKUP(B743,Pitcher_Primary_Coef!$A:$B,2,FALSE),0),IFNA(VLOOKUP(B743,Hitter_Primary_Coef!$A:$B,2,FALSE),0))</f>
        <v/>
      </c>
      <c r="Y743">
        <f>IF(Q743="P",0,IFNA(VLOOKUP(IF(C743="","(none)",C743),Hitter_Secondary_Coef!$A:$B,2,FALSE),0))</f>
        <v/>
      </c>
      <c r="Z743">
        <f>IF(Q743="P",IF(ISNUMBER(SEARCH("2F",H743)),IFNA(VLOOKUP("2F",Pitch_Coef!$A:$B,2,FALSE),0),0)+IF(ISNUMBER(SEARCH("4F",H743)),IFNA(VLOOKUP("4F",Pitch_Coef!$A:$B,2,FALSE),0),0)+IF(ISNUMBER(SEARCH("CB",H743)),IFNA(VLOOKUP("CB",Pitch_Coef!$A:$B,2,FALSE),0),0)+IF(ISNUMBER(SEARCH("CF",H743)),IFNA(VLOOKUP("CF",Pitch_Coef!$A:$B,2,FALSE),0),0)+IF(ISNUMBER(SEARCH("CH",H743)),IFNA(VLOOKUP("CH",Pitch_Coef!$A:$B,2,FALSE),0),0)+IF(ISNUMBER(SEARCH("FK",H743)),IFNA(VLOOKUP("FK",Pitch_Coef!$A:$B,2,FALSE),0),0)+IF(ISNUMBER(SEARCH("SB",H743)),IFNA(VLOOKUP("SB",Pitch_Coef!$A:$B,2,FALSE),0),0)+IF(ISNUMBER(SEARCH("SL",H743)),IFNA(VLOOKUP("SL",Pitch_Coef!$A:$B,2,FALSE),0),0),0)</f>
        <v/>
      </c>
      <c r="AA743">
        <f>IF(Q743="P",16.5944849573+0.2529999141*N743+0.2665900378*O743+0.2632687105*P743+0.0427586837*I743+0.0534777057*J743+0.009015832*K743+0.0204898106*(O743*P743/100)+1.0091022427*U743+1.0968542297*IF(D743="L",1,0)+0.3771555045*IF(D743="S",1,0)-0.2226159177*IF(E743="L",1,0)+1.21385024*R743-1.1652812274*S743+W743+X743+Z743,10.5965166711+0.2825983581*I743+0.2806503532*J743+0.2027213083*K743+0.1147824982*L743+0.0915305332*M743-0.0088454122*(I743*J743/100)-0.0336045706*(K743*L743/100)+2.8497389733*IF(D743="L",1,0)+4.5116226727*IF(D743="S",1,0)-0.6571546448*IF(E743="L",1,0)+0.0850728147*T743+0.0129488446*(T743*T743)+0.1909373936*IF(OR(F743="Utility",G743="Utility"),T743,0)+0.9656824071*R743-1.7517683256*S743+W743+X743+Y743)</f>
        <v/>
      </c>
      <c r="AB743">
        <f>LOOKUP(AA743,Grade_Scale!$A$2:$A$18,Grade_Scale!$B$2:$B$18)</f>
        <v/>
      </c>
      <c r="AC743">
        <f>LOOKUP(AA743,Grade_Scale!$A$2:$A$18,Grade_Scale!$C$2:$C$18)</f>
        <v/>
      </c>
      <c r="AE743">
        <f>IF(AD743="","",AB743-VLOOKUP(AD743,Grade_Scale!$C$2:$E$18,3,FALSE))</f>
        <v/>
      </c>
    </row>
    <row r="744">
      <c r="Q744">
        <f>IF(OR(B744="SP",B744="RP",B744="CP",B744="SP/RP"),"P","H")</f>
        <v/>
      </c>
      <c r="R744">
        <f>IF(F744="",0,IFNA(VLOOKUP(F744,Trait_Polarity!$A:$C,2,FALSE),0))+IF(G744="",0,IFNA(VLOOKUP(G744,Trait_Polarity!$A:$C,2,FALSE),0))</f>
        <v/>
      </c>
      <c r="S744">
        <f>IF(F744="",0,IFNA(VLOOKUP(F744,Trait_Polarity!$A:$C,3,FALSE),0))+IF(G744="",0,IFNA(VLOOKUP(G744,Trait_Polarity!$A:$C,3,FALSE),0))</f>
        <v/>
      </c>
      <c r="T744">
        <f>IF(Q744="P",0,IFNA(VLOOKUP(IF(C744="","(none)",C744),Secondary_Versatility!$A:$B,2,FALSE),0))</f>
        <v/>
      </c>
      <c r="U744">
        <f>IF(H744="",0,LEN(H744)-LEN(SUBSTITUTE(H744,"|",""))+1)</f>
        <v/>
      </c>
      <c r="V744">
        <f>IF(Q744="P",(N744+O744+P744)/3,0.3*I744+0.3*J744+0.2*K744+0.1*L744+0.1*M744)</f>
        <v/>
      </c>
      <c r="W744">
        <f>IF(Q744="P",IF(F744="",0,IFNA(VLOOKUP(F744,Pitcher_Trait_Coef!$A:$B,2,FALSE),0))+IF(G744="",0,IFNA(VLOOKUP(G744,Pitcher_Trait_Coef!$A:$B,2,FALSE),0)),IF(F744="",0,IFNA(VLOOKUP(F744,Hitter_Trait_Coef!$A:$B,2,FALSE),0))+IF(G744="",0,IFNA(VLOOKUP(G744,Hitter_Trait_Coef!$A:$B,2,FALSE),0)))</f>
        <v/>
      </c>
      <c r="X744">
        <f>IF(Q744="P",IFNA(VLOOKUP(B744,Pitcher_Primary_Coef!$A:$B,2,FALSE),0),IFNA(VLOOKUP(B744,Hitter_Primary_Coef!$A:$B,2,FALSE),0))</f>
        <v/>
      </c>
      <c r="Y744">
        <f>IF(Q744="P",0,IFNA(VLOOKUP(IF(C744="","(none)",C744),Hitter_Secondary_Coef!$A:$B,2,FALSE),0))</f>
        <v/>
      </c>
      <c r="Z744">
        <f>IF(Q744="P",IF(ISNUMBER(SEARCH("2F",H744)),IFNA(VLOOKUP("2F",Pitch_Coef!$A:$B,2,FALSE),0),0)+IF(ISNUMBER(SEARCH("4F",H744)),IFNA(VLOOKUP("4F",Pitch_Coef!$A:$B,2,FALSE),0),0)+IF(ISNUMBER(SEARCH("CB",H744)),IFNA(VLOOKUP("CB",Pitch_Coef!$A:$B,2,FALSE),0),0)+IF(ISNUMBER(SEARCH("CF",H744)),IFNA(VLOOKUP("CF",Pitch_Coef!$A:$B,2,FALSE),0),0)+IF(ISNUMBER(SEARCH("CH",H744)),IFNA(VLOOKUP("CH",Pitch_Coef!$A:$B,2,FALSE),0),0)+IF(ISNUMBER(SEARCH("FK",H744)),IFNA(VLOOKUP("FK",Pitch_Coef!$A:$B,2,FALSE),0),0)+IF(ISNUMBER(SEARCH("SB",H744)),IFNA(VLOOKUP("SB",Pitch_Coef!$A:$B,2,FALSE),0),0)+IF(ISNUMBER(SEARCH("SL",H744)),IFNA(VLOOKUP("SL",Pitch_Coef!$A:$B,2,FALSE),0),0),0)</f>
        <v/>
      </c>
      <c r="AA744">
        <f>IF(Q744="P",16.5944849573+0.2529999141*N744+0.2665900378*O744+0.2632687105*P744+0.0427586837*I744+0.0534777057*J744+0.009015832*K744+0.0204898106*(O744*P744/100)+1.0091022427*U744+1.0968542297*IF(D744="L",1,0)+0.3771555045*IF(D744="S",1,0)-0.2226159177*IF(E744="L",1,0)+1.21385024*R744-1.1652812274*S744+W744+X744+Z744,10.5965166711+0.2825983581*I744+0.2806503532*J744+0.2027213083*K744+0.1147824982*L744+0.0915305332*M744-0.0088454122*(I744*J744/100)-0.0336045706*(K744*L744/100)+2.8497389733*IF(D744="L",1,0)+4.5116226727*IF(D744="S",1,0)-0.6571546448*IF(E744="L",1,0)+0.0850728147*T744+0.0129488446*(T744*T744)+0.1909373936*IF(OR(F744="Utility",G744="Utility"),T744,0)+0.9656824071*R744-1.7517683256*S744+W744+X744+Y744)</f>
        <v/>
      </c>
      <c r="AB744">
        <f>LOOKUP(AA744,Grade_Scale!$A$2:$A$18,Grade_Scale!$B$2:$B$18)</f>
        <v/>
      </c>
      <c r="AC744">
        <f>LOOKUP(AA744,Grade_Scale!$A$2:$A$18,Grade_Scale!$C$2:$C$18)</f>
        <v/>
      </c>
      <c r="AE744">
        <f>IF(AD744="","",AB744-VLOOKUP(AD744,Grade_Scale!$C$2:$E$18,3,FALSE))</f>
        <v/>
      </c>
    </row>
    <row r="745">
      <c r="Q745">
        <f>IF(OR(B745="SP",B745="RP",B745="CP",B745="SP/RP"),"P","H")</f>
        <v/>
      </c>
      <c r="R745">
        <f>IF(F745="",0,IFNA(VLOOKUP(F745,Trait_Polarity!$A:$C,2,FALSE),0))+IF(G745="",0,IFNA(VLOOKUP(G745,Trait_Polarity!$A:$C,2,FALSE),0))</f>
        <v/>
      </c>
      <c r="S745">
        <f>IF(F745="",0,IFNA(VLOOKUP(F745,Trait_Polarity!$A:$C,3,FALSE),0))+IF(G745="",0,IFNA(VLOOKUP(G745,Trait_Polarity!$A:$C,3,FALSE),0))</f>
        <v/>
      </c>
      <c r="T745">
        <f>IF(Q745="P",0,IFNA(VLOOKUP(IF(C745="","(none)",C745),Secondary_Versatility!$A:$B,2,FALSE),0))</f>
        <v/>
      </c>
      <c r="U745">
        <f>IF(H745="",0,LEN(H745)-LEN(SUBSTITUTE(H745,"|",""))+1)</f>
        <v/>
      </c>
      <c r="V745">
        <f>IF(Q745="P",(N745+O745+P745)/3,0.3*I745+0.3*J745+0.2*K745+0.1*L745+0.1*M745)</f>
        <v/>
      </c>
      <c r="W745">
        <f>IF(Q745="P",IF(F745="",0,IFNA(VLOOKUP(F745,Pitcher_Trait_Coef!$A:$B,2,FALSE),0))+IF(G745="",0,IFNA(VLOOKUP(G745,Pitcher_Trait_Coef!$A:$B,2,FALSE),0)),IF(F745="",0,IFNA(VLOOKUP(F745,Hitter_Trait_Coef!$A:$B,2,FALSE),0))+IF(G745="",0,IFNA(VLOOKUP(G745,Hitter_Trait_Coef!$A:$B,2,FALSE),0)))</f>
        <v/>
      </c>
      <c r="X745">
        <f>IF(Q745="P",IFNA(VLOOKUP(B745,Pitcher_Primary_Coef!$A:$B,2,FALSE),0),IFNA(VLOOKUP(B745,Hitter_Primary_Coef!$A:$B,2,FALSE),0))</f>
        <v/>
      </c>
      <c r="Y745">
        <f>IF(Q745="P",0,IFNA(VLOOKUP(IF(C745="","(none)",C745),Hitter_Secondary_Coef!$A:$B,2,FALSE),0))</f>
        <v/>
      </c>
      <c r="Z745">
        <f>IF(Q745="P",IF(ISNUMBER(SEARCH("2F",H745)),IFNA(VLOOKUP("2F",Pitch_Coef!$A:$B,2,FALSE),0),0)+IF(ISNUMBER(SEARCH("4F",H745)),IFNA(VLOOKUP("4F",Pitch_Coef!$A:$B,2,FALSE),0),0)+IF(ISNUMBER(SEARCH("CB",H745)),IFNA(VLOOKUP("CB",Pitch_Coef!$A:$B,2,FALSE),0),0)+IF(ISNUMBER(SEARCH("CF",H745)),IFNA(VLOOKUP("CF",Pitch_Coef!$A:$B,2,FALSE),0),0)+IF(ISNUMBER(SEARCH("CH",H745)),IFNA(VLOOKUP("CH",Pitch_Coef!$A:$B,2,FALSE),0),0)+IF(ISNUMBER(SEARCH("FK",H745)),IFNA(VLOOKUP("FK",Pitch_Coef!$A:$B,2,FALSE),0),0)+IF(ISNUMBER(SEARCH("SB",H745)),IFNA(VLOOKUP("SB",Pitch_Coef!$A:$B,2,FALSE),0),0)+IF(ISNUMBER(SEARCH("SL",H745)),IFNA(VLOOKUP("SL",Pitch_Coef!$A:$B,2,FALSE),0),0),0)</f>
        <v/>
      </c>
      <c r="AA745">
        <f>IF(Q745="P",16.5944849573+0.2529999141*N745+0.2665900378*O745+0.2632687105*P745+0.0427586837*I745+0.0534777057*J745+0.009015832*K745+0.0204898106*(O745*P745/100)+1.0091022427*U745+1.0968542297*IF(D745="L",1,0)+0.3771555045*IF(D745="S",1,0)-0.2226159177*IF(E745="L",1,0)+1.21385024*R745-1.1652812274*S745+W745+X745+Z745,10.5965166711+0.2825983581*I745+0.2806503532*J745+0.2027213083*K745+0.1147824982*L745+0.0915305332*M745-0.0088454122*(I745*J745/100)-0.0336045706*(K745*L745/100)+2.8497389733*IF(D745="L",1,0)+4.5116226727*IF(D745="S",1,0)-0.6571546448*IF(E745="L",1,0)+0.0850728147*T745+0.0129488446*(T745*T745)+0.1909373936*IF(OR(F745="Utility",G745="Utility"),T745,0)+0.9656824071*R745-1.7517683256*S745+W745+X745+Y745)</f>
        <v/>
      </c>
      <c r="AB745">
        <f>LOOKUP(AA745,Grade_Scale!$A$2:$A$18,Grade_Scale!$B$2:$B$18)</f>
        <v/>
      </c>
      <c r="AC745">
        <f>LOOKUP(AA745,Grade_Scale!$A$2:$A$18,Grade_Scale!$C$2:$C$18)</f>
        <v/>
      </c>
      <c r="AE745">
        <f>IF(AD745="","",AB745-VLOOKUP(AD745,Grade_Scale!$C$2:$E$18,3,FALSE))</f>
        <v/>
      </c>
    </row>
    <row r="746">
      <c r="Q746">
        <f>IF(OR(B746="SP",B746="RP",B746="CP",B746="SP/RP"),"P","H")</f>
        <v/>
      </c>
      <c r="R746">
        <f>IF(F746="",0,IFNA(VLOOKUP(F746,Trait_Polarity!$A:$C,2,FALSE),0))+IF(G746="",0,IFNA(VLOOKUP(G746,Trait_Polarity!$A:$C,2,FALSE),0))</f>
        <v/>
      </c>
      <c r="S746">
        <f>IF(F746="",0,IFNA(VLOOKUP(F746,Trait_Polarity!$A:$C,3,FALSE),0))+IF(G746="",0,IFNA(VLOOKUP(G746,Trait_Polarity!$A:$C,3,FALSE),0))</f>
        <v/>
      </c>
      <c r="T746">
        <f>IF(Q746="P",0,IFNA(VLOOKUP(IF(C746="","(none)",C746),Secondary_Versatility!$A:$B,2,FALSE),0))</f>
        <v/>
      </c>
      <c r="U746">
        <f>IF(H746="",0,LEN(H746)-LEN(SUBSTITUTE(H746,"|",""))+1)</f>
        <v/>
      </c>
      <c r="V746">
        <f>IF(Q746="P",(N746+O746+P746)/3,0.3*I746+0.3*J746+0.2*K746+0.1*L746+0.1*M746)</f>
        <v/>
      </c>
      <c r="W746">
        <f>IF(Q746="P",IF(F746="",0,IFNA(VLOOKUP(F746,Pitcher_Trait_Coef!$A:$B,2,FALSE),0))+IF(G746="",0,IFNA(VLOOKUP(G746,Pitcher_Trait_Coef!$A:$B,2,FALSE),0)),IF(F746="",0,IFNA(VLOOKUP(F746,Hitter_Trait_Coef!$A:$B,2,FALSE),0))+IF(G746="",0,IFNA(VLOOKUP(G746,Hitter_Trait_Coef!$A:$B,2,FALSE),0)))</f>
        <v/>
      </c>
      <c r="X746">
        <f>IF(Q746="P",IFNA(VLOOKUP(B746,Pitcher_Primary_Coef!$A:$B,2,FALSE),0),IFNA(VLOOKUP(B746,Hitter_Primary_Coef!$A:$B,2,FALSE),0))</f>
        <v/>
      </c>
      <c r="Y746">
        <f>IF(Q746="P",0,IFNA(VLOOKUP(IF(C746="","(none)",C746),Hitter_Secondary_Coef!$A:$B,2,FALSE),0))</f>
        <v/>
      </c>
      <c r="Z746">
        <f>IF(Q746="P",IF(ISNUMBER(SEARCH("2F",H746)),IFNA(VLOOKUP("2F",Pitch_Coef!$A:$B,2,FALSE),0),0)+IF(ISNUMBER(SEARCH("4F",H746)),IFNA(VLOOKUP("4F",Pitch_Coef!$A:$B,2,FALSE),0),0)+IF(ISNUMBER(SEARCH("CB",H746)),IFNA(VLOOKUP("CB",Pitch_Coef!$A:$B,2,FALSE),0),0)+IF(ISNUMBER(SEARCH("CF",H746)),IFNA(VLOOKUP("CF",Pitch_Coef!$A:$B,2,FALSE),0),0)+IF(ISNUMBER(SEARCH("CH",H746)),IFNA(VLOOKUP("CH",Pitch_Coef!$A:$B,2,FALSE),0),0)+IF(ISNUMBER(SEARCH("FK",H746)),IFNA(VLOOKUP("FK",Pitch_Coef!$A:$B,2,FALSE),0),0)+IF(ISNUMBER(SEARCH("SB",H746)),IFNA(VLOOKUP("SB",Pitch_Coef!$A:$B,2,FALSE),0),0)+IF(ISNUMBER(SEARCH("SL",H746)),IFNA(VLOOKUP("SL",Pitch_Coef!$A:$B,2,FALSE),0),0),0)</f>
        <v/>
      </c>
      <c r="AA746">
        <f>IF(Q746="P",16.5944849573+0.2529999141*N746+0.2665900378*O746+0.2632687105*P746+0.0427586837*I746+0.0534777057*J746+0.009015832*K746+0.0204898106*(O746*P746/100)+1.0091022427*U746+1.0968542297*IF(D746="L",1,0)+0.3771555045*IF(D746="S",1,0)-0.2226159177*IF(E746="L",1,0)+1.21385024*R746-1.1652812274*S746+W746+X746+Z746,10.5965166711+0.2825983581*I746+0.2806503532*J746+0.2027213083*K746+0.1147824982*L746+0.0915305332*M746-0.0088454122*(I746*J746/100)-0.0336045706*(K746*L746/100)+2.8497389733*IF(D746="L",1,0)+4.5116226727*IF(D746="S",1,0)-0.6571546448*IF(E746="L",1,0)+0.0850728147*T746+0.0129488446*(T746*T746)+0.1909373936*IF(OR(F746="Utility",G746="Utility"),T746,0)+0.9656824071*R746-1.7517683256*S746+W746+X746+Y746)</f>
        <v/>
      </c>
      <c r="AB746">
        <f>LOOKUP(AA746,Grade_Scale!$A$2:$A$18,Grade_Scale!$B$2:$B$18)</f>
        <v/>
      </c>
      <c r="AC746">
        <f>LOOKUP(AA746,Grade_Scale!$A$2:$A$18,Grade_Scale!$C$2:$C$18)</f>
        <v/>
      </c>
      <c r="AE746">
        <f>IF(AD746="","",AB746-VLOOKUP(AD746,Grade_Scale!$C$2:$E$18,3,FALSE))</f>
        <v/>
      </c>
    </row>
    <row r="747">
      <c r="Q747">
        <f>IF(OR(B747="SP",B747="RP",B747="CP",B747="SP/RP"),"P","H")</f>
        <v/>
      </c>
      <c r="R747">
        <f>IF(F747="",0,IFNA(VLOOKUP(F747,Trait_Polarity!$A:$C,2,FALSE),0))+IF(G747="",0,IFNA(VLOOKUP(G747,Trait_Polarity!$A:$C,2,FALSE),0))</f>
        <v/>
      </c>
      <c r="S747">
        <f>IF(F747="",0,IFNA(VLOOKUP(F747,Trait_Polarity!$A:$C,3,FALSE),0))+IF(G747="",0,IFNA(VLOOKUP(G747,Trait_Polarity!$A:$C,3,FALSE),0))</f>
        <v/>
      </c>
      <c r="T747">
        <f>IF(Q747="P",0,IFNA(VLOOKUP(IF(C747="","(none)",C747),Secondary_Versatility!$A:$B,2,FALSE),0))</f>
        <v/>
      </c>
      <c r="U747">
        <f>IF(H747="",0,LEN(H747)-LEN(SUBSTITUTE(H747,"|",""))+1)</f>
        <v/>
      </c>
      <c r="V747">
        <f>IF(Q747="P",(N747+O747+P747)/3,0.3*I747+0.3*J747+0.2*K747+0.1*L747+0.1*M747)</f>
        <v/>
      </c>
      <c r="W747">
        <f>IF(Q747="P",IF(F747="",0,IFNA(VLOOKUP(F747,Pitcher_Trait_Coef!$A:$B,2,FALSE),0))+IF(G747="",0,IFNA(VLOOKUP(G747,Pitcher_Trait_Coef!$A:$B,2,FALSE),0)),IF(F747="",0,IFNA(VLOOKUP(F747,Hitter_Trait_Coef!$A:$B,2,FALSE),0))+IF(G747="",0,IFNA(VLOOKUP(G747,Hitter_Trait_Coef!$A:$B,2,FALSE),0)))</f>
        <v/>
      </c>
      <c r="X747">
        <f>IF(Q747="P",IFNA(VLOOKUP(B747,Pitcher_Primary_Coef!$A:$B,2,FALSE),0),IFNA(VLOOKUP(B747,Hitter_Primary_Coef!$A:$B,2,FALSE),0))</f>
        <v/>
      </c>
      <c r="Y747">
        <f>IF(Q747="P",0,IFNA(VLOOKUP(IF(C747="","(none)",C747),Hitter_Secondary_Coef!$A:$B,2,FALSE),0))</f>
        <v/>
      </c>
      <c r="Z747">
        <f>IF(Q747="P",IF(ISNUMBER(SEARCH("2F",H747)),IFNA(VLOOKUP("2F",Pitch_Coef!$A:$B,2,FALSE),0),0)+IF(ISNUMBER(SEARCH("4F",H747)),IFNA(VLOOKUP("4F",Pitch_Coef!$A:$B,2,FALSE),0),0)+IF(ISNUMBER(SEARCH("CB",H747)),IFNA(VLOOKUP("CB",Pitch_Coef!$A:$B,2,FALSE),0),0)+IF(ISNUMBER(SEARCH("CF",H747)),IFNA(VLOOKUP("CF",Pitch_Coef!$A:$B,2,FALSE),0),0)+IF(ISNUMBER(SEARCH("CH",H747)),IFNA(VLOOKUP("CH",Pitch_Coef!$A:$B,2,FALSE),0),0)+IF(ISNUMBER(SEARCH("FK",H747)),IFNA(VLOOKUP("FK",Pitch_Coef!$A:$B,2,FALSE),0),0)+IF(ISNUMBER(SEARCH("SB",H747)),IFNA(VLOOKUP("SB",Pitch_Coef!$A:$B,2,FALSE),0),0)+IF(ISNUMBER(SEARCH("SL",H747)),IFNA(VLOOKUP("SL",Pitch_Coef!$A:$B,2,FALSE),0),0),0)</f>
        <v/>
      </c>
      <c r="AA747">
        <f>IF(Q747="P",16.5944849573+0.2529999141*N747+0.2665900378*O747+0.2632687105*P747+0.0427586837*I747+0.0534777057*J747+0.009015832*K747+0.0204898106*(O747*P747/100)+1.0091022427*U747+1.0968542297*IF(D747="L",1,0)+0.3771555045*IF(D747="S",1,0)-0.2226159177*IF(E747="L",1,0)+1.21385024*R747-1.1652812274*S747+W747+X747+Z747,10.5965166711+0.2825983581*I747+0.2806503532*J747+0.2027213083*K747+0.1147824982*L747+0.0915305332*M747-0.0088454122*(I747*J747/100)-0.0336045706*(K747*L747/100)+2.8497389733*IF(D747="L",1,0)+4.5116226727*IF(D747="S",1,0)-0.6571546448*IF(E747="L",1,0)+0.0850728147*T747+0.0129488446*(T747*T747)+0.1909373936*IF(OR(F747="Utility",G747="Utility"),T747,0)+0.9656824071*R747-1.7517683256*S747+W747+X747+Y747)</f>
        <v/>
      </c>
      <c r="AB747">
        <f>LOOKUP(AA747,Grade_Scale!$A$2:$A$18,Grade_Scale!$B$2:$B$18)</f>
        <v/>
      </c>
      <c r="AC747">
        <f>LOOKUP(AA747,Grade_Scale!$A$2:$A$18,Grade_Scale!$C$2:$C$18)</f>
        <v/>
      </c>
      <c r="AE747">
        <f>IF(AD747="","",AB747-VLOOKUP(AD747,Grade_Scale!$C$2:$E$18,3,FALSE))</f>
        <v/>
      </c>
    </row>
    <row r="748">
      <c r="Q748">
        <f>IF(OR(B748="SP",B748="RP",B748="CP",B748="SP/RP"),"P","H")</f>
        <v/>
      </c>
      <c r="R748">
        <f>IF(F748="",0,IFNA(VLOOKUP(F748,Trait_Polarity!$A:$C,2,FALSE),0))+IF(G748="",0,IFNA(VLOOKUP(G748,Trait_Polarity!$A:$C,2,FALSE),0))</f>
        <v/>
      </c>
      <c r="S748">
        <f>IF(F748="",0,IFNA(VLOOKUP(F748,Trait_Polarity!$A:$C,3,FALSE),0))+IF(G748="",0,IFNA(VLOOKUP(G748,Trait_Polarity!$A:$C,3,FALSE),0))</f>
        <v/>
      </c>
      <c r="T748">
        <f>IF(Q748="P",0,IFNA(VLOOKUP(IF(C748="","(none)",C748),Secondary_Versatility!$A:$B,2,FALSE),0))</f>
        <v/>
      </c>
      <c r="U748">
        <f>IF(H748="",0,LEN(H748)-LEN(SUBSTITUTE(H748,"|",""))+1)</f>
        <v/>
      </c>
      <c r="V748">
        <f>IF(Q748="P",(N748+O748+P748)/3,0.3*I748+0.3*J748+0.2*K748+0.1*L748+0.1*M748)</f>
        <v/>
      </c>
      <c r="W748">
        <f>IF(Q748="P",IF(F748="",0,IFNA(VLOOKUP(F748,Pitcher_Trait_Coef!$A:$B,2,FALSE),0))+IF(G748="",0,IFNA(VLOOKUP(G748,Pitcher_Trait_Coef!$A:$B,2,FALSE),0)),IF(F748="",0,IFNA(VLOOKUP(F748,Hitter_Trait_Coef!$A:$B,2,FALSE),0))+IF(G748="",0,IFNA(VLOOKUP(G748,Hitter_Trait_Coef!$A:$B,2,FALSE),0)))</f>
        <v/>
      </c>
      <c r="X748">
        <f>IF(Q748="P",IFNA(VLOOKUP(B748,Pitcher_Primary_Coef!$A:$B,2,FALSE),0),IFNA(VLOOKUP(B748,Hitter_Primary_Coef!$A:$B,2,FALSE),0))</f>
        <v/>
      </c>
      <c r="Y748">
        <f>IF(Q748="P",0,IFNA(VLOOKUP(IF(C748="","(none)",C748),Hitter_Secondary_Coef!$A:$B,2,FALSE),0))</f>
        <v/>
      </c>
      <c r="Z748">
        <f>IF(Q748="P",IF(ISNUMBER(SEARCH("2F",H748)),IFNA(VLOOKUP("2F",Pitch_Coef!$A:$B,2,FALSE),0),0)+IF(ISNUMBER(SEARCH("4F",H748)),IFNA(VLOOKUP("4F",Pitch_Coef!$A:$B,2,FALSE),0),0)+IF(ISNUMBER(SEARCH("CB",H748)),IFNA(VLOOKUP("CB",Pitch_Coef!$A:$B,2,FALSE),0),0)+IF(ISNUMBER(SEARCH("CF",H748)),IFNA(VLOOKUP("CF",Pitch_Coef!$A:$B,2,FALSE),0),0)+IF(ISNUMBER(SEARCH("CH",H748)),IFNA(VLOOKUP("CH",Pitch_Coef!$A:$B,2,FALSE),0),0)+IF(ISNUMBER(SEARCH("FK",H748)),IFNA(VLOOKUP("FK",Pitch_Coef!$A:$B,2,FALSE),0),0)+IF(ISNUMBER(SEARCH("SB",H748)),IFNA(VLOOKUP("SB",Pitch_Coef!$A:$B,2,FALSE),0),0)+IF(ISNUMBER(SEARCH("SL",H748)),IFNA(VLOOKUP("SL",Pitch_Coef!$A:$B,2,FALSE),0),0),0)</f>
        <v/>
      </c>
      <c r="AA748">
        <f>IF(Q748="P",16.5944849573+0.2529999141*N748+0.2665900378*O748+0.2632687105*P748+0.0427586837*I748+0.0534777057*J748+0.009015832*K748+0.0204898106*(O748*P748/100)+1.0091022427*U748+1.0968542297*IF(D748="L",1,0)+0.3771555045*IF(D748="S",1,0)-0.2226159177*IF(E748="L",1,0)+1.21385024*R748-1.1652812274*S748+W748+X748+Z748,10.5965166711+0.2825983581*I748+0.2806503532*J748+0.2027213083*K748+0.1147824982*L748+0.0915305332*M748-0.0088454122*(I748*J748/100)-0.0336045706*(K748*L748/100)+2.8497389733*IF(D748="L",1,0)+4.5116226727*IF(D748="S",1,0)-0.6571546448*IF(E748="L",1,0)+0.0850728147*T748+0.0129488446*(T748*T748)+0.1909373936*IF(OR(F748="Utility",G748="Utility"),T748,0)+0.9656824071*R748-1.7517683256*S748+W748+X748+Y748)</f>
        <v/>
      </c>
      <c r="AB748">
        <f>LOOKUP(AA748,Grade_Scale!$A$2:$A$18,Grade_Scale!$B$2:$B$18)</f>
        <v/>
      </c>
      <c r="AC748">
        <f>LOOKUP(AA748,Grade_Scale!$A$2:$A$18,Grade_Scale!$C$2:$C$18)</f>
        <v/>
      </c>
      <c r="AE748">
        <f>IF(AD748="","",AB748-VLOOKUP(AD748,Grade_Scale!$C$2:$E$18,3,FALSE))</f>
        <v/>
      </c>
    </row>
    <row r="749">
      <c r="Q749">
        <f>IF(OR(B749="SP",B749="RP",B749="CP",B749="SP/RP"),"P","H")</f>
        <v/>
      </c>
      <c r="R749">
        <f>IF(F749="",0,IFNA(VLOOKUP(F749,Trait_Polarity!$A:$C,2,FALSE),0))+IF(G749="",0,IFNA(VLOOKUP(G749,Trait_Polarity!$A:$C,2,FALSE),0))</f>
        <v/>
      </c>
      <c r="S749">
        <f>IF(F749="",0,IFNA(VLOOKUP(F749,Trait_Polarity!$A:$C,3,FALSE),0))+IF(G749="",0,IFNA(VLOOKUP(G749,Trait_Polarity!$A:$C,3,FALSE),0))</f>
        <v/>
      </c>
      <c r="T749">
        <f>IF(Q749="P",0,IFNA(VLOOKUP(IF(C749="","(none)",C749),Secondary_Versatility!$A:$B,2,FALSE),0))</f>
        <v/>
      </c>
      <c r="U749">
        <f>IF(H749="",0,LEN(H749)-LEN(SUBSTITUTE(H749,"|",""))+1)</f>
        <v/>
      </c>
      <c r="V749">
        <f>IF(Q749="P",(N749+O749+P749)/3,0.3*I749+0.3*J749+0.2*K749+0.1*L749+0.1*M749)</f>
        <v/>
      </c>
      <c r="W749">
        <f>IF(Q749="P",IF(F749="",0,IFNA(VLOOKUP(F749,Pitcher_Trait_Coef!$A:$B,2,FALSE),0))+IF(G749="",0,IFNA(VLOOKUP(G749,Pitcher_Trait_Coef!$A:$B,2,FALSE),0)),IF(F749="",0,IFNA(VLOOKUP(F749,Hitter_Trait_Coef!$A:$B,2,FALSE),0))+IF(G749="",0,IFNA(VLOOKUP(G749,Hitter_Trait_Coef!$A:$B,2,FALSE),0)))</f>
        <v/>
      </c>
      <c r="X749">
        <f>IF(Q749="P",IFNA(VLOOKUP(B749,Pitcher_Primary_Coef!$A:$B,2,FALSE),0),IFNA(VLOOKUP(B749,Hitter_Primary_Coef!$A:$B,2,FALSE),0))</f>
        <v/>
      </c>
      <c r="Y749">
        <f>IF(Q749="P",0,IFNA(VLOOKUP(IF(C749="","(none)",C749),Hitter_Secondary_Coef!$A:$B,2,FALSE),0))</f>
        <v/>
      </c>
      <c r="Z749">
        <f>IF(Q749="P",IF(ISNUMBER(SEARCH("2F",H749)),IFNA(VLOOKUP("2F",Pitch_Coef!$A:$B,2,FALSE),0),0)+IF(ISNUMBER(SEARCH("4F",H749)),IFNA(VLOOKUP("4F",Pitch_Coef!$A:$B,2,FALSE),0),0)+IF(ISNUMBER(SEARCH("CB",H749)),IFNA(VLOOKUP("CB",Pitch_Coef!$A:$B,2,FALSE),0),0)+IF(ISNUMBER(SEARCH("CF",H749)),IFNA(VLOOKUP("CF",Pitch_Coef!$A:$B,2,FALSE),0),0)+IF(ISNUMBER(SEARCH("CH",H749)),IFNA(VLOOKUP("CH",Pitch_Coef!$A:$B,2,FALSE),0),0)+IF(ISNUMBER(SEARCH("FK",H749)),IFNA(VLOOKUP("FK",Pitch_Coef!$A:$B,2,FALSE),0),0)+IF(ISNUMBER(SEARCH("SB",H749)),IFNA(VLOOKUP("SB",Pitch_Coef!$A:$B,2,FALSE),0),0)+IF(ISNUMBER(SEARCH("SL",H749)),IFNA(VLOOKUP("SL",Pitch_Coef!$A:$B,2,FALSE),0),0),0)</f>
        <v/>
      </c>
      <c r="AA749">
        <f>IF(Q749="P",16.5944849573+0.2529999141*N749+0.2665900378*O749+0.2632687105*P749+0.0427586837*I749+0.0534777057*J749+0.009015832*K749+0.0204898106*(O749*P749/100)+1.0091022427*U749+1.0968542297*IF(D749="L",1,0)+0.3771555045*IF(D749="S",1,0)-0.2226159177*IF(E749="L",1,0)+1.21385024*R749-1.1652812274*S749+W749+X749+Z749,10.5965166711+0.2825983581*I749+0.2806503532*J749+0.2027213083*K749+0.1147824982*L749+0.0915305332*M749-0.0088454122*(I749*J749/100)-0.0336045706*(K749*L749/100)+2.8497389733*IF(D749="L",1,0)+4.5116226727*IF(D749="S",1,0)-0.6571546448*IF(E749="L",1,0)+0.0850728147*T749+0.0129488446*(T749*T749)+0.1909373936*IF(OR(F749="Utility",G749="Utility"),T749,0)+0.9656824071*R749-1.7517683256*S749+W749+X749+Y749)</f>
        <v/>
      </c>
      <c r="AB749">
        <f>LOOKUP(AA749,Grade_Scale!$A$2:$A$18,Grade_Scale!$B$2:$B$18)</f>
        <v/>
      </c>
      <c r="AC749">
        <f>LOOKUP(AA749,Grade_Scale!$A$2:$A$18,Grade_Scale!$C$2:$C$18)</f>
        <v/>
      </c>
      <c r="AE749">
        <f>IF(AD749="","",AB749-VLOOKUP(AD749,Grade_Scale!$C$2:$E$18,3,FALSE))</f>
        <v/>
      </c>
    </row>
    <row r="750">
      <c r="Q750">
        <f>IF(OR(B750="SP",B750="RP",B750="CP",B750="SP/RP"),"P","H")</f>
        <v/>
      </c>
      <c r="R750">
        <f>IF(F750="",0,IFNA(VLOOKUP(F750,Trait_Polarity!$A:$C,2,FALSE),0))+IF(G750="",0,IFNA(VLOOKUP(G750,Trait_Polarity!$A:$C,2,FALSE),0))</f>
        <v/>
      </c>
      <c r="S750">
        <f>IF(F750="",0,IFNA(VLOOKUP(F750,Trait_Polarity!$A:$C,3,FALSE),0))+IF(G750="",0,IFNA(VLOOKUP(G750,Trait_Polarity!$A:$C,3,FALSE),0))</f>
        <v/>
      </c>
      <c r="T750">
        <f>IF(Q750="P",0,IFNA(VLOOKUP(IF(C750="","(none)",C750),Secondary_Versatility!$A:$B,2,FALSE),0))</f>
        <v/>
      </c>
      <c r="U750">
        <f>IF(H750="",0,LEN(H750)-LEN(SUBSTITUTE(H750,"|",""))+1)</f>
        <v/>
      </c>
      <c r="V750">
        <f>IF(Q750="P",(N750+O750+P750)/3,0.3*I750+0.3*J750+0.2*K750+0.1*L750+0.1*M750)</f>
        <v/>
      </c>
      <c r="W750">
        <f>IF(Q750="P",IF(F750="",0,IFNA(VLOOKUP(F750,Pitcher_Trait_Coef!$A:$B,2,FALSE),0))+IF(G750="",0,IFNA(VLOOKUP(G750,Pitcher_Trait_Coef!$A:$B,2,FALSE),0)),IF(F750="",0,IFNA(VLOOKUP(F750,Hitter_Trait_Coef!$A:$B,2,FALSE),0))+IF(G750="",0,IFNA(VLOOKUP(G750,Hitter_Trait_Coef!$A:$B,2,FALSE),0)))</f>
        <v/>
      </c>
      <c r="X750">
        <f>IF(Q750="P",IFNA(VLOOKUP(B750,Pitcher_Primary_Coef!$A:$B,2,FALSE),0),IFNA(VLOOKUP(B750,Hitter_Primary_Coef!$A:$B,2,FALSE),0))</f>
        <v/>
      </c>
      <c r="Y750">
        <f>IF(Q750="P",0,IFNA(VLOOKUP(IF(C750="","(none)",C750),Hitter_Secondary_Coef!$A:$B,2,FALSE),0))</f>
        <v/>
      </c>
      <c r="Z750">
        <f>IF(Q750="P",IF(ISNUMBER(SEARCH("2F",H750)),IFNA(VLOOKUP("2F",Pitch_Coef!$A:$B,2,FALSE),0),0)+IF(ISNUMBER(SEARCH("4F",H750)),IFNA(VLOOKUP("4F",Pitch_Coef!$A:$B,2,FALSE),0),0)+IF(ISNUMBER(SEARCH("CB",H750)),IFNA(VLOOKUP("CB",Pitch_Coef!$A:$B,2,FALSE),0),0)+IF(ISNUMBER(SEARCH("CF",H750)),IFNA(VLOOKUP("CF",Pitch_Coef!$A:$B,2,FALSE),0),0)+IF(ISNUMBER(SEARCH("CH",H750)),IFNA(VLOOKUP("CH",Pitch_Coef!$A:$B,2,FALSE),0),0)+IF(ISNUMBER(SEARCH("FK",H750)),IFNA(VLOOKUP("FK",Pitch_Coef!$A:$B,2,FALSE),0),0)+IF(ISNUMBER(SEARCH("SB",H750)),IFNA(VLOOKUP("SB",Pitch_Coef!$A:$B,2,FALSE),0),0)+IF(ISNUMBER(SEARCH("SL",H750)),IFNA(VLOOKUP("SL",Pitch_Coef!$A:$B,2,FALSE),0),0),0)</f>
        <v/>
      </c>
      <c r="AA750">
        <f>IF(Q750="P",16.5944849573+0.2529999141*N750+0.2665900378*O750+0.2632687105*P750+0.0427586837*I750+0.0534777057*J750+0.009015832*K750+0.0204898106*(O750*P750/100)+1.0091022427*U750+1.0968542297*IF(D750="L",1,0)+0.3771555045*IF(D750="S",1,0)-0.2226159177*IF(E750="L",1,0)+1.21385024*R750-1.1652812274*S750+W750+X750+Z750,10.5965166711+0.2825983581*I750+0.2806503532*J750+0.2027213083*K750+0.1147824982*L750+0.0915305332*M750-0.0088454122*(I750*J750/100)-0.0336045706*(K750*L750/100)+2.8497389733*IF(D750="L",1,0)+4.5116226727*IF(D750="S",1,0)-0.6571546448*IF(E750="L",1,0)+0.0850728147*T750+0.0129488446*(T750*T750)+0.1909373936*IF(OR(F750="Utility",G750="Utility"),T750,0)+0.9656824071*R750-1.7517683256*S750+W750+X750+Y750)</f>
        <v/>
      </c>
      <c r="AB750">
        <f>LOOKUP(AA750,Grade_Scale!$A$2:$A$18,Grade_Scale!$B$2:$B$18)</f>
        <v/>
      </c>
      <c r="AC750">
        <f>LOOKUP(AA750,Grade_Scale!$A$2:$A$18,Grade_Scale!$C$2:$C$18)</f>
        <v/>
      </c>
      <c r="AE750">
        <f>IF(AD750="","",AB750-VLOOKUP(AD750,Grade_Scale!$C$2:$E$18,3,FALSE))</f>
        <v/>
      </c>
    </row>
    <row r="751">
      <c r="Q751">
        <f>IF(OR(B751="SP",B751="RP",B751="CP",B751="SP/RP"),"P","H")</f>
        <v/>
      </c>
      <c r="R751">
        <f>IF(F751="",0,IFNA(VLOOKUP(F751,Trait_Polarity!$A:$C,2,FALSE),0))+IF(G751="",0,IFNA(VLOOKUP(G751,Trait_Polarity!$A:$C,2,FALSE),0))</f>
        <v/>
      </c>
      <c r="S751">
        <f>IF(F751="",0,IFNA(VLOOKUP(F751,Trait_Polarity!$A:$C,3,FALSE),0))+IF(G751="",0,IFNA(VLOOKUP(G751,Trait_Polarity!$A:$C,3,FALSE),0))</f>
        <v/>
      </c>
      <c r="T751">
        <f>IF(Q751="P",0,IFNA(VLOOKUP(IF(C751="","(none)",C751),Secondary_Versatility!$A:$B,2,FALSE),0))</f>
        <v/>
      </c>
      <c r="U751">
        <f>IF(H751="",0,LEN(H751)-LEN(SUBSTITUTE(H751,"|",""))+1)</f>
        <v/>
      </c>
      <c r="V751">
        <f>IF(Q751="P",(N751+O751+P751)/3,0.3*I751+0.3*J751+0.2*K751+0.1*L751+0.1*M751)</f>
        <v/>
      </c>
      <c r="W751">
        <f>IF(Q751="P",IF(F751="",0,IFNA(VLOOKUP(F751,Pitcher_Trait_Coef!$A:$B,2,FALSE),0))+IF(G751="",0,IFNA(VLOOKUP(G751,Pitcher_Trait_Coef!$A:$B,2,FALSE),0)),IF(F751="",0,IFNA(VLOOKUP(F751,Hitter_Trait_Coef!$A:$B,2,FALSE),0))+IF(G751="",0,IFNA(VLOOKUP(G751,Hitter_Trait_Coef!$A:$B,2,FALSE),0)))</f>
        <v/>
      </c>
      <c r="X751">
        <f>IF(Q751="P",IFNA(VLOOKUP(B751,Pitcher_Primary_Coef!$A:$B,2,FALSE),0),IFNA(VLOOKUP(B751,Hitter_Primary_Coef!$A:$B,2,FALSE),0))</f>
        <v/>
      </c>
      <c r="Y751">
        <f>IF(Q751="P",0,IFNA(VLOOKUP(IF(C751="","(none)",C751),Hitter_Secondary_Coef!$A:$B,2,FALSE),0))</f>
        <v/>
      </c>
      <c r="Z751">
        <f>IF(Q751="P",IF(ISNUMBER(SEARCH("2F",H751)),IFNA(VLOOKUP("2F",Pitch_Coef!$A:$B,2,FALSE),0),0)+IF(ISNUMBER(SEARCH("4F",H751)),IFNA(VLOOKUP("4F",Pitch_Coef!$A:$B,2,FALSE),0),0)+IF(ISNUMBER(SEARCH("CB",H751)),IFNA(VLOOKUP("CB",Pitch_Coef!$A:$B,2,FALSE),0),0)+IF(ISNUMBER(SEARCH("CF",H751)),IFNA(VLOOKUP("CF",Pitch_Coef!$A:$B,2,FALSE),0),0)+IF(ISNUMBER(SEARCH("CH",H751)),IFNA(VLOOKUP("CH",Pitch_Coef!$A:$B,2,FALSE),0),0)+IF(ISNUMBER(SEARCH("FK",H751)),IFNA(VLOOKUP("FK",Pitch_Coef!$A:$B,2,FALSE),0),0)+IF(ISNUMBER(SEARCH("SB",H751)),IFNA(VLOOKUP("SB",Pitch_Coef!$A:$B,2,FALSE),0),0)+IF(ISNUMBER(SEARCH("SL",H751)),IFNA(VLOOKUP("SL",Pitch_Coef!$A:$B,2,FALSE),0),0),0)</f>
        <v/>
      </c>
      <c r="AA751">
        <f>IF(Q751="P",16.5944849573+0.2529999141*N751+0.2665900378*O751+0.2632687105*P751+0.0427586837*I751+0.0534777057*J751+0.009015832*K751+0.0204898106*(O751*P751/100)+1.0091022427*U751+1.0968542297*IF(D751="L",1,0)+0.3771555045*IF(D751="S",1,0)-0.2226159177*IF(E751="L",1,0)+1.21385024*R751-1.1652812274*S751+W751+X751+Z751,10.5965166711+0.2825983581*I751+0.2806503532*J751+0.2027213083*K751+0.1147824982*L751+0.0915305332*M751-0.0088454122*(I751*J751/100)-0.0336045706*(K751*L751/100)+2.8497389733*IF(D751="L",1,0)+4.5116226727*IF(D751="S",1,0)-0.6571546448*IF(E751="L",1,0)+0.0850728147*T751+0.0129488446*(T751*T751)+0.1909373936*IF(OR(F751="Utility",G751="Utility"),T751,0)+0.9656824071*R751-1.7517683256*S751+W751+X751+Y751)</f>
        <v/>
      </c>
      <c r="AB751">
        <f>LOOKUP(AA751,Grade_Scale!$A$2:$A$18,Grade_Scale!$B$2:$B$18)</f>
        <v/>
      </c>
      <c r="AC751">
        <f>LOOKUP(AA751,Grade_Scale!$A$2:$A$18,Grade_Scale!$C$2:$C$18)</f>
        <v/>
      </c>
      <c r="AE751">
        <f>IF(AD751="","",AB751-VLOOKUP(AD751,Grade_Scale!$C$2:$E$18,3,FALSE))</f>
        <v/>
      </c>
    </row>
    <row r="752">
      <c r="Q752">
        <f>IF(OR(B752="SP",B752="RP",B752="CP",B752="SP/RP"),"P","H")</f>
        <v/>
      </c>
      <c r="R752">
        <f>IF(F752="",0,IFNA(VLOOKUP(F752,Trait_Polarity!$A:$C,2,FALSE),0))+IF(G752="",0,IFNA(VLOOKUP(G752,Trait_Polarity!$A:$C,2,FALSE),0))</f>
        <v/>
      </c>
      <c r="S752">
        <f>IF(F752="",0,IFNA(VLOOKUP(F752,Trait_Polarity!$A:$C,3,FALSE),0))+IF(G752="",0,IFNA(VLOOKUP(G752,Trait_Polarity!$A:$C,3,FALSE),0))</f>
        <v/>
      </c>
      <c r="T752">
        <f>IF(Q752="P",0,IFNA(VLOOKUP(IF(C752="","(none)",C752),Secondary_Versatility!$A:$B,2,FALSE),0))</f>
        <v/>
      </c>
      <c r="U752">
        <f>IF(H752="",0,LEN(H752)-LEN(SUBSTITUTE(H752,"|",""))+1)</f>
        <v/>
      </c>
      <c r="V752">
        <f>IF(Q752="P",(N752+O752+P752)/3,0.3*I752+0.3*J752+0.2*K752+0.1*L752+0.1*M752)</f>
        <v/>
      </c>
      <c r="W752">
        <f>IF(Q752="P",IF(F752="",0,IFNA(VLOOKUP(F752,Pitcher_Trait_Coef!$A:$B,2,FALSE),0))+IF(G752="",0,IFNA(VLOOKUP(G752,Pitcher_Trait_Coef!$A:$B,2,FALSE),0)),IF(F752="",0,IFNA(VLOOKUP(F752,Hitter_Trait_Coef!$A:$B,2,FALSE),0))+IF(G752="",0,IFNA(VLOOKUP(G752,Hitter_Trait_Coef!$A:$B,2,FALSE),0)))</f>
        <v/>
      </c>
      <c r="X752">
        <f>IF(Q752="P",IFNA(VLOOKUP(B752,Pitcher_Primary_Coef!$A:$B,2,FALSE),0),IFNA(VLOOKUP(B752,Hitter_Primary_Coef!$A:$B,2,FALSE),0))</f>
        <v/>
      </c>
      <c r="Y752">
        <f>IF(Q752="P",0,IFNA(VLOOKUP(IF(C752="","(none)",C752),Hitter_Secondary_Coef!$A:$B,2,FALSE),0))</f>
        <v/>
      </c>
      <c r="Z752">
        <f>IF(Q752="P",IF(ISNUMBER(SEARCH("2F",H752)),IFNA(VLOOKUP("2F",Pitch_Coef!$A:$B,2,FALSE),0),0)+IF(ISNUMBER(SEARCH("4F",H752)),IFNA(VLOOKUP("4F",Pitch_Coef!$A:$B,2,FALSE),0),0)+IF(ISNUMBER(SEARCH("CB",H752)),IFNA(VLOOKUP("CB",Pitch_Coef!$A:$B,2,FALSE),0),0)+IF(ISNUMBER(SEARCH("CF",H752)),IFNA(VLOOKUP("CF",Pitch_Coef!$A:$B,2,FALSE),0),0)+IF(ISNUMBER(SEARCH("CH",H752)),IFNA(VLOOKUP("CH",Pitch_Coef!$A:$B,2,FALSE),0),0)+IF(ISNUMBER(SEARCH("FK",H752)),IFNA(VLOOKUP("FK",Pitch_Coef!$A:$B,2,FALSE),0),0)+IF(ISNUMBER(SEARCH("SB",H752)),IFNA(VLOOKUP("SB",Pitch_Coef!$A:$B,2,FALSE),0),0)+IF(ISNUMBER(SEARCH("SL",H752)),IFNA(VLOOKUP("SL",Pitch_Coef!$A:$B,2,FALSE),0),0),0)</f>
        <v/>
      </c>
      <c r="AA752">
        <f>IF(Q752="P",16.5944849573+0.2529999141*N752+0.2665900378*O752+0.2632687105*P752+0.0427586837*I752+0.0534777057*J752+0.009015832*K752+0.0204898106*(O752*P752/100)+1.0091022427*U752+1.0968542297*IF(D752="L",1,0)+0.3771555045*IF(D752="S",1,0)-0.2226159177*IF(E752="L",1,0)+1.21385024*R752-1.1652812274*S752+W752+X752+Z752,10.5965166711+0.2825983581*I752+0.2806503532*J752+0.2027213083*K752+0.1147824982*L752+0.0915305332*M752-0.0088454122*(I752*J752/100)-0.0336045706*(K752*L752/100)+2.8497389733*IF(D752="L",1,0)+4.5116226727*IF(D752="S",1,0)-0.6571546448*IF(E752="L",1,0)+0.0850728147*T752+0.0129488446*(T752*T752)+0.1909373936*IF(OR(F752="Utility",G752="Utility"),T752,0)+0.9656824071*R752-1.7517683256*S752+W752+X752+Y752)</f>
        <v/>
      </c>
      <c r="AB752">
        <f>LOOKUP(AA752,Grade_Scale!$A$2:$A$18,Grade_Scale!$B$2:$B$18)</f>
        <v/>
      </c>
      <c r="AC752">
        <f>LOOKUP(AA752,Grade_Scale!$A$2:$A$18,Grade_Scale!$C$2:$C$18)</f>
        <v/>
      </c>
      <c r="AE752">
        <f>IF(AD752="","",AB752-VLOOKUP(AD752,Grade_Scale!$C$2:$E$18,3,FALSE))</f>
        <v/>
      </c>
    </row>
    <row r="753">
      <c r="Q753">
        <f>IF(OR(B753="SP",B753="RP",B753="CP",B753="SP/RP"),"P","H")</f>
        <v/>
      </c>
      <c r="R753">
        <f>IF(F753="",0,IFNA(VLOOKUP(F753,Trait_Polarity!$A:$C,2,FALSE),0))+IF(G753="",0,IFNA(VLOOKUP(G753,Trait_Polarity!$A:$C,2,FALSE),0))</f>
        <v/>
      </c>
      <c r="S753">
        <f>IF(F753="",0,IFNA(VLOOKUP(F753,Trait_Polarity!$A:$C,3,FALSE),0))+IF(G753="",0,IFNA(VLOOKUP(G753,Trait_Polarity!$A:$C,3,FALSE),0))</f>
        <v/>
      </c>
      <c r="T753">
        <f>IF(Q753="P",0,IFNA(VLOOKUP(IF(C753="","(none)",C753),Secondary_Versatility!$A:$B,2,FALSE),0))</f>
        <v/>
      </c>
      <c r="U753">
        <f>IF(H753="",0,LEN(H753)-LEN(SUBSTITUTE(H753,"|",""))+1)</f>
        <v/>
      </c>
      <c r="V753">
        <f>IF(Q753="P",(N753+O753+P753)/3,0.3*I753+0.3*J753+0.2*K753+0.1*L753+0.1*M753)</f>
        <v/>
      </c>
      <c r="W753">
        <f>IF(Q753="P",IF(F753="",0,IFNA(VLOOKUP(F753,Pitcher_Trait_Coef!$A:$B,2,FALSE),0))+IF(G753="",0,IFNA(VLOOKUP(G753,Pitcher_Trait_Coef!$A:$B,2,FALSE),0)),IF(F753="",0,IFNA(VLOOKUP(F753,Hitter_Trait_Coef!$A:$B,2,FALSE),0))+IF(G753="",0,IFNA(VLOOKUP(G753,Hitter_Trait_Coef!$A:$B,2,FALSE),0)))</f>
        <v/>
      </c>
      <c r="X753">
        <f>IF(Q753="P",IFNA(VLOOKUP(B753,Pitcher_Primary_Coef!$A:$B,2,FALSE),0),IFNA(VLOOKUP(B753,Hitter_Primary_Coef!$A:$B,2,FALSE),0))</f>
        <v/>
      </c>
      <c r="Y753">
        <f>IF(Q753="P",0,IFNA(VLOOKUP(IF(C753="","(none)",C753),Hitter_Secondary_Coef!$A:$B,2,FALSE),0))</f>
        <v/>
      </c>
      <c r="Z753">
        <f>IF(Q753="P",IF(ISNUMBER(SEARCH("2F",H753)),IFNA(VLOOKUP("2F",Pitch_Coef!$A:$B,2,FALSE),0),0)+IF(ISNUMBER(SEARCH("4F",H753)),IFNA(VLOOKUP("4F",Pitch_Coef!$A:$B,2,FALSE),0),0)+IF(ISNUMBER(SEARCH("CB",H753)),IFNA(VLOOKUP("CB",Pitch_Coef!$A:$B,2,FALSE),0),0)+IF(ISNUMBER(SEARCH("CF",H753)),IFNA(VLOOKUP("CF",Pitch_Coef!$A:$B,2,FALSE),0),0)+IF(ISNUMBER(SEARCH("CH",H753)),IFNA(VLOOKUP("CH",Pitch_Coef!$A:$B,2,FALSE),0),0)+IF(ISNUMBER(SEARCH("FK",H753)),IFNA(VLOOKUP("FK",Pitch_Coef!$A:$B,2,FALSE),0),0)+IF(ISNUMBER(SEARCH("SB",H753)),IFNA(VLOOKUP("SB",Pitch_Coef!$A:$B,2,FALSE),0),0)+IF(ISNUMBER(SEARCH("SL",H753)),IFNA(VLOOKUP("SL",Pitch_Coef!$A:$B,2,FALSE),0),0),0)</f>
        <v/>
      </c>
      <c r="AA753">
        <f>IF(Q753="P",16.5944849573+0.2529999141*N753+0.2665900378*O753+0.2632687105*P753+0.0427586837*I753+0.0534777057*J753+0.009015832*K753+0.0204898106*(O753*P753/100)+1.0091022427*U753+1.0968542297*IF(D753="L",1,0)+0.3771555045*IF(D753="S",1,0)-0.2226159177*IF(E753="L",1,0)+1.21385024*R753-1.1652812274*S753+W753+X753+Z753,10.5965166711+0.2825983581*I753+0.2806503532*J753+0.2027213083*K753+0.1147824982*L753+0.0915305332*M753-0.0088454122*(I753*J753/100)-0.0336045706*(K753*L753/100)+2.8497389733*IF(D753="L",1,0)+4.5116226727*IF(D753="S",1,0)-0.6571546448*IF(E753="L",1,0)+0.0850728147*T753+0.0129488446*(T753*T753)+0.1909373936*IF(OR(F753="Utility",G753="Utility"),T753,0)+0.9656824071*R753-1.7517683256*S753+W753+X753+Y753)</f>
        <v/>
      </c>
      <c r="AB753">
        <f>LOOKUP(AA753,Grade_Scale!$A$2:$A$18,Grade_Scale!$B$2:$B$18)</f>
        <v/>
      </c>
      <c r="AC753">
        <f>LOOKUP(AA753,Grade_Scale!$A$2:$A$18,Grade_Scale!$C$2:$C$18)</f>
        <v/>
      </c>
      <c r="AE753">
        <f>IF(AD753="","",AB753-VLOOKUP(AD753,Grade_Scale!$C$2:$E$18,3,FALSE))</f>
        <v/>
      </c>
    </row>
    <row r="754">
      <c r="Q754">
        <f>IF(OR(B754="SP",B754="RP",B754="CP",B754="SP/RP"),"P","H")</f>
        <v/>
      </c>
      <c r="R754">
        <f>IF(F754="",0,IFNA(VLOOKUP(F754,Trait_Polarity!$A:$C,2,FALSE),0))+IF(G754="",0,IFNA(VLOOKUP(G754,Trait_Polarity!$A:$C,2,FALSE),0))</f>
        <v/>
      </c>
      <c r="S754">
        <f>IF(F754="",0,IFNA(VLOOKUP(F754,Trait_Polarity!$A:$C,3,FALSE),0))+IF(G754="",0,IFNA(VLOOKUP(G754,Trait_Polarity!$A:$C,3,FALSE),0))</f>
        <v/>
      </c>
      <c r="T754">
        <f>IF(Q754="P",0,IFNA(VLOOKUP(IF(C754="","(none)",C754),Secondary_Versatility!$A:$B,2,FALSE),0))</f>
        <v/>
      </c>
      <c r="U754">
        <f>IF(H754="",0,LEN(H754)-LEN(SUBSTITUTE(H754,"|",""))+1)</f>
        <v/>
      </c>
      <c r="V754">
        <f>IF(Q754="P",(N754+O754+P754)/3,0.3*I754+0.3*J754+0.2*K754+0.1*L754+0.1*M754)</f>
        <v/>
      </c>
      <c r="W754">
        <f>IF(Q754="P",IF(F754="",0,IFNA(VLOOKUP(F754,Pitcher_Trait_Coef!$A:$B,2,FALSE),0))+IF(G754="",0,IFNA(VLOOKUP(G754,Pitcher_Trait_Coef!$A:$B,2,FALSE),0)),IF(F754="",0,IFNA(VLOOKUP(F754,Hitter_Trait_Coef!$A:$B,2,FALSE),0))+IF(G754="",0,IFNA(VLOOKUP(G754,Hitter_Trait_Coef!$A:$B,2,FALSE),0)))</f>
        <v/>
      </c>
      <c r="X754">
        <f>IF(Q754="P",IFNA(VLOOKUP(B754,Pitcher_Primary_Coef!$A:$B,2,FALSE),0),IFNA(VLOOKUP(B754,Hitter_Primary_Coef!$A:$B,2,FALSE),0))</f>
        <v/>
      </c>
      <c r="Y754">
        <f>IF(Q754="P",0,IFNA(VLOOKUP(IF(C754="","(none)",C754),Hitter_Secondary_Coef!$A:$B,2,FALSE),0))</f>
        <v/>
      </c>
      <c r="Z754">
        <f>IF(Q754="P",IF(ISNUMBER(SEARCH("2F",H754)),IFNA(VLOOKUP("2F",Pitch_Coef!$A:$B,2,FALSE),0),0)+IF(ISNUMBER(SEARCH("4F",H754)),IFNA(VLOOKUP("4F",Pitch_Coef!$A:$B,2,FALSE),0),0)+IF(ISNUMBER(SEARCH("CB",H754)),IFNA(VLOOKUP("CB",Pitch_Coef!$A:$B,2,FALSE),0),0)+IF(ISNUMBER(SEARCH("CF",H754)),IFNA(VLOOKUP("CF",Pitch_Coef!$A:$B,2,FALSE),0),0)+IF(ISNUMBER(SEARCH("CH",H754)),IFNA(VLOOKUP("CH",Pitch_Coef!$A:$B,2,FALSE),0),0)+IF(ISNUMBER(SEARCH("FK",H754)),IFNA(VLOOKUP("FK",Pitch_Coef!$A:$B,2,FALSE),0),0)+IF(ISNUMBER(SEARCH("SB",H754)),IFNA(VLOOKUP("SB",Pitch_Coef!$A:$B,2,FALSE),0),0)+IF(ISNUMBER(SEARCH("SL",H754)),IFNA(VLOOKUP("SL",Pitch_Coef!$A:$B,2,FALSE),0),0),0)</f>
        <v/>
      </c>
      <c r="AA754">
        <f>IF(Q754="P",16.5944849573+0.2529999141*N754+0.2665900378*O754+0.2632687105*P754+0.0427586837*I754+0.0534777057*J754+0.009015832*K754+0.0204898106*(O754*P754/100)+1.0091022427*U754+1.0968542297*IF(D754="L",1,0)+0.3771555045*IF(D754="S",1,0)-0.2226159177*IF(E754="L",1,0)+1.21385024*R754-1.1652812274*S754+W754+X754+Z754,10.5965166711+0.2825983581*I754+0.2806503532*J754+0.2027213083*K754+0.1147824982*L754+0.0915305332*M754-0.0088454122*(I754*J754/100)-0.0336045706*(K754*L754/100)+2.8497389733*IF(D754="L",1,0)+4.5116226727*IF(D754="S",1,0)-0.6571546448*IF(E754="L",1,0)+0.0850728147*T754+0.0129488446*(T754*T754)+0.1909373936*IF(OR(F754="Utility",G754="Utility"),T754,0)+0.9656824071*R754-1.7517683256*S754+W754+X754+Y754)</f>
        <v/>
      </c>
      <c r="AB754">
        <f>LOOKUP(AA754,Grade_Scale!$A$2:$A$18,Grade_Scale!$B$2:$B$18)</f>
        <v/>
      </c>
      <c r="AC754">
        <f>LOOKUP(AA754,Grade_Scale!$A$2:$A$18,Grade_Scale!$C$2:$C$18)</f>
        <v/>
      </c>
      <c r="AE754">
        <f>IF(AD754="","",AB754-VLOOKUP(AD754,Grade_Scale!$C$2:$E$18,3,FALSE))</f>
        <v/>
      </c>
    </row>
    <row r="755">
      <c r="Q755">
        <f>IF(OR(B755="SP",B755="RP",B755="CP",B755="SP/RP"),"P","H")</f>
        <v/>
      </c>
      <c r="R755">
        <f>IF(F755="",0,IFNA(VLOOKUP(F755,Trait_Polarity!$A:$C,2,FALSE),0))+IF(G755="",0,IFNA(VLOOKUP(G755,Trait_Polarity!$A:$C,2,FALSE),0))</f>
        <v/>
      </c>
      <c r="S755">
        <f>IF(F755="",0,IFNA(VLOOKUP(F755,Trait_Polarity!$A:$C,3,FALSE),0))+IF(G755="",0,IFNA(VLOOKUP(G755,Trait_Polarity!$A:$C,3,FALSE),0))</f>
        <v/>
      </c>
      <c r="T755">
        <f>IF(Q755="P",0,IFNA(VLOOKUP(IF(C755="","(none)",C755),Secondary_Versatility!$A:$B,2,FALSE),0))</f>
        <v/>
      </c>
      <c r="U755">
        <f>IF(H755="",0,LEN(H755)-LEN(SUBSTITUTE(H755,"|",""))+1)</f>
        <v/>
      </c>
      <c r="V755">
        <f>IF(Q755="P",(N755+O755+P755)/3,0.3*I755+0.3*J755+0.2*K755+0.1*L755+0.1*M755)</f>
        <v/>
      </c>
      <c r="W755">
        <f>IF(Q755="P",IF(F755="",0,IFNA(VLOOKUP(F755,Pitcher_Trait_Coef!$A:$B,2,FALSE),0))+IF(G755="",0,IFNA(VLOOKUP(G755,Pitcher_Trait_Coef!$A:$B,2,FALSE),0)),IF(F755="",0,IFNA(VLOOKUP(F755,Hitter_Trait_Coef!$A:$B,2,FALSE),0))+IF(G755="",0,IFNA(VLOOKUP(G755,Hitter_Trait_Coef!$A:$B,2,FALSE),0)))</f>
        <v/>
      </c>
      <c r="X755">
        <f>IF(Q755="P",IFNA(VLOOKUP(B755,Pitcher_Primary_Coef!$A:$B,2,FALSE),0),IFNA(VLOOKUP(B755,Hitter_Primary_Coef!$A:$B,2,FALSE),0))</f>
        <v/>
      </c>
      <c r="Y755">
        <f>IF(Q755="P",0,IFNA(VLOOKUP(IF(C755="","(none)",C755),Hitter_Secondary_Coef!$A:$B,2,FALSE),0))</f>
        <v/>
      </c>
      <c r="Z755">
        <f>IF(Q755="P",IF(ISNUMBER(SEARCH("2F",H755)),IFNA(VLOOKUP("2F",Pitch_Coef!$A:$B,2,FALSE),0),0)+IF(ISNUMBER(SEARCH("4F",H755)),IFNA(VLOOKUP("4F",Pitch_Coef!$A:$B,2,FALSE),0),0)+IF(ISNUMBER(SEARCH("CB",H755)),IFNA(VLOOKUP("CB",Pitch_Coef!$A:$B,2,FALSE),0),0)+IF(ISNUMBER(SEARCH("CF",H755)),IFNA(VLOOKUP("CF",Pitch_Coef!$A:$B,2,FALSE),0),0)+IF(ISNUMBER(SEARCH("CH",H755)),IFNA(VLOOKUP("CH",Pitch_Coef!$A:$B,2,FALSE),0),0)+IF(ISNUMBER(SEARCH("FK",H755)),IFNA(VLOOKUP("FK",Pitch_Coef!$A:$B,2,FALSE),0),0)+IF(ISNUMBER(SEARCH("SB",H755)),IFNA(VLOOKUP("SB",Pitch_Coef!$A:$B,2,FALSE),0),0)+IF(ISNUMBER(SEARCH("SL",H755)),IFNA(VLOOKUP("SL",Pitch_Coef!$A:$B,2,FALSE),0),0),0)</f>
        <v/>
      </c>
      <c r="AA755">
        <f>IF(Q755="P",16.5944849573+0.2529999141*N755+0.2665900378*O755+0.2632687105*P755+0.0427586837*I755+0.0534777057*J755+0.009015832*K755+0.0204898106*(O755*P755/100)+1.0091022427*U755+1.0968542297*IF(D755="L",1,0)+0.3771555045*IF(D755="S",1,0)-0.2226159177*IF(E755="L",1,0)+1.21385024*R755-1.1652812274*S755+W755+X755+Z755,10.5965166711+0.2825983581*I755+0.2806503532*J755+0.2027213083*K755+0.1147824982*L755+0.0915305332*M755-0.0088454122*(I755*J755/100)-0.0336045706*(K755*L755/100)+2.8497389733*IF(D755="L",1,0)+4.5116226727*IF(D755="S",1,0)-0.6571546448*IF(E755="L",1,0)+0.0850728147*T755+0.0129488446*(T755*T755)+0.1909373936*IF(OR(F755="Utility",G755="Utility"),T755,0)+0.9656824071*R755-1.7517683256*S755+W755+X755+Y755)</f>
        <v/>
      </c>
      <c r="AB755">
        <f>LOOKUP(AA755,Grade_Scale!$A$2:$A$18,Grade_Scale!$B$2:$B$18)</f>
        <v/>
      </c>
      <c r="AC755">
        <f>LOOKUP(AA755,Grade_Scale!$A$2:$A$18,Grade_Scale!$C$2:$C$18)</f>
        <v/>
      </c>
      <c r="AE755">
        <f>IF(AD755="","",AB755-VLOOKUP(AD755,Grade_Scale!$C$2:$E$18,3,FALSE))</f>
        <v/>
      </c>
    </row>
    <row r="756">
      <c r="Q756">
        <f>IF(OR(B756="SP",B756="RP",B756="CP",B756="SP/RP"),"P","H")</f>
        <v/>
      </c>
      <c r="R756">
        <f>IF(F756="",0,IFNA(VLOOKUP(F756,Trait_Polarity!$A:$C,2,FALSE),0))+IF(G756="",0,IFNA(VLOOKUP(G756,Trait_Polarity!$A:$C,2,FALSE),0))</f>
        <v/>
      </c>
      <c r="S756">
        <f>IF(F756="",0,IFNA(VLOOKUP(F756,Trait_Polarity!$A:$C,3,FALSE),0))+IF(G756="",0,IFNA(VLOOKUP(G756,Trait_Polarity!$A:$C,3,FALSE),0))</f>
        <v/>
      </c>
      <c r="T756">
        <f>IF(Q756="P",0,IFNA(VLOOKUP(IF(C756="","(none)",C756),Secondary_Versatility!$A:$B,2,FALSE),0))</f>
        <v/>
      </c>
      <c r="U756">
        <f>IF(H756="",0,LEN(H756)-LEN(SUBSTITUTE(H756,"|",""))+1)</f>
        <v/>
      </c>
      <c r="V756">
        <f>IF(Q756="P",(N756+O756+P756)/3,0.3*I756+0.3*J756+0.2*K756+0.1*L756+0.1*M756)</f>
        <v/>
      </c>
      <c r="W756">
        <f>IF(Q756="P",IF(F756="",0,IFNA(VLOOKUP(F756,Pitcher_Trait_Coef!$A:$B,2,FALSE),0))+IF(G756="",0,IFNA(VLOOKUP(G756,Pitcher_Trait_Coef!$A:$B,2,FALSE),0)),IF(F756="",0,IFNA(VLOOKUP(F756,Hitter_Trait_Coef!$A:$B,2,FALSE),0))+IF(G756="",0,IFNA(VLOOKUP(G756,Hitter_Trait_Coef!$A:$B,2,FALSE),0)))</f>
        <v/>
      </c>
      <c r="X756">
        <f>IF(Q756="P",IFNA(VLOOKUP(B756,Pitcher_Primary_Coef!$A:$B,2,FALSE),0),IFNA(VLOOKUP(B756,Hitter_Primary_Coef!$A:$B,2,FALSE),0))</f>
        <v/>
      </c>
      <c r="Y756">
        <f>IF(Q756="P",0,IFNA(VLOOKUP(IF(C756="","(none)",C756),Hitter_Secondary_Coef!$A:$B,2,FALSE),0))</f>
        <v/>
      </c>
      <c r="Z756">
        <f>IF(Q756="P",IF(ISNUMBER(SEARCH("2F",H756)),IFNA(VLOOKUP("2F",Pitch_Coef!$A:$B,2,FALSE),0),0)+IF(ISNUMBER(SEARCH("4F",H756)),IFNA(VLOOKUP("4F",Pitch_Coef!$A:$B,2,FALSE),0),0)+IF(ISNUMBER(SEARCH("CB",H756)),IFNA(VLOOKUP("CB",Pitch_Coef!$A:$B,2,FALSE),0),0)+IF(ISNUMBER(SEARCH("CF",H756)),IFNA(VLOOKUP("CF",Pitch_Coef!$A:$B,2,FALSE),0),0)+IF(ISNUMBER(SEARCH("CH",H756)),IFNA(VLOOKUP("CH",Pitch_Coef!$A:$B,2,FALSE),0),0)+IF(ISNUMBER(SEARCH("FK",H756)),IFNA(VLOOKUP("FK",Pitch_Coef!$A:$B,2,FALSE),0),0)+IF(ISNUMBER(SEARCH("SB",H756)),IFNA(VLOOKUP("SB",Pitch_Coef!$A:$B,2,FALSE),0),0)+IF(ISNUMBER(SEARCH("SL",H756)),IFNA(VLOOKUP("SL",Pitch_Coef!$A:$B,2,FALSE),0),0),0)</f>
        <v/>
      </c>
      <c r="AA756">
        <f>IF(Q756="P",16.5944849573+0.2529999141*N756+0.2665900378*O756+0.2632687105*P756+0.0427586837*I756+0.0534777057*J756+0.009015832*K756+0.0204898106*(O756*P756/100)+1.0091022427*U756+1.0968542297*IF(D756="L",1,0)+0.3771555045*IF(D756="S",1,0)-0.2226159177*IF(E756="L",1,0)+1.21385024*R756-1.1652812274*S756+W756+X756+Z756,10.5965166711+0.2825983581*I756+0.2806503532*J756+0.2027213083*K756+0.1147824982*L756+0.0915305332*M756-0.0088454122*(I756*J756/100)-0.0336045706*(K756*L756/100)+2.8497389733*IF(D756="L",1,0)+4.5116226727*IF(D756="S",1,0)-0.6571546448*IF(E756="L",1,0)+0.0850728147*T756+0.0129488446*(T756*T756)+0.1909373936*IF(OR(F756="Utility",G756="Utility"),T756,0)+0.9656824071*R756-1.7517683256*S756+W756+X756+Y756)</f>
        <v/>
      </c>
      <c r="AB756">
        <f>LOOKUP(AA756,Grade_Scale!$A$2:$A$18,Grade_Scale!$B$2:$B$18)</f>
        <v/>
      </c>
      <c r="AC756">
        <f>LOOKUP(AA756,Grade_Scale!$A$2:$A$18,Grade_Scale!$C$2:$C$18)</f>
        <v/>
      </c>
      <c r="AE756">
        <f>IF(AD756="","",AB756-VLOOKUP(AD756,Grade_Scale!$C$2:$E$18,3,FALSE))</f>
        <v/>
      </c>
    </row>
    <row r="757">
      <c r="Q757">
        <f>IF(OR(B757="SP",B757="RP",B757="CP",B757="SP/RP"),"P","H")</f>
        <v/>
      </c>
      <c r="R757">
        <f>IF(F757="",0,IFNA(VLOOKUP(F757,Trait_Polarity!$A:$C,2,FALSE),0))+IF(G757="",0,IFNA(VLOOKUP(G757,Trait_Polarity!$A:$C,2,FALSE),0))</f>
        <v/>
      </c>
      <c r="S757">
        <f>IF(F757="",0,IFNA(VLOOKUP(F757,Trait_Polarity!$A:$C,3,FALSE),0))+IF(G757="",0,IFNA(VLOOKUP(G757,Trait_Polarity!$A:$C,3,FALSE),0))</f>
        <v/>
      </c>
      <c r="T757">
        <f>IF(Q757="P",0,IFNA(VLOOKUP(IF(C757="","(none)",C757),Secondary_Versatility!$A:$B,2,FALSE),0))</f>
        <v/>
      </c>
      <c r="U757">
        <f>IF(H757="",0,LEN(H757)-LEN(SUBSTITUTE(H757,"|",""))+1)</f>
        <v/>
      </c>
      <c r="V757">
        <f>IF(Q757="P",(N757+O757+P757)/3,0.3*I757+0.3*J757+0.2*K757+0.1*L757+0.1*M757)</f>
        <v/>
      </c>
      <c r="W757">
        <f>IF(Q757="P",IF(F757="",0,IFNA(VLOOKUP(F757,Pitcher_Trait_Coef!$A:$B,2,FALSE),0))+IF(G757="",0,IFNA(VLOOKUP(G757,Pitcher_Trait_Coef!$A:$B,2,FALSE),0)),IF(F757="",0,IFNA(VLOOKUP(F757,Hitter_Trait_Coef!$A:$B,2,FALSE),0))+IF(G757="",0,IFNA(VLOOKUP(G757,Hitter_Trait_Coef!$A:$B,2,FALSE),0)))</f>
        <v/>
      </c>
      <c r="X757">
        <f>IF(Q757="P",IFNA(VLOOKUP(B757,Pitcher_Primary_Coef!$A:$B,2,FALSE),0),IFNA(VLOOKUP(B757,Hitter_Primary_Coef!$A:$B,2,FALSE),0))</f>
        <v/>
      </c>
      <c r="Y757">
        <f>IF(Q757="P",0,IFNA(VLOOKUP(IF(C757="","(none)",C757),Hitter_Secondary_Coef!$A:$B,2,FALSE),0))</f>
        <v/>
      </c>
      <c r="Z757">
        <f>IF(Q757="P",IF(ISNUMBER(SEARCH("2F",H757)),IFNA(VLOOKUP("2F",Pitch_Coef!$A:$B,2,FALSE),0),0)+IF(ISNUMBER(SEARCH("4F",H757)),IFNA(VLOOKUP("4F",Pitch_Coef!$A:$B,2,FALSE),0),0)+IF(ISNUMBER(SEARCH("CB",H757)),IFNA(VLOOKUP("CB",Pitch_Coef!$A:$B,2,FALSE),0),0)+IF(ISNUMBER(SEARCH("CF",H757)),IFNA(VLOOKUP("CF",Pitch_Coef!$A:$B,2,FALSE),0),0)+IF(ISNUMBER(SEARCH("CH",H757)),IFNA(VLOOKUP("CH",Pitch_Coef!$A:$B,2,FALSE),0),0)+IF(ISNUMBER(SEARCH("FK",H757)),IFNA(VLOOKUP("FK",Pitch_Coef!$A:$B,2,FALSE),0),0)+IF(ISNUMBER(SEARCH("SB",H757)),IFNA(VLOOKUP("SB",Pitch_Coef!$A:$B,2,FALSE),0),0)+IF(ISNUMBER(SEARCH("SL",H757)),IFNA(VLOOKUP("SL",Pitch_Coef!$A:$B,2,FALSE),0),0),0)</f>
        <v/>
      </c>
      <c r="AA757">
        <f>IF(Q757="P",16.5944849573+0.2529999141*N757+0.2665900378*O757+0.2632687105*P757+0.0427586837*I757+0.0534777057*J757+0.009015832*K757+0.0204898106*(O757*P757/100)+1.0091022427*U757+1.0968542297*IF(D757="L",1,0)+0.3771555045*IF(D757="S",1,0)-0.2226159177*IF(E757="L",1,0)+1.21385024*R757-1.1652812274*S757+W757+X757+Z757,10.5965166711+0.2825983581*I757+0.2806503532*J757+0.2027213083*K757+0.1147824982*L757+0.0915305332*M757-0.0088454122*(I757*J757/100)-0.0336045706*(K757*L757/100)+2.8497389733*IF(D757="L",1,0)+4.5116226727*IF(D757="S",1,0)-0.6571546448*IF(E757="L",1,0)+0.0850728147*T757+0.0129488446*(T757*T757)+0.1909373936*IF(OR(F757="Utility",G757="Utility"),T757,0)+0.9656824071*R757-1.7517683256*S757+W757+X757+Y757)</f>
        <v/>
      </c>
      <c r="AB757">
        <f>LOOKUP(AA757,Grade_Scale!$A$2:$A$18,Grade_Scale!$B$2:$B$18)</f>
        <v/>
      </c>
      <c r="AC757">
        <f>LOOKUP(AA757,Grade_Scale!$A$2:$A$18,Grade_Scale!$C$2:$C$18)</f>
        <v/>
      </c>
      <c r="AE757">
        <f>IF(AD757="","",AB757-VLOOKUP(AD757,Grade_Scale!$C$2:$E$18,3,FALSE))</f>
        <v/>
      </c>
    </row>
    <row r="758">
      <c r="Q758">
        <f>IF(OR(B758="SP",B758="RP",B758="CP",B758="SP/RP"),"P","H")</f>
        <v/>
      </c>
      <c r="R758">
        <f>IF(F758="",0,IFNA(VLOOKUP(F758,Trait_Polarity!$A:$C,2,FALSE),0))+IF(G758="",0,IFNA(VLOOKUP(G758,Trait_Polarity!$A:$C,2,FALSE),0))</f>
        <v/>
      </c>
      <c r="S758">
        <f>IF(F758="",0,IFNA(VLOOKUP(F758,Trait_Polarity!$A:$C,3,FALSE),0))+IF(G758="",0,IFNA(VLOOKUP(G758,Trait_Polarity!$A:$C,3,FALSE),0))</f>
        <v/>
      </c>
      <c r="T758">
        <f>IF(Q758="P",0,IFNA(VLOOKUP(IF(C758="","(none)",C758),Secondary_Versatility!$A:$B,2,FALSE),0))</f>
        <v/>
      </c>
      <c r="U758">
        <f>IF(H758="",0,LEN(H758)-LEN(SUBSTITUTE(H758,"|",""))+1)</f>
        <v/>
      </c>
      <c r="V758">
        <f>IF(Q758="P",(N758+O758+P758)/3,0.3*I758+0.3*J758+0.2*K758+0.1*L758+0.1*M758)</f>
        <v/>
      </c>
      <c r="W758">
        <f>IF(Q758="P",IF(F758="",0,IFNA(VLOOKUP(F758,Pitcher_Trait_Coef!$A:$B,2,FALSE),0))+IF(G758="",0,IFNA(VLOOKUP(G758,Pitcher_Trait_Coef!$A:$B,2,FALSE),0)),IF(F758="",0,IFNA(VLOOKUP(F758,Hitter_Trait_Coef!$A:$B,2,FALSE),0))+IF(G758="",0,IFNA(VLOOKUP(G758,Hitter_Trait_Coef!$A:$B,2,FALSE),0)))</f>
        <v/>
      </c>
      <c r="X758">
        <f>IF(Q758="P",IFNA(VLOOKUP(B758,Pitcher_Primary_Coef!$A:$B,2,FALSE),0),IFNA(VLOOKUP(B758,Hitter_Primary_Coef!$A:$B,2,FALSE),0))</f>
        <v/>
      </c>
      <c r="Y758">
        <f>IF(Q758="P",0,IFNA(VLOOKUP(IF(C758="","(none)",C758),Hitter_Secondary_Coef!$A:$B,2,FALSE),0))</f>
        <v/>
      </c>
      <c r="Z758">
        <f>IF(Q758="P",IF(ISNUMBER(SEARCH("2F",H758)),IFNA(VLOOKUP("2F",Pitch_Coef!$A:$B,2,FALSE),0),0)+IF(ISNUMBER(SEARCH("4F",H758)),IFNA(VLOOKUP("4F",Pitch_Coef!$A:$B,2,FALSE),0),0)+IF(ISNUMBER(SEARCH("CB",H758)),IFNA(VLOOKUP("CB",Pitch_Coef!$A:$B,2,FALSE),0),0)+IF(ISNUMBER(SEARCH("CF",H758)),IFNA(VLOOKUP("CF",Pitch_Coef!$A:$B,2,FALSE),0),0)+IF(ISNUMBER(SEARCH("CH",H758)),IFNA(VLOOKUP("CH",Pitch_Coef!$A:$B,2,FALSE),0),0)+IF(ISNUMBER(SEARCH("FK",H758)),IFNA(VLOOKUP("FK",Pitch_Coef!$A:$B,2,FALSE),0),0)+IF(ISNUMBER(SEARCH("SB",H758)),IFNA(VLOOKUP("SB",Pitch_Coef!$A:$B,2,FALSE),0),0)+IF(ISNUMBER(SEARCH("SL",H758)),IFNA(VLOOKUP("SL",Pitch_Coef!$A:$B,2,FALSE),0),0),0)</f>
        <v/>
      </c>
      <c r="AA758">
        <f>IF(Q758="P",16.5944849573+0.2529999141*N758+0.2665900378*O758+0.2632687105*P758+0.0427586837*I758+0.0534777057*J758+0.009015832*K758+0.0204898106*(O758*P758/100)+1.0091022427*U758+1.0968542297*IF(D758="L",1,0)+0.3771555045*IF(D758="S",1,0)-0.2226159177*IF(E758="L",1,0)+1.21385024*R758-1.1652812274*S758+W758+X758+Z758,10.5965166711+0.2825983581*I758+0.2806503532*J758+0.2027213083*K758+0.1147824982*L758+0.0915305332*M758-0.0088454122*(I758*J758/100)-0.0336045706*(K758*L758/100)+2.8497389733*IF(D758="L",1,0)+4.5116226727*IF(D758="S",1,0)-0.6571546448*IF(E758="L",1,0)+0.0850728147*T758+0.0129488446*(T758*T758)+0.1909373936*IF(OR(F758="Utility",G758="Utility"),T758,0)+0.9656824071*R758-1.7517683256*S758+W758+X758+Y758)</f>
        <v/>
      </c>
      <c r="AB758">
        <f>LOOKUP(AA758,Grade_Scale!$A$2:$A$18,Grade_Scale!$B$2:$B$18)</f>
        <v/>
      </c>
      <c r="AC758">
        <f>LOOKUP(AA758,Grade_Scale!$A$2:$A$18,Grade_Scale!$C$2:$C$18)</f>
        <v/>
      </c>
      <c r="AE758">
        <f>IF(AD758="","",AB758-VLOOKUP(AD758,Grade_Scale!$C$2:$E$18,3,FALSE))</f>
        <v/>
      </c>
    </row>
    <row r="759">
      <c r="Q759">
        <f>IF(OR(B759="SP",B759="RP",B759="CP",B759="SP/RP"),"P","H")</f>
        <v/>
      </c>
      <c r="R759">
        <f>IF(F759="",0,IFNA(VLOOKUP(F759,Trait_Polarity!$A:$C,2,FALSE),0))+IF(G759="",0,IFNA(VLOOKUP(G759,Trait_Polarity!$A:$C,2,FALSE),0))</f>
        <v/>
      </c>
      <c r="S759">
        <f>IF(F759="",0,IFNA(VLOOKUP(F759,Trait_Polarity!$A:$C,3,FALSE),0))+IF(G759="",0,IFNA(VLOOKUP(G759,Trait_Polarity!$A:$C,3,FALSE),0))</f>
        <v/>
      </c>
      <c r="T759">
        <f>IF(Q759="P",0,IFNA(VLOOKUP(IF(C759="","(none)",C759),Secondary_Versatility!$A:$B,2,FALSE),0))</f>
        <v/>
      </c>
      <c r="U759">
        <f>IF(H759="",0,LEN(H759)-LEN(SUBSTITUTE(H759,"|",""))+1)</f>
        <v/>
      </c>
      <c r="V759">
        <f>IF(Q759="P",(N759+O759+P759)/3,0.3*I759+0.3*J759+0.2*K759+0.1*L759+0.1*M759)</f>
        <v/>
      </c>
      <c r="W759">
        <f>IF(Q759="P",IF(F759="",0,IFNA(VLOOKUP(F759,Pitcher_Trait_Coef!$A:$B,2,FALSE),0))+IF(G759="",0,IFNA(VLOOKUP(G759,Pitcher_Trait_Coef!$A:$B,2,FALSE),0)),IF(F759="",0,IFNA(VLOOKUP(F759,Hitter_Trait_Coef!$A:$B,2,FALSE),0))+IF(G759="",0,IFNA(VLOOKUP(G759,Hitter_Trait_Coef!$A:$B,2,FALSE),0)))</f>
        <v/>
      </c>
      <c r="X759">
        <f>IF(Q759="P",IFNA(VLOOKUP(B759,Pitcher_Primary_Coef!$A:$B,2,FALSE),0),IFNA(VLOOKUP(B759,Hitter_Primary_Coef!$A:$B,2,FALSE),0))</f>
        <v/>
      </c>
      <c r="Y759">
        <f>IF(Q759="P",0,IFNA(VLOOKUP(IF(C759="","(none)",C759),Hitter_Secondary_Coef!$A:$B,2,FALSE),0))</f>
        <v/>
      </c>
      <c r="Z759">
        <f>IF(Q759="P",IF(ISNUMBER(SEARCH("2F",H759)),IFNA(VLOOKUP("2F",Pitch_Coef!$A:$B,2,FALSE),0),0)+IF(ISNUMBER(SEARCH("4F",H759)),IFNA(VLOOKUP("4F",Pitch_Coef!$A:$B,2,FALSE),0),0)+IF(ISNUMBER(SEARCH("CB",H759)),IFNA(VLOOKUP("CB",Pitch_Coef!$A:$B,2,FALSE),0),0)+IF(ISNUMBER(SEARCH("CF",H759)),IFNA(VLOOKUP("CF",Pitch_Coef!$A:$B,2,FALSE),0),0)+IF(ISNUMBER(SEARCH("CH",H759)),IFNA(VLOOKUP("CH",Pitch_Coef!$A:$B,2,FALSE),0),0)+IF(ISNUMBER(SEARCH("FK",H759)),IFNA(VLOOKUP("FK",Pitch_Coef!$A:$B,2,FALSE),0),0)+IF(ISNUMBER(SEARCH("SB",H759)),IFNA(VLOOKUP("SB",Pitch_Coef!$A:$B,2,FALSE),0),0)+IF(ISNUMBER(SEARCH("SL",H759)),IFNA(VLOOKUP("SL",Pitch_Coef!$A:$B,2,FALSE),0),0),0)</f>
        <v/>
      </c>
      <c r="AA759">
        <f>IF(Q759="P",16.5944849573+0.2529999141*N759+0.2665900378*O759+0.2632687105*P759+0.0427586837*I759+0.0534777057*J759+0.009015832*K759+0.0204898106*(O759*P759/100)+1.0091022427*U759+1.0968542297*IF(D759="L",1,0)+0.3771555045*IF(D759="S",1,0)-0.2226159177*IF(E759="L",1,0)+1.21385024*R759-1.1652812274*S759+W759+X759+Z759,10.5965166711+0.2825983581*I759+0.2806503532*J759+0.2027213083*K759+0.1147824982*L759+0.0915305332*M759-0.0088454122*(I759*J759/100)-0.0336045706*(K759*L759/100)+2.8497389733*IF(D759="L",1,0)+4.5116226727*IF(D759="S",1,0)-0.6571546448*IF(E759="L",1,0)+0.0850728147*T759+0.0129488446*(T759*T759)+0.1909373936*IF(OR(F759="Utility",G759="Utility"),T759,0)+0.9656824071*R759-1.7517683256*S759+W759+X759+Y759)</f>
        <v/>
      </c>
      <c r="AB759">
        <f>LOOKUP(AA759,Grade_Scale!$A$2:$A$18,Grade_Scale!$B$2:$B$18)</f>
        <v/>
      </c>
      <c r="AC759">
        <f>LOOKUP(AA759,Grade_Scale!$A$2:$A$18,Grade_Scale!$C$2:$C$18)</f>
        <v/>
      </c>
      <c r="AE759">
        <f>IF(AD759="","",AB759-VLOOKUP(AD759,Grade_Scale!$C$2:$E$18,3,FALSE))</f>
        <v/>
      </c>
    </row>
    <row r="760">
      <c r="Q760">
        <f>IF(OR(B760="SP",B760="RP",B760="CP",B760="SP/RP"),"P","H")</f>
        <v/>
      </c>
      <c r="R760">
        <f>IF(F760="",0,IFNA(VLOOKUP(F760,Trait_Polarity!$A:$C,2,FALSE),0))+IF(G760="",0,IFNA(VLOOKUP(G760,Trait_Polarity!$A:$C,2,FALSE),0))</f>
        <v/>
      </c>
      <c r="S760">
        <f>IF(F760="",0,IFNA(VLOOKUP(F760,Trait_Polarity!$A:$C,3,FALSE),0))+IF(G760="",0,IFNA(VLOOKUP(G760,Trait_Polarity!$A:$C,3,FALSE),0))</f>
        <v/>
      </c>
      <c r="T760">
        <f>IF(Q760="P",0,IFNA(VLOOKUP(IF(C760="","(none)",C760),Secondary_Versatility!$A:$B,2,FALSE),0))</f>
        <v/>
      </c>
      <c r="U760">
        <f>IF(H760="",0,LEN(H760)-LEN(SUBSTITUTE(H760,"|",""))+1)</f>
        <v/>
      </c>
      <c r="V760">
        <f>IF(Q760="P",(N760+O760+P760)/3,0.3*I760+0.3*J760+0.2*K760+0.1*L760+0.1*M760)</f>
        <v/>
      </c>
      <c r="W760">
        <f>IF(Q760="P",IF(F760="",0,IFNA(VLOOKUP(F760,Pitcher_Trait_Coef!$A:$B,2,FALSE),0))+IF(G760="",0,IFNA(VLOOKUP(G760,Pitcher_Trait_Coef!$A:$B,2,FALSE),0)),IF(F760="",0,IFNA(VLOOKUP(F760,Hitter_Trait_Coef!$A:$B,2,FALSE),0))+IF(G760="",0,IFNA(VLOOKUP(G760,Hitter_Trait_Coef!$A:$B,2,FALSE),0)))</f>
        <v/>
      </c>
      <c r="X760">
        <f>IF(Q760="P",IFNA(VLOOKUP(B760,Pitcher_Primary_Coef!$A:$B,2,FALSE),0),IFNA(VLOOKUP(B760,Hitter_Primary_Coef!$A:$B,2,FALSE),0))</f>
        <v/>
      </c>
      <c r="Y760">
        <f>IF(Q760="P",0,IFNA(VLOOKUP(IF(C760="","(none)",C760),Hitter_Secondary_Coef!$A:$B,2,FALSE),0))</f>
        <v/>
      </c>
      <c r="Z760">
        <f>IF(Q760="P",IF(ISNUMBER(SEARCH("2F",H760)),IFNA(VLOOKUP("2F",Pitch_Coef!$A:$B,2,FALSE),0),0)+IF(ISNUMBER(SEARCH("4F",H760)),IFNA(VLOOKUP("4F",Pitch_Coef!$A:$B,2,FALSE),0),0)+IF(ISNUMBER(SEARCH("CB",H760)),IFNA(VLOOKUP("CB",Pitch_Coef!$A:$B,2,FALSE),0),0)+IF(ISNUMBER(SEARCH("CF",H760)),IFNA(VLOOKUP("CF",Pitch_Coef!$A:$B,2,FALSE),0),0)+IF(ISNUMBER(SEARCH("CH",H760)),IFNA(VLOOKUP("CH",Pitch_Coef!$A:$B,2,FALSE),0),0)+IF(ISNUMBER(SEARCH("FK",H760)),IFNA(VLOOKUP("FK",Pitch_Coef!$A:$B,2,FALSE),0),0)+IF(ISNUMBER(SEARCH("SB",H760)),IFNA(VLOOKUP("SB",Pitch_Coef!$A:$B,2,FALSE),0),0)+IF(ISNUMBER(SEARCH("SL",H760)),IFNA(VLOOKUP("SL",Pitch_Coef!$A:$B,2,FALSE),0),0),0)</f>
        <v/>
      </c>
      <c r="AA760">
        <f>IF(Q760="P",16.5944849573+0.2529999141*N760+0.2665900378*O760+0.2632687105*P760+0.0427586837*I760+0.0534777057*J760+0.009015832*K760+0.0204898106*(O760*P760/100)+1.0091022427*U760+1.0968542297*IF(D760="L",1,0)+0.3771555045*IF(D760="S",1,0)-0.2226159177*IF(E760="L",1,0)+1.21385024*R760-1.1652812274*S760+W760+X760+Z760,10.5965166711+0.2825983581*I760+0.2806503532*J760+0.2027213083*K760+0.1147824982*L760+0.0915305332*M760-0.0088454122*(I760*J760/100)-0.0336045706*(K760*L760/100)+2.8497389733*IF(D760="L",1,0)+4.5116226727*IF(D760="S",1,0)-0.6571546448*IF(E760="L",1,0)+0.0850728147*T760+0.0129488446*(T760*T760)+0.1909373936*IF(OR(F760="Utility",G760="Utility"),T760,0)+0.9656824071*R760-1.7517683256*S760+W760+X760+Y760)</f>
        <v/>
      </c>
      <c r="AB760">
        <f>LOOKUP(AA760,Grade_Scale!$A$2:$A$18,Grade_Scale!$B$2:$B$18)</f>
        <v/>
      </c>
      <c r="AC760">
        <f>LOOKUP(AA760,Grade_Scale!$A$2:$A$18,Grade_Scale!$C$2:$C$18)</f>
        <v/>
      </c>
      <c r="AE760">
        <f>IF(AD760="","",AB760-VLOOKUP(AD760,Grade_Scale!$C$2:$E$18,3,FALSE))</f>
        <v/>
      </c>
    </row>
    <row r="761">
      <c r="Q761">
        <f>IF(OR(B761="SP",B761="RP",B761="CP",B761="SP/RP"),"P","H")</f>
        <v/>
      </c>
      <c r="R761">
        <f>IF(F761="",0,IFNA(VLOOKUP(F761,Trait_Polarity!$A:$C,2,FALSE),0))+IF(G761="",0,IFNA(VLOOKUP(G761,Trait_Polarity!$A:$C,2,FALSE),0))</f>
        <v/>
      </c>
      <c r="S761">
        <f>IF(F761="",0,IFNA(VLOOKUP(F761,Trait_Polarity!$A:$C,3,FALSE),0))+IF(G761="",0,IFNA(VLOOKUP(G761,Trait_Polarity!$A:$C,3,FALSE),0))</f>
        <v/>
      </c>
      <c r="T761">
        <f>IF(Q761="P",0,IFNA(VLOOKUP(IF(C761="","(none)",C761),Secondary_Versatility!$A:$B,2,FALSE),0))</f>
        <v/>
      </c>
      <c r="U761">
        <f>IF(H761="",0,LEN(H761)-LEN(SUBSTITUTE(H761,"|",""))+1)</f>
        <v/>
      </c>
      <c r="V761">
        <f>IF(Q761="P",(N761+O761+P761)/3,0.3*I761+0.3*J761+0.2*K761+0.1*L761+0.1*M761)</f>
        <v/>
      </c>
      <c r="W761">
        <f>IF(Q761="P",IF(F761="",0,IFNA(VLOOKUP(F761,Pitcher_Trait_Coef!$A:$B,2,FALSE),0))+IF(G761="",0,IFNA(VLOOKUP(G761,Pitcher_Trait_Coef!$A:$B,2,FALSE),0)),IF(F761="",0,IFNA(VLOOKUP(F761,Hitter_Trait_Coef!$A:$B,2,FALSE),0))+IF(G761="",0,IFNA(VLOOKUP(G761,Hitter_Trait_Coef!$A:$B,2,FALSE),0)))</f>
        <v/>
      </c>
      <c r="X761">
        <f>IF(Q761="P",IFNA(VLOOKUP(B761,Pitcher_Primary_Coef!$A:$B,2,FALSE),0),IFNA(VLOOKUP(B761,Hitter_Primary_Coef!$A:$B,2,FALSE),0))</f>
        <v/>
      </c>
      <c r="Y761">
        <f>IF(Q761="P",0,IFNA(VLOOKUP(IF(C761="","(none)",C761),Hitter_Secondary_Coef!$A:$B,2,FALSE),0))</f>
        <v/>
      </c>
      <c r="Z761">
        <f>IF(Q761="P",IF(ISNUMBER(SEARCH("2F",H761)),IFNA(VLOOKUP("2F",Pitch_Coef!$A:$B,2,FALSE),0),0)+IF(ISNUMBER(SEARCH("4F",H761)),IFNA(VLOOKUP("4F",Pitch_Coef!$A:$B,2,FALSE),0),0)+IF(ISNUMBER(SEARCH("CB",H761)),IFNA(VLOOKUP("CB",Pitch_Coef!$A:$B,2,FALSE),0),0)+IF(ISNUMBER(SEARCH("CF",H761)),IFNA(VLOOKUP("CF",Pitch_Coef!$A:$B,2,FALSE),0),0)+IF(ISNUMBER(SEARCH("CH",H761)),IFNA(VLOOKUP("CH",Pitch_Coef!$A:$B,2,FALSE),0),0)+IF(ISNUMBER(SEARCH("FK",H761)),IFNA(VLOOKUP("FK",Pitch_Coef!$A:$B,2,FALSE),0),0)+IF(ISNUMBER(SEARCH("SB",H761)),IFNA(VLOOKUP("SB",Pitch_Coef!$A:$B,2,FALSE),0),0)+IF(ISNUMBER(SEARCH("SL",H761)),IFNA(VLOOKUP("SL",Pitch_Coef!$A:$B,2,FALSE),0),0),0)</f>
        <v/>
      </c>
      <c r="AA761">
        <f>IF(Q761="P",16.5944849573+0.2529999141*N761+0.2665900378*O761+0.2632687105*P761+0.0427586837*I761+0.0534777057*J761+0.009015832*K761+0.0204898106*(O761*P761/100)+1.0091022427*U761+1.0968542297*IF(D761="L",1,0)+0.3771555045*IF(D761="S",1,0)-0.2226159177*IF(E761="L",1,0)+1.21385024*R761-1.1652812274*S761+W761+X761+Z761,10.5965166711+0.2825983581*I761+0.2806503532*J761+0.2027213083*K761+0.1147824982*L761+0.0915305332*M761-0.0088454122*(I761*J761/100)-0.0336045706*(K761*L761/100)+2.8497389733*IF(D761="L",1,0)+4.5116226727*IF(D761="S",1,0)-0.6571546448*IF(E761="L",1,0)+0.0850728147*T761+0.0129488446*(T761*T761)+0.1909373936*IF(OR(F761="Utility",G761="Utility"),T761,0)+0.9656824071*R761-1.7517683256*S761+W761+X761+Y761)</f>
        <v/>
      </c>
      <c r="AB761">
        <f>LOOKUP(AA761,Grade_Scale!$A$2:$A$18,Grade_Scale!$B$2:$B$18)</f>
        <v/>
      </c>
      <c r="AC761">
        <f>LOOKUP(AA761,Grade_Scale!$A$2:$A$18,Grade_Scale!$C$2:$C$18)</f>
        <v/>
      </c>
      <c r="AE761">
        <f>IF(AD761="","",AB761-VLOOKUP(AD761,Grade_Scale!$C$2:$E$18,3,FALSE))</f>
        <v/>
      </c>
    </row>
    <row r="762">
      <c r="Q762">
        <f>IF(OR(B762="SP",B762="RP",B762="CP",B762="SP/RP"),"P","H")</f>
        <v/>
      </c>
      <c r="R762">
        <f>IF(F762="",0,IFNA(VLOOKUP(F762,Trait_Polarity!$A:$C,2,FALSE),0))+IF(G762="",0,IFNA(VLOOKUP(G762,Trait_Polarity!$A:$C,2,FALSE),0))</f>
        <v/>
      </c>
      <c r="S762">
        <f>IF(F762="",0,IFNA(VLOOKUP(F762,Trait_Polarity!$A:$C,3,FALSE),0))+IF(G762="",0,IFNA(VLOOKUP(G762,Trait_Polarity!$A:$C,3,FALSE),0))</f>
        <v/>
      </c>
      <c r="T762">
        <f>IF(Q762="P",0,IFNA(VLOOKUP(IF(C762="","(none)",C762),Secondary_Versatility!$A:$B,2,FALSE),0))</f>
        <v/>
      </c>
      <c r="U762">
        <f>IF(H762="",0,LEN(H762)-LEN(SUBSTITUTE(H762,"|",""))+1)</f>
        <v/>
      </c>
      <c r="V762">
        <f>IF(Q762="P",(N762+O762+P762)/3,0.3*I762+0.3*J762+0.2*K762+0.1*L762+0.1*M762)</f>
        <v/>
      </c>
      <c r="W762">
        <f>IF(Q762="P",IF(F762="",0,IFNA(VLOOKUP(F762,Pitcher_Trait_Coef!$A:$B,2,FALSE),0))+IF(G762="",0,IFNA(VLOOKUP(G762,Pitcher_Trait_Coef!$A:$B,2,FALSE),0)),IF(F762="",0,IFNA(VLOOKUP(F762,Hitter_Trait_Coef!$A:$B,2,FALSE),0))+IF(G762="",0,IFNA(VLOOKUP(G762,Hitter_Trait_Coef!$A:$B,2,FALSE),0)))</f>
        <v/>
      </c>
      <c r="X762">
        <f>IF(Q762="P",IFNA(VLOOKUP(B762,Pitcher_Primary_Coef!$A:$B,2,FALSE),0),IFNA(VLOOKUP(B762,Hitter_Primary_Coef!$A:$B,2,FALSE),0))</f>
        <v/>
      </c>
      <c r="Y762">
        <f>IF(Q762="P",0,IFNA(VLOOKUP(IF(C762="","(none)",C762),Hitter_Secondary_Coef!$A:$B,2,FALSE),0))</f>
        <v/>
      </c>
      <c r="Z762">
        <f>IF(Q762="P",IF(ISNUMBER(SEARCH("2F",H762)),IFNA(VLOOKUP("2F",Pitch_Coef!$A:$B,2,FALSE),0),0)+IF(ISNUMBER(SEARCH("4F",H762)),IFNA(VLOOKUP("4F",Pitch_Coef!$A:$B,2,FALSE),0),0)+IF(ISNUMBER(SEARCH("CB",H762)),IFNA(VLOOKUP("CB",Pitch_Coef!$A:$B,2,FALSE),0),0)+IF(ISNUMBER(SEARCH("CF",H762)),IFNA(VLOOKUP("CF",Pitch_Coef!$A:$B,2,FALSE),0),0)+IF(ISNUMBER(SEARCH("CH",H762)),IFNA(VLOOKUP("CH",Pitch_Coef!$A:$B,2,FALSE),0),0)+IF(ISNUMBER(SEARCH("FK",H762)),IFNA(VLOOKUP("FK",Pitch_Coef!$A:$B,2,FALSE),0),0)+IF(ISNUMBER(SEARCH("SB",H762)),IFNA(VLOOKUP("SB",Pitch_Coef!$A:$B,2,FALSE),0),0)+IF(ISNUMBER(SEARCH("SL",H762)),IFNA(VLOOKUP("SL",Pitch_Coef!$A:$B,2,FALSE),0),0),0)</f>
        <v/>
      </c>
      <c r="AA762">
        <f>IF(Q762="P",16.5944849573+0.2529999141*N762+0.2665900378*O762+0.2632687105*P762+0.0427586837*I762+0.0534777057*J762+0.009015832*K762+0.0204898106*(O762*P762/100)+1.0091022427*U762+1.0968542297*IF(D762="L",1,0)+0.3771555045*IF(D762="S",1,0)-0.2226159177*IF(E762="L",1,0)+1.21385024*R762-1.1652812274*S762+W762+X762+Z762,10.5965166711+0.2825983581*I762+0.2806503532*J762+0.2027213083*K762+0.1147824982*L762+0.0915305332*M762-0.0088454122*(I762*J762/100)-0.0336045706*(K762*L762/100)+2.8497389733*IF(D762="L",1,0)+4.5116226727*IF(D762="S",1,0)-0.6571546448*IF(E762="L",1,0)+0.0850728147*T762+0.0129488446*(T762*T762)+0.1909373936*IF(OR(F762="Utility",G762="Utility"),T762,0)+0.9656824071*R762-1.7517683256*S762+W762+X762+Y762)</f>
        <v/>
      </c>
      <c r="AB762">
        <f>LOOKUP(AA762,Grade_Scale!$A$2:$A$18,Grade_Scale!$B$2:$B$18)</f>
        <v/>
      </c>
      <c r="AC762">
        <f>LOOKUP(AA762,Grade_Scale!$A$2:$A$18,Grade_Scale!$C$2:$C$18)</f>
        <v/>
      </c>
      <c r="AE762">
        <f>IF(AD762="","",AB762-VLOOKUP(AD762,Grade_Scale!$C$2:$E$18,3,FALSE))</f>
        <v/>
      </c>
    </row>
    <row r="763">
      <c r="Q763">
        <f>IF(OR(B763="SP",B763="RP",B763="CP",B763="SP/RP"),"P","H")</f>
        <v/>
      </c>
      <c r="R763">
        <f>IF(F763="",0,IFNA(VLOOKUP(F763,Trait_Polarity!$A:$C,2,FALSE),0))+IF(G763="",0,IFNA(VLOOKUP(G763,Trait_Polarity!$A:$C,2,FALSE),0))</f>
        <v/>
      </c>
      <c r="S763">
        <f>IF(F763="",0,IFNA(VLOOKUP(F763,Trait_Polarity!$A:$C,3,FALSE),0))+IF(G763="",0,IFNA(VLOOKUP(G763,Trait_Polarity!$A:$C,3,FALSE),0))</f>
        <v/>
      </c>
      <c r="T763">
        <f>IF(Q763="P",0,IFNA(VLOOKUP(IF(C763="","(none)",C763),Secondary_Versatility!$A:$B,2,FALSE),0))</f>
        <v/>
      </c>
      <c r="U763">
        <f>IF(H763="",0,LEN(H763)-LEN(SUBSTITUTE(H763,"|",""))+1)</f>
        <v/>
      </c>
      <c r="V763">
        <f>IF(Q763="P",(N763+O763+P763)/3,0.3*I763+0.3*J763+0.2*K763+0.1*L763+0.1*M763)</f>
        <v/>
      </c>
      <c r="W763">
        <f>IF(Q763="P",IF(F763="",0,IFNA(VLOOKUP(F763,Pitcher_Trait_Coef!$A:$B,2,FALSE),0))+IF(G763="",0,IFNA(VLOOKUP(G763,Pitcher_Trait_Coef!$A:$B,2,FALSE),0)),IF(F763="",0,IFNA(VLOOKUP(F763,Hitter_Trait_Coef!$A:$B,2,FALSE),0))+IF(G763="",0,IFNA(VLOOKUP(G763,Hitter_Trait_Coef!$A:$B,2,FALSE),0)))</f>
        <v/>
      </c>
      <c r="X763">
        <f>IF(Q763="P",IFNA(VLOOKUP(B763,Pitcher_Primary_Coef!$A:$B,2,FALSE),0),IFNA(VLOOKUP(B763,Hitter_Primary_Coef!$A:$B,2,FALSE),0))</f>
        <v/>
      </c>
      <c r="Y763">
        <f>IF(Q763="P",0,IFNA(VLOOKUP(IF(C763="","(none)",C763),Hitter_Secondary_Coef!$A:$B,2,FALSE),0))</f>
        <v/>
      </c>
      <c r="Z763">
        <f>IF(Q763="P",IF(ISNUMBER(SEARCH("2F",H763)),IFNA(VLOOKUP("2F",Pitch_Coef!$A:$B,2,FALSE),0),0)+IF(ISNUMBER(SEARCH("4F",H763)),IFNA(VLOOKUP("4F",Pitch_Coef!$A:$B,2,FALSE),0),0)+IF(ISNUMBER(SEARCH("CB",H763)),IFNA(VLOOKUP("CB",Pitch_Coef!$A:$B,2,FALSE),0),0)+IF(ISNUMBER(SEARCH("CF",H763)),IFNA(VLOOKUP("CF",Pitch_Coef!$A:$B,2,FALSE),0),0)+IF(ISNUMBER(SEARCH("CH",H763)),IFNA(VLOOKUP("CH",Pitch_Coef!$A:$B,2,FALSE),0),0)+IF(ISNUMBER(SEARCH("FK",H763)),IFNA(VLOOKUP("FK",Pitch_Coef!$A:$B,2,FALSE),0),0)+IF(ISNUMBER(SEARCH("SB",H763)),IFNA(VLOOKUP("SB",Pitch_Coef!$A:$B,2,FALSE),0),0)+IF(ISNUMBER(SEARCH("SL",H763)),IFNA(VLOOKUP("SL",Pitch_Coef!$A:$B,2,FALSE),0),0),0)</f>
        <v/>
      </c>
      <c r="AA763">
        <f>IF(Q763="P",16.5944849573+0.2529999141*N763+0.2665900378*O763+0.2632687105*P763+0.0427586837*I763+0.0534777057*J763+0.009015832*K763+0.0204898106*(O763*P763/100)+1.0091022427*U763+1.0968542297*IF(D763="L",1,0)+0.3771555045*IF(D763="S",1,0)-0.2226159177*IF(E763="L",1,0)+1.21385024*R763-1.1652812274*S763+W763+X763+Z763,10.5965166711+0.2825983581*I763+0.2806503532*J763+0.2027213083*K763+0.1147824982*L763+0.0915305332*M763-0.0088454122*(I763*J763/100)-0.0336045706*(K763*L763/100)+2.8497389733*IF(D763="L",1,0)+4.5116226727*IF(D763="S",1,0)-0.6571546448*IF(E763="L",1,0)+0.0850728147*T763+0.0129488446*(T763*T763)+0.1909373936*IF(OR(F763="Utility",G763="Utility"),T763,0)+0.9656824071*R763-1.7517683256*S763+W763+X763+Y763)</f>
        <v/>
      </c>
      <c r="AB763">
        <f>LOOKUP(AA763,Grade_Scale!$A$2:$A$18,Grade_Scale!$B$2:$B$18)</f>
        <v/>
      </c>
      <c r="AC763">
        <f>LOOKUP(AA763,Grade_Scale!$A$2:$A$18,Grade_Scale!$C$2:$C$18)</f>
        <v/>
      </c>
      <c r="AE763">
        <f>IF(AD763="","",AB763-VLOOKUP(AD763,Grade_Scale!$C$2:$E$18,3,FALSE))</f>
        <v/>
      </c>
    </row>
    <row r="764">
      <c r="Q764">
        <f>IF(OR(B764="SP",B764="RP",B764="CP",B764="SP/RP"),"P","H")</f>
        <v/>
      </c>
      <c r="R764">
        <f>IF(F764="",0,IFNA(VLOOKUP(F764,Trait_Polarity!$A:$C,2,FALSE),0))+IF(G764="",0,IFNA(VLOOKUP(G764,Trait_Polarity!$A:$C,2,FALSE),0))</f>
        <v/>
      </c>
      <c r="S764">
        <f>IF(F764="",0,IFNA(VLOOKUP(F764,Trait_Polarity!$A:$C,3,FALSE),0))+IF(G764="",0,IFNA(VLOOKUP(G764,Trait_Polarity!$A:$C,3,FALSE),0))</f>
        <v/>
      </c>
      <c r="T764">
        <f>IF(Q764="P",0,IFNA(VLOOKUP(IF(C764="","(none)",C764),Secondary_Versatility!$A:$B,2,FALSE),0))</f>
        <v/>
      </c>
      <c r="U764">
        <f>IF(H764="",0,LEN(H764)-LEN(SUBSTITUTE(H764,"|",""))+1)</f>
        <v/>
      </c>
      <c r="V764">
        <f>IF(Q764="P",(N764+O764+P764)/3,0.3*I764+0.3*J764+0.2*K764+0.1*L764+0.1*M764)</f>
        <v/>
      </c>
      <c r="W764">
        <f>IF(Q764="P",IF(F764="",0,IFNA(VLOOKUP(F764,Pitcher_Trait_Coef!$A:$B,2,FALSE),0))+IF(G764="",0,IFNA(VLOOKUP(G764,Pitcher_Trait_Coef!$A:$B,2,FALSE),0)),IF(F764="",0,IFNA(VLOOKUP(F764,Hitter_Trait_Coef!$A:$B,2,FALSE),0))+IF(G764="",0,IFNA(VLOOKUP(G764,Hitter_Trait_Coef!$A:$B,2,FALSE),0)))</f>
        <v/>
      </c>
      <c r="X764">
        <f>IF(Q764="P",IFNA(VLOOKUP(B764,Pitcher_Primary_Coef!$A:$B,2,FALSE),0),IFNA(VLOOKUP(B764,Hitter_Primary_Coef!$A:$B,2,FALSE),0))</f>
        <v/>
      </c>
      <c r="Y764">
        <f>IF(Q764="P",0,IFNA(VLOOKUP(IF(C764="","(none)",C764),Hitter_Secondary_Coef!$A:$B,2,FALSE),0))</f>
        <v/>
      </c>
      <c r="Z764">
        <f>IF(Q764="P",IF(ISNUMBER(SEARCH("2F",H764)),IFNA(VLOOKUP("2F",Pitch_Coef!$A:$B,2,FALSE),0),0)+IF(ISNUMBER(SEARCH("4F",H764)),IFNA(VLOOKUP("4F",Pitch_Coef!$A:$B,2,FALSE),0),0)+IF(ISNUMBER(SEARCH("CB",H764)),IFNA(VLOOKUP("CB",Pitch_Coef!$A:$B,2,FALSE),0),0)+IF(ISNUMBER(SEARCH("CF",H764)),IFNA(VLOOKUP("CF",Pitch_Coef!$A:$B,2,FALSE),0),0)+IF(ISNUMBER(SEARCH("CH",H764)),IFNA(VLOOKUP("CH",Pitch_Coef!$A:$B,2,FALSE),0),0)+IF(ISNUMBER(SEARCH("FK",H764)),IFNA(VLOOKUP("FK",Pitch_Coef!$A:$B,2,FALSE),0),0)+IF(ISNUMBER(SEARCH("SB",H764)),IFNA(VLOOKUP("SB",Pitch_Coef!$A:$B,2,FALSE),0),0)+IF(ISNUMBER(SEARCH("SL",H764)),IFNA(VLOOKUP("SL",Pitch_Coef!$A:$B,2,FALSE),0),0),0)</f>
        <v/>
      </c>
      <c r="AA764">
        <f>IF(Q764="P",16.5944849573+0.2529999141*N764+0.2665900378*O764+0.2632687105*P764+0.0427586837*I764+0.0534777057*J764+0.009015832*K764+0.0204898106*(O764*P764/100)+1.0091022427*U764+1.0968542297*IF(D764="L",1,0)+0.3771555045*IF(D764="S",1,0)-0.2226159177*IF(E764="L",1,0)+1.21385024*R764-1.1652812274*S764+W764+X764+Z764,10.5965166711+0.2825983581*I764+0.2806503532*J764+0.2027213083*K764+0.1147824982*L764+0.0915305332*M764-0.0088454122*(I764*J764/100)-0.0336045706*(K764*L764/100)+2.8497389733*IF(D764="L",1,0)+4.5116226727*IF(D764="S",1,0)-0.6571546448*IF(E764="L",1,0)+0.0850728147*T764+0.0129488446*(T764*T764)+0.1909373936*IF(OR(F764="Utility",G764="Utility"),T764,0)+0.9656824071*R764-1.7517683256*S764+W764+X764+Y764)</f>
        <v/>
      </c>
      <c r="AB764">
        <f>LOOKUP(AA764,Grade_Scale!$A$2:$A$18,Grade_Scale!$B$2:$B$18)</f>
        <v/>
      </c>
      <c r="AC764">
        <f>LOOKUP(AA764,Grade_Scale!$A$2:$A$18,Grade_Scale!$C$2:$C$18)</f>
        <v/>
      </c>
      <c r="AE764">
        <f>IF(AD764="","",AB764-VLOOKUP(AD764,Grade_Scale!$C$2:$E$18,3,FALSE))</f>
        <v/>
      </c>
    </row>
    <row r="765">
      <c r="Q765">
        <f>IF(OR(B765="SP",B765="RP",B765="CP",B765="SP/RP"),"P","H")</f>
        <v/>
      </c>
      <c r="R765">
        <f>IF(F765="",0,IFNA(VLOOKUP(F765,Trait_Polarity!$A:$C,2,FALSE),0))+IF(G765="",0,IFNA(VLOOKUP(G765,Trait_Polarity!$A:$C,2,FALSE),0))</f>
        <v/>
      </c>
      <c r="S765">
        <f>IF(F765="",0,IFNA(VLOOKUP(F765,Trait_Polarity!$A:$C,3,FALSE),0))+IF(G765="",0,IFNA(VLOOKUP(G765,Trait_Polarity!$A:$C,3,FALSE),0))</f>
        <v/>
      </c>
      <c r="T765">
        <f>IF(Q765="P",0,IFNA(VLOOKUP(IF(C765="","(none)",C765),Secondary_Versatility!$A:$B,2,FALSE),0))</f>
        <v/>
      </c>
      <c r="U765">
        <f>IF(H765="",0,LEN(H765)-LEN(SUBSTITUTE(H765,"|",""))+1)</f>
        <v/>
      </c>
      <c r="V765">
        <f>IF(Q765="P",(N765+O765+P765)/3,0.3*I765+0.3*J765+0.2*K765+0.1*L765+0.1*M765)</f>
        <v/>
      </c>
      <c r="W765">
        <f>IF(Q765="P",IF(F765="",0,IFNA(VLOOKUP(F765,Pitcher_Trait_Coef!$A:$B,2,FALSE),0))+IF(G765="",0,IFNA(VLOOKUP(G765,Pitcher_Trait_Coef!$A:$B,2,FALSE),0)),IF(F765="",0,IFNA(VLOOKUP(F765,Hitter_Trait_Coef!$A:$B,2,FALSE),0))+IF(G765="",0,IFNA(VLOOKUP(G765,Hitter_Trait_Coef!$A:$B,2,FALSE),0)))</f>
        <v/>
      </c>
      <c r="X765">
        <f>IF(Q765="P",IFNA(VLOOKUP(B765,Pitcher_Primary_Coef!$A:$B,2,FALSE),0),IFNA(VLOOKUP(B765,Hitter_Primary_Coef!$A:$B,2,FALSE),0))</f>
        <v/>
      </c>
      <c r="Y765">
        <f>IF(Q765="P",0,IFNA(VLOOKUP(IF(C765="","(none)",C765),Hitter_Secondary_Coef!$A:$B,2,FALSE),0))</f>
        <v/>
      </c>
      <c r="Z765">
        <f>IF(Q765="P",IF(ISNUMBER(SEARCH("2F",H765)),IFNA(VLOOKUP("2F",Pitch_Coef!$A:$B,2,FALSE),0),0)+IF(ISNUMBER(SEARCH("4F",H765)),IFNA(VLOOKUP("4F",Pitch_Coef!$A:$B,2,FALSE),0),0)+IF(ISNUMBER(SEARCH("CB",H765)),IFNA(VLOOKUP("CB",Pitch_Coef!$A:$B,2,FALSE),0),0)+IF(ISNUMBER(SEARCH("CF",H765)),IFNA(VLOOKUP("CF",Pitch_Coef!$A:$B,2,FALSE),0),0)+IF(ISNUMBER(SEARCH("CH",H765)),IFNA(VLOOKUP("CH",Pitch_Coef!$A:$B,2,FALSE),0),0)+IF(ISNUMBER(SEARCH("FK",H765)),IFNA(VLOOKUP("FK",Pitch_Coef!$A:$B,2,FALSE),0),0)+IF(ISNUMBER(SEARCH("SB",H765)),IFNA(VLOOKUP("SB",Pitch_Coef!$A:$B,2,FALSE),0),0)+IF(ISNUMBER(SEARCH("SL",H765)),IFNA(VLOOKUP("SL",Pitch_Coef!$A:$B,2,FALSE),0),0),0)</f>
        <v/>
      </c>
      <c r="AA765">
        <f>IF(Q765="P",16.5944849573+0.2529999141*N765+0.2665900378*O765+0.2632687105*P765+0.0427586837*I765+0.0534777057*J765+0.009015832*K765+0.0204898106*(O765*P765/100)+1.0091022427*U765+1.0968542297*IF(D765="L",1,0)+0.3771555045*IF(D765="S",1,0)-0.2226159177*IF(E765="L",1,0)+1.21385024*R765-1.1652812274*S765+W765+X765+Z765,10.5965166711+0.2825983581*I765+0.2806503532*J765+0.2027213083*K765+0.1147824982*L765+0.0915305332*M765-0.0088454122*(I765*J765/100)-0.0336045706*(K765*L765/100)+2.8497389733*IF(D765="L",1,0)+4.5116226727*IF(D765="S",1,0)-0.6571546448*IF(E765="L",1,0)+0.0850728147*T765+0.0129488446*(T765*T765)+0.1909373936*IF(OR(F765="Utility",G765="Utility"),T765,0)+0.9656824071*R765-1.7517683256*S765+W765+X765+Y765)</f>
        <v/>
      </c>
      <c r="AB765">
        <f>LOOKUP(AA765,Grade_Scale!$A$2:$A$18,Grade_Scale!$B$2:$B$18)</f>
        <v/>
      </c>
      <c r="AC765">
        <f>LOOKUP(AA765,Grade_Scale!$A$2:$A$18,Grade_Scale!$C$2:$C$18)</f>
        <v/>
      </c>
      <c r="AE765">
        <f>IF(AD765="","",AB765-VLOOKUP(AD765,Grade_Scale!$C$2:$E$18,3,FALSE))</f>
        <v/>
      </c>
    </row>
    <row r="766">
      <c r="Q766">
        <f>IF(OR(B766="SP",B766="RP",B766="CP",B766="SP/RP"),"P","H")</f>
        <v/>
      </c>
      <c r="R766">
        <f>IF(F766="",0,IFNA(VLOOKUP(F766,Trait_Polarity!$A:$C,2,FALSE),0))+IF(G766="",0,IFNA(VLOOKUP(G766,Trait_Polarity!$A:$C,2,FALSE),0))</f>
        <v/>
      </c>
      <c r="S766">
        <f>IF(F766="",0,IFNA(VLOOKUP(F766,Trait_Polarity!$A:$C,3,FALSE),0))+IF(G766="",0,IFNA(VLOOKUP(G766,Trait_Polarity!$A:$C,3,FALSE),0))</f>
        <v/>
      </c>
      <c r="T766">
        <f>IF(Q766="P",0,IFNA(VLOOKUP(IF(C766="","(none)",C766),Secondary_Versatility!$A:$B,2,FALSE),0))</f>
        <v/>
      </c>
      <c r="U766">
        <f>IF(H766="",0,LEN(H766)-LEN(SUBSTITUTE(H766,"|",""))+1)</f>
        <v/>
      </c>
      <c r="V766">
        <f>IF(Q766="P",(N766+O766+P766)/3,0.3*I766+0.3*J766+0.2*K766+0.1*L766+0.1*M766)</f>
        <v/>
      </c>
      <c r="W766">
        <f>IF(Q766="P",IF(F766="",0,IFNA(VLOOKUP(F766,Pitcher_Trait_Coef!$A:$B,2,FALSE),0))+IF(G766="",0,IFNA(VLOOKUP(G766,Pitcher_Trait_Coef!$A:$B,2,FALSE),0)),IF(F766="",0,IFNA(VLOOKUP(F766,Hitter_Trait_Coef!$A:$B,2,FALSE),0))+IF(G766="",0,IFNA(VLOOKUP(G766,Hitter_Trait_Coef!$A:$B,2,FALSE),0)))</f>
        <v/>
      </c>
      <c r="X766">
        <f>IF(Q766="P",IFNA(VLOOKUP(B766,Pitcher_Primary_Coef!$A:$B,2,FALSE),0),IFNA(VLOOKUP(B766,Hitter_Primary_Coef!$A:$B,2,FALSE),0))</f>
        <v/>
      </c>
      <c r="Y766">
        <f>IF(Q766="P",0,IFNA(VLOOKUP(IF(C766="","(none)",C766),Hitter_Secondary_Coef!$A:$B,2,FALSE),0))</f>
        <v/>
      </c>
      <c r="Z766">
        <f>IF(Q766="P",IF(ISNUMBER(SEARCH("2F",H766)),IFNA(VLOOKUP("2F",Pitch_Coef!$A:$B,2,FALSE),0),0)+IF(ISNUMBER(SEARCH("4F",H766)),IFNA(VLOOKUP("4F",Pitch_Coef!$A:$B,2,FALSE),0),0)+IF(ISNUMBER(SEARCH("CB",H766)),IFNA(VLOOKUP("CB",Pitch_Coef!$A:$B,2,FALSE),0),0)+IF(ISNUMBER(SEARCH("CF",H766)),IFNA(VLOOKUP("CF",Pitch_Coef!$A:$B,2,FALSE),0),0)+IF(ISNUMBER(SEARCH("CH",H766)),IFNA(VLOOKUP("CH",Pitch_Coef!$A:$B,2,FALSE),0),0)+IF(ISNUMBER(SEARCH("FK",H766)),IFNA(VLOOKUP("FK",Pitch_Coef!$A:$B,2,FALSE),0),0)+IF(ISNUMBER(SEARCH("SB",H766)),IFNA(VLOOKUP("SB",Pitch_Coef!$A:$B,2,FALSE),0),0)+IF(ISNUMBER(SEARCH("SL",H766)),IFNA(VLOOKUP("SL",Pitch_Coef!$A:$B,2,FALSE),0),0),0)</f>
        <v/>
      </c>
      <c r="AA766">
        <f>IF(Q766="P",16.5944849573+0.2529999141*N766+0.2665900378*O766+0.2632687105*P766+0.0427586837*I766+0.0534777057*J766+0.009015832*K766+0.0204898106*(O766*P766/100)+1.0091022427*U766+1.0968542297*IF(D766="L",1,0)+0.3771555045*IF(D766="S",1,0)-0.2226159177*IF(E766="L",1,0)+1.21385024*R766-1.1652812274*S766+W766+X766+Z766,10.5965166711+0.2825983581*I766+0.2806503532*J766+0.2027213083*K766+0.1147824982*L766+0.0915305332*M766-0.0088454122*(I766*J766/100)-0.0336045706*(K766*L766/100)+2.8497389733*IF(D766="L",1,0)+4.5116226727*IF(D766="S",1,0)-0.6571546448*IF(E766="L",1,0)+0.0850728147*T766+0.0129488446*(T766*T766)+0.1909373936*IF(OR(F766="Utility",G766="Utility"),T766,0)+0.9656824071*R766-1.7517683256*S766+W766+X766+Y766)</f>
        <v/>
      </c>
      <c r="AB766">
        <f>LOOKUP(AA766,Grade_Scale!$A$2:$A$18,Grade_Scale!$B$2:$B$18)</f>
        <v/>
      </c>
      <c r="AC766">
        <f>LOOKUP(AA766,Grade_Scale!$A$2:$A$18,Grade_Scale!$C$2:$C$18)</f>
        <v/>
      </c>
      <c r="AE766">
        <f>IF(AD766="","",AB766-VLOOKUP(AD766,Grade_Scale!$C$2:$E$18,3,FALSE))</f>
        <v/>
      </c>
    </row>
    <row r="767">
      <c r="Q767">
        <f>IF(OR(B767="SP",B767="RP",B767="CP",B767="SP/RP"),"P","H")</f>
        <v/>
      </c>
      <c r="R767">
        <f>IF(F767="",0,IFNA(VLOOKUP(F767,Trait_Polarity!$A:$C,2,FALSE),0))+IF(G767="",0,IFNA(VLOOKUP(G767,Trait_Polarity!$A:$C,2,FALSE),0))</f>
        <v/>
      </c>
      <c r="S767">
        <f>IF(F767="",0,IFNA(VLOOKUP(F767,Trait_Polarity!$A:$C,3,FALSE),0))+IF(G767="",0,IFNA(VLOOKUP(G767,Trait_Polarity!$A:$C,3,FALSE),0))</f>
        <v/>
      </c>
      <c r="T767">
        <f>IF(Q767="P",0,IFNA(VLOOKUP(IF(C767="","(none)",C767),Secondary_Versatility!$A:$B,2,FALSE),0))</f>
        <v/>
      </c>
      <c r="U767">
        <f>IF(H767="",0,LEN(H767)-LEN(SUBSTITUTE(H767,"|",""))+1)</f>
        <v/>
      </c>
      <c r="V767">
        <f>IF(Q767="P",(N767+O767+P767)/3,0.3*I767+0.3*J767+0.2*K767+0.1*L767+0.1*M767)</f>
        <v/>
      </c>
      <c r="W767">
        <f>IF(Q767="P",IF(F767="",0,IFNA(VLOOKUP(F767,Pitcher_Trait_Coef!$A:$B,2,FALSE),0))+IF(G767="",0,IFNA(VLOOKUP(G767,Pitcher_Trait_Coef!$A:$B,2,FALSE),0)),IF(F767="",0,IFNA(VLOOKUP(F767,Hitter_Trait_Coef!$A:$B,2,FALSE),0))+IF(G767="",0,IFNA(VLOOKUP(G767,Hitter_Trait_Coef!$A:$B,2,FALSE),0)))</f>
        <v/>
      </c>
      <c r="X767">
        <f>IF(Q767="P",IFNA(VLOOKUP(B767,Pitcher_Primary_Coef!$A:$B,2,FALSE),0),IFNA(VLOOKUP(B767,Hitter_Primary_Coef!$A:$B,2,FALSE),0))</f>
        <v/>
      </c>
      <c r="Y767">
        <f>IF(Q767="P",0,IFNA(VLOOKUP(IF(C767="","(none)",C767),Hitter_Secondary_Coef!$A:$B,2,FALSE),0))</f>
        <v/>
      </c>
      <c r="Z767">
        <f>IF(Q767="P",IF(ISNUMBER(SEARCH("2F",H767)),IFNA(VLOOKUP("2F",Pitch_Coef!$A:$B,2,FALSE),0),0)+IF(ISNUMBER(SEARCH("4F",H767)),IFNA(VLOOKUP("4F",Pitch_Coef!$A:$B,2,FALSE),0),0)+IF(ISNUMBER(SEARCH("CB",H767)),IFNA(VLOOKUP("CB",Pitch_Coef!$A:$B,2,FALSE),0),0)+IF(ISNUMBER(SEARCH("CF",H767)),IFNA(VLOOKUP("CF",Pitch_Coef!$A:$B,2,FALSE),0),0)+IF(ISNUMBER(SEARCH("CH",H767)),IFNA(VLOOKUP("CH",Pitch_Coef!$A:$B,2,FALSE),0),0)+IF(ISNUMBER(SEARCH("FK",H767)),IFNA(VLOOKUP("FK",Pitch_Coef!$A:$B,2,FALSE),0),0)+IF(ISNUMBER(SEARCH("SB",H767)),IFNA(VLOOKUP("SB",Pitch_Coef!$A:$B,2,FALSE),0),0)+IF(ISNUMBER(SEARCH("SL",H767)),IFNA(VLOOKUP("SL",Pitch_Coef!$A:$B,2,FALSE),0),0),0)</f>
        <v/>
      </c>
      <c r="AA767">
        <f>IF(Q767="P",16.5944849573+0.2529999141*N767+0.2665900378*O767+0.2632687105*P767+0.0427586837*I767+0.0534777057*J767+0.009015832*K767+0.0204898106*(O767*P767/100)+1.0091022427*U767+1.0968542297*IF(D767="L",1,0)+0.3771555045*IF(D767="S",1,0)-0.2226159177*IF(E767="L",1,0)+1.21385024*R767-1.1652812274*S767+W767+X767+Z767,10.5965166711+0.2825983581*I767+0.2806503532*J767+0.2027213083*K767+0.1147824982*L767+0.0915305332*M767-0.0088454122*(I767*J767/100)-0.0336045706*(K767*L767/100)+2.8497389733*IF(D767="L",1,0)+4.5116226727*IF(D767="S",1,0)-0.6571546448*IF(E767="L",1,0)+0.0850728147*T767+0.0129488446*(T767*T767)+0.1909373936*IF(OR(F767="Utility",G767="Utility"),T767,0)+0.9656824071*R767-1.7517683256*S767+W767+X767+Y767)</f>
        <v/>
      </c>
      <c r="AB767">
        <f>LOOKUP(AA767,Grade_Scale!$A$2:$A$18,Grade_Scale!$B$2:$B$18)</f>
        <v/>
      </c>
      <c r="AC767">
        <f>LOOKUP(AA767,Grade_Scale!$A$2:$A$18,Grade_Scale!$C$2:$C$18)</f>
        <v/>
      </c>
      <c r="AE767">
        <f>IF(AD767="","",AB767-VLOOKUP(AD767,Grade_Scale!$C$2:$E$18,3,FALSE))</f>
        <v/>
      </c>
    </row>
    <row r="768">
      <c r="Q768">
        <f>IF(OR(B768="SP",B768="RP",B768="CP",B768="SP/RP"),"P","H")</f>
        <v/>
      </c>
      <c r="R768">
        <f>IF(F768="",0,IFNA(VLOOKUP(F768,Trait_Polarity!$A:$C,2,FALSE),0))+IF(G768="",0,IFNA(VLOOKUP(G768,Trait_Polarity!$A:$C,2,FALSE),0))</f>
        <v/>
      </c>
      <c r="S768">
        <f>IF(F768="",0,IFNA(VLOOKUP(F768,Trait_Polarity!$A:$C,3,FALSE),0))+IF(G768="",0,IFNA(VLOOKUP(G768,Trait_Polarity!$A:$C,3,FALSE),0))</f>
        <v/>
      </c>
      <c r="T768">
        <f>IF(Q768="P",0,IFNA(VLOOKUP(IF(C768="","(none)",C768),Secondary_Versatility!$A:$B,2,FALSE),0))</f>
        <v/>
      </c>
      <c r="U768">
        <f>IF(H768="",0,LEN(H768)-LEN(SUBSTITUTE(H768,"|",""))+1)</f>
        <v/>
      </c>
      <c r="V768">
        <f>IF(Q768="P",(N768+O768+P768)/3,0.3*I768+0.3*J768+0.2*K768+0.1*L768+0.1*M768)</f>
        <v/>
      </c>
      <c r="W768">
        <f>IF(Q768="P",IF(F768="",0,IFNA(VLOOKUP(F768,Pitcher_Trait_Coef!$A:$B,2,FALSE),0))+IF(G768="",0,IFNA(VLOOKUP(G768,Pitcher_Trait_Coef!$A:$B,2,FALSE),0)),IF(F768="",0,IFNA(VLOOKUP(F768,Hitter_Trait_Coef!$A:$B,2,FALSE),0))+IF(G768="",0,IFNA(VLOOKUP(G768,Hitter_Trait_Coef!$A:$B,2,FALSE),0)))</f>
        <v/>
      </c>
      <c r="X768">
        <f>IF(Q768="P",IFNA(VLOOKUP(B768,Pitcher_Primary_Coef!$A:$B,2,FALSE),0),IFNA(VLOOKUP(B768,Hitter_Primary_Coef!$A:$B,2,FALSE),0))</f>
        <v/>
      </c>
      <c r="Y768">
        <f>IF(Q768="P",0,IFNA(VLOOKUP(IF(C768="","(none)",C768),Hitter_Secondary_Coef!$A:$B,2,FALSE),0))</f>
        <v/>
      </c>
      <c r="Z768">
        <f>IF(Q768="P",IF(ISNUMBER(SEARCH("2F",H768)),IFNA(VLOOKUP("2F",Pitch_Coef!$A:$B,2,FALSE),0),0)+IF(ISNUMBER(SEARCH("4F",H768)),IFNA(VLOOKUP("4F",Pitch_Coef!$A:$B,2,FALSE),0),0)+IF(ISNUMBER(SEARCH("CB",H768)),IFNA(VLOOKUP("CB",Pitch_Coef!$A:$B,2,FALSE),0),0)+IF(ISNUMBER(SEARCH("CF",H768)),IFNA(VLOOKUP("CF",Pitch_Coef!$A:$B,2,FALSE),0),0)+IF(ISNUMBER(SEARCH("CH",H768)),IFNA(VLOOKUP("CH",Pitch_Coef!$A:$B,2,FALSE),0),0)+IF(ISNUMBER(SEARCH("FK",H768)),IFNA(VLOOKUP("FK",Pitch_Coef!$A:$B,2,FALSE),0),0)+IF(ISNUMBER(SEARCH("SB",H768)),IFNA(VLOOKUP("SB",Pitch_Coef!$A:$B,2,FALSE),0),0)+IF(ISNUMBER(SEARCH("SL",H768)),IFNA(VLOOKUP("SL",Pitch_Coef!$A:$B,2,FALSE),0),0),0)</f>
        <v/>
      </c>
      <c r="AA768">
        <f>IF(Q768="P",16.5944849573+0.2529999141*N768+0.2665900378*O768+0.2632687105*P768+0.0427586837*I768+0.0534777057*J768+0.009015832*K768+0.0204898106*(O768*P768/100)+1.0091022427*U768+1.0968542297*IF(D768="L",1,0)+0.3771555045*IF(D768="S",1,0)-0.2226159177*IF(E768="L",1,0)+1.21385024*R768-1.1652812274*S768+W768+X768+Z768,10.5965166711+0.2825983581*I768+0.2806503532*J768+0.2027213083*K768+0.1147824982*L768+0.0915305332*M768-0.0088454122*(I768*J768/100)-0.0336045706*(K768*L768/100)+2.8497389733*IF(D768="L",1,0)+4.5116226727*IF(D768="S",1,0)-0.6571546448*IF(E768="L",1,0)+0.0850728147*T768+0.0129488446*(T768*T768)+0.1909373936*IF(OR(F768="Utility",G768="Utility"),T768,0)+0.9656824071*R768-1.7517683256*S768+W768+X768+Y768)</f>
        <v/>
      </c>
      <c r="AB768">
        <f>LOOKUP(AA768,Grade_Scale!$A$2:$A$18,Grade_Scale!$B$2:$B$18)</f>
        <v/>
      </c>
      <c r="AC768">
        <f>LOOKUP(AA768,Grade_Scale!$A$2:$A$18,Grade_Scale!$C$2:$C$18)</f>
        <v/>
      </c>
      <c r="AE768">
        <f>IF(AD768="","",AB768-VLOOKUP(AD768,Grade_Scale!$C$2:$E$18,3,FALSE))</f>
        <v/>
      </c>
    </row>
    <row r="769">
      <c r="Q769">
        <f>IF(OR(B769="SP",B769="RP",B769="CP",B769="SP/RP"),"P","H")</f>
        <v/>
      </c>
      <c r="R769">
        <f>IF(F769="",0,IFNA(VLOOKUP(F769,Trait_Polarity!$A:$C,2,FALSE),0))+IF(G769="",0,IFNA(VLOOKUP(G769,Trait_Polarity!$A:$C,2,FALSE),0))</f>
        <v/>
      </c>
      <c r="S769">
        <f>IF(F769="",0,IFNA(VLOOKUP(F769,Trait_Polarity!$A:$C,3,FALSE),0))+IF(G769="",0,IFNA(VLOOKUP(G769,Trait_Polarity!$A:$C,3,FALSE),0))</f>
        <v/>
      </c>
      <c r="T769">
        <f>IF(Q769="P",0,IFNA(VLOOKUP(IF(C769="","(none)",C769),Secondary_Versatility!$A:$B,2,FALSE),0))</f>
        <v/>
      </c>
      <c r="U769">
        <f>IF(H769="",0,LEN(H769)-LEN(SUBSTITUTE(H769,"|",""))+1)</f>
        <v/>
      </c>
      <c r="V769">
        <f>IF(Q769="P",(N769+O769+P769)/3,0.3*I769+0.3*J769+0.2*K769+0.1*L769+0.1*M769)</f>
        <v/>
      </c>
      <c r="W769">
        <f>IF(Q769="P",IF(F769="",0,IFNA(VLOOKUP(F769,Pitcher_Trait_Coef!$A:$B,2,FALSE),0))+IF(G769="",0,IFNA(VLOOKUP(G769,Pitcher_Trait_Coef!$A:$B,2,FALSE),0)),IF(F769="",0,IFNA(VLOOKUP(F769,Hitter_Trait_Coef!$A:$B,2,FALSE),0))+IF(G769="",0,IFNA(VLOOKUP(G769,Hitter_Trait_Coef!$A:$B,2,FALSE),0)))</f>
        <v/>
      </c>
      <c r="X769">
        <f>IF(Q769="P",IFNA(VLOOKUP(B769,Pitcher_Primary_Coef!$A:$B,2,FALSE),0),IFNA(VLOOKUP(B769,Hitter_Primary_Coef!$A:$B,2,FALSE),0))</f>
        <v/>
      </c>
      <c r="Y769">
        <f>IF(Q769="P",0,IFNA(VLOOKUP(IF(C769="","(none)",C769),Hitter_Secondary_Coef!$A:$B,2,FALSE),0))</f>
        <v/>
      </c>
      <c r="Z769">
        <f>IF(Q769="P",IF(ISNUMBER(SEARCH("2F",H769)),IFNA(VLOOKUP("2F",Pitch_Coef!$A:$B,2,FALSE),0),0)+IF(ISNUMBER(SEARCH("4F",H769)),IFNA(VLOOKUP("4F",Pitch_Coef!$A:$B,2,FALSE),0),0)+IF(ISNUMBER(SEARCH("CB",H769)),IFNA(VLOOKUP("CB",Pitch_Coef!$A:$B,2,FALSE),0),0)+IF(ISNUMBER(SEARCH("CF",H769)),IFNA(VLOOKUP("CF",Pitch_Coef!$A:$B,2,FALSE),0),0)+IF(ISNUMBER(SEARCH("CH",H769)),IFNA(VLOOKUP("CH",Pitch_Coef!$A:$B,2,FALSE),0),0)+IF(ISNUMBER(SEARCH("FK",H769)),IFNA(VLOOKUP("FK",Pitch_Coef!$A:$B,2,FALSE),0),0)+IF(ISNUMBER(SEARCH("SB",H769)),IFNA(VLOOKUP("SB",Pitch_Coef!$A:$B,2,FALSE),0),0)+IF(ISNUMBER(SEARCH("SL",H769)),IFNA(VLOOKUP("SL",Pitch_Coef!$A:$B,2,FALSE),0),0),0)</f>
        <v/>
      </c>
      <c r="AA769">
        <f>IF(Q769="P",16.5944849573+0.2529999141*N769+0.2665900378*O769+0.2632687105*P769+0.0427586837*I769+0.0534777057*J769+0.009015832*K769+0.0204898106*(O769*P769/100)+1.0091022427*U769+1.0968542297*IF(D769="L",1,0)+0.3771555045*IF(D769="S",1,0)-0.2226159177*IF(E769="L",1,0)+1.21385024*R769-1.1652812274*S769+W769+X769+Z769,10.5965166711+0.2825983581*I769+0.2806503532*J769+0.2027213083*K769+0.1147824982*L769+0.0915305332*M769-0.0088454122*(I769*J769/100)-0.0336045706*(K769*L769/100)+2.8497389733*IF(D769="L",1,0)+4.5116226727*IF(D769="S",1,0)-0.6571546448*IF(E769="L",1,0)+0.0850728147*T769+0.0129488446*(T769*T769)+0.1909373936*IF(OR(F769="Utility",G769="Utility"),T769,0)+0.9656824071*R769-1.7517683256*S769+W769+X769+Y769)</f>
        <v/>
      </c>
      <c r="AB769">
        <f>LOOKUP(AA769,Grade_Scale!$A$2:$A$18,Grade_Scale!$B$2:$B$18)</f>
        <v/>
      </c>
      <c r="AC769">
        <f>LOOKUP(AA769,Grade_Scale!$A$2:$A$18,Grade_Scale!$C$2:$C$18)</f>
        <v/>
      </c>
      <c r="AE769">
        <f>IF(AD769="","",AB769-VLOOKUP(AD769,Grade_Scale!$C$2:$E$18,3,FALSE))</f>
        <v/>
      </c>
    </row>
    <row r="770">
      <c r="Q770">
        <f>IF(OR(B770="SP",B770="RP",B770="CP",B770="SP/RP"),"P","H")</f>
        <v/>
      </c>
      <c r="R770">
        <f>IF(F770="",0,IFNA(VLOOKUP(F770,Trait_Polarity!$A:$C,2,FALSE),0))+IF(G770="",0,IFNA(VLOOKUP(G770,Trait_Polarity!$A:$C,2,FALSE),0))</f>
        <v/>
      </c>
      <c r="S770">
        <f>IF(F770="",0,IFNA(VLOOKUP(F770,Trait_Polarity!$A:$C,3,FALSE),0))+IF(G770="",0,IFNA(VLOOKUP(G770,Trait_Polarity!$A:$C,3,FALSE),0))</f>
        <v/>
      </c>
      <c r="T770">
        <f>IF(Q770="P",0,IFNA(VLOOKUP(IF(C770="","(none)",C770),Secondary_Versatility!$A:$B,2,FALSE),0))</f>
        <v/>
      </c>
      <c r="U770">
        <f>IF(H770="",0,LEN(H770)-LEN(SUBSTITUTE(H770,"|",""))+1)</f>
        <v/>
      </c>
      <c r="V770">
        <f>IF(Q770="P",(N770+O770+P770)/3,0.3*I770+0.3*J770+0.2*K770+0.1*L770+0.1*M770)</f>
        <v/>
      </c>
      <c r="W770">
        <f>IF(Q770="P",IF(F770="",0,IFNA(VLOOKUP(F770,Pitcher_Trait_Coef!$A:$B,2,FALSE),0))+IF(G770="",0,IFNA(VLOOKUP(G770,Pitcher_Trait_Coef!$A:$B,2,FALSE),0)),IF(F770="",0,IFNA(VLOOKUP(F770,Hitter_Trait_Coef!$A:$B,2,FALSE),0))+IF(G770="",0,IFNA(VLOOKUP(G770,Hitter_Trait_Coef!$A:$B,2,FALSE),0)))</f>
        <v/>
      </c>
      <c r="X770">
        <f>IF(Q770="P",IFNA(VLOOKUP(B770,Pitcher_Primary_Coef!$A:$B,2,FALSE),0),IFNA(VLOOKUP(B770,Hitter_Primary_Coef!$A:$B,2,FALSE),0))</f>
        <v/>
      </c>
      <c r="Y770">
        <f>IF(Q770="P",0,IFNA(VLOOKUP(IF(C770="","(none)",C770),Hitter_Secondary_Coef!$A:$B,2,FALSE),0))</f>
        <v/>
      </c>
      <c r="Z770">
        <f>IF(Q770="P",IF(ISNUMBER(SEARCH("2F",H770)),IFNA(VLOOKUP("2F",Pitch_Coef!$A:$B,2,FALSE),0),0)+IF(ISNUMBER(SEARCH("4F",H770)),IFNA(VLOOKUP("4F",Pitch_Coef!$A:$B,2,FALSE),0),0)+IF(ISNUMBER(SEARCH("CB",H770)),IFNA(VLOOKUP("CB",Pitch_Coef!$A:$B,2,FALSE),0),0)+IF(ISNUMBER(SEARCH("CF",H770)),IFNA(VLOOKUP("CF",Pitch_Coef!$A:$B,2,FALSE),0),0)+IF(ISNUMBER(SEARCH("CH",H770)),IFNA(VLOOKUP("CH",Pitch_Coef!$A:$B,2,FALSE),0),0)+IF(ISNUMBER(SEARCH("FK",H770)),IFNA(VLOOKUP("FK",Pitch_Coef!$A:$B,2,FALSE),0),0)+IF(ISNUMBER(SEARCH("SB",H770)),IFNA(VLOOKUP("SB",Pitch_Coef!$A:$B,2,FALSE),0),0)+IF(ISNUMBER(SEARCH("SL",H770)),IFNA(VLOOKUP("SL",Pitch_Coef!$A:$B,2,FALSE),0),0),0)</f>
        <v/>
      </c>
      <c r="AA770">
        <f>IF(Q770="P",16.5944849573+0.2529999141*N770+0.2665900378*O770+0.2632687105*P770+0.0427586837*I770+0.0534777057*J770+0.009015832*K770+0.0204898106*(O770*P770/100)+1.0091022427*U770+1.0968542297*IF(D770="L",1,0)+0.3771555045*IF(D770="S",1,0)-0.2226159177*IF(E770="L",1,0)+1.21385024*R770-1.1652812274*S770+W770+X770+Z770,10.5965166711+0.2825983581*I770+0.2806503532*J770+0.2027213083*K770+0.1147824982*L770+0.0915305332*M770-0.0088454122*(I770*J770/100)-0.0336045706*(K770*L770/100)+2.8497389733*IF(D770="L",1,0)+4.5116226727*IF(D770="S",1,0)-0.6571546448*IF(E770="L",1,0)+0.0850728147*T770+0.0129488446*(T770*T770)+0.1909373936*IF(OR(F770="Utility",G770="Utility"),T770,0)+0.9656824071*R770-1.7517683256*S770+W770+X770+Y770)</f>
        <v/>
      </c>
      <c r="AB770">
        <f>LOOKUP(AA770,Grade_Scale!$A$2:$A$18,Grade_Scale!$B$2:$B$18)</f>
        <v/>
      </c>
      <c r="AC770">
        <f>LOOKUP(AA770,Grade_Scale!$A$2:$A$18,Grade_Scale!$C$2:$C$18)</f>
        <v/>
      </c>
      <c r="AE770">
        <f>IF(AD770="","",AB770-VLOOKUP(AD770,Grade_Scale!$C$2:$E$18,3,FALSE))</f>
        <v/>
      </c>
    </row>
    <row r="771">
      <c r="Q771">
        <f>IF(OR(B771="SP",B771="RP",B771="CP",B771="SP/RP"),"P","H")</f>
        <v/>
      </c>
      <c r="R771">
        <f>IF(F771="",0,IFNA(VLOOKUP(F771,Trait_Polarity!$A:$C,2,FALSE),0))+IF(G771="",0,IFNA(VLOOKUP(G771,Trait_Polarity!$A:$C,2,FALSE),0))</f>
        <v/>
      </c>
      <c r="S771">
        <f>IF(F771="",0,IFNA(VLOOKUP(F771,Trait_Polarity!$A:$C,3,FALSE),0))+IF(G771="",0,IFNA(VLOOKUP(G771,Trait_Polarity!$A:$C,3,FALSE),0))</f>
        <v/>
      </c>
      <c r="T771">
        <f>IF(Q771="P",0,IFNA(VLOOKUP(IF(C771="","(none)",C771),Secondary_Versatility!$A:$B,2,FALSE),0))</f>
        <v/>
      </c>
      <c r="U771">
        <f>IF(H771="",0,LEN(H771)-LEN(SUBSTITUTE(H771,"|",""))+1)</f>
        <v/>
      </c>
      <c r="V771">
        <f>IF(Q771="P",(N771+O771+P771)/3,0.3*I771+0.3*J771+0.2*K771+0.1*L771+0.1*M771)</f>
        <v/>
      </c>
      <c r="W771">
        <f>IF(Q771="P",IF(F771="",0,IFNA(VLOOKUP(F771,Pitcher_Trait_Coef!$A:$B,2,FALSE),0))+IF(G771="",0,IFNA(VLOOKUP(G771,Pitcher_Trait_Coef!$A:$B,2,FALSE),0)),IF(F771="",0,IFNA(VLOOKUP(F771,Hitter_Trait_Coef!$A:$B,2,FALSE),0))+IF(G771="",0,IFNA(VLOOKUP(G771,Hitter_Trait_Coef!$A:$B,2,FALSE),0)))</f>
        <v/>
      </c>
      <c r="X771">
        <f>IF(Q771="P",IFNA(VLOOKUP(B771,Pitcher_Primary_Coef!$A:$B,2,FALSE),0),IFNA(VLOOKUP(B771,Hitter_Primary_Coef!$A:$B,2,FALSE),0))</f>
        <v/>
      </c>
      <c r="Y771">
        <f>IF(Q771="P",0,IFNA(VLOOKUP(IF(C771="","(none)",C771),Hitter_Secondary_Coef!$A:$B,2,FALSE),0))</f>
        <v/>
      </c>
      <c r="Z771">
        <f>IF(Q771="P",IF(ISNUMBER(SEARCH("2F",H771)),IFNA(VLOOKUP("2F",Pitch_Coef!$A:$B,2,FALSE),0),0)+IF(ISNUMBER(SEARCH("4F",H771)),IFNA(VLOOKUP("4F",Pitch_Coef!$A:$B,2,FALSE),0),0)+IF(ISNUMBER(SEARCH("CB",H771)),IFNA(VLOOKUP("CB",Pitch_Coef!$A:$B,2,FALSE),0),0)+IF(ISNUMBER(SEARCH("CF",H771)),IFNA(VLOOKUP("CF",Pitch_Coef!$A:$B,2,FALSE),0),0)+IF(ISNUMBER(SEARCH("CH",H771)),IFNA(VLOOKUP("CH",Pitch_Coef!$A:$B,2,FALSE),0),0)+IF(ISNUMBER(SEARCH("FK",H771)),IFNA(VLOOKUP("FK",Pitch_Coef!$A:$B,2,FALSE),0),0)+IF(ISNUMBER(SEARCH("SB",H771)),IFNA(VLOOKUP("SB",Pitch_Coef!$A:$B,2,FALSE),0),0)+IF(ISNUMBER(SEARCH("SL",H771)),IFNA(VLOOKUP("SL",Pitch_Coef!$A:$B,2,FALSE),0),0),0)</f>
        <v/>
      </c>
      <c r="AA771">
        <f>IF(Q771="P",16.5944849573+0.2529999141*N771+0.2665900378*O771+0.2632687105*P771+0.0427586837*I771+0.0534777057*J771+0.009015832*K771+0.0204898106*(O771*P771/100)+1.0091022427*U771+1.0968542297*IF(D771="L",1,0)+0.3771555045*IF(D771="S",1,0)-0.2226159177*IF(E771="L",1,0)+1.21385024*R771-1.1652812274*S771+W771+X771+Z771,10.5965166711+0.2825983581*I771+0.2806503532*J771+0.2027213083*K771+0.1147824982*L771+0.0915305332*M771-0.0088454122*(I771*J771/100)-0.0336045706*(K771*L771/100)+2.8497389733*IF(D771="L",1,0)+4.5116226727*IF(D771="S",1,0)-0.6571546448*IF(E771="L",1,0)+0.0850728147*T771+0.0129488446*(T771*T771)+0.1909373936*IF(OR(F771="Utility",G771="Utility"),T771,0)+0.9656824071*R771-1.7517683256*S771+W771+X771+Y771)</f>
        <v/>
      </c>
      <c r="AB771">
        <f>LOOKUP(AA771,Grade_Scale!$A$2:$A$18,Grade_Scale!$B$2:$B$18)</f>
        <v/>
      </c>
      <c r="AC771">
        <f>LOOKUP(AA771,Grade_Scale!$A$2:$A$18,Grade_Scale!$C$2:$C$18)</f>
        <v/>
      </c>
      <c r="AE771">
        <f>IF(AD771="","",AB771-VLOOKUP(AD771,Grade_Scale!$C$2:$E$18,3,FALSE))</f>
        <v/>
      </c>
    </row>
    <row r="772">
      <c r="Q772">
        <f>IF(OR(B772="SP",B772="RP",B772="CP",B772="SP/RP"),"P","H")</f>
        <v/>
      </c>
      <c r="R772">
        <f>IF(F772="",0,IFNA(VLOOKUP(F772,Trait_Polarity!$A:$C,2,FALSE),0))+IF(G772="",0,IFNA(VLOOKUP(G772,Trait_Polarity!$A:$C,2,FALSE),0))</f>
        <v/>
      </c>
      <c r="S772">
        <f>IF(F772="",0,IFNA(VLOOKUP(F772,Trait_Polarity!$A:$C,3,FALSE),0))+IF(G772="",0,IFNA(VLOOKUP(G772,Trait_Polarity!$A:$C,3,FALSE),0))</f>
        <v/>
      </c>
      <c r="T772">
        <f>IF(Q772="P",0,IFNA(VLOOKUP(IF(C772="","(none)",C772),Secondary_Versatility!$A:$B,2,FALSE),0))</f>
        <v/>
      </c>
      <c r="U772">
        <f>IF(H772="",0,LEN(H772)-LEN(SUBSTITUTE(H772,"|",""))+1)</f>
        <v/>
      </c>
      <c r="V772">
        <f>IF(Q772="P",(N772+O772+P772)/3,0.3*I772+0.3*J772+0.2*K772+0.1*L772+0.1*M772)</f>
        <v/>
      </c>
      <c r="W772">
        <f>IF(Q772="P",IF(F772="",0,IFNA(VLOOKUP(F772,Pitcher_Trait_Coef!$A:$B,2,FALSE),0))+IF(G772="",0,IFNA(VLOOKUP(G772,Pitcher_Trait_Coef!$A:$B,2,FALSE),0)),IF(F772="",0,IFNA(VLOOKUP(F772,Hitter_Trait_Coef!$A:$B,2,FALSE),0))+IF(G772="",0,IFNA(VLOOKUP(G772,Hitter_Trait_Coef!$A:$B,2,FALSE),0)))</f>
        <v/>
      </c>
      <c r="X772">
        <f>IF(Q772="P",IFNA(VLOOKUP(B772,Pitcher_Primary_Coef!$A:$B,2,FALSE),0),IFNA(VLOOKUP(B772,Hitter_Primary_Coef!$A:$B,2,FALSE),0))</f>
        <v/>
      </c>
      <c r="Y772">
        <f>IF(Q772="P",0,IFNA(VLOOKUP(IF(C772="","(none)",C772),Hitter_Secondary_Coef!$A:$B,2,FALSE),0))</f>
        <v/>
      </c>
      <c r="Z772">
        <f>IF(Q772="P",IF(ISNUMBER(SEARCH("2F",H772)),IFNA(VLOOKUP("2F",Pitch_Coef!$A:$B,2,FALSE),0),0)+IF(ISNUMBER(SEARCH("4F",H772)),IFNA(VLOOKUP("4F",Pitch_Coef!$A:$B,2,FALSE),0),0)+IF(ISNUMBER(SEARCH("CB",H772)),IFNA(VLOOKUP("CB",Pitch_Coef!$A:$B,2,FALSE),0),0)+IF(ISNUMBER(SEARCH("CF",H772)),IFNA(VLOOKUP("CF",Pitch_Coef!$A:$B,2,FALSE),0),0)+IF(ISNUMBER(SEARCH("CH",H772)),IFNA(VLOOKUP("CH",Pitch_Coef!$A:$B,2,FALSE),0),0)+IF(ISNUMBER(SEARCH("FK",H772)),IFNA(VLOOKUP("FK",Pitch_Coef!$A:$B,2,FALSE),0),0)+IF(ISNUMBER(SEARCH("SB",H772)),IFNA(VLOOKUP("SB",Pitch_Coef!$A:$B,2,FALSE),0),0)+IF(ISNUMBER(SEARCH("SL",H772)),IFNA(VLOOKUP("SL",Pitch_Coef!$A:$B,2,FALSE),0),0),0)</f>
        <v/>
      </c>
      <c r="AA772">
        <f>IF(Q772="P",16.5944849573+0.2529999141*N772+0.2665900378*O772+0.2632687105*P772+0.0427586837*I772+0.0534777057*J772+0.009015832*K772+0.0204898106*(O772*P772/100)+1.0091022427*U772+1.0968542297*IF(D772="L",1,0)+0.3771555045*IF(D772="S",1,0)-0.2226159177*IF(E772="L",1,0)+1.21385024*R772-1.1652812274*S772+W772+X772+Z772,10.5965166711+0.2825983581*I772+0.2806503532*J772+0.2027213083*K772+0.1147824982*L772+0.0915305332*M772-0.0088454122*(I772*J772/100)-0.0336045706*(K772*L772/100)+2.8497389733*IF(D772="L",1,0)+4.5116226727*IF(D772="S",1,0)-0.6571546448*IF(E772="L",1,0)+0.0850728147*T772+0.0129488446*(T772*T772)+0.1909373936*IF(OR(F772="Utility",G772="Utility"),T772,0)+0.9656824071*R772-1.7517683256*S772+W772+X772+Y772)</f>
        <v/>
      </c>
      <c r="AB772">
        <f>LOOKUP(AA772,Grade_Scale!$A$2:$A$18,Grade_Scale!$B$2:$B$18)</f>
        <v/>
      </c>
      <c r="AC772">
        <f>LOOKUP(AA772,Grade_Scale!$A$2:$A$18,Grade_Scale!$C$2:$C$18)</f>
        <v/>
      </c>
      <c r="AE772">
        <f>IF(AD772="","",AB772-VLOOKUP(AD772,Grade_Scale!$C$2:$E$18,3,FALSE))</f>
        <v/>
      </c>
    </row>
    <row r="773">
      <c r="Q773">
        <f>IF(OR(B773="SP",B773="RP",B773="CP",B773="SP/RP"),"P","H")</f>
        <v/>
      </c>
      <c r="R773">
        <f>IF(F773="",0,IFNA(VLOOKUP(F773,Trait_Polarity!$A:$C,2,FALSE),0))+IF(G773="",0,IFNA(VLOOKUP(G773,Trait_Polarity!$A:$C,2,FALSE),0))</f>
        <v/>
      </c>
      <c r="S773">
        <f>IF(F773="",0,IFNA(VLOOKUP(F773,Trait_Polarity!$A:$C,3,FALSE),0))+IF(G773="",0,IFNA(VLOOKUP(G773,Trait_Polarity!$A:$C,3,FALSE),0))</f>
        <v/>
      </c>
      <c r="T773">
        <f>IF(Q773="P",0,IFNA(VLOOKUP(IF(C773="","(none)",C773),Secondary_Versatility!$A:$B,2,FALSE),0))</f>
        <v/>
      </c>
      <c r="U773">
        <f>IF(H773="",0,LEN(H773)-LEN(SUBSTITUTE(H773,"|",""))+1)</f>
        <v/>
      </c>
      <c r="V773">
        <f>IF(Q773="P",(N773+O773+P773)/3,0.3*I773+0.3*J773+0.2*K773+0.1*L773+0.1*M773)</f>
        <v/>
      </c>
      <c r="W773">
        <f>IF(Q773="P",IF(F773="",0,IFNA(VLOOKUP(F773,Pitcher_Trait_Coef!$A:$B,2,FALSE),0))+IF(G773="",0,IFNA(VLOOKUP(G773,Pitcher_Trait_Coef!$A:$B,2,FALSE),0)),IF(F773="",0,IFNA(VLOOKUP(F773,Hitter_Trait_Coef!$A:$B,2,FALSE),0))+IF(G773="",0,IFNA(VLOOKUP(G773,Hitter_Trait_Coef!$A:$B,2,FALSE),0)))</f>
        <v/>
      </c>
      <c r="X773">
        <f>IF(Q773="P",IFNA(VLOOKUP(B773,Pitcher_Primary_Coef!$A:$B,2,FALSE),0),IFNA(VLOOKUP(B773,Hitter_Primary_Coef!$A:$B,2,FALSE),0))</f>
        <v/>
      </c>
      <c r="Y773">
        <f>IF(Q773="P",0,IFNA(VLOOKUP(IF(C773="","(none)",C773),Hitter_Secondary_Coef!$A:$B,2,FALSE),0))</f>
        <v/>
      </c>
      <c r="Z773">
        <f>IF(Q773="P",IF(ISNUMBER(SEARCH("2F",H773)),IFNA(VLOOKUP("2F",Pitch_Coef!$A:$B,2,FALSE),0),0)+IF(ISNUMBER(SEARCH("4F",H773)),IFNA(VLOOKUP("4F",Pitch_Coef!$A:$B,2,FALSE),0),0)+IF(ISNUMBER(SEARCH("CB",H773)),IFNA(VLOOKUP("CB",Pitch_Coef!$A:$B,2,FALSE),0),0)+IF(ISNUMBER(SEARCH("CF",H773)),IFNA(VLOOKUP("CF",Pitch_Coef!$A:$B,2,FALSE),0),0)+IF(ISNUMBER(SEARCH("CH",H773)),IFNA(VLOOKUP("CH",Pitch_Coef!$A:$B,2,FALSE),0),0)+IF(ISNUMBER(SEARCH("FK",H773)),IFNA(VLOOKUP("FK",Pitch_Coef!$A:$B,2,FALSE),0),0)+IF(ISNUMBER(SEARCH("SB",H773)),IFNA(VLOOKUP("SB",Pitch_Coef!$A:$B,2,FALSE),0),0)+IF(ISNUMBER(SEARCH("SL",H773)),IFNA(VLOOKUP("SL",Pitch_Coef!$A:$B,2,FALSE),0),0),0)</f>
        <v/>
      </c>
      <c r="AA773">
        <f>IF(Q773="P",16.5944849573+0.2529999141*N773+0.2665900378*O773+0.2632687105*P773+0.0427586837*I773+0.0534777057*J773+0.009015832*K773+0.0204898106*(O773*P773/100)+1.0091022427*U773+1.0968542297*IF(D773="L",1,0)+0.3771555045*IF(D773="S",1,0)-0.2226159177*IF(E773="L",1,0)+1.21385024*R773-1.1652812274*S773+W773+X773+Z773,10.5965166711+0.2825983581*I773+0.2806503532*J773+0.2027213083*K773+0.1147824982*L773+0.0915305332*M773-0.0088454122*(I773*J773/100)-0.0336045706*(K773*L773/100)+2.8497389733*IF(D773="L",1,0)+4.5116226727*IF(D773="S",1,0)-0.6571546448*IF(E773="L",1,0)+0.0850728147*T773+0.0129488446*(T773*T773)+0.1909373936*IF(OR(F773="Utility",G773="Utility"),T773,0)+0.9656824071*R773-1.7517683256*S773+W773+X773+Y773)</f>
        <v/>
      </c>
      <c r="AB773">
        <f>LOOKUP(AA773,Grade_Scale!$A$2:$A$18,Grade_Scale!$B$2:$B$18)</f>
        <v/>
      </c>
      <c r="AC773">
        <f>LOOKUP(AA773,Grade_Scale!$A$2:$A$18,Grade_Scale!$C$2:$C$18)</f>
        <v/>
      </c>
      <c r="AE773">
        <f>IF(AD773="","",AB773-VLOOKUP(AD773,Grade_Scale!$C$2:$E$18,3,FALSE))</f>
        <v/>
      </c>
    </row>
    <row r="774">
      <c r="Q774">
        <f>IF(OR(B774="SP",B774="RP",B774="CP",B774="SP/RP"),"P","H")</f>
        <v/>
      </c>
      <c r="R774">
        <f>IF(F774="",0,IFNA(VLOOKUP(F774,Trait_Polarity!$A:$C,2,FALSE),0))+IF(G774="",0,IFNA(VLOOKUP(G774,Trait_Polarity!$A:$C,2,FALSE),0))</f>
        <v/>
      </c>
      <c r="S774">
        <f>IF(F774="",0,IFNA(VLOOKUP(F774,Trait_Polarity!$A:$C,3,FALSE),0))+IF(G774="",0,IFNA(VLOOKUP(G774,Trait_Polarity!$A:$C,3,FALSE),0))</f>
        <v/>
      </c>
      <c r="T774">
        <f>IF(Q774="P",0,IFNA(VLOOKUP(IF(C774="","(none)",C774),Secondary_Versatility!$A:$B,2,FALSE),0))</f>
        <v/>
      </c>
      <c r="U774">
        <f>IF(H774="",0,LEN(H774)-LEN(SUBSTITUTE(H774,"|",""))+1)</f>
        <v/>
      </c>
      <c r="V774">
        <f>IF(Q774="P",(N774+O774+P774)/3,0.3*I774+0.3*J774+0.2*K774+0.1*L774+0.1*M774)</f>
        <v/>
      </c>
      <c r="W774">
        <f>IF(Q774="P",IF(F774="",0,IFNA(VLOOKUP(F774,Pitcher_Trait_Coef!$A:$B,2,FALSE),0))+IF(G774="",0,IFNA(VLOOKUP(G774,Pitcher_Trait_Coef!$A:$B,2,FALSE),0)),IF(F774="",0,IFNA(VLOOKUP(F774,Hitter_Trait_Coef!$A:$B,2,FALSE),0))+IF(G774="",0,IFNA(VLOOKUP(G774,Hitter_Trait_Coef!$A:$B,2,FALSE),0)))</f>
        <v/>
      </c>
      <c r="X774">
        <f>IF(Q774="P",IFNA(VLOOKUP(B774,Pitcher_Primary_Coef!$A:$B,2,FALSE),0),IFNA(VLOOKUP(B774,Hitter_Primary_Coef!$A:$B,2,FALSE),0))</f>
        <v/>
      </c>
      <c r="Y774">
        <f>IF(Q774="P",0,IFNA(VLOOKUP(IF(C774="","(none)",C774),Hitter_Secondary_Coef!$A:$B,2,FALSE),0))</f>
        <v/>
      </c>
      <c r="Z774">
        <f>IF(Q774="P",IF(ISNUMBER(SEARCH("2F",H774)),IFNA(VLOOKUP("2F",Pitch_Coef!$A:$B,2,FALSE),0),0)+IF(ISNUMBER(SEARCH("4F",H774)),IFNA(VLOOKUP("4F",Pitch_Coef!$A:$B,2,FALSE),0),0)+IF(ISNUMBER(SEARCH("CB",H774)),IFNA(VLOOKUP("CB",Pitch_Coef!$A:$B,2,FALSE),0),0)+IF(ISNUMBER(SEARCH("CF",H774)),IFNA(VLOOKUP("CF",Pitch_Coef!$A:$B,2,FALSE),0),0)+IF(ISNUMBER(SEARCH("CH",H774)),IFNA(VLOOKUP("CH",Pitch_Coef!$A:$B,2,FALSE),0),0)+IF(ISNUMBER(SEARCH("FK",H774)),IFNA(VLOOKUP("FK",Pitch_Coef!$A:$B,2,FALSE),0),0)+IF(ISNUMBER(SEARCH("SB",H774)),IFNA(VLOOKUP("SB",Pitch_Coef!$A:$B,2,FALSE),0),0)+IF(ISNUMBER(SEARCH("SL",H774)),IFNA(VLOOKUP("SL",Pitch_Coef!$A:$B,2,FALSE),0),0),0)</f>
        <v/>
      </c>
      <c r="AA774">
        <f>IF(Q774="P",16.5944849573+0.2529999141*N774+0.2665900378*O774+0.2632687105*P774+0.0427586837*I774+0.0534777057*J774+0.009015832*K774+0.0204898106*(O774*P774/100)+1.0091022427*U774+1.0968542297*IF(D774="L",1,0)+0.3771555045*IF(D774="S",1,0)-0.2226159177*IF(E774="L",1,0)+1.21385024*R774-1.1652812274*S774+W774+X774+Z774,10.5965166711+0.2825983581*I774+0.2806503532*J774+0.2027213083*K774+0.1147824982*L774+0.0915305332*M774-0.0088454122*(I774*J774/100)-0.0336045706*(K774*L774/100)+2.8497389733*IF(D774="L",1,0)+4.5116226727*IF(D774="S",1,0)-0.6571546448*IF(E774="L",1,0)+0.0850728147*T774+0.0129488446*(T774*T774)+0.1909373936*IF(OR(F774="Utility",G774="Utility"),T774,0)+0.9656824071*R774-1.7517683256*S774+W774+X774+Y774)</f>
        <v/>
      </c>
      <c r="AB774">
        <f>LOOKUP(AA774,Grade_Scale!$A$2:$A$18,Grade_Scale!$B$2:$B$18)</f>
        <v/>
      </c>
      <c r="AC774">
        <f>LOOKUP(AA774,Grade_Scale!$A$2:$A$18,Grade_Scale!$C$2:$C$18)</f>
        <v/>
      </c>
      <c r="AE774">
        <f>IF(AD774="","",AB774-VLOOKUP(AD774,Grade_Scale!$C$2:$E$18,3,FALSE))</f>
        <v/>
      </c>
    </row>
    <row r="775">
      <c r="Q775">
        <f>IF(OR(B775="SP",B775="RP",B775="CP",B775="SP/RP"),"P","H")</f>
        <v/>
      </c>
      <c r="R775">
        <f>IF(F775="",0,IFNA(VLOOKUP(F775,Trait_Polarity!$A:$C,2,FALSE),0))+IF(G775="",0,IFNA(VLOOKUP(G775,Trait_Polarity!$A:$C,2,FALSE),0))</f>
        <v/>
      </c>
      <c r="S775">
        <f>IF(F775="",0,IFNA(VLOOKUP(F775,Trait_Polarity!$A:$C,3,FALSE),0))+IF(G775="",0,IFNA(VLOOKUP(G775,Trait_Polarity!$A:$C,3,FALSE),0))</f>
        <v/>
      </c>
      <c r="T775">
        <f>IF(Q775="P",0,IFNA(VLOOKUP(IF(C775="","(none)",C775),Secondary_Versatility!$A:$B,2,FALSE),0))</f>
        <v/>
      </c>
      <c r="U775">
        <f>IF(H775="",0,LEN(H775)-LEN(SUBSTITUTE(H775,"|",""))+1)</f>
        <v/>
      </c>
      <c r="V775">
        <f>IF(Q775="P",(N775+O775+P775)/3,0.3*I775+0.3*J775+0.2*K775+0.1*L775+0.1*M775)</f>
        <v/>
      </c>
      <c r="W775">
        <f>IF(Q775="P",IF(F775="",0,IFNA(VLOOKUP(F775,Pitcher_Trait_Coef!$A:$B,2,FALSE),0))+IF(G775="",0,IFNA(VLOOKUP(G775,Pitcher_Trait_Coef!$A:$B,2,FALSE),0)),IF(F775="",0,IFNA(VLOOKUP(F775,Hitter_Trait_Coef!$A:$B,2,FALSE),0))+IF(G775="",0,IFNA(VLOOKUP(G775,Hitter_Trait_Coef!$A:$B,2,FALSE),0)))</f>
        <v/>
      </c>
      <c r="X775">
        <f>IF(Q775="P",IFNA(VLOOKUP(B775,Pitcher_Primary_Coef!$A:$B,2,FALSE),0),IFNA(VLOOKUP(B775,Hitter_Primary_Coef!$A:$B,2,FALSE),0))</f>
        <v/>
      </c>
      <c r="Y775">
        <f>IF(Q775="P",0,IFNA(VLOOKUP(IF(C775="","(none)",C775),Hitter_Secondary_Coef!$A:$B,2,FALSE),0))</f>
        <v/>
      </c>
      <c r="Z775">
        <f>IF(Q775="P",IF(ISNUMBER(SEARCH("2F",H775)),IFNA(VLOOKUP("2F",Pitch_Coef!$A:$B,2,FALSE),0),0)+IF(ISNUMBER(SEARCH("4F",H775)),IFNA(VLOOKUP("4F",Pitch_Coef!$A:$B,2,FALSE),0),0)+IF(ISNUMBER(SEARCH("CB",H775)),IFNA(VLOOKUP("CB",Pitch_Coef!$A:$B,2,FALSE),0),0)+IF(ISNUMBER(SEARCH("CF",H775)),IFNA(VLOOKUP("CF",Pitch_Coef!$A:$B,2,FALSE),0),0)+IF(ISNUMBER(SEARCH("CH",H775)),IFNA(VLOOKUP("CH",Pitch_Coef!$A:$B,2,FALSE),0),0)+IF(ISNUMBER(SEARCH("FK",H775)),IFNA(VLOOKUP("FK",Pitch_Coef!$A:$B,2,FALSE),0),0)+IF(ISNUMBER(SEARCH("SB",H775)),IFNA(VLOOKUP("SB",Pitch_Coef!$A:$B,2,FALSE),0),0)+IF(ISNUMBER(SEARCH("SL",H775)),IFNA(VLOOKUP("SL",Pitch_Coef!$A:$B,2,FALSE),0),0),0)</f>
        <v/>
      </c>
      <c r="AA775">
        <f>IF(Q775="P",16.5944849573+0.2529999141*N775+0.2665900378*O775+0.2632687105*P775+0.0427586837*I775+0.0534777057*J775+0.009015832*K775+0.0204898106*(O775*P775/100)+1.0091022427*U775+1.0968542297*IF(D775="L",1,0)+0.3771555045*IF(D775="S",1,0)-0.2226159177*IF(E775="L",1,0)+1.21385024*R775-1.1652812274*S775+W775+X775+Z775,10.5965166711+0.2825983581*I775+0.2806503532*J775+0.2027213083*K775+0.1147824982*L775+0.0915305332*M775-0.0088454122*(I775*J775/100)-0.0336045706*(K775*L775/100)+2.8497389733*IF(D775="L",1,0)+4.5116226727*IF(D775="S",1,0)-0.6571546448*IF(E775="L",1,0)+0.0850728147*T775+0.0129488446*(T775*T775)+0.1909373936*IF(OR(F775="Utility",G775="Utility"),T775,0)+0.9656824071*R775-1.7517683256*S775+W775+X775+Y775)</f>
        <v/>
      </c>
      <c r="AB775">
        <f>LOOKUP(AA775,Grade_Scale!$A$2:$A$18,Grade_Scale!$B$2:$B$18)</f>
        <v/>
      </c>
      <c r="AC775">
        <f>LOOKUP(AA775,Grade_Scale!$A$2:$A$18,Grade_Scale!$C$2:$C$18)</f>
        <v/>
      </c>
      <c r="AE775">
        <f>IF(AD775="","",AB775-VLOOKUP(AD775,Grade_Scale!$C$2:$E$18,3,FALSE))</f>
        <v/>
      </c>
    </row>
    <row r="776">
      <c r="Q776">
        <f>IF(OR(B776="SP",B776="RP",B776="CP",B776="SP/RP"),"P","H")</f>
        <v/>
      </c>
      <c r="R776">
        <f>IF(F776="",0,IFNA(VLOOKUP(F776,Trait_Polarity!$A:$C,2,FALSE),0))+IF(G776="",0,IFNA(VLOOKUP(G776,Trait_Polarity!$A:$C,2,FALSE),0))</f>
        <v/>
      </c>
      <c r="S776">
        <f>IF(F776="",0,IFNA(VLOOKUP(F776,Trait_Polarity!$A:$C,3,FALSE),0))+IF(G776="",0,IFNA(VLOOKUP(G776,Trait_Polarity!$A:$C,3,FALSE),0))</f>
        <v/>
      </c>
      <c r="T776">
        <f>IF(Q776="P",0,IFNA(VLOOKUP(IF(C776="","(none)",C776),Secondary_Versatility!$A:$B,2,FALSE),0))</f>
        <v/>
      </c>
      <c r="U776">
        <f>IF(H776="",0,LEN(H776)-LEN(SUBSTITUTE(H776,"|",""))+1)</f>
        <v/>
      </c>
      <c r="V776">
        <f>IF(Q776="P",(N776+O776+P776)/3,0.3*I776+0.3*J776+0.2*K776+0.1*L776+0.1*M776)</f>
        <v/>
      </c>
      <c r="W776">
        <f>IF(Q776="P",IF(F776="",0,IFNA(VLOOKUP(F776,Pitcher_Trait_Coef!$A:$B,2,FALSE),0))+IF(G776="",0,IFNA(VLOOKUP(G776,Pitcher_Trait_Coef!$A:$B,2,FALSE),0)),IF(F776="",0,IFNA(VLOOKUP(F776,Hitter_Trait_Coef!$A:$B,2,FALSE),0))+IF(G776="",0,IFNA(VLOOKUP(G776,Hitter_Trait_Coef!$A:$B,2,FALSE),0)))</f>
        <v/>
      </c>
      <c r="X776">
        <f>IF(Q776="P",IFNA(VLOOKUP(B776,Pitcher_Primary_Coef!$A:$B,2,FALSE),0),IFNA(VLOOKUP(B776,Hitter_Primary_Coef!$A:$B,2,FALSE),0))</f>
        <v/>
      </c>
      <c r="Y776">
        <f>IF(Q776="P",0,IFNA(VLOOKUP(IF(C776="","(none)",C776),Hitter_Secondary_Coef!$A:$B,2,FALSE),0))</f>
        <v/>
      </c>
      <c r="Z776">
        <f>IF(Q776="P",IF(ISNUMBER(SEARCH("2F",H776)),IFNA(VLOOKUP("2F",Pitch_Coef!$A:$B,2,FALSE),0),0)+IF(ISNUMBER(SEARCH("4F",H776)),IFNA(VLOOKUP("4F",Pitch_Coef!$A:$B,2,FALSE),0),0)+IF(ISNUMBER(SEARCH("CB",H776)),IFNA(VLOOKUP("CB",Pitch_Coef!$A:$B,2,FALSE),0),0)+IF(ISNUMBER(SEARCH("CF",H776)),IFNA(VLOOKUP("CF",Pitch_Coef!$A:$B,2,FALSE),0),0)+IF(ISNUMBER(SEARCH("CH",H776)),IFNA(VLOOKUP("CH",Pitch_Coef!$A:$B,2,FALSE),0),0)+IF(ISNUMBER(SEARCH("FK",H776)),IFNA(VLOOKUP("FK",Pitch_Coef!$A:$B,2,FALSE),0),0)+IF(ISNUMBER(SEARCH("SB",H776)),IFNA(VLOOKUP("SB",Pitch_Coef!$A:$B,2,FALSE),0),0)+IF(ISNUMBER(SEARCH("SL",H776)),IFNA(VLOOKUP("SL",Pitch_Coef!$A:$B,2,FALSE),0),0),0)</f>
        <v/>
      </c>
      <c r="AA776">
        <f>IF(Q776="P",16.5944849573+0.2529999141*N776+0.2665900378*O776+0.2632687105*P776+0.0427586837*I776+0.0534777057*J776+0.009015832*K776+0.0204898106*(O776*P776/100)+1.0091022427*U776+1.0968542297*IF(D776="L",1,0)+0.3771555045*IF(D776="S",1,0)-0.2226159177*IF(E776="L",1,0)+1.21385024*R776-1.1652812274*S776+W776+X776+Z776,10.5965166711+0.2825983581*I776+0.2806503532*J776+0.2027213083*K776+0.1147824982*L776+0.0915305332*M776-0.0088454122*(I776*J776/100)-0.0336045706*(K776*L776/100)+2.8497389733*IF(D776="L",1,0)+4.5116226727*IF(D776="S",1,0)-0.6571546448*IF(E776="L",1,0)+0.0850728147*T776+0.0129488446*(T776*T776)+0.1909373936*IF(OR(F776="Utility",G776="Utility"),T776,0)+0.9656824071*R776-1.7517683256*S776+W776+X776+Y776)</f>
        <v/>
      </c>
      <c r="AB776">
        <f>LOOKUP(AA776,Grade_Scale!$A$2:$A$18,Grade_Scale!$B$2:$B$18)</f>
        <v/>
      </c>
      <c r="AC776">
        <f>LOOKUP(AA776,Grade_Scale!$A$2:$A$18,Grade_Scale!$C$2:$C$18)</f>
        <v/>
      </c>
      <c r="AE776">
        <f>IF(AD776="","",AB776-VLOOKUP(AD776,Grade_Scale!$C$2:$E$18,3,FALSE))</f>
        <v/>
      </c>
    </row>
    <row r="777">
      <c r="Q777">
        <f>IF(OR(B777="SP",B777="RP",B777="CP",B777="SP/RP"),"P","H")</f>
        <v/>
      </c>
      <c r="R777">
        <f>IF(F777="",0,IFNA(VLOOKUP(F777,Trait_Polarity!$A:$C,2,FALSE),0))+IF(G777="",0,IFNA(VLOOKUP(G777,Trait_Polarity!$A:$C,2,FALSE),0))</f>
        <v/>
      </c>
      <c r="S777">
        <f>IF(F777="",0,IFNA(VLOOKUP(F777,Trait_Polarity!$A:$C,3,FALSE),0))+IF(G777="",0,IFNA(VLOOKUP(G777,Trait_Polarity!$A:$C,3,FALSE),0))</f>
        <v/>
      </c>
      <c r="T777">
        <f>IF(Q777="P",0,IFNA(VLOOKUP(IF(C777="","(none)",C777),Secondary_Versatility!$A:$B,2,FALSE),0))</f>
        <v/>
      </c>
      <c r="U777">
        <f>IF(H777="",0,LEN(H777)-LEN(SUBSTITUTE(H777,"|",""))+1)</f>
        <v/>
      </c>
      <c r="V777">
        <f>IF(Q777="P",(N777+O777+P777)/3,0.3*I777+0.3*J777+0.2*K777+0.1*L777+0.1*M777)</f>
        <v/>
      </c>
      <c r="W777">
        <f>IF(Q777="P",IF(F777="",0,IFNA(VLOOKUP(F777,Pitcher_Trait_Coef!$A:$B,2,FALSE),0))+IF(G777="",0,IFNA(VLOOKUP(G777,Pitcher_Trait_Coef!$A:$B,2,FALSE),0)),IF(F777="",0,IFNA(VLOOKUP(F777,Hitter_Trait_Coef!$A:$B,2,FALSE),0))+IF(G777="",0,IFNA(VLOOKUP(G777,Hitter_Trait_Coef!$A:$B,2,FALSE),0)))</f>
        <v/>
      </c>
      <c r="X777">
        <f>IF(Q777="P",IFNA(VLOOKUP(B777,Pitcher_Primary_Coef!$A:$B,2,FALSE),0),IFNA(VLOOKUP(B777,Hitter_Primary_Coef!$A:$B,2,FALSE),0))</f>
        <v/>
      </c>
      <c r="Y777">
        <f>IF(Q777="P",0,IFNA(VLOOKUP(IF(C777="","(none)",C777),Hitter_Secondary_Coef!$A:$B,2,FALSE),0))</f>
        <v/>
      </c>
      <c r="Z777">
        <f>IF(Q777="P",IF(ISNUMBER(SEARCH("2F",H777)),IFNA(VLOOKUP("2F",Pitch_Coef!$A:$B,2,FALSE),0),0)+IF(ISNUMBER(SEARCH("4F",H777)),IFNA(VLOOKUP("4F",Pitch_Coef!$A:$B,2,FALSE),0),0)+IF(ISNUMBER(SEARCH("CB",H777)),IFNA(VLOOKUP("CB",Pitch_Coef!$A:$B,2,FALSE),0),0)+IF(ISNUMBER(SEARCH("CF",H777)),IFNA(VLOOKUP("CF",Pitch_Coef!$A:$B,2,FALSE),0),0)+IF(ISNUMBER(SEARCH("CH",H777)),IFNA(VLOOKUP("CH",Pitch_Coef!$A:$B,2,FALSE),0),0)+IF(ISNUMBER(SEARCH("FK",H777)),IFNA(VLOOKUP("FK",Pitch_Coef!$A:$B,2,FALSE),0),0)+IF(ISNUMBER(SEARCH("SB",H777)),IFNA(VLOOKUP("SB",Pitch_Coef!$A:$B,2,FALSE),0),0)+IF(ISNUMBER(SEARCH("SL",H777)),IFNA(VLOOKUP("SL",Pitch_Coef!$A:$B,2,FALSE),0),0),0)</f>
        <v/>
      </c>
      <c r="AA777">
        <f>IF(Q777="P",16.5944849573+0.2529999141*N777+0.2665900378*O777+0.2632687105*P777+0.0427586837*I777+0.0534777057*J777+0.009015832*K777+0.0204898106*(O777*P777/100)+1.0091022427*U777+1.0968542297*IF(D777="L",1,0)+0.3771555045*IF(D777="S",1,0)-0.2226159177*IF(E777="L",1,0)+1.21385024*R777-1.1652812274*S777+W777+X777+Z777,10.5965166711+0.2825983581*I777+0.2806503532*J777+0.2027213083*K777+0.1147824982*L777+0.0915305332*M777-0.0088454122*(I777*J777/100)-0.0336045706*(K777*L777/100)+2.8497389733*IF(D777="L",1,0)+4.5116226727*IF(D777="S",1,0)-0.6571546448*IF(E777="L",1,0)+0.0850728147*T777+0.0129488446*(T777*T777)+0.1909373936*IF(OR(F777="Utility",G777="Utility"),T777,0)+0.9656824071*R777-1.7517683256*S777+W777+X777+Y777)</f>
        <v/>
      </c>
      <c r="AB777">
        <f>LOOKUP(AA777,Grade_Scale!$A$2:$A$18,Grade_Scale!$B$2:$B$18)</f>
        <v/>
      </c>
      <c r="AC777">
        <f>LOOKUP(AA777,Grade_Scale!$A$2:$A$18,Grade_Scale!$C$2:$C$18)</f>
        <v/>
      </c>
      <c r="AE777">
        <f>IF(AD777="","",AB777-VLOOKUP(AD777,Grade_Scale!$C$2:$E$18,3,FALSE))</f>
        <v/>
      </c>
    </row>
    <row r="778">
      <c r="Q778">
        <f>IF(OR(B778="SP",B778="RP",B778="CP",B778="SP/RP"),"P","H")</f>
        <v/>
      </c>
      <c r="R778">
        <f>IF(F778="",0,IFNA(VLOOKUP(F778,Trait_Polarity!$A:$C,2,FALSE),0))+IF(G778="",0,IFNA(VLOOKUP(G778,Trait_Polarity!$A:$C,2,FALSE),0))</f>
        <v/>
      </c>
      <c r="S778">
        <f>IF(F778="",0,IFNA(VLOOKUP(F778,Trait_Polarity!$A:$C,3,FALSE),0))+IF(G778="",0,IFNA(VLOOKUP(G778,Trait_Polarity!$A:$C,3,FALSE),0))</f>
        <v/>
      </c>
      <c r="T778">
        <f>IF(Q778="P",0,IFNA(VLOOKUP(IF(C778="","(none)",C778),Secondary_Versatility!$A:$B,2,FALSE),0))</f>
        <v/>
      </c>
      <c r="U778">
        <f>IF(H778="",0,LEN(H778)-LEN(SUBSTITUTE(H778,"|",""))+1)</f>
        <v/>
      </c>
      <c r="V778">
        <f>IF(Q778="P",(N778+O778+P778)/3,0.3*I778+0.3*J778+0.2*K778+0.1*L778+0.1*M778)</f>
        <v/>
      </c>
      <c r="W778">
        <f>IF(Q778="P",IF(F778="",0,IFNA(VLOOKUP(F778,Pitcher_Trait_Coef!$A:$B,2,FALSE),0))+IF(G778="",0,IFNA(VLOOKUP(G778,Pitcher_Trait_Coef!$A:$B,2,FALSE),0)),IF(F778="",0,IFNA(VLOOKUP(F778,Hitter_Trait_Coef!$A:$B,2,FALSE),0))+IF(G778="",0,IFNA(VLOOKUP(G778,Hitter_Trait_Coef!$A:$B,2,FALSE),0)))</f>
        <v/>
      </c>
      <c r="X778">
        <f>IF(Q778="P",IFNA(VLOOKUP(B778,Pitcher_Primary_Coef!$A:$B,2,FALSE),0),IFNA(VLOOKUP(B778,Hitter_Primary_Coef!$A:$B,2,FALSE),0))</f>
        <v/>
      </c>
      <c r="Y778">
        <f>IF(Q778="P",0,IFNA(VLOOKUP(IF(C778="","(none)",C778),Hitter_Secondary_Coef!$A:$B,2,FALSE),0))</f>
        <v/>
      </c>
      <c r="Z778">
        <f>IF(Q778="P",IF(ISNUMBER(SEARCH("2F",H778)),IFNA(VLOOKUP("2F",Pitch_Coef!$A:$B,2,FALSE),0),0)+IF(ISNUMBER(SEARCH("4F",H778)),IFNA(VLOOKUP("4F",Pitch_Coef!$A:$B,2,FALSE),0),0)+IF(ISNUMBER(SEARCH("CB",H778)),IFNA(VLOOKUP("CB",Pitch_Coef!$A:$B,2,FALSE),0),0)+IF(ISNUMBER(SEARCH("CF",H778)),IFNA(VLOOKUP("CF",Pitch_Coef!$A:$B,2,FALSE),0),0)+IF(ISNUMBER(SEARCH("CH",H778)),IFNA(VLOOKUP("CH",Pitch_Coef!$A:$B,2,FALSE),0),0)+IF(ISNUMBER(SEARCH("FK",H778)),IFNA(VLOOKUP("FK",Pitch_Coef!$A:$B,2,FALSE),0),0)+IF(ISNUMBER(SEARCH("SB",H778)),IFNA(VLOOKUP("SB",Pitch_Coef!$A:$B,2,FALSE),0),0)+IF(ISNUMBER(SEARCH("SL",H778)),IFNA(VLOOKUP("SL",Pitch_Coef!$A:$B,2,FALSE),0),0),0)</f>
        <v/>
      </c>
      <c r="AA778">
        <f>IF(Q778="P",16.5944849573+0.2529999141*N778+0.2665900378*O778+0.2632687105*P778+0.0427586837*I778+0.0534777057*J778+0.009015832*K778+0.0204898106*(O778*P778/100)+1.0091022427*U778+1.0968542297*IF(D778="L",1,0)+0.3771555045*IF(D778="S",1,0)-0.2226159177*IF(E778="L",1,0)+1.21385024*R778-1.1652812274*S778+W778+X778+Z778,10.5965166711+0.2825983581*I778+0.2806503532*J778+0.2027213083*K778+0.1147824982*L778+0.0915305332*M778-0.0088454122*(I778*J778/100)-0.0336045706*(K778*L778/100)+2.8497389733*IF(D778="L",1,0)+4.5116226727*IF(D778="S",1,0)-0.6571546448*IF(E778="L",1,0)+0.0850728147*T778+0.0129488446*(T778*T778)+0.1909373936*IF(OR(F778="Utility",G778="Utility"),T778,0)+0.9656824071*R778-1.7517683256*S778+W778+X778+Y778)</f>
        <v/>
      </c>
      <c r="AB778">
        <f>LOOKUP(AA778,Grade_Scale!$A$2:$A$18,Grade_Scale!$B$2:$B$18)</f>
        <v/>
      </c>
      <c r="AC778">
        <f>LOOKUP(AA778,Grade_Scale!$A$2:$A$18,Grade_Scale!$C$2:$C$18)</f>
        <v/>
      </c>
      <c r="AE778">
        <f>IF(AD778="","",AB778-VLOOKUP(AD778,Grade_Scale!$C$2:$E$18,3,FALSE))</f>
        <v/>
      </c>
    </row>
    <row r="779">
      <c r="Q779">
        <f>IF(OR(B779="SP",B779="RP",B779="CP",B779="SP/RP"),"P","H")</f>
        <v/>
      </c>
      <c r="R779">
        <f>IF(F779="",0,IFNA(VLOOKUP(F779,Trait_Polarity!$A:$C,2,FALSE),0))+IF(G779="",0,IFNA(VLOOKUP(G779,Trait_Polarity!$A:$C,2,FALSE),0))</f>
        <v/>
      </c>
      <c r="S779">
        <f>IF(F779="",0,IFNA(VLOOKUP(F779,Trait_Polarity!$A:$C,3,FALSE),0))+IF(G779="",0,IFNA(VLOOKUP(G779,Trait_Polarity!$A:$C,3,FALSE),0))</f>
        <v/>
      </c>
      <c r="T779">
        <f>IF(Q779="P",0,IFNA(VLOOKUP(IF(C779="","(none)",C779),Secondary_Versatility!$A:$B,2,FALSE),0))</f>
        <v/>
      </c>
      <c r="U779">
        <f>IF(H779="",0,LEN(H779)-LEN(SUBSTITUTE(H779,"|",""))+1)</f>
        <v/>
      </c>
      <c r="V779">
        <f>IF(Q779="P",(N779+O779+P779)/3,0.3*I779+0.3*J779+0.2*K779+0.1*L779+0.1*M779)</f>
        <v/>
      </c>
      <c r="W779">
        <f>IF(Q779="P",IF(F779="",0,IFNA(VLOOKUP(F779,Pitcher_Trait_Coef!$A:$B,2,FALSE),0))+IF(G779="",0,IFNA(VLOOKUP(G779,Pitcher_Trait_Coef!$A:$B,2,FALSE),0)),IF(F779="",0,IFNA(VLOOKUP(F779,Hitter_Trait_Coef!$A:$B,2,FALSE),0))+IF(G779="",0,IFNA(VLOOKUP(G779,Hitter_Trait_Coef!$A:$B,2,FALSE),0)))</f>
        <v/>
      </c>
      <c r="X779">
        <f>IF(Q779="P",IFNA(VLOOKUP(B779,Pitcher_Primary_Coef!$A:$B,2,FALSE),0),IFNA(VLOOKUP(B779,Hitter_Primary_Coef!$A:$B,2,FALSE),0))</f>
        <v/>
      </c>
      <c r="Y779">
        <f>IF(Q779="P",0,IFNA(VLOOKUP(IF(C779="","(none)",C779),Hitter_Secondary_Coef!$A:$B,2,FALSE),0))</f>
        <v/>
      </c>
      <c r="Z779">
        <f>IF(Q779="P",IF(ISNUMBER(SEARCH("2F",H779)),IFNA(VLOOKUP("2F",Pitch_Coef!$A:$B,2,FALSE),0),0)+IF(ISNUMBER(SEARCH("4F",H779)),IFNA(VLOOKUP("4F",Pitch_Coef!$A:$B,2,FALSE),0),0)+IF(ISNUMBER(SEARCH("CB",H779)),IFNA(VLOOKUP("CB",Pitch_Coef!$A:$B,2,FALSE),0),0)+IF(ISNUMBER(SEARCH("CF",H779)),IFNA(VLOOKUP("CF",Pitch_Coef!$A:$B,2,FALSE),0),0)+IF(ISNUMBER(SEARCH("CH",H779)),IFNA(VLOOKUP("CH",Pitch_Coef!$A:$B,2,FALSE),0),0)+IF(ISNUMBER(SEARCH("FK",H779)),IFNA(VLOOKUP("FK",Pitch_Coef!$A:$B,2,FALSE),0),0)+IF(ISNUMBER(SEARCH("SB",H779)),IFNA(VLOOKUP("SB",Pitch_Coef!$A:$B,2,FALSE),0),0)+IF(ISNUMBER(SEARCH("SL",H779)),IFNA(VLOOKUP("SL",Pitch_Coef!$A:$B,2,FALSE),0),0),0)</f>
        <v/>
      </c>
      <c r="AA779">
        <f>IF(Q779="P",16.5944849573+0.2529999141*N779+0.2665900378*O779+0.2632687105*P779+0.0427586837*I779+0.0534777057*J779+0.009015832*K779+0.0204898106*(O779*P779/100)+1.0091022427*U779+1.0968542297*IF(D779="L",1,0)+0.3771555045*IF(D779="S",1,0)-0.2226159177*IF(E779="L",1,0)+1.21385024*R779-1.1652812274*S779+W779+X779+Z779,10.5965166711+0.2825983581*I779+0.2806503532*J779+0.2027213083*K779+0.1147824982*L779+0.0915305332*M779-0.0088454122*(I779*J779/100)-0.0336045706*(K779*L779/100)+2.8497389733*IF(D779="L",1,0)+4.5116226727*IF(D779="S",1,0)-0.6571546448*IF(E779="L",1,0)+0.0850728147*T779+0.0129488446*(T779*T779)+0.1909373936*IF(OR(F779="Utility",G779="Utility"),T779,0)+0.9656824071*R779-1.7517683256*S779+W779+X779+Y779)</f>
        <v/>
      </c>
      <c r="AB779">
        <f>LOOKUP(AA779,Grade_Scale!$A$2:$A$18,Grade_Scale!$B$2:$B$18)</f>
        <v/>
      </c>
      <c r="AC779">
        <f>LOOKUP(AA779,Grade_Scale!$A$2:$A$18,Grade_Scale!$C$2:$C$18)</f>
        <v/>
      </c>
      <c r="AE779">
        <f>IF(AD779="","",AB779-VLOOKUP(AD779,Grade_Scale!$C$2:$E$18,3,FALSE))</f>
        <v/>
      </c>
    </row>
    <row r="780">
      <c r="Q780">
        <f>IF(OR(B780="SP",B780="RP",B780="CP",B780="SP/RP"),"P","H")</f>
        <v/>
      </c>
      <c r="R780">
        <f>IF(F780="",0,IFNA(VLOOKUP(F780,Trait_Polarity!$A:$C,2,FALSE),0))+IF(G780="",0,IFNA(VLOOKUP(G780,Trait_Polarity!$A:$C,2,FALSE),0))</f>
        <v/>
      </c>
      <c r="S780">
        <f>IF(F780="",0,IFNA(VLOOKUP(F780,Trait_Polarity!$A:$C,3,FALSE),0))+IF(G780="",0,IFNA(VLOOKUP(G780,Trait_Polarity!$A:$C,3,FALSE),0))</f>
        <v/>
      </c>
      <c r="T780">
        <f>IF(Q780="P",0,IFNA(VLOOKUP(IF(C780="","(none)",C780),Secondary_Versatility!$A:$B,2,FALSE),0))</f>
        <v/>
      </c>
      <c r="U780">
        <f>IF(H780="",0,LEN(H780)-LEN(SUBSTITUTE(H780,"|",""))+1)</f>
        <v/>
      </c>
      <c r="V780">
        <f>IF(Q780="P",(N780+O780+P780)/3,0.3*I780+0.3*J780+0.2*K780+0.1*L780+0.1*M780)</f>
        <v/>
      </c>
      <c r="W780">
        <f>IF(Q780="P",IF(F780="",0,IFNA(VLOOKUP(F780,Pitcher_Trait_Coef!$A:$B,2,FALSE),0))+IF(G780="",0,IFNA(VLOOKUP(G780,Pitcher_Trait_Coef!$A:$B,2,FALSE),0)),IF(F780="",0,IFNA(VLOOKUP(F780,Hitter_Trait_Coef!$A:$B,2,FALSE),0))+IF(G780="",0,IFNA(VLOOKUP(G780,Hitter_Trait_Coef!$A:$B,2,FALSE),0)))</f>
        <v/>
      </c>
      <c r="X780">
        <f>IF(Q780="P",IFNA(VLOOKUP(B780,Pitcher_Primary_Coef!$A:$B,2,FALSE),0),IFNA(VLOOKUP(B780,Hitter_Primary_Coef!$A:$B,2,FALSE),0))</f>
        <v/>
      </c>
      <c r="Y780">
        <f>IF(Q780="P",0,IFNA(VLOOKUP(IF(C780="","(none)",C780),Hitter_Secondary_Coef!$A:$B,2,FALSE),0))</f>
        <v/>
      </c>
      <c r="Z780">
        <f>IF(Q780="P",IF(ISNUMBER(SEARCH("2F",H780)),IFNA(VLOOKUP("2F",Pitch_Coef!$A:$B,2,FALSE),0),0)+IF(ISNUMBER(SEARCH("4F",H780)),IFNA(VLOOKUP("4F",Pitch_Coef!$A:$B,2,FALSE),0),0)+IF(ISNUMBER(SEARCH("CB",H780)),IFNA(VLOOKUP("CB",Pitch_Coef!$A:$B,2,FALSE),0),0)+IF(ISNUMBER(SEARCH("CF",H780)),IFNA(VLOOKUP("CF",Pitch_Coef!$A:$B,2,FALSE),0),0)+IF(ISNUMBER(SEARCH("CH",H780)),IFNA(VLOOKUP("CH",Pitch_Coef!$A:$B,2,FALSE),0),0)+IF(ISNUMBER(SEARCH("FK",H780)),IFNA(VLOOKUP("FK",Pitch_Coef!$A:$B,2,FALSE),0),0)+IF(ISNUMBER(SEARCH("SB",H780)),IFNA(VLOOKUP("SB",Pitch_Coef!$A:$B,2,FALSE),0),0)+IF(ISNUMBER(SEARCH("SL",H780)),IFNA(VLOOKUP("SL",Pitch_Coef!$A:$B,2,FALSE),0),0),0)</f>
        <v/>
      </c>
      <c r="AA780">
        <f>IF(Q780="P",16.5944849573+0.2529999141*N780+0.2665900378*O780+0.2632687105*P780+0.0427586837*I780+0.0534777057*J780+0.009015832*K780+0.0204898106*(O780*P780/100)+1.0091022427*U780+1.0968542297*IF(D780="L",1,0)+0.3771555045*IF(D780="S",1,0)-0.2226159177*IF(E780="L",1,0)+1.21385024*R780-1.1652812274*S780+W780+X780+Z780,10.5965166711+0.2825983581*I780+0.2806503532*J780+0.2027213083*K780+0.1147824982*L780+0.0915305332*M780-0.0088454122*(I780*J780/100)-0.0336045706*(K780*L780/100)+2.8497389733*IF(D780="L",1,0)+4.5116226727*IF(D780="S",1,0)-0.6571546448*IF(E780="L",1,0)+0.0850728147*T780+0.0129488446*(T780*T780)+0.1909373936*IF(OR(F780="Utility",G780="Utility"),T780,0)+0.9656824071*R780-1.7517683256*S780+W780+X780+Y780)</f>
        <v/>
      </c>
      <c r="AB780">
        <f>LOOKUP(AA780,Grade_Scale!$A$2:$A$18,Grade_Scale!$B$2:$B$18)</f>
        <v/>
      </c>
      <c r="AC780">
        <f>LOOKUP(AA780,Grade_Scale!$A$2:$A$18,Grade_Scale!$C$2:$C$18)</f>
        <v/>
      </c>
      <c r="AE780">
        <f>IF(AD780="","",AB780-VLOOKUP(AD780,Grade_Scale!$C$2:$E$18,3,FALSE))</f>
        <v/>
      </c>
    </row>
    <row r="781">
      <c r="Q781">
        <f>IF(OR(B781="SP",B781="RP",B781="CP",B781="SP/RP"),"P","H")</f>
        <v/>
      </c>
      <c r="R781">
        <f>IF(F781="",0,IFNA(VLOOKUP(F781,Trait_Polarity!$A:$C,2,FALSE),0))+IF(G781="",0,IFNA(VLOOKUP(G781,Trait_Polarity!$A:$C,2,FALSE),0))</f>
        <v/>
      </c>
      <c r="S781">
        <f>IF(F781="",0,IFNA(VLOOKUP(F781,Trait_Polarity!$A:$C,3,FALSE),0))+IF(G781="",0,IFNA(VLOOKUP(G781,Trait_Polarity!$A:$C,3,FALSE),0))</f>
        <v/>
      </c>
      <c r="T781">
        <f>IF(Q781="P",0,IFNA(VLOOKUP(IF(C781="","(none)",C781),Secondary_Versatility!$A:$B,2,FALSE),0))</f>
        <v/>
      </c>
      <c r="U781">
        <f>IF(H781="",0,LEN(H781)-LEN(SUBSTITUTE(H781,"|",""))+1)</f>
        <v/>
      </c>
      <c r="V781">
        <f>IF(Q781="P",(N781+O781+P781)/3,0.3*I781+0.3*J781+0.2*K781+0.1*L781+0.1*M781)</f>
        <v/>
      </c>
      <c r="W781">
        <f>IF(Q781="P",IF(F781="",0,IFNA(VLOOKUP(F781,Pitcher_Trait_Coef!$A:$B,2,FALSE),0))+IF(G781="",0,IFNA(VLOOKUP(G781,Pitcher_Trait_Coef!$A:$B,2,FALSE),0)),IF(F781="",0,IFNA(VLOOKUP(F781,Hitter_Trait_Coef!$A:$B,2,FALSE),0))+IF(G781="",0,IFNA(VLOOKUP(G781,Hitter_Trait_Coef!$A:$B,2,FALSE),0)))</f>
        <v/>
      </c>
      <c r="X781">
        <f>IF(Q781="P",IFNA(VLOOKUP(B781,Pitcher_Primary_Coef!$A:$B,2,FALSE),0),IFNA(VLOOKUP(B781,Hitter_Primary_Coef!$A:$B,2,FALSE),0))</f>
        <v/>
      </c>
      <c r="Y781">
        <f>IF(Q781="P",0,IFNA(VLOOKUP(IF(C781="","(none)",C781),Hitter_Secondary_Coef!$A:$B,2,FALSE),0))</f>
        <v/>
      </c>
      <c r="Z781">
        <f>IF(Q781="P",IF(ISNUMBER(SEARCH("2F",H781)),IFNA(VLOOKUP("2F",Pitch_Coef!$A:$B,2,FALSE),0),0)+IF(ISNUMBER(SEARCH("4F",H781)),IFNA(VLOOKUP("4F",Pitch_Coef!$A:$B,2,FALSE),0),0)+IF(ISNUMBER(SEARCH("CB",H781)),IFNA(VLOOKUP("CB",Pitch_Coef!$A:$B,2,FALSE),0),0)+IF(ISNUMBER(SEARCH("CF",H781)),IFNA(VLOOKUP("CF",Pitch_Coef!$A:$B,2,FALSE),0),0)+IF(ISNUMBER(SEARCH("CH",H781)),IFNA(VLOOKUP("CH",Pitch_Coef!$A:$B,2,FALSE),0),0)+IF(ISNUMBER(SEARCH("FK",H781)),IFNA(VLOOKUP("FK",Pitch_Coef!$A:$B,2,FALSE),0),0)+IF(ISNUMBER(SEARCH("SB",H781)),IFNA(VLOOKUP("SB",Pitch_Coef!$A:$B,2,FALSE),0),0)+IF(ISNUMBER(SEARCH("SL",H781)),IFNA(VLOOKUP("SL",Pitch_Coef!$A:$B,2,FALSE),0),0),0)</f>
        <v/>
      </c>
      <c r="AA781">
        <f>IF(Q781="P",16.5944849573+0.2529999141*N781+0.2665900378*O781+0.2632687105*P781+0.0427586837*I781+0.0534777057*J781+0.009015832*K781+0.0204898106*(O781*P781/100)+1.0091022427*U781+1.0968542297*IF(D781="L",1,0)+0.3771555045*IF(D781="S",1,0)-0.2226159177*IF(E781="L",1,0)+1.21385024*R781-1.1652812274*S781+W781+X781+Z781,10.5965166711+0.2825983581*I781+0.2806503532*J781+0.2027213083*K781+0.1147824982*L781+0.0915305332*M781-0.0088454122*(I781*J781/100)-0.0336045706*(K781*L781/100)+2.8497389733*IF(D781="L",1,0)+4.5116226727*IF(D781="S",1,0)-0.6571546448*IF(E781="L",1,0)+0.0850728147*T781+0.0129488446*(T781*T781)+0.1909373936*IF(OR(F781="Utility",G781="Utility"),T781,0)+0.9656824071*R781-1.7517683256*S781+W781+X781+Y781)</f>
        <v/>
      </c>
      <c r="AB781">
        <f>LOOKUP(AA781,Grade_Scale!$A$2:$A$18,Grade_Scale!$B$2:$B$18)</f>
        <v/>
      </c>
      <c r="AC781">
        <f>LOOKUP(AA781,Grade_Scale!$A$2:$A$18,Grade_Scale!$C$2:$C$18)</f>
        <v/>
      </c>
      <c r="AE781">
        <f>IF(AD781="","",AB781-VLOOKUP(AD781,Grade_Scale!$C$2:$E$18,3,FALSE))</f>
        <v/>
      </c>
    </row>
    <row r="782">
      <c r="Q782">
        <f>IF(OR(B782="SP",B782="RP",B782="CP",B782="SP/RP"),"P","H")</f>
        <v/>
      </c>
      <c r="R782">
        <f>IF(F782="",0,IFNA(VLOOKUP(F782,Trait_Polarity!$A:$C,2,FALSE),0))+IF(G782="",0,IFNA(VLOOKUP(G782,Trait_Polarity!$A:$C,2,FALSE),0))</f>
        <v/>
      </c>
      <c r="S782">
        <f>IF(F782="",0,IFNA(VLOOKUP(F782,Trait_Polarity!$A:$C,3,FALSE),0))+IF(G782="",0,IFNA(VLOOKUP(G782,Trait_Polarity!$A:$C,3,FALSE),0))</f>
        <v/>
      </c>
      <c r="T782">
        <f>IF(Q782="P",0,IFNA(VLOOKUP(IF(C782="","(none)",C782),Secondary_Versatility!$A:$B,2,FALSE),0))</f>
        <v/>
      </c>
      <c r="U782">
        <f>IF(H782="",0,LEN(H782)-LEN(SUBSTITUTE(H782,"|",""))+1)</f>
        <v/>
      </c>
      <c r="V782">
        <f>IF(Q782="P",(N782+O782+P782)/3,0.3*I782+0.3*J782+0.2*K782+0.1*L782+0.1*M782)</f>
        <v/>
      </c>
      <c r="W782">
        <f>IF(Q782="P",IF(F782="",0,IFNA(VLOOKUP(F782,Pitcher_Trait_Coef!$A:$B,2,FALSE),0))+IF(G782="",0,IFNA(VLOOKUP(G782,Pitcher_Trait_Coef!$A:$B,2,FALSE),0)),IF(F782="",0,IFNA(VLOOKUP(F782,Hitter_Trait_Coef!$A:$B,2,FALSE),0))+IF(G782="",0,IFNA(VLOOKUP(G782,Hitter_Trait_Coef!$A:$B,2,FALSE),0)))</f>
        <v/>
      </c>
      <c r="X782">
        <f>IF(Q782="P",IFNA(VLOOKUP(B782,Pitcher_Primary_Coef!$A:$B,2,FALSE),0),IFNA(VLOOKUP(B782,Hitter_Primary_Coef!$A:$B,2,FALSE),0))</f>
        <v/>
      </c>
      <c r="Y782">
        <f>IF(Q782="P",0,IFNA(VLOOKUP(IF(C782="","(none)",C782),Hitter_Secondary_Coef!$A:$B,2,FALSE),0))</f>
        <v/>
      </c>
      <c r="Z782">
        <f>IF(Q782="P",IF(ISNUMBER(SEARCH("2F",H782)),IFNA(VLOOKUP("2F",Pitch_Coef!$A:$B,2,FALSE),0),0)+IF(ISNUMBER(SEARCH("4F",H782)),IFNA(VLOOKUP("4F",Pitch_Coef!$A:$B,2,FALSE),0),0)+IF(ISNUMBER(SEARCH("CB",H782)),IFNA(VLOOKUP("CB",Pitch_Coef!$A:$B,2,FALSE),0),0)+IF(ISNUMBER(SEARCH("CF",H782)),IFNA(VLOOKUP("CF",Pitch_Coef!$A:$B,2,FALSE),0),0)+IF(ISNUMBER(SEARCH("CH",H782)),IFNA(VLOOKUP("CH",Pitch_Coef!$A:$B,2,FALSE),0),0)+IF(ISNUMBER(SEARCH("FK",H782)),IFNA(VLOOKUP("FK",Pitch_Coef!$A:$B,2,FALSE),0),0)+IF(ISNUMBER(SEARCH("SB",H782)),IFNA(VLOOKUP("SB",Pitch_Coef!$A:$B,2,FALSE),0),0)+IF(ISNUMBER(SEARCH("SL",H782)),IFNA(VLOOKUP("SL",Pitch_Coef!$A:$B,2,FALSE),0),0),0)</f>
        <v/>
      </c>
      <c r="AA782">
        <f>IF(Q782="P",16.5944849573+0.2529999141*N782+0.2665900378*O782+0.2632687105*P782+0.0427586837*I782+0.0534777057*J782+0.009015832*K782+0.0204898106*(O782*P782/100)+1.0091022427*U782+1.0968542297*IF(D782="L",1,0)+0.3771555045*IF(D782="S",1,0)-0.2226159177*IF(E782="L",1,0)+1.21385024*R782-1.1652812274*S782+W782+X782+Z782,10.5965166711+0.2825983581*I782+0.2806503532*J782+0.2027213083*K782+0.1147824982*L782+0.0915305332*M782-0.0088454122*(I782*J782/100)-0.0336045706*(K782*L782/100)+2.8497389733*IF(D782="L",1,0)+4.5116226727*IF(D782="S",1,0)-0.6571546448*IF(E782="L",1,0)+0.0850728147*T782+0.0129488446*(T782*T782)+0.1909373936*IF(OR(F782="Utility",G782="Utility"),T782,0)+0.9656824071*R782-1.7517683256*S782+W782+X782+Y782)</f>
        <v/>
      </c>
      <c r="AB782">
        <f>LOOKUP(AA782,Grade_Scale!$A$2:$A$18,Grade_Scale!$B$2:$B$18)</f>
        <v/>
      </c>
      <c r="AC782">
        <f>LOOKUP(AA782,Grade_Scale!$A$2:$A$18,Grade_Scale!$C$2:$C$18)</f>
        <v/>
      </c>
      <c r="AE782">
        <f>IF(AD782="","",AB782-VLOOKUP(AD782,Grade_Scale!$C$2:$E$18,3,FALSE))</f>
        <v/>
      </c>
    </row>
    <row r="783">
      <c r="Q783">
        <f>IF(OR(B783="SP",B783="RP",B783="CP",B783="SP/RP"),"P","H")</f>
        <v/>
      </c>
      <c r="R783">
        <f>IF(F783="",0,IFNA(VLOOKUP(F783,Trait_Polarity!$A:$C,2,FALSE),0))+IF(G783="",0,IFNA(VLOOKUP(G783,Trait_Polarity!$A:$C,2,FALSE),0))</f>
        <v/>
      </c>
      <c r="S783">
        <f>IF(F783="",0,IFNA(VLOOKUP(F783,Trait_Polarity!$A:$C,3,FALSE),0))+IF(G783="",0,IFNA(VLOOKUP(G783,Trait_Polarity!$A:$C,3,FALSE),0))</f>
        <v/>
      </c>
      <c r="T783">
        <f>IF(Q783="P",0,IFNA(VLOOKUP(IF(C783="","(none)",C783),Secondary_Versatility!$A:$B,2,FALSE),0))</f>
        <v/>
      </c>
      <c r="U783">
        <f>IF(H783="",0,LEN(H783)-LEN(SUBSTITUTE(H783,"|",""))+1)</f>
        <v/>
      </c>
      <c r="V783">
        <f>IF(Q783="P",(N783+O783+P783)/3,0.3*I783+0.3*J783+0.2*K783+0.1*L783+0.1*M783)</f>
        <v/>
      </c>
      <c r="W783">
        <f>IF(Q783="P",IF(F783="",0,IFNA(VLOOKUP(F783,Pitcher_Trait_Coef!$A:$B,2,FALSE),0))+IF(G783="",0,IFNA(VLOOKUP(G783,Pitcher_Trait_Coef!$A:$B,2,FALSE),0)),IF(F783="",0,IFNA(VLOOKUP(F783,Hitter_Trait_Coef!$A:$B,2,FALSE),0))+IF(G783="",0,IFNA(VLOOKUP(G783,Hitter_Trait_Coef!$A:$B,2,FALSE),0)))</f>
        <v/>
      </c>
      <c r="X783">
        <f>IF(Q783="P",IFNA(VLOOKUP(B783,Pitcher_Primary_Coef!$A:$B,2,FALSE),0),IFNA(VLOOKUP(B783,Hitter_Primary_Coef!$A:$B,2,FALSE),0))</f>
        <v/>
      </c>
      <c r="Y783">
        <f>IF(Q783="P",0,IFNA(VLOOKUP(IF(C783="","(none)",C783),Hitter_Secondary_Coef!$A:$B,2,FALSE),0))</f>
        <v/>
      </c>
      <c r="Z783">
        <f>IF(Q783="P",IF(ISNUMBER(SEARCH("2F",H783)),IFNA(VLOOKUP("2F",Pitch_Coef!$A:$B,2,FALSE),0),0)+IF(ISNUMBER(SEARCH("4F",H783)),IFNA(VLOOKUP("4F",Pitch_Coef!$A:$B,2,FALSE),0),0)+IF(ISNUMBER(SEARCH("CB",H783)),IFNA(VLOOKUP("CB",Pitch_Coef!$A:$B,2,FALSE),0),0)+IF(ISNUMBER(SEARCH("CF",H783)),IFNA(VLOOKUP("CF",Pitch_Coef!$A:$B,2,FALSE),0),0)+IF(ISNUMBER(SEARCH("CH",H783)),IFNA(VLOOKUP("CH",Pitch_Coef!$A:$B,2,FALSE),0),0)+IF(ISNUMBER(SEARCH("FK",H783)),IFNA(VLOOKUP("FK",Pitch_Coef!$A:$B,2,FALSE),0),0)+IF(ISNUMBER(SEARCH("SB",H783)),IFNA(VLOOKUP("SB",Pitch_Coef!$A:$B,2,FALSE),0),0)+IF(ISNUMBER(SEARCH("SL",H783)),IFNA(VLOOKUP("SL",Pitch_Coef!$A:$B,2,FALSE),0),0),0)</f>
        <v/>
      </c>
      <c r="AA783">
        <f>IF(Q783="P",16.5944849573+0.2529999141*N783+0.2665900378*O783+0.2632687105*P783+0.0427586837*I783+0.0534777057*J783+0.009015832*K783+0.0204898106*(O783*P783/100)+1.0091022427*U783+1.0968542297*IF(D783="L",1,0)+0.3771555045*IF(D783="S",1,0)-0.2226159177*IF(E783="L",1,0)+1.21385024*R783-1.1652812274*S783+W783+X783+Z783,10.5965166711+0.2825983581*I783+0.2806503532*J783+0.2027213083*K783+0.1147824982*L783+0.0915305332*M783-0.0088454122*(I783*J783/100)-0.0336045706*(K783*L783/100)+2.8497389733*IF(D783="L",1,0)+4.5116226727*IF(D783="S",1,0)-0.6571546448*IF(E783="L",1,0)+0.0850728147*T783+0.0129488446*(T783*T783)+0.1909373936*IF(OR(F783="Utility",G783="Utility"),T783,0)+0.9656824071*R783-1.7517683256*S783+W783+X783+Y783)</f>
        <v/>
      </c>
      <c r="AB783">
        <f>LOOKUP(AA783,Grade_Scale!$A$2:$A$18,Grade_Scale!$B$2:$B$18)</f>
        <v/>
      </c>
      <c r="AC783">
        <f>LOOKUP(AA783,Grade_Scale!$A$2:$A$18,Grade_Scale!$C$2:$C$18)</f>
        <v/>
      </c>
      <c r="AE783">
        <f>IF(AD783="","",AB783-VLOOKUP(AD783,Grade_Scale!$C$2:$E$18,3,FALSE))</f>
        <v/>
      </c>
    </row>
    <row r="784">
      <c r="Q784">
        <f>IF(OR(B784="SP",B784="RP",B784="CP",B784="SP/RP"),"P","H")</f>
        <v/>
      </c>
      <c r="R784">
        <f>IF(F784="",0,IFNA(VLOOKUP(F784,Trait_Polarity!$A:$C,2,FALSE),0))+IF(G784="",0,IFNA(VLOOKUP(G784,Trait_Polarity!$A:$C,2,FALSE),0))</f>
        <v/>
      </c>
      <c r="S784">
        <f>IF(F784="",0,IFNA(VLOOKUP(F784,Trait_Polarity!$A:$C,3,FALSE),0))+IF(G784="",0,IFNA(VLOOKUP(G784,Trait_Polarity!$A:$C,3,FALSE),0))</f>
        <v/>
      </c>
      <c r="T784">
        <f>IF(Q784="P",0,IFNA(VLOOKUP(IF(C784="","(none)",C784),Secondary_Versatility!$A:$B,2,FALSE),0))</f>
        <v/>
      </c>
      <c r="U784">
        <f>IF(H784="",0,LEN(H784)-LEN(SUBSTITUTE(H784,"|",""))+1)</f>
        <v/>
      </c>
      <c r="V784">
        <f>IF(Q784="P",(N784+O784+P784)/3,0.3*I784+0.3*J784+0.2*K784+0.1*L784+0.1*M784)</f>
        <v/>
      </c>
      <c r="W784">
        <f>IF(Q784="P",IF(F784="",0,IFNA(VLOOKUP(F784,Pitcher_Trait_Coef!$A:$B,2,FALSE),0))+IF(G784="",0,IFNA(VLOOKUP(G784,Pitcher_Trait_Coef!$A:$B,2,FALSE),0)),IF(F784="",0,IFNA(VLOOKUP(F784,Hitter_Trait_Coef!$A:$B,2,FALSE),0))+IF(G784="",0,IFNA(VLOOKUP(G784,Hitter_Trait_Coef!$A:$B,2,FALSE),0)))</f>
        <v/>
      </c>
      <c r="X784">
        <f>IF(Q784="P",IFNA(VLOOKUP(B784,Pitcher_Primary_Coef!$A:$B,2,FALSE),0),IFNA(VLOOKUP(B784,Hitter_Primary_Coef!$A:$B,2,FALSE),0))</f>
        <v/>
      </c>
      <c r="Y784">
        <f>IF(Q784="P",0,IFNA(VLOOKUP(IF(C784="","(none)",C784),Hitter_Secondary_Coef!$A:$B,2,FALSE),0))</f>
        <v/>
      </c>
      <c r="Z784">
        <f>IF(Q784="P",IF(ISNUMBER(SEARCH("2F",H784)),IFNA(VLOOKUP("2F",Pitch_Coef!$A:$B,2,FALSE),0),0)+IF(ISNUMBER(SEARCH("4F",H784)),IFNA(VLOOKUP("4F",Pitch_Coef!$A:$B,2,FALSE),0),0)+IF(ISNUMBER(SEARCH("CB",H784)),IFNA(VLOOKUP("CB",Pitch_Coef!$A:$B,2,FALSE),0),0)+IF(ISNUMBER(SEARCH("CF",H784)),IFNA(VLOOKUP("CF",Pitch_Coef!$A:$B,2,FALSE),0),0)+IF(ISNUMBER(SEARCH("CH",H784)),IFNA(VLOOKUP("CH",Pitch_Coef!$A:$B,2,FALSE),0),0)+IF(ISNUMBER(SEARCH("FK",H784)),IFNA(VLOOKUP("FK",Pitch_Coef!$A:$B,2,FALSE),0),0)+IF(ISNUMBER(SEARCH("SB",H784)),IFNA(VLOOKUP("SB",Pitch_Coef!$A:$B,2,FALSE),0),0)+IF(ISNUMBER(SEARCH("SL",H784)),IFNA(VLOOKUP("SL",Pitch_Coef!$A:$B,2,FALSE),0),0),0)</f>
        <v/>
      </c>
      <c r="AA784">
        <f>IF(Q784="P",16.5944849573+0.2529999141*N784+0.2665900378*O784+0.2632687105*P784+0.0427586837*I784+0.0534777057*J784+0.009015832*K784+0.0204898106*(O784*P784/100)+1.0091022427*U784+1.0968542297*IF(D784="L",1,0)+0.3771555045*IF(D784="S",1,0)-0.2226159177*IF(E784="L",1,0)+1.21385024*R784-1.1652812274*S784+W784+X784+Z784,10.5965166711+0.2825983581*I784+0.2806503532*J784+0.2027213083*K784+0.1147824982*L784+0.0915305332*M784-0.0088454122*(I784*J784/100)-0.0336045706*(K784*L784/100)+2.8497389733*IF(D784="L",1,0)+4.5116226727*IF(D784="S",1,0)-0.6571546448*IF(E784="L",1,0)+0.0850728147*T784+0.0129488446*(T784*T784)+0.1909373936*IF(OR(F784="Utility",G784="Utility"),T784,0)+0.9656824071*R784-1.7517683256*S784+W784+X784+Y784)</f>
        <v/>
      </c>
      <c r="AB784">
        <f>LOOKUP(AA784,Grade_Scale!$A$2:$A$18,Grade_Scale!$B$2:$B$18)</f>
        <v/>
      </c>
      <c r="AC784">
        <f>LOOKUP(AA784,Grade_Scale!$A$2:$A$18,Grade_Scale!$C$2:$C$18)</f>
        <v/>
      </c>
      <c r="AE784">
        <f>IF(AD784="","",AB784-VLOOKUP(AD784,Grade_Scale!$C$2:$E$18,3,FALSE))</f>
        <v/>
      </c>
    </row>
    <row r="785">
      <c r="Q785">
        <f>IF(OR(B785="SP",B785="RP",B785="CP",B785="SP/RP"),"P","H")</f>
        <v/>
      </c>
      <c r="R785">
        <f>IF(F785="",0,IFNA(VLOOKUP(F785,Trait_Polarity!$A:$C,2,FALSE),0))+IF(G785="",0,IFNA(VLOOKUP(G785,Trait_Polarity!$A:$C,2,FALSE),0))</f>
        <v/>
      </c>
      <c r="S785">
        <f>IF(F785="",0,IFNA(VLOOKUP(F785,Trait_Polarity!$A:$C,3,FALSE),0))+IF(G785="",0,IFNA(VLOOKUP(G785,Trait_Polarity!$A:$C,3,FALSE),0))</f>
        <v/>
      </c>
      <c r="T785">
        <f>IF(Q785="P",0,IFNA(VLOOKUP(IF(C785="","(none)",C785),Secondary_Versatility!$A:$B,2,FALSE),0))</f>
        <v/>
      </c>
      <c r="U785">
        <f>IF(H785="",0,LEN(H785)-LEN(SUBSTITUTE(H785,"|",""))+1)</f>
        <v/>
      </c>
      <c r="V785">
        <f>IF(Q785="P",(N785+O785+P785)/3,0.3*I785+0.3*J785+0.2*K785+0.1*L785+0.1*M785)</f>
        <v/>
      </c>
      <c r="W785">
        <f>IF(Q785="P",IF(F785="",0,IFNA(VLOOKUP(F785,Pitcher_Trait_Coef!$A:$B,2,FALSE),0))+IF(G785="",0,IFNA(VLOOKUP(G785,Pitcher_Trait_Coef!$A:$B,2,FALSE),0)),IF(F785="",0,IFNA(VLOOKUP(F785,Hitter_Trait_Coef!$A:$B,2,FALSE),0))+IF(G785="",0,IFNA(VLOOKUP(G785,Hitter_Trait_Coef!$A:$B,2,FALSE),0)))</f>
        <v/>
      </c>
      <c r="X785">
        <f>IF(Q785="P",IFNA(VLOOKUP(B785,Pitcher_Primary_Coef!$A:$B,2,FALSE),0),IFNA(VLOOKUP(B785,Hitter_Primary_Coef!$A:$B,2,FALSE),0))</f>
        <v/>
      </c>
      <c r="Y785">
        <f>IF(Q785="P",0,IFNA(VLOOKUP(IF(C785="","(none)",C785),Hitter_Secondary_Coef!$A:$B,2,FALSE),0))</f>
        <v/>
      </c>
      <c r="Z785">
        <f>IF(Q785="P",IF(ISNUMBER(SEARCH("2F",H785)),IFNA(VLOOKUP("2F",Pitch_Coef!$A:$B,2,FALSE),0),0)+IF(ISNUMBER(SEARCH("4F",H785)),IFNA(VLOOKUP("4F",Pitch_Coef!$A:$B,2,FALSE),0),0)+IF(ISNUMBER(SEARCH("CB",H785)),IFNA(VLOOKUP("CB",Pitch_Coef!$A:$B,2,FALSE),0),0)+IF(ISNUMBER(SEARCH("CF",H785)),IFNA(VLOOKUP("CF",Pitch_Coef!$A:$B,2,FALSE),0),0)+IF(ISNUMBER(SEARCH("CH",H785)),IFNA(VLOOKUP("CH",Pitch_Coef!$A:$B,2,FALSE),0),0)+IF(ISNUMBER(SEARCH("FK",H785)),IFNA(VLOOKUP("FK",Pitch_Coef!$A:$B,2,FALSE),0),0)+IF(ISNUMBER(SEARCH("SB",H785)),IFNA(VLOOKUP("SB",Pitch_Coef!$A:$B,2,FALSE),0),0)+IF(ISNUMBER(SEARCH("SL",H785)),IFNA(VLOOKUP("SL",Pitch_Coef!$A:$B,2,FALSE),0),0),0)</f>
        <v/>
      </c>
      <c r="AA785">
        <f>IF(Q785="P",16.5944849573+0.2529999141*N785+0.2665900378*O785+0.2632687105*P785+0.0427586837*I785+0.0534777057*J785+0.009015832*K785+0.0204898106*(O785*P785/100)+1.0091022427*U785+1.0968542297*IF(D785="L",1,0)+0.3771555045*IF(D785="S",1,0)-0.2226159177*IF(E785="L",1,0)+1.21385024*R785-1.1652812274*S785+W785+X785+Z785,10.5965166711+0.2825983581*I785+0.2806503532*J785+0.2027213083*K785+0.1147824982*L785+0.0915305332*M785-0.0088454122*(I785*J785/100)-0.0336045706*(K785*L785/100)+2.8497389733*IF(D785="L",1,0)+4.5116226727*IF(D785="S",1,0)-0.6571546448*IF(E785="L",1,0)+0.0850728147*T785+0.0129488446*(T785*T785)+0.1909373936*IF(OR(F785="Utility",G785="Utility"),T785,0)+0.9656824071*R785-1.7517683256*S785+W785+X785+Y785)</f>
        <v/>
      </c>
      <c r="AB785">
        <f>LOOKUP(AA785,Grade_Scale!$A$2:$A$18,Grade_Scale!$B$2:$B$18)</f>
        <v/>
      </c>
      <c r="AC785">
        <f>LOOKUP(AA785,Grade_Scale!$A$2:$A$18,Grade_Scale!$C$2:$C$18)</f>
        <v/>
      </c>
      <c r="AE785">
        <f>IF(AD785="","",AB785-VLOOKUP(AD785,Grade_Scale!$C$2:$E$18,3,FALSE))</f>
        <v/>
      </c>
    </row>
    <row r="786">
      <c r="Q786">
        <f>IF(OR(B786="SP",B786="RP",B786="CP",B786="SP/RP"),"P","H")</f>
        <v/>
      </c>
      <c r="R786">
        <f>IF(F786="",0,IFNA(VLOOKUP(F786,Trait_Polarity!$A:$C,2,FALSE),0))+IF(G786="",0,IFNA(VLOOKUP(G786,Trait_Polarity!$A:$C,2,FALSE),0))</f>
        <v/>
      </c>
      <c r="S786">
        <f>IF(F786="",0,IFNA(VLOOKUP(F786,Trait_Polarity!$A:$C,3,FALSE),0))+IF(G786="",0,IFNA(VLOOKUP(G786,Trait_Polarity!$A:$C,3,FALSE),0))</f>
        <v/>
      </c>
      <c r="T786">
        <f>IF(Q786="P",0,IFNA(VLOOKUP(IF(C786="","(none)",C786),Secondary_Versatility!$A:$B,2,FALSE),0))</f>
        <v/>
      </c>
      <c r="U786">
        <f>IF(H786="",0,LEN(H786)-LEN(SUBSTITUTE(H786,"|",""))+1)</f>
        <v/>
      </c>
      <c r="V786">
        <f>IF(Q786="P",(N786+O786+P786)/3,0.3*I786+0.3*J786+0.2*K786+0.1*L786+0.1*M786)</f>
        <v/>
      </c>
      <c r="W786">
        <f>IF(Q786="P",IF(F786="",0,IFNA(VLOOKUP(F786,Pitcher_Trait_Coef!$A:$B,2,FALSE),0))+IF(G786="",0,IFNA(VLOOKUP(G786,Pitcher_Trait_Coef!$A:$B,2,FALSE),0)),IF(F786="",0,IFNA(VLOOKUP(F786,Hitter_Trait_Coef!$A:$B,2,FALSE),0))+IF(G786="",0,IFNA(VLOOKUP(G786,Hitter_Trait_Coef!$A:$B,2,FALSE),0)))</f>
        <v/>
      </c>
      <c r="X786">
        <f>IF(Q786="P",IFNA(VLOOKUP(B786,Pitcher_Primary_Coef!$A:$B,2,FALSE),0),IFNA(VLOOKUP(B786,Hitter_Primary_Coef!$A:$B,2,FALSE),0))</f>
        <v/>
      </c>
      <c r="Y786">
        <f>IF(Q786="P",0,IFNA(VLOOKUP(IF(C786="","(none)",C786),Hitter_Secondary_Coef!$A:$B,2,FALSE),0))</f>
        <v/>
      </c>
      <c r="Z786">
        <f>IF(Q786="P",IF(ISNUMBER(SEARCH("2F",H786)),IFNA(VLOOKUP("2F",Pitch_Coef!$A:$B,2,FALSE),0),0)+IF(ISNUMBER(SEARCH("4F",H786)),IFNA(VLOOKUP("4F",Pitch_Coef!$A:$B,2,FALSE),0),0)+IF(ISNUMBER(SEARCH("CB",H786)),IFNA(VLOOKUP("CB",Pitch_Coef!$A:$B,2,FALSE),0),0)+IF(ISNUMBER(SEARCH("CF",H786)),IFNA(VLOOKUP("CF",Pitch_Coef!$A:$B,2,FALSE),0),0)+IF(ISNUMBER(SEARCH("CH",H786)),IFNA(VLOOKUP("CH",Pitch_Coef!$A:$B,2,FALSE),0),0)+IF(ISNUMBER(SEARCH("FK",H786)),IFNA(VLOOKUP("FK",Pitch_Coef!$A:$B,2,FALSE),0),0)+IF(ISNUMBER(SEARCH("SB",H786)),IFNA(VLOOKUP("SB",Pitch_Coef!$A:$B,2,FALSE),0),0)+IF(ISNUMBER(SEARCH("SL",H786)),IFNA(VLOOKUP("SL",Pitch_Coef!$A:$B,2,FALSE),0),0),0)</f>
        <v/>
      </c>
      <c r="AA786">
        <f>IF(Q786="P",16.5944849573+0.2529999141*N786+0.2665900378*O786+0.2632687105*P786+0.0427586837*I786+0.0534777057*J786+0.009015832*K786+0.0204898106*(O786*P786/100)+1.0091022427*U786+1.0968542297*IF(D786="L",1,0)+0.3771555045*IF(D786="S",1,0)-0.2226159177*IF(E786="L",1,0)+1.21385024*R786-1.1652812274*S786+W786+X786+Z786,10.5965166711+0.2825983581*I786+0.2806503532*J786+0.2027213083*K786+0.1147824982*L786+0.0915305332*M786-0.0088454122*(I786*J786/100)-0.0336045706*(K786*L786/100)+2.8497389733*IF(D786="L",1,0)+4.5116226727*IF(D786="S",1,0)-0.6571546448*IF(E786="L",1,0)+0.0850728147*T786+0.0129488446*(T786*T786)+0.1909373936*IF(OR(F786="Utility",G786="Utility"),T786,0)+0.9656824071*R786-1.7517683256*S786+W786+X786+Y786)</f>
        <v/>
      </c>
      <c r="AB786">
        <f>LOOKUP(AA786,Grade_Scale!$A$2:$A$18,Grade_Scale!$B$2:$B$18)</f>
        <v/>
      </c>
      <c r="AC786">
        <f>LOOKUP(AA786,Grade_Scale!$A$2:$A$18,Grade_Scale!$C$2:$C$18)</f>
        <v/>
      </c>
      <c r="AE786">
        <f>IF(AD786="","",AB786-VLOOKUP(AD786,Grade_Scale!$C$2:$E$18,3,FALSE))</f>
        <v/>
      </c>
    </row>
    <row r="787">
      <c r="Q787">
        <f>IF(OR(B787="SP",B787="RP",B787="CP",B787="SP/RP"),"P","H")</f>
        <v/>
      </c>
      <c r="R787">
        <f>IF(F787="",0,IFNA(VLOOKUP(F787,Trait_Polarity!$A:$C,2,FALSE),0))+IF(G787="",0,IFNA(VLOOKUP(G787,Trait_Polarity!$A:$C,2,FALSE),0))</f>
        <v/>
      </c>
      <c r="S787">
        <f>IF(F787="",0,IFNA(VLOOKUP(F787,Trait_Polarity!$A:$C,3,FALSE),0))+IF(G787="",0,IFNA(VLOOKUP(G787,Trait_Polarity!$A:$C,3,FALSE),0))</f>
        <v/>
      </c>
      <c r="T787">
        <f>IF(Q787="P",0,IFNA(VLOOKUP(IF(C787="","(none)",C787),Secondary_Versatility!$A:$B,2,FALSE),0))</f>
        <v/>
      </c>
      <c r="U787">
        <f>IF(H787="",0,LEN(H787)-LEN(SUBSTITUTE(H787,"|",""))+1)</f>
        <v/>
      </c>
      <c r="V787">
        <f>IF(Q787="P",(N787+O787+P787)/3,0.3*I787+0.3*J787+0.2*K787+0.1*L787+0.1*M787)</f>
        <v/>
      </c>
      <c r="W787">
        <f>IF(Q787="P",IF(F787="",0,IFNA(VLOOKUP(F787,Pitcher_Trait_Coef!$A:$B,2,FALSE),0))+IF(G787="",0,IFNA(VLOOKUP(G787,Pitcher_Trait_Coef!$A:$B,2,FALSE),0)),IF(F787="",0,IFNA(VLOOKUP(F787,Hitter_Trait_Coef!$A:$B,2,FALSE),0))+IF(G787="",0,IFNA(VLOOKUP(G787,Hitter_Trait_Coef!$A:$B,2,FALSE),0)))</f>
        <v/>
      </c>
      <c r="X787">
        <f>IF(Q787="P",IFNA(VLOOKUP(B787,Pitcher_Primary_Coef!$A:$B,2,FALSE),0),IFNA(VLOOKUP(B787,Hitter_Primary_Coef!$A:$B,2,FALSE),0))</f>
        <v/>
      </c>
      <c r="Y787">
        <f>IF(Q787="P",0,IFNA(VLOOKUP(IF(C787="","(none)",C787),Hitter_Secondary_Coef!$A:$B,2,FALSE),0))</f>
        <v/>
      </c>
      <c r="Z787">
        <f>IF(Q787="P",IF(ISNUMBER(SEARCH("2F",H787)),IFNA(VLOOKUP("2F",Pitch_Coef!$A:$B,2,FALSE),0),0)+IF(ISNUMBER(SEARCH("4F",H787)),IFNA(VLOOKUP("4F",Pitch_Coef!$A:$B,2,FALSE),0),0)+IF(ISNUMBER(SEARCH("CB",H787)),IFNA(VLOOKUP("CB",Pitch_Coef!$A:$B,2,FALSE),0),0)+IF(ISNUMBER(SEARCH("CF",H787)),IFNA(VLOOKUP("CF",Pitch_Coef!$A:$B,2,FALSE),0),0)+IF(ISNUMBER(SEARCH("CH",H787)),IFNA(VLOOKUP("CH",Pitch_Coef!$A:$B,2,FALSE),0),0)+IF(ISNUMBER(SEARCH("FK",H787)),IFNA(VLOOKUP("FK",Pitch_Coef!$A:$B,2,FALSE),0),0)+IF(ISNUMBER(SEARCH("SB",H787)),IFNA(VLOOKUP("SB",Pitch_Coef!$A:$B,2,FALSE),0),0)+IF(ISNUMBER(SEARCH("SL",H787)),IFNA(VLOOKUP("SL",Pitch_Coef!$A:$B,2,FALSE),0),0),0)</f>
        <v/>
      </c>
      <c r="AA787">
        <f>IF(Q787="P",16.5944849573+0.2529999141*N787+0.2665900378*O787+0.2632687105*P787+0.0427586837*I787+0.0534777057*J787+0.009015832*K787+0.0204898106*(O787*P787/100)+1.0091022427*U787+1.0968542297*IF(D787="L",1,0)+0.3771555045*IF(D787="S",1,0)-0.2226159177*IF(E787="L",1,0)+1.21385024*R787-1.1652812274*S787+W787+X787+Z787,10.5965166711+0.2825983581*I787+0.2806503532*J787+0.2027213083*K787+0.1147824982*L787+0.0915305332*M787-0.0088454122*(I787*J787/100)-0.0336045706*(K787*L787/100)+2.8497389733*IF(D787="L",1,0)+4.5116226727*IF(D787="S",1,0)-0.6571546448*IF(E787="L",1,0)+0.0850728147*T787+0.0129488446*(T787*T787)+0.1909373936*IF(OR(F787="Utility",G787="Utility"),T787,0)+0.9656824071*R787-1.7517683256*S787+W787+X787+Y787)</f>
        <v/>
      </c>
      <c r="AB787">
        <f>LOOKUP(AA787,Grade_Scale!$A$2:$A$18,Grade_Scale!$B$2:$B$18)</f>
        <v/>
      </c>
      <c r="AC787">
        <f>LOOKUP(AA787,Grade_Scale!$A$2:$A$18,Grade_Scale!$C$2:$C$18)</f>
        <v/>
      </c>
      <c r="AE787">
        <f>IF(AD787="","",AB787-VLOOKUP(AD787,Grade_Scale!$C$2:$E$18,3,FALSE))</f>
        <v/>
      </c>
    </row>
    <row r="788">
      <c r="Q788">
        <f>IF(OR(B788="SP",B788="RP",B788="CP",B788="SP/RP"),"P","H")</f>
        <v/>
      </c>
      <c r="R788">
        <f>IF(F788="",0,IFNA(VLOOKUP(F788,Trait_Polarity!$A:$C,2,FALSE),0))+IF(G788="",0,IFNA(VLOOKUP(G788,Trait_Polarity!$A:$C,2,FALSE),0))</f>
        <v/>
      </c>
      <c r="S788">
        <f>IF(F788="",0,IFNA(VLOOKUP(F788,Trait_Polarity!$A:$C,3,FALSE),0))+IF(G788="",0,IFNA(VLOOKUP(G788,Trait_Polarity!$A:$C,3,FALSE),0))</f>
        <v/>
      </c>
      <c r="T788">
        <f>IF(Q788="P",0,IFNA(VLOOKUP(IF(C788="","(none)",C788),Secondary_Versatility!$A:$B,2,FALSE),0))</f>
        <v/>
      </c>
      <c r="U788">
        <f>IF(H788="",0,LEN(H788)-LEN(SUBSTITUTE(H788,"|",""))+1)</f>
        <v/>
      </c>
      <c r="V788">
        <f>IF(Q788="P",(N788+O788+P788)/3,0.3*I788+0.3*J788+0.2*K788+0.1*L788+0.1*M788)</f>
        <v/>
      </c>
      <c r="W788">
        <f>IF(Q788="P",IF(F788="",0,IFNA(VLOOKUP(F788,Pitcher_Trait_Coef!$A:$B,2,FALSE),0))+IF(G788="",0,IFNA(VLOOKUP(G788,Pitcher_Trait_Coef!$A:$B,2,FALSE),0)),IF(F788="",0,IFNA(VLOOKUP(F788,Hitter_Trait_Coef!$A:$B,2,FALSE),0))+IF(G788="",0,IFNA(VLOOKUP(G788,Hitter_Trait_Coef!$A:$B,2,FALSE),0)))</f>
        <v/>
      </c>
      <c r="X788">
        <f>IF(Q788="P",IFNA(VLOOKUP(B788,Pitcher_Primary_Coef!$A:$B,2,FALSE),0),IFNA(VLOOKUP(B788,Hitter_Primary_Coef!$A:$B,2,FALSE),0))</f>
        <v/>
      </c>
      <c r="Y788">
        <f>IF(Q788="P",0,IFNA(VLOOKUP(IF(C788="","(none)",C788),Hitter_Secondary_Coef!$A:$B,2,FALSE),0))</f>
        <v/>
      </c>
      <c r="Z788">
        <f>IF(Q788="P",IF(ISNUMBER(SEARCH("2F",H788)),IFNA(VLOOKUP("2F",Pitch_Coef!$A:$B,2,FALSE),0),0)+IF(ISNUMBER(SEARCH("4F",H788)),IFNA(VLOOKUP("4F",Pitch_Coef!$A:$B,2,FALSE),0),0)+IF(ISNUMBER(SEARCH("CB",H788)),IFNA(VLOOKUP("CB",Pitch_Coef!$A:$B,2,FALSE),0),0)+IF(ISNUMBER(SEARCH("CF",H788)),IFNA(VLOOKUP("CF",Pitch_Coef!$A:$B,2,FALSE),0),0)+IF(ISNUMBER(SEARCH("CH",H788)),IFNA(VLOOKUP("CH",Pitch_Coef!$A:$B,2,FALSE),0),0)+IF(ISNUMBER(SEARCH("FK",H788)),IFNA(VLOOKUP("FK",Pitch_Coef!$A:$B,2,FALSE),0),0)+IF(ISNUMBER(SEARCH("SB",H788)),IFNA(VLOOKUP("SB",Pitch_Coef!$A:$B,2,FALSE),0),0)+IF(ISNUMBER(SEARCH("SL",H788)),IFNA(VLOOKUP("SL",Pitch_Coef!$A:$B,2,FALSE),0),0),0)</f>
        <v/>
      </c>
      <c r="AA788">
        <f>IF(Q788="P",16.5944849573+0.2529999141*N788+0.2665900378*O788+0.2632687105*P788+0.0427586837*I788+0.0534777057*J788+0.009015832*K788+0.0204898106*(O788*P788/100)+1.0091022427*U788+1.0968542297*IF(D788="L",1,0)+0.3771555045*IF(D788="S",1,0)-0.2226159177*IF(E788="L",1,0)+1.21385024*R788-1.1652812274*S788+W788+X788+Z788,10.5965166711+0.2825983581*I788+0.2806503532*J788+0.2027213083*K788+0.1147824982*L788+0.0915305332*M788-0.0088454122*(I788*J788/100)-0.0336045706*(K788*L788/100)+2.8497389733*IF(D788="L",1,0)+4.5116226727*IF(D788="S",1,0)-0.6571546448*IF(E788="L",1,0)+0.0850728147*T788+0.0129488446*(T788*T788)+0.1909373936*IF(OR(F788="Utility",G788="Utility"),T788,0)+0.9656824071*R788-1.7517683256*S788+W788+X788+Y788)</f>
        <v/>
      </c>
      <c r="AB788">
        <f>LOOKUP(AA788,Grade_Scale!$A$2:$A$18,Grade_Scale!$B$2:$B$18)</f>
        <v/>
      </c>
      <c r="AC788">
        <f>LOOKUP(AA788,Grade_Scale!$A$2:$A$18,Grade_Scale!$C$2:$C$18)</f>
        <v/>
      </c>
      <c r="AE788">
        <f>IF(AD788="","",AB788-VLOOKUP(AD788,Grade_Scale!$C$2:$E$18,3,FALSE))</f>
        <v/>
      </c>
    </row>
    <row r="789">
      <c r="Q789">
        <f>IF(OR(B789="SP",B789="RP",B789="CP",B789="SP/RP"),"P","H")</f>
        <v/>
      </c>
      <c r="R789">
        <f>IF(F789="",0,IFNA(VLOOKUP(F789,Trait_Polarity!$A:$C,2,FALSE),0))+IF(G789="",0,IFNA(VLOOKUP(G789,Trait_Polarity!$A:$C,2,FALSE),0))</f>
        <v/>
      </c>
      <c r="S789">
        <f>IF(F789="",0,IFNA(VLOOKUP(F789,Trait_Polarity!$A:$C,3,FALSE),0))+IF(G789="",0,IFNA(VLOOKUP(G789,Trait_Polarity!$A:$C,3,FALSE),0))</f>
        <v/>
      </c>
      <c r="T789">
        <f>IF(Q789="P",0,IFNA(VLOOKUP(IF(C789="","(none)",C789),Secondary_Versatility!$A:$B,2,FALSE),0))</f>
        <v/>
      </c>
      <c r="U789">
        <f>IF(H789="",0,LEN(H789)-LEN(SUBSTITUTE(H789,"|",""))+1)</f>
        <v/>
      </c>
      <c r="V789">
        <f>IF(Q789="P",(N789+O789+P789)/3,0.3*I789+0.3*J789+0.2*K789+0.1*L789+0.1*M789)</f>
        <v/>
      </c>
      <c r="W789">
        <f>IF(Q789="P",IF(F789="",0,IFNA(VLOOKUP(F789,Pitcher_Trait_Coef!$A:$B,2,FALSE),0))+IF(G789="",0,IFNA(VLOOKUP(G789,Pitcher_Trait_Coef!$A:$B,2,FALSE),0)),IF(F789="",0,IFNA(VLOOKUP(F789,Hitter_Trait_Coef!$A:$B,2,FALSE),0))+IF(G789="",0,IFNA(VLOOKUP(G789,Hitter_Trait_Coef!$A:$B,2,FALSE),0)))</f>
        <v/>
      </c>
      <c r="X789">
        <f>IF(Q789="P",IFNA(VLOOKUP(B789,Pitcher_Primary_Coef!$A:$B,2,FALSE),0),IFNA(VLOOKUP(B789,Hitter_Primary_Coef!$A:$B,2,FALSE),0))</f>
        <v/>
      </c>
      <c r="Y789">
        <f>IF(Q789="P",0,IFNA(VLOOKUP(IF(C789="","(none)",C789),Hitter_Secondary_Coef!$A:$B,2,FALSE),0))</f>
        <v/>
      </c>
      <c r="Z789">
        <f>IF(Q789="P",IF(ISNUMBER(SEARCH("2F",H789)),IFNA(VLOOKUP("2F",Pitch_Coef!$A:$B,2,FALSE),0),0)+IF(ISNUMBER(SEARCH("4F",H789)),IFNA(VLOOKUP("4F",Pitch_Coef!$A:$B,2,FALSE),0),0)+IF(ISNUMBER(SEARCH("CB",H789)),IFNA(VLOOKUP("CB",Pitch_Coef!$A:$B,2,FALSE),0),0)+IF(ISNUMBER(SEARCH("CF",H789)),IFNA(VLOOKUP("CF",Pitch_Coef!$A:$B,2,FALSE),0),0)+IF(ISNUMBER(SEARCH("CH",H789)),IFNA(VLOOKUP("CH",Pitch_Coef!$A:$B,2,FALSE),0),0)+IF(ISNUMBER(SEARCH("FK",H789)),IFNA(VLOOKUP("FK",Pitch_Coef!$A:$B,2,FALSE),0),0)+IF(ISNUMBER(SEARCH("SB",H789)),IFNA(VLOOKUP("SB",Pitch_Coef!$A:$B,2,FALSE),0),0)+IF(ISNUMBER(SEARCH("SL",H789)),IFNA(VLOOKUP("SL",Pitch_Coef!$A:$B,2,FALSE),0),0),0)</f>
        <v/>
      </c>
      <c r="AA789">
        <f>IF(Q789="P",16.5944849573+0.2529999141*N789+0.2665900378*O789+0.2632687105*P789+0.0427586837*I789+0.0534777057*J789+0.009015832*K789+0.0204898106*(O789*P789/100)+1.0091022427*U789+1.0968542297*IF(D789="L",1,0)+0.3771555045*IF(D789="S",1,0)-0.2226159177*IF(E789="L",1,0)+1.21385024*R789-1.1652812274*S789+W789+X789+Z789,10.5965166711+0.2825983581*I789+0.2806503532*J789+0.2027213083*K789+0.1147824982*L789+0.0915305332*M789-0.0088454122*(I789*J789/100)-0.0336045706*(K789*L789/100)+2.8497389733*IF(D789="L",1,0)+4.5116226727*IF(D789="S",1,0)-0.6571546448*IF(E789="L",1,0)+0.0850728147*T789+0.0129488446*(T789*T789)+0.1909373936*IF(OR(F789="Utility",G789="Utility"),T789,0)+0.9656824071*R789-1.7517683256*S789+W789+X789+Y789)</f>
        <v/>
      </c>
      <c r="AB789">
        <f>LOOKUP(AA789,Grade_Scale!$A$2:$A$18,Grade_Scale!$B$2:$B$18)</f>
        <v/>
      </c>
      <c r="AC789">
        <f>LOOKUP(AA789,Grade_Scale!$A$2:$A$18,Grade_Scale!$C$2:$C$18)</f>
        <v/>
      </c>
      <c r="AE789">
        <f>IF(AD789="","",AB789-VLOOKUP(AD789,Grade_Scale!$C$2:$E$18,3,FALSE))</f>
        <v/>
      </c>
    </row>
    <row r="790">
      <c r="Q790">
        <f>IF(OR(B790="SP",B790="RP",B790="CP",B790="SP/RP"),"P","H")</f>
        <v/>
      </c>
      <c r="R790">
        <f>IF(F790="",0,IFNA(VLOOKUP(F790,Trait_Polarity!$A:$C,2,FALSE),0))+IF(G790="",0,IFNA(VLOOKUP(G790,Trait_Polarity!$A:$C,2,FALSE),0))</f>
        <v/>
      </c>
      <c r="S790">
        <f>IF(F790="",0,IFNA(VLOOKUP(F790,Trait_Polarity!$A:$C,3,FALSE),0))+IF(G790="",0,IFNA(VLOOKUP(G790,Trait_Polarity!$A:$C,3,FALSE),0))</f>
        <v/>
      </c>
      <c r="T790">
        <f>IF(Q790="P",0,IFNA(VLOOKUP(IF(C790="","(none)",C790),Secondary_Versatility!$A:$B,2,FALSE),0))</f>
        <v/>
      </c>
      <c r="U790">
        <f>IF(H790="",0,LEN(H790)-LEN(SUBSTITUTE(H790,"|",""))+1)</f>
        <v/>
      </c>
      <c r="V790">
        <f>IF(Q790="P",(N790+O790+P790)/3,0.3*I790+0.3*J790+0.2*K790+0.1*L790+0.1*M790)</f>
        <v/>
      </c>
      <c r="W790">
        <f>IF(Q790="P",IF(F790="",0,IFNA(VLOOKUP(F790,Pitcher_Trait_Coef!$A:$B,2,FALSE),0))+IF(G790="",0,IFNA(VLOOKUP(G790,Pitcher_Trait_Coef!$A:$B,2,FALSE),0)),IF(F790="",0,IFNA(VLOOKUP(F790,Hitter_Trait_Coef!$A:$B,2,FALSE),0))+IF(G790="",0,IFNA(VLOOKUP(G790,Hitter_Trait_Coef!$A:$B,2,FALSE),0)))</f>
        <v/>
      </c>
      <c r="X790">
        <f>IF(Q790="P",IFNA(VLOOKUP(B790,Pitcher_Primary_Coef!$A:$B,2,FALSE),0),IFNA(VLOOKUP(B790,Hitter_Primary_Coef!$A:$B,2,FALSE),0))</f>
        <v/>
      </c>
      <c r="Y790">
        <f>IF(Q790="P",0,IFNA(VLOOKUP(IF(C790="","(none)",C790),Hitter_Secondary_Coef!$A:$B,2,FALSE),0))</f>
        <v/>
      </c>
      <c r="Z790">
        <f>IF(Q790="P",IF(ISNUMBER(SEARCH("2F",H790)),IFNA(VLOOKUP("2F",Pitch_Coef!$A:$B,2,FALSE),0),0)+IF(ISNUMBER(SEARCH("4F",H790)),IFNA(VLOOKUP("4F",Pitch_Coef!$A:$B,2,FALSE),0),0)+IF(ISNUMBER(SEARCH("CB",H790)),IFNA(VLOOKUP("CB",Pitch_Coef!$A:$B,2,FALSE),0),0)+IF(ISNUMBER(SEARCH("CF",H790)),IFNA(VLOOKUP("CF",Pitch_Coef!$A:$B,2,FALSE),0),0)+IF(ISNUMBER(SEARCH("CH",H790)),IFNA(VLOOKUP("CH",Pitch_Coef!$A:$B,2,FALSE),0),0)+IF(ISNUMBER(SEARCH("FK",H790)),IFNA(VLOOKUP("FK",Pitch_Coef!$A:$B,2,FALSE),0),0)+IF(ISNUMBER(SEARCH("SB",H790)),IFNA(VLOOKUP("SB",Pitch_Coef!$A:$B,2,FALSE),0),0)+IF(ISNUMBER(SEARCH("SL",H790)),IFNA(VLOOKUP("SL",Pitch_Coef!$A:$B,2,FALSE),0),0),0)</f>
        <v/>
      </c>
      <c r="AA790">
        <f>IF(Q790="P",16.5944849573+0.2529999141*N790+0.2665900378*O790+0.2632687105*P790+0.0427586837*I790+0.0534777057*J790+0.009015832*K790+0.0204898106*(O790*P790/100)+1.0091022427*U790+1.0968542297*IF(D790="L",1,0)+0.3771555045*IF(D790="S",1,0)-0.2226159177*IF(E790="L",1,0)+1.21385024*R790-1.1652812274*S790+W790+X790+Z790,10.5965166711+0.2825983581*I790+0.2806503532*J790+0.2027213083*K790+0.1147824982*L790+0.0915305332*M790-0.0088454122*(I790*J790/100)-0.0336045706*(K790*L790/100)+2.8497389733*IF(D790="L",1,0)+4.5116226727*IF(D790="S",1,0)-0.6571546448*IF(E790="L",1,0)+0.0850728147*T790+0.0129488446*(T790*T790)+0.1909373936*IF(OR(F790="Utility",G790="Utility"),T790,0)+0.9656824071*R790-1.7517683256*S790+W790+X790+Y790)</f>
        <v/>
      </c>
      <c r="AB790">
        <f>LOOKUP(AA790,Grade_Scale!$A$2:$A$18,Grade_Scale!$B$2:$B$18)</f>
        <v/>
      </c>
      <c r="AC790">
        <f>LOOKUP(AA790,Grade_Scale!$A$2:$A$18,Grade_Scale!$C$2:$C$18)</f>
        <v/>
      </c>
      <c r="AE790">
        <f>IF(AD790="","",AB790-VLOOKUP(AD790,Grade_Scale!$C$2:$E$18,3,FALSE))</f>
        <v/>
      </c>
    </row>
    <row r="791">
      <c r="Q791">
        <f>IF(OR(B791="SP",B791="RP",B791="CP",B791="SP/RP"),"P","H")</f>
        <v/>
      </c>
      <c r="R791">
        <f>IF(F791="",0,IFNA(VLOOKUP(F791,Trait_Polarity!$A:$C,2,FALSE),0))+IF(G791="",0,IFNA(VLOOKUP(G791,Trait_Polarity!$A:$C,2,FALSE),0))</f>
        <v/>
      </c>
      <c r="S791">
        <f>IF(F791="",0,IFNA(VLOOKUP(F791,Trait_Polarity!$A:$C,3,FALSE),0))+IF(G791="",0,IFNA(VLOOKUP(G791,Trait_Polarity!$A:$C,3,FALSE),0))</f>
        <v/>
      </c>
      <c r="T791">
        <f>IF(Q791="P",0,IFNA(VLOOKUP(IF(C791="","(none)",C791),Secondary_Versatility!$A:$B,2,FALSE),0))</f>
        <v/>
      </c>
      <c r="U791">
        <f>IF(H791="",0,LEN(H791)-LEN(SUBSTITUTE(H791,"|",""))+1)</f>
        <v/>
      </c>
      <c r="V791">
        <f>IF(Q791="P",(N791+O791+P791)/3,0.3*I791+0.3*J791+0.2*K791+0.1*L791+0.1*M791)</f>
        <v/>
      </c>
      <c r="W791">
        <f>IF(Q791="P",IF(F791="",0,IFNA(VLOOKUP(F791,Pitcher_Trait_Coef!$A:$B,2,FALSE),0))+IF(G791="",0,IFNA(VLOOKUP(G791,Pitcher_Trait_Coef!$A:$B,2,FALSE),0)),IF(F791="",0,IFNA(VLOOKUP(F791,Hitter_Trait_Coef!$A:$B,2,FALSE),0))+IF(G791="",0,IFNA(VLOOKUP(G791,Hitter_Trait_Coef!$A:$B,2,FALSE),0)))</f>
        <v/>
      </c>
      <c r="X791">
        <f>IF(Q791="P",IFNA(VLOOKUP(B791,Pitcher_Primary_Coef!$A:$B,2,FALSE),0),IFNA(VLOOKUP(B791,Hitter_Primary_Coef!$A:$B,2,FALSE),0))</f>
        <v/>
      </c>
      <c r="Y791">
        <f>IF(Q791="P",0,IFNA(VLOOKUP(IF(C791="","(none)",C791),Hitter_Secondary_Coef!$A:$B,2,FALSE),0))</f>
        <v/>
      </c>
      <c r="Z791">
        <f>IF(Q791="P",IF(ISNUMBER(SEARCH("2F",H791)),IFNA(VLOOKUP("2F",Pitch_Coef!$A:$B,2,FALSE),0),0)+IF(ISNUMBER(SEARCH("4F",H791)),IFNA(VLOOKUP("4F",Pitch_Coef!$A:$B,2,FALSE),0),0)+IF(ISNUMBER(SEARCH("CB",H791)),IFNA(VLOOKUP("CB",Pitch_Coef!$A:$B,2,FALSE),0),0)+IF(ISNUMBER(SEARCH("CF",H791)),IFNA(VLOOKUP("CF",Pitch_Coef!$A:$B,2,FALSE),0),0)+IF(ISNUMBER(SEARCH("CH",H791)),IFNA(VLOOKUP("CH",Pitch_Coef!$A:$B,2,FALSE),0),0)+IF(ISNUMBER(SEARCH("FK",H791)),IFNA(VLOOKUP("FK",Pitch_Coef!$A:$B,2,FALSE),0),0)+IF(ISNUMBER(SEARCH("SB",H791)),IFNA(VLOOKUP("SB",Pitch_Coef!$A:$B,2,FALSE),0),0)+IF(ISNUMBER(SEARCH("SL",H791)),IFNA(VLOOKUP("SL",Pitch_Coef!$A:$B,2,FALSE),0),0),0)</f>
        <v/>
      </c>
      <c r="AA791">
        <f>IF(Q791="P",16.5944849573+0.2529999141*N791+0.2665900378*O791+0.2632687105*P791+0.0427586837*I791+0.0534777057*J791+0.009015832*K791+0.0204898106*(O791*P791/100)+1.0091022427*U791+1.0968542297*IF(D791="L",1,0)+0.3771555045*IF(D791="S",1,0)-0.2226159177*IF(E791="L",1,0)+1.21385024*R791-1.1652812274*S791+W791+X791+Z791,10.5965166711+0.2825983581*I791+0.2806503532*J791+0.2027213083*K791+0.1147824982*L791+0.0915305332*M791-0.0088454122*(I791*J791/100)-0.0336045706*(K791*L791/100)+2.8497389733*IF(D791="L",1,0)+4.5116226727*IF(D791="S",1,0)-0.6571546448*IF(E791="L",1,0)+0.0850728147*T791+0.0129488446*(T791*T791)+0.1909373936*IF(OR(F791="Utility",G791="Utility"),T791,0)+0.9656824071*R791-1.7517683256*S791+W791+X791+Y791)</f>
        <v/>
      </c>
      <c r="AB791">
        <f>LOOKUP(AA791,Grade_Scale!$A$2:$A$18,Grade_Scale!$B$2:$B$18)</f>
        <v/>
      </c>
      <c r="AC791">
        <f>LOOKUP(AA791,Grade_Scale!$A$2:$A$18,Grade_Scale!$C$2:$C$18)</f>
        <v/>
      </c>
      <c r="AE791">
        <f>IF(AD791="","",AB791-VLOOKUP(AD791,Grade_Scale!$C$2:$E$18,3,FALSE))</f>
        <v/>
      </c>
    </row>
    <row r="792">
      <c r="Q792">
        <f>IF(OR(B792="SP",B792="RP",B792="CP",B792="SP/RP"),"P","H")</f>
        <v/>
      </c>
      <c r="R792">
        <f>IF(F792="",0,IFNA(VLOOKUP(F792,Trait_Polarity!$A:$C,2,FALSE),0))+IF(G792="",0,IFNA(VLOOKUP(G792,Trait_Polarity!$A:$C,2,FALSE),0))</f>
        <v/>
      </c>
      <c r="S792">
        <f>IF(F792="",0,IFNA(VLOOKUP(F792,Trait_Polarity!$A:$C,3,FALSE),0))+IF(G792="",0,IFNA(VLOOKUP(G792,Trait_Polarity!$A:$C,3,FALSE),0))</f>
        <v/>
      </c>
      <c r="T792">
        <f>IF(Q792="P",0,IFNA(VLOOKUP(IF(C792="","(none)",C792),Secondary_Versatility!$A:$B,2,FALSE),0))</f>
        <v/>
      </c>
      <c r="U792">
        <f>IF(H792="",0,LEN(H792)-LEN(SUBSTITUTE(H792,"|",""))+1)</f>
        <v/>
      </c>
      <c r="V792">
        <f>IF(Q792="P",(N792+O792+P792)/3,0.3*I792+0.3*J792+0.2*K792+0.1*L792+0.1*M792)</f>
        <v/>
      </c>
      <c r="W792">
        <f>IF(Q792="P",IF(F792="",0,IFNA(VLOOKUP(F792,Pitcher_Trait_Coef!$A:$B,2,FALSE),0))+IF(G792="",0,IFNA(VLOOKUP(G792,Pitcher_Trait_Coef!$A:$B,2,FALSE),0)),IF(F792="",0,IFNA(VLOOKUP(F792,Hitter_Trait_Coef!$A:$B,2,FALSE),0))+IF(G792="",0,IFNA(VLOOKUP(G792,Hitter_Trait_Coef!$A:$B,2,FALSE),0)))</f>
        <v/>
      </c>
      <c r="X792">
        <f>IF(Q792="P",IFNA(VLOOKUP(B792,Pitcher_Primary_Coef!$A:$B,2,FALSE),0),IFNA(VLOOKUP(B792,Hitter_Primary_Coef!$A:$B,2,FALSE),0))</f>
        <v/>
      </c>
      <c r="Y792">
        <f>IF(Q792="P",0,IFNA(VLOOKUP(IF(C792="","(none)",C792),Hitter_Secondary_Coef!$A:$B,2,FALSE),0))</f>
        <v/>
      </c>
      <c r="Z792">
        <f>IF(Q792="P",IF(ISNUMBER(SEARCH("2F",H792)),IFNA(VLOOKUP("2F",Pitch_Coef!$A:$B,2,FALSE),0),0)+IF(ISNUMBER(SEARCH("4F",H792)),IFNA(VLOOKUP("4F",Pitch_Coef!$A:$B,2,FALSE),0),0)+IF(ISNUMBER(SEARCH("CB",H792)),IFNA(VLOOKUP("CB",Pitch_Coef!$A:$B,2,FALSE),0),0)+IF(ISNUMBER(SEARCH("CF",H792)),IFNA(VLOOKUP("CF",Pitch_Coef!$A:$B,2,FALSE),0),0)+IF(ISNUMBER(SEARCH("CH",H792)),IFNA(VLOOKUP("CH",Pitch_Coef!$A:$B,2,FALSE),0),0)+IF(ISNUMBER(SEARCH("FK",H792)),IFNA(VLOOKUP("FK",Pitch_Coef!$A:$B,2,FALSE),0),0)+IF(ISNUMBER(SEARCH("SB",H792)),IFNA(VLOOKUP("SB",Pitch_Coef!$A:$B,2,FALSE),0),0)+IF(ISNUMBER(SEARCH("SL",H792)),IFNA(VLOOKUP("SL",Pitch_Coef!$A:$B,2,FALSE),0),0),0)</f>
        <v/>
      </c>
      <c r="AA792">
        <f>IF(Q792="P",16.5944849573+0.2529999141*N792+0.2665900378*O792+0.2632687105*P792+0.0427586837*I792+0.0534777057*J792+0.009015832*K792+0.0204898106*(O792*P792/100)+1.0091022427*U792+1.0968542297*IF(D792="L",1,0)+0.3771555045*IF(D792="S",1,0)-0.2226159177*IF(E792="L",1,0)+1.21385024*R792-1.1652812274*S792+W792+X792+Z792,10.5965166711+0.2825983581*I792+0.2806503532*J792+0.2027213083*K792+0.1147824982*L792+0.0915305332*M792-0.0088454122*(I792*J792/100)-0.0336045706*(K792*L792/100)+2.8497389733*IF(D792="L",1,0)+4.5116226727*IF(D792="S",1,0)-0.6571546448*IF(E792="L",1,0)+0.0850728147*T792+0.0129488446*(T792*T792)+0.1909373936*IF(OR(F792="Utility",G792="Utility"),T792,0)+0.9656824071*R792-1.7517683256*S792+W792+X792+Y792)</f>
        <v/>
      </c>
      <c r="AB792">
        <f>LOOKUP(AA792,Grade_Scale!$A$2:$A$18,Grade_Scale!$B$2:$B$18)</f>
        <v/>
      </c>
      <c r="AC792">
        <f>LOOKUP(AA792,Grade_Scale!$A$2:$A$18,Grade_Scale!$C$2:$C$18)</f>
        <v/>
      </c>
      <c r="AE792">
        <f>IF(AD792="","",AB792-VLOOKUP(AD792,Grade_Scale!$C$2:$E$18,3,FALSE))</f>
        <v/>
      </c>
    </row>
    <row r="793">
      <c r="Q793">
        <f>IF(OR(B793="SP",B793="RP",B793="CP",B793="SP/RP"),"P","H")</f>
        <v/>
      </c>
      <c r="R793">
        <f>IF(F793="",0,IFNA(VLOOKUP(F793,Trait_Polarity!$A:$C,2,FALSE),0))+IF(G793="",0,IFNA(VLOOKUP(G793,Trait_Polarity!$A:$C,2,FALSE),0))</f>
        <v/>
      </c>
      <c r="S793">
        <f>IF(F793="",0,IFNA(VLOOKUP(F793,Trait_Polarity!$A:$C,3,FALSE),0))+IF(G793="",0,IFNA(VLOOKUP(G793,Trait_Polarity!$A:$C,3,FALSE),0))</f>
        <v/>
      </c>
      <c r="T793">
        <f>IF(Q793="P",0,IFNA(VLOOKUP(IF(C793="","(none)",C793),Secondary_Versatility!$A:$B,2,FALSE),0))</f>
        <v/>
      </c>
      <c r="U793">
        <f>IF(H793="",0,LEN(H793)-LEN(SUBSTITUTE(H793,"|",""))+1)</f>
        <v/>
      </c>
      <c r="V793">
        <f>IF(Q793="P",(N793+O793+P793)/3,0.3*I793+0.3*J793+0.2*K793+0.1*L793+0.1*M793)</f>
        <v/>
      </c>
      <c r="W793">
        <f>IF(Q793="P",IF(F793="",0,IFNA(VLOOKUP(F793,Pitcher_Trait_Coef!$A:$B,2,FALSE),0))+IF(G793="",0,IFNA(VLOOKUP(G793,Pitcher_Trait_Coef!$A:$B,2,FALSE),0)),IF(F793="",0,IFNA(VLOOKUP(F793,Hitter_Trait_Coef!$A:$B,2,FALSE),0))+IF(G793="",0,IFNA(VLOOKUP(G793,Hitter_Trait_Coef!$A:$B,2,FALSE),0)))</f>
        <v/>
      </c>
      <c r="X793">
        <f>IF(Q793="P",IFNA(VLOOKUP(B793,Pitcher_Primary_Coef!$A:$B,2,FALSE),0),IFNA(VLOOKUP(B793,Hitter_Primary_Coef!$A:$B,2,FALSE),0))</f>
        <v/>
      </c>
      <c r="Y793">
        <f>IF(Q793="P",0,IFNA(VLOOKUP(IF(C793="","(none)",C793),Hitter_Secondary_Coef!$A:$B,2,FALSE),0))</f>
        <v/>
      </c>
      <c r="Z793">
        <f>IF(Q793="P",IF(ISNUMBER(SEARCH("2F",H793)),IFNA(VLOOKUP("2F",Pitch_Coef!$A:$B,2,FALSE),0),0)+IF(ISNUMBER(SEARCH("4F",H793)),IFNA(VLOOKUP("4F",Pitch_Coef!$A:$B,2,FALSE),0),0)+IF(ISNUMBER(SEARCH("CB",H793)),IFNA(VLOOKUP("CB",Pitch_Coef!$A:$B,2,FALSE),0),0)+IF(ISNUMBER(SEARCH("CF",H793)),IFNA(VLOOKUP("CF",Pitch_Coef!$A:$B,2,FALSE),0),0)+IF(ISNUMBER(SEARCH("CH",H793)),IFNA(VLOOKUP("CH",Pitch_Coef!$A:$B,2,FALSE),0),0)+IF(ISNUMBER(SEARCH("FK",H793)),IFNA(VLOOKUP("FK",Pitch_Coef!$A:$B,2,FALSE),0),0)+IF(ISNUMBER(SEARCH("SB",H793)),IFNA(VLOOKUP("SB",Pitch_Coef!$A:$B,2,FALSE),0),0)+IF(ISNUMBER(SEARCH("SL",H793)),IFNA(VLOOKUP("SL",Pitch_Coef!$A:$B,2,FALSE),0),0),0)</f>
        <v/>
      </c>
      <c r="AA793">
        <f>IF(Q793="P",16.5944849573+0.2529999141*N793+0.2665900378*O793+0.2632687105*P793+0.0427586837*I793+0.0534777057*J793+0.009015832*K793+0.0204898106*(O793*P793/100)+1.0091022427*U793+1.0968542297*IF(D793="L",1,0)+0.3771555045*IF(D793="S",1,0)-0.2226159177*IF(E793="L",1,0)+1.21385024*R793-1.1652812274*S793+W793+X793+Z793,10.5965166711+0.2825983581*I793+0.2806503532*J793+0.2027213083*K793+0.1147824982*L793+0.0915305332*M793-0.0088454122*(I793*J793/100)-0.0336045706*(K793*L793/100)+2.8497389733*IF(D793="L",1,0)+4.5116226727*IF(D793="S",1,0)-0.6571546448*IF(E793="L",1,0)+0.0850728147*T793+0.0129488446*(T793*T793)+0.1909373936*IF(OR(F793="Utility",G793="Utility"),T793,0)+0.9656824071*R793-1.7517683256*S793+W793+X793+Y793)</f>
        <v/>
      </c>
      <c r="AB793">
        <f>LOOKUP(AA793,Grade_Scale!$A$2:$A$18,Grade_Scale!$B$2:$B$18)</f>
        <v/>
      </c>
      <c r="AC793">
        <f>LOOKUP(AA793,Grade_Scale!$A$2:$A$18,Grade_Scale!$C$2:$C$18)</f>
        <v/>
      </c>
      <c r="AE793">
        <f>IF(AD793="","",AB793-VLOOKUP(AD793,Grade_Scale!$C$2:$E$18,3,FALSE))</f>
        <v/>
      </c>
    </row>
    <row r="794">
      <c r="Q794">
        <f>IF(OR(B794="SP",B794="RP",B794="CP",B794="SP/RP"),"P","H")</f>
        <v/>
      </c>
      <c r="R794">
        <f>IF(F794="",0,IFNA(VLOOKUP(F794,Trait_Polarity!$A:$C,2,FALSE),0))+IF(G794="",0,IFNA(VLOOKUP(G794,Trait_Polarity!$A:$C,2,FALSE),0))</f>
        <v/>
      </c>
      <c r="S794">
        <f>IF(F794="",0,IFNA(VLOOKUP(F794,Trait_Polarity!$A:$C,3,FALSE),0))+IF(G794="",0,IFNA(VLOOKUP(G794,Trait_Polarity!$A:$C,3,FALSE),0))</f>
        <v/>
      </c>
      <c r="T794">
        <f>IF(Q794="P",0,IFNA(VLOOKUP(IF(C794="","(none)",C794),Secondary_Versatility!$A:$B,2,FALSE),0))</f>
        <v/>
      </c>
      <c r="U794">
        <f>IF(H794="",0,LEN(H794)-LEN(SUBSTITUTE(H794,"|",""))+1)</f>
        <v/>
      </c>
      <c r="V794">
        <f>IF(Q794="P",(N794+O794+P794)/3,0.3*I794+0.3*J794+0.2*K794+0.1*L794+0.1*M794)</f>
        <v/>
      </c>
      <c r="W794">
        <f>IF(Q794="P",IF(F794="",0,IFNA(VLOOKUP(F794,Pitcher_Trait_Coef!$A:$B,2,FALSE),0))+IF(G794="",0,IFNA(VLOOKUP(G794,Pitcher_Trait_Coef!$A:$B,2,FALSE),0)),IF(F794="",0,IFNA(VLOOKUP(F794,Hitter_Trait_Coef!$A:$B,2,FALSE),0))+IF(G794="",0,IFNA(VLOOKUP(G794,Hitter_Trait_Coef!$A:$B,2,FALSE),0)))</f>
        <v/>
      </c>
      <c r="X794">
        <f>IF(Q794="P",IFNA(VLOOKUP(B794,Pitcher_Primary_Coef!$A:$B,2,FALSE),0),IFNA(VLOOKUP(B794,Hitter_Primary_Coef!$A:$B,2,FALSE),0))</f>
        <v/>
      </c>
      <c r="Y794">
        <f>IF(Q794="P",0,IFNA(VLOOKUP(IF(C794="","(none)",C794),Hitter_Secondary_Coef!$A:$B,2,FALSE),0))</f>
        <v/>
      </c>
      <c r="Z794">
        <f>IF(Q794="P",IF(ISNUMBER(SEARCH("2F",H794)),IFNA(VLOOKUP("2F",Pitch_Coef!$A:$B,2,FALSE),0),0)+IF(ISNUMBER(SEARCH("4F",H794)),IFNA(VLOOKUP("4F",Pitch_Coef!$A:$B,2,FALSE),0),0)+IF(ISNUMBER(SEARCH("CB",H794)),IFNA(VLOOKUP("CB",Pitch_Coef!$A:$B,2,FALSE),0),0)+IF(ISNUMBER(SEARCH("CF",H794)),IFNA(VLOOKUP("CF",Pitch_Coef!$A:$B,2,FALSE),0),0)+IF(ISNUMBER(SEARCH("CH",H794)),IFNA(VLOOKUP("CH",Pitch_Coef!$A:$B,2,FALSE),0),0)+IF(ISNUMBER(SEARCH("FK",H794)),IFNA(VLOOKUP("FK",Pitch_Coef!$A:$B,2,FALSE),0),0)+IF(ISNUMBER(SEARCH("SB",H794)),IFNA(VLOOKUP("SB",Pitch_Coef!$A:$B,2,FALSE),0),0)+IF(ISNUMBER(SEARCH("SL",H794)),IFNA(VLOOKUP("SL",Pitch_Coef!$A:$B,2,FALSE),0),0),0)</f>
        <v/>
      </c>
      <c r="AA794">
        <f>IF(Q794="P",16.5944849573+0.2529999141*N794+0.2665900378*O794+0.2632687105*P794+0.0427586837*I794+0.0534777057*J794+0.009015832*K794+0.0204898106*(O794*P794/100)+1.0091022427*U794+1.0968542297*IF(D794="L",1,0)+0.3771555045*IF(D794="S",1,0)-0.2226159177*IF(E794="L",1,0)+1.21385024*R794-1.1652812274*S794+W794+X794+Z794,10.5965166711+0.2825983581*I794+0.2806503532*J794+0.2027213083*K794+0.1147824982*L794+0.0915305332*M794-0.0088454122*(I794*J794/100)-0.0336045706*(K794*L794/100)+2.8497389733*IF(D794="L",1,0)+4.5116226727*IF(D794="S",1,0)-0.6571546448*IF(E794="L",1,0)+0.0850728147*T794+0.0129488446*(T794*T794)+0.1909373936*IF(OR(F794="Utility",G794="Utility"),T794,0)+0.9656824071*R794-1.7517683256*S794+W794+X794+Y794)</f>
        <v/>
      </c>
      <c r="AB794">
        <f>LOOKUP(AA794,Grade_Scale!$A$2:$A$18,Grade_Scale!$B$2:$B$18)</f>
        <v/>
      </c>
      <c r="AC794">
        <f>LOOKUP(AA794,Grade_Scale!$A$2:$A$18,Grade_Scale!$C$2:$C$18)</f>
        <v/>
      </c>
      <c r="AE794">
        <f>IF(AD794="","",AB794-VLOOKUP(AD794,Grade_Scale!$C$2:$E$18,3,FALSE))</f>
        <v/>
      </c>
    </row>
    <row r="795">
      <c r="Q795">
        <f>IF(OR(B795="SP",B795="RP",B795="CP",B795="SP/RP"),"P","H")</f>
        <v/>
      </c>
      <c r="R795">
        <f>IF(F795="",0,IFNA(VLOOKUP(F795,Trait_Polarity!$A:$C,2,FALSE),0))+IF(G795="",0,IFNA(VLOOKUP(G795,Trait_Polarity!$A:$C,2,FALSE),0))</f>
        <v/>
      </c>
      <c r="S795">
        <f>IF(F795="",0,IFNA(VLOOKUP(F795,Trait_Polarity!$A:$C,3,FALSE),0))+IF(G795="",0,IFNA(VLOOKUP(G795,Trait_Polarity!$A:$C,3,FALSE),0))</f>
        <v/>
      </c>
      <c r="T795">
        <f>IF(Q795="P",0,IFNA(VLOOKUP(IF(C795="","(none)",C795),Secondary_Versatility!$A:$B,2,FALSE),0))</f>
        <v/>
      </c>
      <c r="U795">
        <f>IF(H795="",0,LEN(H795)-LEN(SUBSTITUTE(H795,"|",""))+1)</f>
        <v/>
      </c>
      <c r="V795">
        <f>IF(Q795="P",(N795+O795+P795)/3,0.3*I795+0.3*J795+0.2*K795+0.1*L795+0.1*M795)</f>
        <v/>
      </c>
      <c r="W795">
        <f>IF(Q795="P",IF(F795="",0,IFNA(VLOOKUP(F795,Pitcher_Trait_Coef!$A:$B,2,FALSE),0))+IF(G795="",0,IFNA(VLOOKUP(G795,Pitcher_Trait_Coef!$A:$B,2,FALSE),0)),IF(F795="",0,IFNA(VLOOKUP(F795,Hitter_Trait_Coef!$A:$B,2,FALSE),0))+IF(G795="",0,IFNA(VLOOKUP(G795,Hitter_Trait_Coef!$A:$B,2,FALSE),0)))</f>
        <v/>
      </c>
      <c r="X795">
        <f>IF(Q795="P",IFNA(VLOOKUP(B795,Pitcher_Primary_Coef!$A:$B,2,FALSE),0),IFNA(VLOOKUP(B795,Hitter_Primary_Coef!$A:$B,2,FALSE),0))</f>
        <v/>
      </c>
      <c r="Y795">
        <f>IF(Q795="P",0,IFNA(VLOOKUP(IF(C795="","(none)",C795),Hitter_Secondary_Coef!$A:$B,2,FALSE),0))</f>
        <v/>
      </c>
      <c r="Z795">
        <f>IF(Q795="P",IF(ISNUMBER(SEARCH("2F",H795)),IFNA(VLOOKUP("2F",Pitch_Coef!$A:$B,2,FALSE),0),0)+IF(ISNUMBER(SEARCH("4F",H795)),IFNA(VLOOKUP("4F",Pitch_Coef!$A:$B,2,FALSE),0),0)+IF(ISNUMBER(SEARCH("CB",H795)),IFNA(VLOOKUP("CB",Pitch_Coef!$A:$B,2,FALSE),0),0)+IF(ISNUMBER(SEARCH("CF",H795)),IFNA(VLOOKUP("CF",Pitch_Coef!$A:$B,2,FALSE),0),0)+IF(ISNUMBER(SEARCH("CH",H795)),IFNA(VLOOKUP("CH",Pitch_Coef!$A:$B,2,FALSE),0),0)+IF(ISNUMBER(SEARCH("FK",H795)),IFNA(VLOOKUP("FK",Pitch_Coef!$A:$B,2,FALSE),0),0)+IF(ISNUMBER(SEARCH("SB",H795)),IFNA(VLOOKUP("SB",Pitch_Coef!$A:$B,2,FALSE),0),0)+IF(ISNUMBER(SEARCH("SL",H795)),IFNA(VLOOKUP("SL",Pitch_Coef!$A:$B,2,FALSE),0),0),0)</f>
        <v/>
      </c>
      <c r="AA795">
        <f>IF(Q795="P",16.5944849573+0.2529999141*N795+0.2665900378*O795+0.2632687105*P795+0.0427586837*I795+0.0534777057*J795+0.009015832*K795+0.0204898106*(O795*P795/100)+1.0091022427*U795+1.0968542297*IF(D795="L",1,0)+0.3771555045*IF(D795="S",1,0)-0.2226159177*IF(E795="L",1,0)+1.21385024*R795-1.1652812274*S795+W795+X795+Z795,10.5965166711+0.2825983581*I795+0.2806503532*J795+0.2027213083*K795+0.1147824982*L795+0.0915305332*M795-0.0088454122*(I795*J795/100)-0.0336045706*(K795*L795/100)+2.8497389733*IF(D795="L",1,0)+4.5116226727*IF(D795="S",1,0)-0.6571546448*IF(E795="L",1,0)+0.0850728147*T795+0.0129488446*(T795*T795)+0.1909373936*IF(OR(F795="Utility",G795="Utility"),T795,0)+0.9656824071*R795-1.7517683256*S795+W795+X795+Y795)</f>
        <v/>
      </c>
      <c r="AB795">
        <f>LOOKUP(AA795,Grade_Scale!$A$2:$A$18,Grade_Scale!$B$2:$B$18)</f>
        <v/>
      </c>
      <c r="AC795">
        <f>LOOKUP(AA795,Grade_Scale!$A$2:$A$18,Grade_Scale!$C$2:$C$18)</f>
        <v/>
      </c>
      <c r="AE795">
        <f>IF(AD795="","",AB795-VLOOKUP(AD795,Grade_Scale!$C$2:$E$18,3,FALSE))</f>
        <v/>
      </c>
    </row>
    <row r="796">
      <c r="Q796">
        <f>IF(OR(B796="SP",B796="RP",B796="CP",B796="SP/RP"),"P","H")</f>
        <v/>
      </c>
      <c r="R796">
        <f>IF(F796="",0,IFNA(VLOOKUP(F796,Trait_Polarity!$A:$C,2,FALSE),0))+IF(G796="",0,IFNA(VLOOKUP(G796,Trait_Polarity!$A:$C,2,FALSE),0))</f>
        <v/>
      </c>
      <c r="S796">
        <f>IF(F796="",0,IFNA(VLOOKUP(F796,Trait_Polarity!$A:$C,3,FALSE),0))+IF(G796="",0,IFNA(VLOOKUP(G796,Trait_Polarity!$A:$C,3,FALSE),0))</f>
        <v/>
      </c>
      <c r="T796">
        <f>IF(Q796="P",0,IFNA(VLOOKUP(IF(C796="","(none)",C796),Secondary_Versatility!$A:$B,2,FALSE),0))</f>
        <v/>
      </c>
      <c r="U796">
        <f>IF(H796="",0,LEN(H796)-LEN(SUBSTITUTE(H796,"|",""))+1)</f>
        <v/>
      </c>
      <c r="V796">
        <f>IF(Q796="P",(N796+O796+P796)/3,0.3*I796+0.3*J796+0.2*K796+0.1*L796+0.1*M796)</f>
        <v/>
      </c>
      <c r="W796">
        <f>IF(Q796="P",IF(F796="",0,IFNA(VLOOKUP(F796,Pitcher_Trait_Coef!$A:$B,2,FALSE),0))+IF(G796="",0,IFNA(VLOOKUP(G796,Pitcher_Trait_Coef!$A:$B,2,FALSE),0)),IF(F796="",0,IFNA(VLOOKUP(F796,Hitter_Trait_Coef!$A:$B,2,FALSE),0))+IF(G796="",0,IFNA(VLOOKUP(G796,Hitter_Trait_Coef!$A:$B,2,FALSE),0)))</f>
        <v/>
      </c>
      <c r="X796">
        <f>IF(Q796="P",IFNA(VLOOKUP(B796,Pitcher_Primary_Coef!$A:$B,2,FALSE),0),IFNA(VLOOKUP(B796,Hitter_Primary_Coef!$A:$B,2,FALSE),0))</f>
        <v/>
      </c>
      <c r="Y796">
        <f>IF(Q796="P",0,IFNA(VLOOKUP(IF(C796="","(none)",C796),Hitter_Secondary_Coef!$A:$B,2,FALSE),0))</f>
        <v/>
      </c>
      <c r="Z796">
        <f>IF(Q796="P",IF(ISNUMBER(SEARCH("2F",H796)),IFNA(VLOOKUP("2F",Pitch_Coef!$A:$B,2,FALSE),0),0)+IF(ISNUMBER(SEARCH("4F",H796)),IFNA(VLOOKUP("4F",Pitch_Coef!$A:$B,2,FALSE),0),0)+IF(ISNUMBER(SEARCH("CB",H796)),IFNA(VLOOKUP("CB",Pitch_Coef!$A:$B,2,FALSE),0),0)+IF(ISNUMBER(SEARCH("CF",H796)),IFNA(VLOOKUP("CF",Pitch_Coef!$A:$B,2,FALSE),0),0)+IF(ISNUMBER(SEARCH("CH",H796)),IFNA(VLOOKUP("CH",Pitch_Coef!$A:$B,2,FALSE),0),0)+IF(ISNUMBER(SEARCH("FK",H796)),IFNA(VLOOKUP("FK",Pitch_Coef!$A:$B,2,FALSE),0),0)+IF(ISNUMBER(SEARCH("SB",H796)),IFNA(VLOOKUP("SB",Pitch_Coef!$A:$B,2,FALSE),0),0)+IF(ISNUMBER(SEARCH("SL",H796)),IFNA(VLOOKUP("SL",Pitch_Coef!$A:$B,2,FALSE),0),0),0)</f>
        <v/>
      </c>
      <c r="AA796">
        <f>IF(Q796="P",16.5944849573+0.2529999141*N796+0.2665900378*O796+0.2632687105*P796+0.0427586837*I796+0.0534777057*J796+0.009015832*K796+0.0204898106*(O796*P796/100)+1.0091022427*U796+1.0968542297*IF(D796="L",1,0)+0.3771555045*IF(D796="S",1,0)-0.2226159177*IF(E796="L",1,0)+1.21385024*R796-1.1652812274*S796+W796+X796+Z796,10.5965166711+0.2825983581*I796+0.2806503532*J796+0.2027213083*K796+0.1147824982*L796+0.0915305332*M796-0.0088454122*(I796*J796/100)-0.0336045706*(K796*L796/100)+2.8497389733*IF(D796="L",1,0)+4.5116226727*IF(D796="S",1,0)-0.6571546448*IF(E796="L",1,0)+0.0850728147*T796+0.0129488446*(T796*T796)+0.1909373936*IF(OR(F796="Utility",G796="Utility"),T796,0)+0.9656824071*R796-1.7517683256*S796+W796+X796+Y796)</f>
        <v/>
      </c>
      <c r="AB796">
        <f>LOOKUP(AA796,Grade_Scale!$A$2:$A$18,Grade_Scale!$B$2:$B$18)</f>
        <v/>
      </c>
      <c r="AC796">
        <f>LOOKUP(AA796,Grade_Scale!$A$2:$A$18,Grade_Scale!$C$2:$C$18)</f>
        <v/>
      </c>
      <c r="AE796">
        <f>IF(AD796="","",AB796-VLOOKUP(AD796,Grade_Scale!$C$2:$E$18,3,FALSE))</f>
        <v/>
      </c>
    </row>
    <row r="797">
      <c r="Q797">
        <f>IF(OR(B797="SP",B797="RP",B797="CP",B797="SP/RP"),"P","H")</f>
        <v/>
      </c>
      <c r="R797">
        <f>IF(F797="",0,IFNA(VLOOKUP(F797,Trait_Polarity!$A:$C,2,FALSE),0))+IF(G797="",0,IFNA(VLOOKUP(G797,Trait_Polarity!$A:$C,2,FALSE),0))</f>
        <v/>
      </c>
      <c r="S797">
        <f>IF(F797="",0,IFNA(VLOOKUP(F797,Trait_Polarity!$A:$C,3,FALSE),0))+IF(G797="",0,IFNA(VLOOKUP(G797,Trait_Polarity!$A:$C,3,FALSE),0))</f>
        <v/>
      </c>
      <c r="T797">
        <f>IF(Q797="P",0,IFNA(VLOOKUP(IF(C797="","(none)",C797),Secondary_Versatility!$A:$B,2,FALSE),0))</f>
        <v/>
      </c>
      <c r="U797">
        <f>IF(H797="",0,LEN(H797)-LEN(SUBSTITUTE(H797,"|",""))+1)</f>
        <v/>
      </c>
      <c r="V797">
        <f>IF(Q797="P",(N797+O797+P797)/3,0.3*I797+0.3*J797+0.2*K797+0.1*L797+0.1*M797)</f>
        <v/>
      </c>
      <c r="W797">
        <f>IF(Q797="P",IF(F797="",0,IFNA(VLOOKUP(F797,Pitcher_Trait_Coef!$A:$B,2,FALSE),0))+IF(G797="",0,IFNA(VLOOKUP(G797,Pitcher_Trait_Coef!$A:$B,2,FALSE),0)),IF(F797="",0,IFNA(VLOOKUP(F797,Hitter_Trait_Coef!$A:$B,2,FALSE),0))+IF(G797="",0,IFNA(VLOOKUP(G797,Hitter_Trait_Coef!$A:$B,2,FALSE),0)))</f>
        <v/>
      </c>
      <c r="X797">
        <f>IF(Q797="P",IFNA(VLOOKUP(B797,Pitcher_Primary_Coef!$A:$B,2,FALSE),0),IFNA(VLOOKUP(B797,Hitter_Primary_Coef!$A:$B,2,FALSE),0))</f>
        <v/>
      </c>
      <c r="Y797">
        <f>IF(Q797="P",0,IFNA(VLOOKUP(IF(C797="","(none)",C797),Hitter_Secondary_Coef!$A:$B,2,FALSE),0))</f>
        <v/>
      </c>
      <c r="Z797">
        <f>IF(Q797="P",IF(ISNUMBER(SEARCH("2F",H797)),IFNA(VLOOKUP("2F",Pitch_Coef!$A:$B,2,FALSE),0),0)+IF(ISNUMBER(SEARCH("4F",H797)),IFNA(VLOOKUP("4F",Pitch_Coef!$A:$B,2,FALSE),0),0)+IF(ISNUMBER(SEARCH("CB",H797)),IFNA(VLOOKUP("CB",Pitch_Coef!$A:$B,2,FALSE),0),0)+IF(ISNUMBER(SEARCH("CF",H797)),IFNA(VLOOKUP("CF",Pitch_Coef!$A:$B,2,FALSE),0),0)+IF(ISNUMBER(SEARCH("CH",H797)),IFNA(VLOOKUP("CH",Pitch_Coef!$A:$B,2,FALSE),0),0)+IF(ISNUMBER(SEARCH("FK",H797)),IFNA(VLOOKUP("FK",Pitch_Coef!$A:$B,2,FALSE),0),0)+IF(ISNUMBER(SEARCH("SB",H797)),IFNA(VLOOKUP("SB",Pitch_Coef!$A:$B,2,FALSE),0),0)+IF(ISNUMBER(SEARCH("SL",H797)),IFNA(VLOOKUP("SL",Pitch_Coef!$A:$B,2,FALSE),0),0),0)</f>
        <v/>
      </c>
      <c r="AA797">
        <f>IF(Q797="P",16.5944849573+0.2529999141*N797+0.2665900378*O797+0.2632687105*P797+0.0427586837*I797+0.0534777057*J797+0.009015832*K797+0.0204898106*(O797*P797/100)+1.0091022427*U797+1.0968542297*IF(D797="L",1,0)+0.3771555045*IF(D797="S",1,0)-0.2226159177*IF(E797="L",1,0)+1.21385024*R797-1.1652812274*S797+W797+X797+Z797,10.5965166711+0.2825983581*I797+0.2806503532*J797+0.2027213083*K797+0.1147824982*L797+0.0915305332*M797-0.0088454122*(I797*J797/100)-0.0336045706*(K797*L797/100)+2.8497389733*IF(D797="L",1,0)+4.5116226727*IF(D797="S",1,0)-0.6571546448*IF(E797="L",1,0)+0.0850728147*T797+0.0129488446*(T797*T797)+0.1909373936*IF(OR(F797="Utility",G797="Utility"),T797,0)+0.9656824071*R797-1.7517683256*S797+W797+X797+Y797)</f>
        <v/>
      </c>
      <c r="AB797">
        <f>LOOKUP(AA797,Grade_Scale!$A$2:$A$18,Grade_Scale!$B$2:$B$18)</f>
        <v/>
      </c>
      <c r="AC797">
        <f>LOOKUP(AA797,Grade_Scale!$A$2:$A$18,Grade_Scale!$C$2:$C$18)</f>
        <v/>
      </c>
      <c r="AE797">
        <f>IF(AD797="","",AB797-VLOOKUP(AD797,Grade_Scale!$C$2:$E$18,3,FALSE))</f>
        <v/>
      </c>
    </row>
    <row r="798">
      <c r="Q798">
        <f>IF(OR(B798="SP",B798="RP",B798="CP",B798="SP/RP"),"P","H")</f>
        <v/>
      </c>
      <c r="R798">
        <f>IF(F798="",0,IFNA(VLOOKUP(F798,Trait_Polarity!$A:$C,2,FALSE),0))+IF(G798="",0,IFNA(VLOOKUP(G798,Trait_Polarity!$A:$C,2,FALSE),0))</f>
        <v/>
      </c>
      <c r="S798">
        <f>IF(F798="",0,IFNA(VLOOKUP(F798,Trait_Polarity!$A:$C,3,FALSE),0))+IF(G798="",0,IFNA(VLOOKUP(G798,Trait_Polarity!$A:$C,3,FALSE),0))</f>
        <v/>
      </c>
      <c r="T798">
        <f>IF(Q798="P",0,IFNA(VLOOKUP(IF(C798="","(none)",C798),Secondary_Versatility!$A:$B,2,FALSE),0))</f>
        <v/>
      </c>
      <c r="U798">
        <f>IF(H798="",0,LEN(H798)-LEN(SUBSTITUTE(H798,"|",""))+1)</f>
        <v/>
      </c>
      <c r="V798">
        <f>IF(Q798="P",(N798+O798+P798)/3,0.3*I798+0.3*J798+0.2*K798+0.1*L798+0.1*M798)</f>
        <v/>
      </c>
      <c r="W798">
        <f>IF(Q798="P",IF(F798="",0,IFNA(VLOOKUP(F798,Pitcher_Trait_Coef!$A:$B,2,FALSE),0))+IF(G798="",0,IFNA(VLOOKUP(G798,Pitcher_Trait_Coef!$A:$B,2,FALSE),0)),IF(F798="",0,IFNA(VLOOKUP(F798,Hitter_Trait_Coef!$A:$B,2,FALSE),0))+IF(G798="",0,IFNA(VLOOKUP(G798,Hitter_Trait_Coef!$A:$B,2,FALSE),0)))</f>
        <v/>
      </c>
      <c r="X798">
        <f>IF(Q798="P",IFNA(VLOOKUP(B798,Pitcher_Primary_Coef!$A:$B,2,FALSE),0),IFNA(VLOOKUP(B798,Hitter_Primary_Coef!$A:$B,2,FALSE),0))</f>
        <v/>
      </c>
      <c r="Y798">
        <f>IF(Q798="P",0,IFNA(VLOOKUP(IF(C798="","(none)",C798),Hitter_Secondary_Coef!$A:$B,2,FALSE),0))</f>
        <v/>
      </c>
      <c r="Z798">
        <f>IF(Q798="P",IF(ISNUMBER(SEARCH("2F",H798)),IFNA(VLOOKUP("2F",Pitch_Coef!$A:$B,2,FALSE),0),0)+IF(ISNUMBER(SEARCH("4F",H798)),IFNA(VLOOKUP("4F",Pitch_Coef!$A:$B,2,FALSE),0),0)+IF(ISNUMBER(SEARCH("CB",H798)),IFNA(VLOOKUP("CB",Pitch_Coef!$A:$B,2,FALSE),0),0)+IF(ISNUMBER(SEARCH("CF",H798)),IFNA(VLOOKUP("CF",Pitch_Coef!$A:$B,2,FALSE),0),0)+IF(ISNUMBER(SEARCH("CH",H798)),IFNA(VLOOKUP("CH",Pitch_Coef!$A:$B,2,FALSE),0),0)+IF(ISNUMBER(SEARCH("FK",H798)),IFNA(VLOOKUP("FK",Pitch_Coef!$A:$B,2,FALSE),0),0)+IF(ISNUMBER(SEARCH("SB",H798)),IFNA(VLOOKUP("SB",Pitch_Coef!$A:$B,2,FALSE),0),0)+IF(ISNUMBER(SEARCH("SL",H798)),IFNA(VLOOKUP("SL",Pitch_Coef!$A:$B,2,FALSE),0),0),0)</f>
        <v/>
      </c>
      <c r="AA798">
        <f>IF(Q798="P",16.5944849573+0.2529999141*N798+0.2665900378*O798+0.2632687105*P798+0.0427586837*I798+0.0534777057*J798+0.009015832*K798+0.0204898106*(O798*P798/100)+1.0091022427*U798+1.0968542297*IF(D798="L",1,0)+0.3771555045*IF(D798="S",1,0)-0.2226159177*IF(E798="L",1,0)+1.21385024*R798-1.1652812274*S798+W798+X798+Z798,10.5965166711+0.2825983581*I798+0.2806503532*J798+0.2027213083*K798+0.1147824982*L798+0.0915305332*M798-0.0088454122*(I798*J798/100)-0.0336045706*(K798*L798/100)+2.8497389733*IF(D798="L",1,0)+4.5116226727*IF(D798="S",1,0)-0.6571546448*IF(E798="L",1,0)+0.0850728147*T798+0.0129488446*(T798*T798)+0.1909373936*IF(OR(F798="Utility",G798="Utility"),T798,0)+0.9656824071*R798-1.7517683256*S798+W798+X798+Y798)</f>
        <v/>
      </c>
      <c r="AB798">
        <f>LOOKUP(AA798,Grade_Scale!$A$2:$A$18,Grade_Scale!$B$2:$B$18)</f>
        <v/>
      </c>
      <c r="AC798">
        <f>LOOKUP(AA798,Grade_Scale!$A$2:$A$18,Grade_Scale!$C$2:$C$18)</f>
        <v/>
      </c>
      <c r="AE798">
        <f>IF(AD798="","",AB798-VLOOKUP(AD798,Grade_Scale!$C$2:$E$18,3,FALSE))</f>
        <v/>
      </c>
    </row>
    <row r="799">
      <c r="Q799">
        <f>IF(OR(B799="SP",B799="RP",B799="CP",B799="SP/RP"),"P","H")</f>
        <v/>
      </c>
      <c r="R799">
        <f>IF(F799="",0,IFNA(VLOOKUP(F799,Trait_Polarity!$A:$C,2,FALSE),0))+IF(G799="",0,IFNA(VLOOKUP(G799,Trait_Polarity!$A:$C,2,FALSE),0))</f>
        <v/>
      </c>
      <c r="S799">
        <f>IF(F799="",0,IFNA(VLOOKUP(F799,Trait_Polarity!$A:$C,3,FALSE),0))+IF(G799="",0,IFNA(VLOOKUP(G799,Trait_Polarity!$A:$C,3,FALSE),0))</f>
        <v/>
      </c>
      <c r="T799">
        <f>IF(Q799="P",0,IFNA(VLOOKUP(IF(C799="","(none)",C799),Secondary_Versatility!$A:$B,2,FALSE),0))</f>
        <v/>
      </c>
      <c r="U799">
        <f>IF(H799="",0,LEN(H799)-LEN(SUBSTITUTE(H799,"|",""))+1)</f>
        <v/>
      </c>
      <c r="V799">
        <f>IF(Q799="P",(N799+O799+P799)/3,0.3*I799+0.3*J799+0.2*K799+0.1*L799+0.1*M799)</f>
        <v/>
      </c>
      <c r="W799">
        <f>IF(Q799="P",IF(F799="",0,IFNA(VLOOKUP(F799,Pitcher_Trait_Coef!$A:$B,2,FALSE),0))+IF(G799="",0,IFNA(VLOOKUP(G799,Pitcher_Trait_Coef!$A:$B,2,FALSE),0)),IF(F799="",0,IFNA(VLOOKUP(F799,Hitter_Trait_Coef!$A:$B,2,FALSE),0))+IF(G799="",0,IFNA(VLOOKUP(G799,Hitter_Trait_Coef!$A:$B,2,FALSE),0)))</f>
        <v/>
      </c>
      <c r="X799">
        <f>IF(Q799="P",IFNA(VLOOKUP(B799,Pitcher_Primary_Coef!$A:$B,2,FALSE),0),IFNA(VLOOKUP(B799,Hitter_Primary_Coef!$A:$B,2,FALSE),0))</f>
        <v/>
      </c>
      <c r="Y799">
        <f>IF(Q799="P",0,IFNA(VLOOKUP(IF(C799="","(none)",C799),Hitter_Secondary_Coef!$A:$B,2,FALSE),0))</f>
        <v/>
      </c>
      <c r="Z799">
        <f>IF(Q799="P",IF(ISNUMBER(SEARCH("2F",H799)),IFNA(VLOOKUP("2F",Pitch_Coef!$A:$B,2,FALSE),0),0)+IF(ISNUMBER(SEARCH("4F",H799)),IFNA(VLOOKUP("4F",Pitch_Coef!$A:$B,2,FALSE),0),0)+IF(ISNUMBER(SEARCH("CB",H799)),IFNA(VLOOKUP("CB",Pitch_Coef!$A:$B,2,FALSE),0),0)+IF(ISNUMBER(SEARCH("CF",H799)),IFNA(VLOOKUP("CF",Pitch_Coef!$A:$B,2,FALSE),0),0)+IF(ISNUMBER(SEARCH("CH",H799)),IFNA(VLOOKUP("CH",Pitch_Coef!$A:$B,2,FALSE),0),0)+IF(ISNUMBER(SEARCH("FK",H799)),IFNA(VLOOKUP("FK",Pitch_Coef!$A:$B,2,FALSE),0),0)+IF(ISNUMBER(SEARCH("SB",H799)),IFNA(VLOOKUP("SB",Pitch_Coef!$A:$B,2,FALSE),0),0)+IF(ISNUMBER(SEARCH("SL",H799)),IFNA(VLOOKUP("SL",Pitch_Coef!$A:$B,2,FALSE),0),0),0)</f>
        <v/>
      </c>
      <c r="AA799">
        <f>IF(Q799="P",16.5944849573+0.2529999141*N799+0.2665900378*O799+0.2632687105*P799+0.0427586837*I799+0.0534777057*J799+0.009015832*K799+0.0204898106*(O799*P799/100)+1.0091022427*U799+1.0968542297*IF(D799="L",1,0)+0.3771555045*IF(D799="S",1,0)-0.2226159177*IF(E799="L",1,0)+1.21385024*R799-1.1652812274*S799+W799+X799+Z799,10.5965166711+0.2825983581*I799+0.2806503532*J799+0.2027213083*K799+0.1147824982*L799+0.0915305332*M799-0.0088454122*(I799*J799/100)-0.0336045706*(K799*L799/100)+2.8497389733*IF(D799="L",1,0)+4.5116226727*IF(D799="S",1,0)-0.6571546448*IF(E799="L",1,0)+0.0850728147*T799+0.0129488446*(T799*T799)+0.1909373936*IF(OR(F799="Utility",G799="Utility"),T799,0)+0.9656824071*R799-1.7517683256*S799+W799+X799+Y799)</f>
        <v/>
      </c>
      <c r="AB799">
        <f>LOOKUP(AA799,Grade_Scale!$A$2:$A$18,Grade_Scale!$B$2:$B$18)</f>
        <v/>
      </c>
      <c r="AC799">
        <f>LOOKUP(AA799,Grade_Scale!$A$2:$A$18,Grade_Scale!$C$2:$C$18)</f>
        <v/>
      </c>
      <c r="AE799">
        <f>IF(AD799="","",AB799-VLOOKUP(AD799,Grade_Scale!$C$2:$E$18,3,FALSE))</f>
        <v/>
      </c>
    </row>
    <row r="800">
      <c r="Q800">
        <f>IF(OR(B800="SP",B800="RP",B800="CP",B800="SP/RP"),"P","H")</f>
        <v/>
      </c>
      <c r="R800">
        <f>IF(F800="",0,IFNA(VLOOKUP(F800,Trait_Polarity!$A:$C,2,FALSE),0))+IF(G800="",0,IFNA(VLOOKUP(G800,Trait_Polarity!$A:$C,2,FALSE),0))</f>
        <v/>
      </c>
      <c r="S800">
        <f>IF(F800="",0,IFNA(VLOOKUP(F800,Trait_Polarity!$A:$C,3,FALSE),0))+IF(G800="",0,IFNA(VLOOKUP(G800,Trait_Polarity!$A:$C,3,FALSE),0))</f>
        <v/>
      </c>
      <c r="T800">
        <f>IF(Q800="P",0,IFNA(VLOOKUP(IF(C800="","(none)",C800),Secondary_Versatility!$A:$B,2,FALSE),0))</f>
        <v/>
      </c>
      <c r="U800">
        <f>IF(H800="",0,LEN(H800)-LEN(SUBSTITUTE(H800,"|",""))+1)</f>
        <v/>
      </c>
      <c r="V800">
        <f>IF(Q800="P",(N800+O800+P800)/3,0.3*I800+0.3*J800+0.2*K800+0.1*L800+0.1*M800)</f>
        <v/>
      </c>
      <c r="W800">
        <f>IF(Q800="P",IF(F800="",0,IFNA(VLOOKUP(F800,Pitcher_Trait_Coef!$A:$B,2,FALSE),0))+IF(G800="",0,IFNA(VLOOKUP(G800,Pitcher_Trait_Coef!$A:$B,2,FALSE),0)),IF(F800="",0,IFNA(VLOOKUP(F800,Hitter_Trait_Coef!$A:$B,2,FALSE),0))+IF(G800="",0,IFNA(VLOOKUP(G800,Hitter_Trait_Coef!$A:$B,2,FALSE),0)))</f>
        <v/>
      </c>
      <c r="X800">
        <f>IF(Q800="P",IFNA(VLOOKUP(B800,Pitcher_Primary_Coef!$A:$B,2,FALSE),0),IFNA(VLOOKUP(B800,Hitter_Primary_Coef!$A:$B,2,FALSE),0))</f>
        <v/>
      </c>
      <c r="Y800">
        <f>IF(Q800="P",0,IFNA(VLOOKUP(IF(C800="","(none)",C800),Hitter_Secondary_Coef!$A:$B,2,FALSE),0))</f>
        <v/>
      </c>
      <c r="Z800">
        <f>IF(Q800="P",IF(ISNUMBER(SEARCH("2F",H800)),IFNA(VLOOKUP("2F",Pitch_Coef!$A:$B,2,FALSE),0),0)+IF(ISNUMBER(SEARCH("4F",H800)),IFNA(VLOOKUP("4F",Pitch_Coef!$A:$B,2,FALSE),0),0)+IF(ISNUMBER(SEARCH("CB",H800)),IFNA(VLOOKUP("CB",Pitch_Coef!$A:$B,2,FALSE),0),0)+IF(ISNUMBER(SEARCH("CF",H800)),IFNA(VLOOKUP("CF",Pitch_Coef!$A:$B,2,FALSE),0),0)+IF(ISNUMBER(SEARCH("CH",H800)),IFNA(VLOOKUP("CH",Pitch_Coef!$A:$B,2,FALSE),0),0)+IF(ISNUMBER(SEARCH("FK",H800)),IFNA(VLOOKUP("FK",Pitch_Coef!$A:$B,2,FALSE),0),0)+IF(ISNUMBER(SEARCH("SB",H800)),IFNA(VLOOKUP("SB",Pitch_Coef!$A:$B,2,FALSE),0),0)+IF(ISNUMBER(SEARCH("SL",H800)),IFNA(VLOOKUP("SL",Pitch_Coef!$A:$B,2,FALSE),0),0),0)</f>
        <v/>
      </c>
      <c r="AA800">
        <f>IF(Q800="P",16.5944849573+0.2529999141*N800+0.2665900378*O800+0.2632687105*P800+0.0427586837*I800+0.0534777057*J800+0.009015832*K800+0.0204898106*(O800*P800/100)+1.0091022427*U800+1.0968542297*IF(D800="L",1,0)+0.3771555045*IF(D800="S",1,0)-0.2226159177*IF(E800="L",1,0)+1.21385024*R800-1.1652812274*S800+W800+X800+Z800,10.5965166711+0.2825983581*I800+0.2806503532*J800+0.2027213083*K800+0.1147824982*L800+0.0915305332*M800-0.0088454122*(I800*J800/100)-0.0336045706*(K800*L800/100)+2.8497389733*IF(D800="L",1,0)+4.5116226727*IF(D800="S",1,0)-0.6571546448*IF(E800="L",1,0)+0.0850728147*T800+0.0129488446*(T800*T800)+0.1909373936*IF(OR(F800="Utility",G800="Utility"),T800,0)+0.9656824071*R800-1.7517683256*S800+W800+X800+Y800)</f>
        <v/>
      </c>
      <c r="AB800">
        <f>LOOKUP(AA800,Grade_Scale!$A$2:$A$18,Grade_Scale!$B$2:$B$18)</f>
        <v/>
      </c>
      <c r="AC800">
        <f>LOOKUP(AA800,Grade_Scale!$A$2:$A$18,Grade_Scale!$C$2:$C$18)</f>
        <v/>
      </c>
      <c r="AE800">
        <f>IF(AD800="","",AB800-VLOOKUP(AD800,Grade_Scale!$C$2:$E$18,3,FALSE))</f>
        <v/>
      </c>
    </row>
    <row r="801">
      <c r="Q801">
        <f>IF(OR(B801="SP",B801="RP",B801="CP",B801="SP/RP"),"P","H")</f>
        <v/>
      </c>
      <c r="R801">
        <f>IF(F801="",0,IFNA(VLOOKUP(F801,Trait_Polarity!$A:$C,2,FALSE),0))+IF(G801="",0,IFNA(VLOOKUP(G801,Trait_Polarity!$A:$C,2,FALSE),0))</f>
        <v/>
      </c>
      <c r="S801">
        <f>IF(F801="",0,IFNA(VLOOKUP(F801,Trait_Polarity!$A:$C,3,FALSE),0))+IF(G801="",0,IFNA(VLOOKUP(G801,Trait_Polarity!$A:$C,3,FALSE),0))</f>
        <v/>
      </c>
      <c r="T801">
        <f>IF(Q801="P",0,IFNA(VLOOKUP(IF(C801="","(none)",C801),Secondary_Versatility!$A:$B,2,FALSE),0))</f>
        <v/>
      </c>
      <c r="U801">
        <f>IF(H801="",0,LEN(H801)-LEN(SUBSTITUTE(H801,"|",""))+1)</f>
        <v/>
      </c>
      <c r="V801">
        <f>IF(Q801="P",(N801+O801+P801)/3,0.3*I801+0.3*J801+0.2*K801+0.1*L801+0.1*M801)</f>
        <v/>
      </c>
      <c r="W801">
        <f>IF(Q801="P",IF(F801="",0,IFNA(VLOOKUP(F801,Pitcher_Trait_Coef!$A:$B,2,FALSE),0))+IF(G801="",0,IFNA(VLOOKUP(G801,Pitcher_Trait_Coef!$A:$B,2,FALSE),0)),IF(F801="",0,IFNA(VLOOKUP(F801,Hitter_Trait_Coef!$A:$B,2,FALSE),0))+IF(G801="",0,IFNA(VLOOKUP(G801,Hitter_Trait_Coef!$A:$B,2,FALSE),0)))</f>
        <v/>
      </c>
      <c r="X801">
        <f>IF(Q801="P",IFNA(VLOOKUP(B801,Pitcher_Primary_Coef!$A:$B,2,FALSE),0),IFNA(VLOOKUP(B801,Hitter_Primary_Coef!$A:$B,2,FALSE),0))</f>
        <v/>
      </c>
      <c r="Y801">
        <f>IF(Q801="P",0,IFNA(VLOOKUP(IF(C801="","(none)",C801),Hitter_Secondary_Coef!$A:$B,2,FALSE),0))</f>
        <v/>
      </c>
      <c r="Z801">
        <f>IF(Q801="P",IF(ISNUMBER(SEARCH("2F",H801)),IFNA(VLOOKUP("2F",Pitch_Coef!$A:$B,2,FALSE),0),0)+IF(ISNUMBER(SEARCH("4F",H801)),IFNA(VLOOKUP("4F",Pitch_Coef!$A:$B,2,FALSE),0),0)+IF(ISNUMBER(SEARCH("CB",H801)),IFNA(VLOOKUP("CB",Pitch_Coef!$A:$B,2,FALSE),0),0)+IF(ISNUMBER(SEARCH("CF",H801)),IFNA(VLOOKUP("CF",Pitch_Coef!$A:$B,2,FALSE),0),0)+IF(ISNUMBER(SEARCH("CH",H801)),IFNA(VLOOKUP("CH",Pitch_Coef!$A:$B,2,FALSE),0),0)+IF(ISNUMBER(SEARCH("FK",H801)),IFNA(VLOOKUP("FK",Pitch_Coef!$A:$B,2,FALSE),0),0)+IF(ISNUMBER(SEARCH("SB",H801)),IFNA(VLOOKUP("SB",Pitch_Coef!$A:$B,2,FALSE),0),0)+IF(ISNUMBER(SEARCH("SL",H801)),IFNA(VLOOKUP("SL",Pitch_Coef!$A:$B,2,FALSE),0),0),0)</f>
        <v/>
      </c>
      <c r="AA801">
        <f>IF(Q801="P",16.5944849573+0.2529999141*N801+0.2665900378*O801+0.2632687105*P801+0.0427586837*I801+0.0534777057*J801+0.009015832*K801+0.0204898106*(O801*P801/100)+1.0091022427*U801+1.0968542297*IF(D801="L",1,0)+0.3771555045*IF(D801="S",1,0)-0.2226159177*IF(E801="L",1,0)+1.21385024*R801-1.1652812274*S801+W801+X801+Z801,10.5965166711+0.2825983581*I801+0.2806503532*J801+0.2027213083*K801+0.1147824982*L801+0.0915305332*M801-0.0088454122*(I801*J801/100)-0.0336045706*(K801*L801/100)+2.8497389733*IF(D801="L",1,0)+4.5116226727*IF(D801="S",1,0)-0.6571546448*IF(E801="L",1,0)+0.0850728147*T801+0.0129488446*(T801*T801)+0.1909373936*IF(OR(F801="Utility",G801="Utility"),T801,0)+0.9656824071*R801-1.7517683256*S801+W801+X801+Y801)</f>
        <v/>
      </c>
      <c r="AB801">
        <f>LOOKUP(AA801,Grade_Scale!$A$2:$A$18,Grade_Scale!$B$2:$B$18)</f>
        <v/>
      </c>
      <c r="AC801">
        <f>LOOKUP(AA801,Grade_Scale!$A$2:$A$18,Grade_Scale!$C$2:$C$18)</f>
        <v/>
      </c>
      <c r="AE801">
        <f>IF(AD801="","",AB801-VLOOKUP(AD801,Grade_Scale!$C$2:$E$18,3,FALSE))</f>
        <v/>
      </c>
    </row>
    <row r="802">
      <c r="Q802">
        <f>IF(OR(B802="SP",B802="RP",B802="CP",B802="SP/RP"),"P","H")</f>
        <v/>
      </c>
      <c r="R802">
        <f>IF(F802="",0,IFNA(VLOOKUP(F802,Trait_Polarity!$A:$C,2,FALSE),0))+IF(G802="",0,IFNA(VLOOKUP(G802,Trait_Polarity!$A:$C,2,FALSE),0))</f>
        <v/>
      </c>
      <c r="S802">
        <f>IF(F802="",0,IFNA(VLOOKUP(F802,Trait_Polarity!$A:$C,3,FALSE),0))+IF(G802="",0,IFNA(VLOOKUP(G802,Trait_Polarity!$A:$C,3,FALSE),0))</f>
        <v/>
      </c>
      <c r="T802">
        <f>IF(Q802="P",0,IFNA(VLOOKUP(IF(C802="","(none)",C802),Secondary_Versatility!$A:$B,2,FALSE),0))</f>
        <v/>
      </c>
      <c r="U802">
        <f>IF(H802="",0,LEN(H802)-LEN(SUBSTITUTE(H802,"|",""))+1)</f>
        <v/>
      </c>
      <c r="V802">
        <f>IF(Q802="P",(N802+O802+P802)/3,0.3*I802+0.3*J802+0.2*K802+0.1*L802+0.1*M802)</f>
        <v/>
      </c>
      <c r="W802">
        <f>IF(Q802="P",IF(F802="",0,IFNA(VLOOKUP(F802,Pitcher_Trait_Coef!$A:$B,2,FALSE),0))+IF(G802="",0,IFNA(VLOOKUP(G802,Pitcher_Trait_Coef!$A:$B,2,FALSE),0)),IF(F802="",0,IFNA(VLOOKUP(F802,Hitter_Trait_Coef!$A:$B,2,FALSE),0))+IF(G802="",0,IFNA(VLOOKUP(G802,Hitter_Trait_Coef!$A:$B,2,FALSE),0)))</f>
        <v/>
      </c>
      <c r="X802">
        <f>IF(Q802="P",IFNA(VLOOKUP(B802,Pitcher_Primary_Coef!$A:$B,2,FALSE),0),IFNA(VLOOKUP(B802,Hitter_Primary_Coef!$A:$B,2,FALSE),0))</f>
        <v/>
      </c>
      <c r="Y802">
        <f>IF(Q802="P",0,IFNA(VLOOKUP(IF(C802="","(none)",C802),Hitter_Secondary_Coef!$A:$B,2,FALSE),0))</f>
        <v/>
      </c>
      <c r="Z802">
        <f>IF(Q802="P",IF(ISNUMBER(SEARCH("2F",H802)),IFNA(VLOOKUP("2F",Pitch_Coef!$A:$B,2,FALSE),0),0)+IF(ISNUMBER(SEARCH("4F",H802)),IFNA(VLOOKUP("4F",Pitch_Coef!$A:$B,2,FALSE),0),0)+IF(ISNUMBER(SEARCH("CB",H802)),IFNA(VLOOKUP("CB",Pitch_Coef!$A:$B,2,FALSE),0),0)+IF(ISNUMBER(SEARCH("CF",H802)),IFNA(VLOOKUP("CF",Pitch_Coef!$A:$B,2,FALSE),0),0)+IF(ISNUMBER(SEARCH("CH",H802)),IFNA(VLOOKUP("CH",Pitch_Coef!$A:$B,2,FALSE),0),0)+IF(ISNUMBER(SEARCH("FK",H802)),IFNA(VLOOKUP("FK",Pitch_Coef!$A:$B,2,FALSE),0),0)+IF(ISNUMBER(SEARCH("SB",H802)),IFNA(VLOOKUP("SB",Pitch_Coef!$A:$B,2,FALSE),0),0)+IF(ISNUMBER(SEARCH("SL",H802)),IFNA(VLOOKUP("SL",Pitch_Coef!$A:$B,2,FALSE),0),0),0)</f>
        <v/>
      </c>
      <c r="AA802">
        <f>IF(Q802="P",16.5944849573+0.2529999141*N802+0.2665900378*O802+0.2632687105*P802+0.0427586837*I802+0.0534777057*J802+0.009015832*K802+0.0204898106*(O802*P802/100)+1.0091022427*U802+1.0968542297*IF(D802="L",1,0)+0.3771555045*IF(D802="S",1,0)-0.2226159177*IF(E802="L",1,0)+1.21385024*R802-1.1652812274*S802+W802+X802+Z802,10.5965166711+0.2825983581*I802+0.2806503532*J802+0.2027213083*K802+0.1147824982*L802+0.0915305332*M802-0.0088454122*(I802*J802/100)-0.0336045706*(K802*L802/100)+2.8497389733*IF(D802="L",1,0)+4.5116226727*IF(D802="S",1,0)-0.6571546448*IF(E802="L",1,0)+0.0850728147*T802+0.0129488446*(T802*T802)+0.1909373936*IF(OR(F802="Utility",G802="Utility"),T802,0)+0.9656824071*R802-1.7517683256*S802+W802+X802+Y802)</f>
        <v/>
      </c>
      <c r="AB802">
        <f>LOOKUP(AA802,Grade_Scale!$A$2:$A$18,Grade_Scale!$B$2:$B$18)</f>
        <v/>
      </c>
      <c r="AC802">
        <f>LOOKUP(AA802,Grade_Scale!$A$2:$A$18,Grade_Scale!$C$2:$C$18)</f>
        <v/>
      </c>
      <c r="AE802">
        <f>IF(AD802="","",AB802-VLOOKUP(AD802,Grade_Scale!$C$2:$E$18,3,FALSE))</f>
        <v/>
      </c>
    </row>
    <row r="803">
      <c r="Q803">
        <f>IF(OR(B803="SP",B803="RP",B803="CP",B803="SP/RP"),"P","H")</f>
        <v/>
      </c>
      <c r="R803">
        <f>IF(F803="",0,IFNA(VLOOKUP(F803,Trait_Polarity!$A:$C,2,FALSE),0))+IF(G803="",0,IFNA(VLOOKUP(G803,Trait_Polarity!$A:$C,2,FALSE),0))</f>
        <v/>
      </c>
      <c r="S803">
        <f>IF(F803="",0,IFNA(VLOOKUP(F803,Trait_Polarity!$A:$C,3,FALSE),0))+IF(G803="",0,IFNA(VLOOKUP(G803,Trait_Polarity!$A:$C,3,FALSE),0))</f>
        <v/>
      </c>
      <c r="T803">
        <f>IF(Q803="P",0,IFNA(VLOOKUP(IF(C803="","(none)",C803),Secondary_Versatility!$A:$B,2,FALSE),0))</f>
        <v/>
      </c>
      <c r="U803">
        <f>IF(H803="",0,LEN(H803)-LEN(SUBSTITUTE(H803,"|",""))+1)</f>
        <v/>
      </c>
      <c r="V803">
        <f>IF(Q803="P",(N803+O803+P803)/3,0.3*I803+0.3*J803+0.2*K803+0.1*L803+0.1*M803)</f>
        <v/>
      </c>
      <c r="W803">
        <f>IF(Q803="P",IF(F803="",0,IFNA(VLOOKUP(F803,Pitcher_Trait_Coef!$A:$B,2,FALSE),0))+IF(G803="",0,IFNA(VLOOKUP(G803,Pitcher_Trait_Coef!$A:$B,2,FALSE),0)),IF(F803="",0,IFNA(VLOOKUP(F803,Hitter_Trait_Coef!$A:$B,2,FALSE),0))+IF(G803="",0,IFNA(VLOOKUP(G803,Hitter_Trait_Coef!$A:$B,2,FALSE),0)))</f>
        <v/>
      </c>
      <c r="X803">
        <f>IF(Q803="P",IFNA(VLOOKUP(B803,Pitcher_Primary_Coef!$A:$B,2,FALSE),0),IFNA(VLOOKUP(B803,Hitter_Primary_Coef!$A:$B,2,FALSE),0))</f>
        <v/>
      </c>
      <c r="Y803">
        <f>IF(Q803="P",0,IFNA(VLOOKUP(IF(C803="","(none)",C803),Hitter_Secondary_Coef!$A:$B,2,FALSE),0))</f>
        <v/>
      </c>
      <c r="Z803">
        <f>IF(Q803="P",IF(ISNUMBER(SEARCH("2F",H803)),IFNA(VLOOKUP("2F",Pitch_Coef!$A:$B,2,FALSE),0),0)+IF(ISNUMBER(SEARCH("4F",H803)),IFNA(VLOOKUP("4F",Pitch_Coef!$A:$B,2,FALSE),0),0)+IF(ISNUMBER(SEARCH("CB",H803)),IFNA(VLOOKUP("CB",Pitch_Coef!$A:$B,2,FALSE),0),0)+IF(ISNUMBER(SEARCH("CF",H803)),IFNA(VLOOKUP("CF",Pitch_Coef!$A:$B,2,FALSE),0),0)+IF(ISNUMBER(SEARCH("CH",H803)),IFNA(VLOOKUP("CH",Pitch_Coef!$A:$B,2,FALSE),0),0)+IF(ISNUMBER(SEARCH("FK",H803)),IFNA(VLOOKUP("FK",Pitch_Coef!$A:$B,2,FALSE),0),0)+IF(ISNUMBER(SEARCH("SB",H803)),IFNA(VLOOKUP("SB",Pitch_Coef!$A:$B,2,FALSE),0),0)+IF(ISNUMBER(SEARCH("SL",H803)),IFNA(VLOOKUP("SL",Pitch_Coef!$A:$B,2,FALSE),0),0),0)</f>
        <v/>
      </c>
      <c r="AA803">
        <f>IF(Q803="P",16.5944849573+0.2529999141*N803+0.2665900378*O803+0.2632687105*P803+0.0427586837*I803+0.0534777057*J803+0.009015832*K803+0.0204898106*(O803*P803/100)+1.0091022427*U803+1.0968542297*IF(D803="L",1,0)+0.3771555045*IF(D803="S",1,0)-0.2226159177*IF(E803="L",1,0)+1.21385024*R803-1.1652812274*S803+W803+X803+Z803,10.5965166711+0.2825983581*I803+0.2806503532*J803+0.2027213083*K803+0.1147824982*L803+0.0915305332*M803-0.0088454122*(I803*J803/100)-0.0336045706*(K803*L803/100)+2.8497389733*IF(D803="L",1,0)+4.5116226727*IF(D803="S",1,0)-0.6571546448*IF(E803="L",1,0)+0.0850728147*T803+0.0129488446*(T803*T803)+0.1909373936*IF(OR(F803="Utility",G803="Utility"),T803,0)+0.9656824071*R803-1.7517683256*S803+W803+X803+Y803)</f>
        <v/>
      </c>
      <c r="AB803">
        <f>LOOKUP(AA803,Grade_Scale!$A$2:$A$18,Grade_Scale!$B$2:$B$18)</f>
        <v/>
      </c>
      <c r="AC803">
        <f>LOOKUP(AA803,Grade_Scale!$A$2:$A$18,Grade_Scale!$C$2:$C$18)</f>
        <v/>
      </c>
      <c r="AE803">
        <f>IF(AD803="","",AB803-VLOOKUP(AD803,Grade_Scale!$C$2:$E$18,3,FALSE))</f>
        <v/>
      </c>
    </row>
    <row r="804">
      <c r="Q804">
        <f>IF(OR(B804="SP",B804="RP",B804="CP",B804="SP/RP"),"P","H")</f>
        <v/>
      </c>
      <c r="R804">
        <f>IF(F804="",0,IFNA(VLOOKUP(F804,Trait_Polarity!$A:$C,2,FALSE),0))+IF(G804="",0,IFNA(VLOOKUP(G804,Trait_Polarity!$A:$C,2,FALSE),0))</f>
        <v/>
      </c>
      <c r="S804">
        <f>IF(F804="",0,IFNA(VLOOKUP(F804,Trait_Polarity!$A:$C,3,FALSE),0))+IF(G804="",0,IFNA(VLOOKUP(G804,Trait_Polarity!$A:$C,3,FALSE),0))</f>
        <v/>
      </c>
      <c r="T804">
        <f>IF(Q804="P",0,IFNA(VLOOKUP(IF(C804="","(none)",C804),Secondary_Versatility!$A:$B,2,FALSE),0))</f>
        <v/>
      </c>
      <c r="U804">
        <f>IF(H804="",0,LEN(H804)-LEN(SUBSTITUTE(H804,"|",""))+1)</f>
        <v/>
      </c>
      <c r="V804">
        <f>IF(Q804="P",(N804+O804+P804)/3,0.3*I804+0.3*J804+0.2*K804+0.1*L804+0.1*M804)</f>
        <v/>
      </c>
      <c r="W804">
        <f>IF(Q804="P",IF(F804="",0,IFNA(VLOOKUP(F804,Pitcher_Trait_Coef!$A:$B,2,FALSE),0))+IF(G804="",0,IFNA(VLOOKUP(G804,Pitcher_Trait_Coef!$A:$B,2,FALSE),0)),IF(F804="",0,IFNA(VLOOKUP(F804,Hitter_Trait_Coef!$A:$B,2,FALSE),0))+IF(G804="",0,IFNA(VLOOKUP(G804,Hitter_Trait_Coef!$A:$B,2,FALSE),0)))</f>
        <v/>
      </c>
      <c r="X804">
        <f>IF(Q804="P",IFNA(VLOOKUP(B804,Pitcher_Primary_Coef!$A:$B,2,FALSE),0),IFNA(VLOOKUP(B804,Hitter_Primary_Coef!$A:$B,2,FALSE),0))</f>
        <v/>
      </c>
      <c r="Y804">
        <f>IF(Q804="P",0,IFNA(VLOOKUP(IF(C804="","(none)",C804),Hitter_Secondary_Coef!$A:$B,2,FALSE),0))</f>
        <v/>
      </c>
      <c r="Z804">
        <f>IF(Q804="P",IF(ISNUMBER(SEARCH("2F",H804)),IFNA(VLOOKUP("2F",Pitch_Coef!$A:$B,2,FALSE),0),0)+IF(ISNUMBER(SEARCH("4F",H804)),IFNA(VLOOKUP("4F",Pitch_Coef!$A:$B,2,FALSE),0),0)+IF(ISNUMBER(SEARCH("CB",H804)),IFNA(VLOOKUP("CB",Pitch_Coef!$A:$B,2,FALSE),0),0)+IF(ISNUMBER(SEARCH("CF",H804)),IFNA(VLOOKUP("CF",Pitch_Coef!$A:$B,2,FALSE),0),0)+IF(ISNUMBER(SEARCH("CH",H804)),IFNA(VLOOKUP("CH",Pitch_Coef!$A:$B,2,FALSE),0),0)+IF(ISNUMBER(SEARCH("FK",H804)),IFNA(VLOOKUP("FK",Pitch_Coef!$A:$B,2,FALSE),0),0)+IF(ISNUMBER(SEARCH("SB",H804)),IFNA(VLOOKUP("SB",Pitch_Coef!$A:$B,2,FALSE),0),0)+IF(ISNUMBER(SEARCH("SL",H804)),IFNA(VLOOKUP("SL",Pitch_Coef!$A:$B,2,FALSE),0),0),0)</f>
        <v/>
      </c>
      <c r="AA804">
        <f>IF(Q804="P",16.5944849573+0.2529999141*N804+0.2665900378*O804+0.2632687105*P804+0.0427586837*I804+0.0534777057*J804+0.009015832*K804+0.0204898106*(O804*P804/100)+1.0091022427*U804+1.0968542297*IF(D804="L",1,0)+0.3771555045*IF(D804="S",1,0)-0.2226159177*IF(E804="L",1,0)+1.21385024*R804-1.1652812274*S804+W804+X804+Z804,10.5965166711+0.2825983581*I804+0.2806503532*J804+0.2027213083*K804+0.1147824982*L804+0.0915305332*M804-0.0088454122*(I804*J804/100)-0.0336045706*(K804*L804/100)+2.8497389733*IF(D804="L",1,0)+4.5116226727*IF(D804="S",1,0)-0.6571546448*IF(E804="L",1,0)+0.0850728147*T804+0.0129488446*(T804*T804)+0.1909373936*IF(OR(F804="Utility",G804="Utility"),T804,0)+0.9656824071*R804-1.7517683256*S804+W804+X804+Y804)</f>
        <v/>
      </c>
      <c r="AB804">
        <f>LOOKUP(AA804,Grade_Scale!$A$2:$A$18,Grade_Scale!$B$2:$B$18)</f>
        <v/>
      </c>
      <c r="AC804">
        <f>LOOKUP(AA804,Grade_Scale!$A$2:$A$18,Grade_Scale!$C$2:$C$18)</f>
        <v/>
      </c>
      <c r="AE804">
        <f>IF(AD804="","",AB804-VLOOKUP(AD804,Grade_Scale!$C$2:$E$18,3,FALSE))</f>
        <v/>
      </c>
    </row>
    <row r="805">
      <c r="Q805">
        <f>IF(OR(B805="SP",B805="RP",B805="CP",B805="SP/RP"),"P","H")</f>
        <v/>
      </c>
      <c r="R805">
        <f>IF(F805="",0,IFNA(VLOOKUP(F805,Trait_Polarity!$A:$C,2,FALSE),0))+IF(G805="",0,IFNA(VLOOKUP(G805,Trait_Polarity!$A:$C,2,FALSE),0))</f>
        <v/>
      </c>
      <c r="S805">
        <f>IF(F805="",0,IFNA(VLOOKUP(F805,Trait_Polarity!$A:$C,3,FALSE),0))+IF(G805="",0,IFNA(VLOOKUP(G805,Trait_Polarity!$A:$C,3,FALSE),0))</f>
        <v/>
      </c>
      <c r="T805">
        <f>IF(Q805="P",0,IFNA(VLOOKUP(IF(C805="","(none)",C805),Secondary_Versatility!$A:$B,2,FALSE),0))</f>
        <v/>
      </c>
      <c r="U805">
        <f>IF(H805="",0,LEN(H805)-LEN(SUBSTITUTE(H805,"|",""))+1)</f>
        <v/>
      </c>
      <c r="V805">
        <f>IF(Q805="P",(N805+O805+P805)/3,0.3*I805+0.3*J805+0.2*K805+0.1*L805+0.1*M805)</f>
        <v/>
      </c>
      <c r="W805">
        <f>IF(Q805="P",IF(F805="",0,IFNA(VLOOKUP(F805,Pitcher_Trait_Coef!$A:$B,2,FALSE),0))+IF(G805="",0,IFNA(VLOOKUP(G805,Pitcher_Trait_Coef!$A:$B,2,FALSE),0)),IF(F805="",0,IFNA(VLOOKUP(F805,Hitter_Trait_Coef!$A:$B,2,FALSE),0))+IF(G805="",0,IFNA(VLOOKUP(G805,Hitter_Trait_Coef!$A:$B,2,FALSE),0)))</f>
        <v/>
      </c>
      <c r="X805">
        <f>IF(Q805="P",IFNA(VLOOKUP(B805,Pitcher_Primary_Coef!$A:$B,2,FALSE),0),IFNA(VLOOKUP(B805,Hitter_Primary_Coef!$A:$B,2,FALSE),0))</f>
        <v/>
      </c>
      <c r="Y805">
        <f>IF(Q805="P",0,IFNA(VLOOKUP(IF(C805="","(none)",C805),Hitter_Secondary_Coef!$A:$B,2,FALSE),0))</f>
        <v/>
      </c>
      <c r="Z805">
        <f>IF(Q805="P",IF(ISNUMBER(SEARCH("2F",H805)),IFNA(VLOOKUP("2F",Pitch_Coef!$A:$B,2,FALSE),0),0)+IF(ISNUMBER(SEARCH("4F",H805)),IFNA(VLOOKUP("4F",Pitch_Coef!$A:$B,2,FALSE),0),0)+IF(ISNUMBER(SEARCH("CB",H805)),IFNA(VLOOKUP("CB",Pitch_Coef!$A:$B,2,FALSE),0),0)+IF(ISNUMBER(SEARCH("CF",H805)),IFNA(VLOOKUP("CF",Pitch_Coef!$A:$B,2,FALSE),0),0)+IF(ISNUMBER(SEARCH("CH",H805)),IFNA(VLOOKUP("CH",Pitch_Coef!$A:$B,2,FALSE),0),0)+IF(ISNUMBER(SEARCH("FK",H805)),IFNA(VLOOKUP("FK",Pitch_Coef!$A:$B,2,FALSE),0),0)+IF(ISNUMBER(SEARCH("SB",H805)),IFNA(VLOOKUP("SB",Pitch_Coef!$A:$B,2,FALSE),0),0)+IF(ISNUMBER(SEARCH("SL",H805)),IFNA(VLOOKUP("SL",Pitch_Coef!$A:$B,2,FALSE),0),0),0)</f>
        <v/>
      </c>
      <c r="AA805">
        <f>IF(Q805="P",16.5944849573+0.2529999141*N805+0.2665900378*O805+0.2632687105*P805+0.0427586837*I805+0.0534777057*J805+0.009015832*K805+0.0204898106*(O805*P805/100)+1.0091022427*U805+1.0968542297*IF(D805="L",1,0)+0.3771555045*IF(D805="S",1,0)-0.2226159177*IF(E805="L",1,0)+1.21385024*R805-1.1652812274*S805+W805+X805+Z805,10.5965166711+0.2825983581*I805+0.2806503532*J805+0.2027213083*K805+0.1147824982*L805+0.0915305332*M805-0.0088454122*(I805*J805/100)-0.0336045706*(K805*L805/100)+2.8497389733*IF(D805="L",1,0)+4.5116226727*IF(D805="S",1,0)-0.6571546448*IF(E805="L",1,0)+0.0850728147*T805+0.0129488446*(T805*T805)+0.1909373936*IF(OR(F805="Utility",G805="Utility"),T805,0)+0.9656824071*R805-1.7517683256*S805+W805+X805+Y805)</f>
        <v/>
      </c>
      <c r="AB805">
        <f>LOOKUP(AA805,Grade_Scale!$A$2:$A$18,Grade_Scale!$B$2:$B$18)</f>
        <v/>
      </c>
      <c r="AC805">
        <f>LOOKUP(AA805,Grade_Scale!$A$2:$A$18,Grade_Scale!$C$2:$C$18)</f>
        <v/>
      </c>
      <c r="AE805">
        <f>IF(AD805="","",AB805-VLOOKUP(AD805,Grade_Scale!$C$2:$E$18,3,FALSE))</f>
        <v/>
      </c>
    </row>
    <row r="806">
      <c r="Q806">
        <f>IF(OR(B806="SP",B806="RP",B806="CP",B806="SP/RP"),"P","H")</f>
        <v/>
      </c>
      <c r="R806">
        <f>IF(F806="",0,IFNA(VLOOKUP(F806,Trait_Polarity!$A:$C,2,FALSE),0))+IF(G806="",0,IFNA(VLOOKUP(G806,Trait_Polarity!$A:$C,2,FALSE),0))</f>
        <v/>
      </c>
      <c r="S806">
        <f>IF(F806="",0,IFNA(VLOOKUP(F806,Trait_Polarity!$A:$C,3,FALSE),0))+IF(G806="",0,IFNA(VLOOKUP(G806,Trait_Polarity!$A:$C,3,FALSE),0))</f>
        <v/>
      </c>
      <c r="T806">
        <f>IF(Q806="P",0,IFNA(VLOOKUP(IF(C806="","(none)",C806),Secondary_Versatility!$A:$B,2,FALSE),0))</f>
        <v/>
      </c>
      <c r="U806">
        <f>IF(H806="",0,LEN(H806)-LEN(SUBSTITUTE(H806,"|",""))+1)</f>
        <v/>
      </c>
      <c r="V806">
        <f>IF(Q806="P",(N806+O806+P806)/3,0.3*I806+0.3*J806+0.2*K806+0.1*L806+0.1*M806)</f>
        <v/>
      </c>
      <c r="W806">
        <f>IF(Q806="P",IF(F806="",0,IFNA(VLOOKUP(F806,Pitcher_Trait_Coef!$A:$B,2,FALSE),0))+IF(G806="",0,IFNA(VLOOKUP(G806,Pitcher_Trait_Coef!$A:$B,2,FALSE),0)),IF(F806="",0,IFNA(VLOOKUP(F806,Hitter_Trait_Coef!$A:$B,2,FALSE),0))+IF(G806="",0,IFNA(VLOOKUP(G806,Hitter_Trait_Coef!$A:$B,2,FALSE),0)))</f>
        <v/>
      </c>
      <c r="X806">
        <f>IF(Q806="P",IFNA(VLOOKUP(B806,Pitcher_Primary_Coef!$A:$B,2,FALSE),0),IFNA(VLOOKUP(B806,Hitter_Primary_Coef!$A:$B,2,FALSE),0))</f>
        <v/>
      </c>
      <c r="Y806">
        <f>IF(Q806="P",0,IFNA(VLOOKUP(IF(C806="","(none)",C806),Hitter_Secondary_Coef!$A:$B,2,FALSE),0))</f>
        <v/>
      </c>
      <c r="Z806">
        <f>IF(Q806="P",IF(ISNUMBER(SEARCH("2F",H806)),IFNA(VLOOKUP("2F",Pitch_Coef!$A:$B,2,FALSE),0),0)+IF(ISNUMBER(SEARCH("4F",H806)),IFNA(VLOOKUP("4F",Pitch_Coef!$A:$B,2,FALSE),0),0)+IF(ISNUMBER(SEARCH("CB",H806)),IFNA(VLOOKUP("CB",Pitch_Coef!$A:$B,2,FALSE),0),0)+IF(ISNUMBER(SEARCH("CF",H806)),IFNA(VLOOKUP("CF",Pitch_Coef!$A:$B,2,FALSE),0),0)+IF(ISNUMBER(SEARCH("CH",H806)),IFNA(VLOOKUP("CH",Pitch_Coef!$A:$B,2,FALSE),0),0)+IF(ISNUMBER(SEARCH("FK",H806)),IFNA(VLOOKUP("FK",Pitch_Coef!$A:$B,2,FALSE),0),0)+IF(ISNUMBER(SEARCH("SB",H806)),IFNA(VLOOKUP("SB",Pitch_Coef!$A:$B,2,FALSE),0),0)+IF(ISNUMBER(SEARCH("SL",H806)),IFNA(VLOOKUP("SL",Pitch_Coef!$A:$B,2,FALSE),0),0),0)</f>
        <v/>
      </c>
      <c r="AA806">
        <f>IF(Q806="P",16.5944849573+0.2529999141*N806+0.2665900378*O806+0.2632687105*P806+0.0427586837*I806+0.0534777057*J806+0.009015832*K806+0.0204898106*(O806*P806/100)+1.0091022427*U806+1.0968542297*IF(D806="L",1,0)+0.3771555045*IF(D806="S",1,0)-0.2226159177*IF(E806="L",1,0)+1.21385024*R806-1.1652812274*S806+W806+X806+Z806,10.5965166711+0.2825983581*I806+0.2806503532*J806+0.2027213083*K806+0.1147824982*L806+0.0915305332*M806-0.0088454122*(I806*J806/100)-0.0336045706*(K806*L806/100)+2.8497389733*IF(D806="L",1,0)+4.5116226727*IF(D806="S",1,0)-0.6571546448*IF(E806="L",1,0)+0.0850728147*T806+0.0129488446*(T806*T806)+0.1909373936*IF(OR(F806="Utility",G806="Utility"),T806,0)+0.9656824071*R806-1.7517683256*S806+W806+X806+Y806)</f>
        <v/>
      </c>
      <c r="AB806">
        <f>LOOKUP(AA806,Grade_Scale!$A$2:$A$18,Grade_Scale!$B$2:$B$18)</f>
        <v/>
      </c>
      <c r="AC806">
        <f>LOOKUP(AA806,Grade_Scale!$A$2:$A$18,Grade_Scale!$C$2:$C$18)</f>
        <v/>
      </c>
      <c r="AE806">
        <f>IF(AD806="","",AB806-VLOOKUP(AD806,Grade_Scale!$C$2:$E$18,3,FALSE))</f>
        <v/>
      </c>
    </row>
    <row r="807">
      <c r="Q807">
        <f>IF(OR(B807="SP",B807="RP",B807="CP",B807="SP/RP"),"P","H")</f>
        <v/>
      </c>
      <c r="R807">
        <f>IF(F807="",0,IFNA(VLOOKUP(F807,Trait_Polarity!$A:$C,2,FALSE),0))+IF(G807="",0,IFNA(VLOOKUP(G807,Trait_Polarity!$A:$C,2,FALSE),0))</f>
        <v/>
      </c>
      <c r="S807">
        <f>IF(F807="",0,IFNA(VLOOKUP(F807,Trait_Polarity!$A:$C,3,FALSE),0))+IF(G807="",0,IFNA(VLOOKUP(G807,Trait_Polarity!$A:$C,3,FALSE),0))</f>
        <v/>
      </c>
      <c r="T807">
        <f>IF(Q807="P",0,IFNA(VLOOKUP(IF(C807="","(none)",C807),Secondary_Versatility!$A:$B,2,FALSE),0))</f>
        <v/>
      </c>
      <c r="U807">
        <f>IF(H807="",0,LEN(H807)-LEN(SUBSTITUTE(H807,"|",""))+1)</f>
        <v/>
      </c>
      <c r="V807">
        <f>IF(Q807="P",(N807+O807+P807)/3,0.3*I807+0.3*J807+0.2*K807+0.1*L807+0.1*M807)</f>
        <v/>
      </c>
      <c r="W807">
        <f>IF(Q807="P",IF(F807="",0,IFNA(VLOOKUP(F807,Pitcher_Trait_Coef!$A:$B,2,FALSE),0))+IF(G807="",0,IFNA(VLOOKUP(G807,Pitcher_Trait_Coef!$A:$B,2,FALSE),0)),IF(F807="",0,IFNA(VLOOKUP(F807,Hitter_Trait_Coef!$A:$B,2,FALSE),0))+IF(G807="",0,IFNA(VLOOKUP(G807,Hitter_Trait_Coef!$A:$B,2,FALSE),0)))</f>
        <v/>
      </c>
      <c r="X807">
        <f>IF(Q807="P",IFNA(VLOOKUP(B807,Pitcher_Primary_Coef!$A:$B,2,FALSE),0),IFNA(VLOOKUP(B807,Hitter_Primary_Coef!$A:$B,2,FALSE),0))</f>
        <v/>
      </c>
      <c r="Y807">
        <f>IF(Q807="P",0,IFNA(VLOOKUP(IF(C807="","(none)",C807),Hitter_Secondary_Coef!$A:$B,2,FALSE),0))</f>
        <v/>
      </c>
      <c r="Z807">
        <f>IF(Q807="P",IF(ISNUMBER(SEARCH("2F",H807)),IFNA(VLOOKUP("2F",Pitch_Coef!$A:$B,2,FALSE),0),0)+IF(ISNUMBER(SEARCH("4F",H807)),IFNA(VLOOKUP("4F",Pitch_Coef!$A:$B,2,FALSE),0),0)+IF(ISNUMBER(SEARCH("CB",H807)),IFNA(VLOOKUP("CB",Pitch_Coef!$A:$B,2,FALSE),0),0)+IF(ISNUMBER(SEARCH("CF",H807)),IFNA(VLOOKUP("CF",Pitch_Coef!$A:$B,2,FALSE),0),0)+IF(ISNUMBER(SEARCH("CH",H807)),IFNA(VLOOKUP("CH",Pitch_Coef!$A:$B,2,FALSE),0),0)+IF(ISNUMBER(SEARCH("FK",H807)),IFNA(VLOOKUP("FK",Pitch_Coef!$A:$B,2,FALSE),0),0)+IF(ISNUMBER(SEARCH("SB",H807)),IFNA(VLOOKUP("SB",Pitch_Coef!$A:$B,2,FALSE),0),0)+IF(ISNUMBER(SEARCH("SL",H807)),IFNA(VLOOKUP("SL",Pitch_Coef!$A:$B,2,FALSE),0),0),0)</f>
        <v/>
      </c>
      <c r="AA807">
        <f>IF(Q807="P",16.5944849573+0.2529999141*N807+0.2665900378*O807+0.2632687105*P807+0.0427586837*I807+0.0534777057*J807+0.009015832*K807+0.0204898106*(O807*P807/100)+1.0091022427*U807+1.0968542297*IF(D807="L",1,0)+0.3771555045*IF(D807="S",1,0)-0.2226159177*IF(E807="L",1,0)+1.21385024*R807-1.1652812274*S807+W807+X807+Z807,10.5965166711+0.2825983581*I807+0.2806503532*J807+0.2027213083*K807+0.1147824982*L807+0.0915305332*M807-0.0088454122*(I807*J807/100)-0.0336045706*(K807*L807/100)+2.8497389733*IF(D807="L",1,0)+4.5116226727*IF(D807="S",1,0)-0.6571546448*IF(E807="L",1,0)+0.0850728147*T807+0.0129488446*(T807*T807)+0.1909373936*IF(OR(F807="Utility",G807="Utility"),T807,0)+0.9656824071*R807-1.7517683256*S807+W807+X807+Y807)</f>
        <v/>
      </c>
      <c r="AB807">
        <f>LOOKUP(AA807,Grade_Scale!$A$2:$A$18,Grade_Scale!$B$2:$B$18)</f>
        <v/>
      </c>
      <c r="AC807">
        <f>LOOKUP(AA807,Grade_Scale!$A$2:$A$18,Grade_Scale!$C$2:$C$18)</f>
        <v/>
      </c>
      <c r="AE807">
        <f>IF(AD807="","",AB807-VLOOKUP(AD807,Grade_Scale!$C$2:$E$18,3,FALSE))</f>
        <v/>
      </c>
    </row>
    <row r="808">
      <c r="Q808">
        <f>IF(OR(B808="SP",B808="RP",B808="CP",B808="SP/RP"),"P","H")</f>
        <v/>
      </c>
      <c r="R808">
        <f>IF(F808="",0,IFNA(VLOOKUP(F808,Trait_Polarity!$A:$C,2,FALSE),0))+IF(G808="",0,IFNA(VLOOKUP(G808,Trait_Polarity!$A:$C,2,FALSE),0))</f>
        <v/>
      </c>
      <c r="S808">
        <f>IF(F808="",0,IFNA(VLOOKUP(F808,Trait_Polarity!$A:$C,3,FALSE),0))+IF(G808="",0,IFNA(VLOOKUP(G808,Trait_Polarity!$A:$C,3,FALSE),0))</f>
        <v/>
      </c>
      <c r="T808">
        <f>IF(Q808="P",0,IFNA(VLOOKUP(IF(C808="","(none)",C808),Secondary_Versatility!$A:$B,2,FALSE),0))</f>
        <v/>
      </c>
      <c r="U808">
        <f>IF(H808="",0,LEN(H808)-LEN(SUBSTITUTE(H808,"|",""))+1)</f>
        <v/>
      </c>
      <c r="V808">
        <f>IF(Q808="P",(N808+O808+P808)/3,0.3*I808+0.3*J808+0.2*K808+0.1*L808+0.1*M808)</f>
        <v/>
      </c>
      <c r="W808">
        <f>IF(Q808="P",IF(F808="",0,IFNA(VLOOKUP(F808,Pitcher_Trait_Coef!$A:$B,2,FALSE),0))+IF(G808="",0,IFNA(VLOOKUP(G808,Pitcher_Trait_Coef!$A:$B,2,FALSE),0)),IF(F808="",0,IFNA(VLOOKUP(F808,Hitter_Trait_Coef!$A:$B,2,FALSE),0))+IF(G808="",0,IFNA(VLOOKUP(G808,Hitter_Trait_Coef!$A:$B,2,FALSE),0)))</f>
        <v/>
      </c>
      <c r="X808">
        <f>IF(Q808="P",IFNA(VLOOKUP(B808,Pitcher_Primary_Coef!$A:$B,2,FALSE),0),IFNA(VLOOKUP(B808,Hitter_Primary_Coef!$A:$B,2,FALSE),0))</f>
        <v/>
      </c>
      <c r="Y808">
        <f>IF(Q808="P",0,IFNA(VLOOKUP(IF(C808="","(none)",C808),Hitter_Secondary_Coef!$A:$B,2,FALSE),0))</f>
        <v/>
      </c>
      <c r="Z808">
        <f>IF(Q808="P",IF(ISNUMBER(SEARCH("2F",H808)),IFNA(VLOOKUP("2F",Pitch_Coef!$A:$B,2,FALSE),0),0)+IF(ISNUMBER(SEARCH("4F",H808)),IFNA(VLOOKUP("4F",Pitch_Coef!$A:$B,2,FALSE),0),0)+IF(ISNUMBER(SEARCH("CB",H808)),IFNA(VLOOKUP("CB",Pitch_Coef!$A:$B,2,FALSE),0),0)+IF(ISNUMBER(SEARCH("CF",H808)),IFNA(VLOOKUP("CF",Pitch_Coef!$A:$B,2,FALSE),0),0)+IF(ISNUMBER(SEARCH("CH",H808)),IFNA(VLOOKUP("CH",Pitch_Coef!$A:$B,2,FALSE),0),0)+IF(ISNUMBER(SEARCH("FK",H808)),IFNA(VLOOKUP("FK",Pitch_Coef!$A:$B,2,FALSE),0),0)+IF(ISNUMBER(SEARCH("SB",H808)),IFNA(VLOOKUP("SB",Pitch_Coef!$A:$B,2,FALSE),0),0)+IF(ISNUMBER(SEARCH("SL",H808)),IFNA(VLOOKUP("SL",Pitch_Coef!$A:$B,2,FALSE),0),0),0)</f>
        <v/>
      </c>
      <c r="AA808">
        <f>IF(Q808="P",16.5944849573+0.2529999141*N808+0.2665900378*O808+0.2632687105*P808+0.0427586837*I808+0.0534777057*J808+0.009015832*K808+0.0204898106*(O808*P808/100)+1.0091022427*U808+1.0968542297*IF(D808="L",1,0)+0.3771555045*IF(D808="S",1,0)-0.2226159177*IF(E808="L",1,0)+1.21385024*R808-1.1652812274*S808+W808+X808+Z808,10.5965166711+0.2825983581*I808+0.2806503532*J808+0.2027213083*K808+0.1147824982*L808+0.0915305332*M808-0.0088454122*(I808*J808/100)-0.0336045706*(K808*L808/100)+2.8497389733*IF(D808="L",1,0)+4.5116226727*IF(D808="S",1,0)-0.6571546448*IF(E808="L",1,0)+0.0850728147*T808+0.0129488446*(T808*T808)+0.1909373936*IF(OR(F808="Utility",G808="Utility"),T808,0)+0.9656824071*R808-1.7517683256*S808+W808+X808+Y808)</f>
        <v/>
      </c>
      <c r="AB808">
        <f>LOOKUP(AA808,Grade_Scale!$A$2:$A$18,Grade_Scale!$B$2:$B$18)</f>
        <v/>
      </c>
      <c r="AC808">
        <f>LOOKUP(AA808,Grade_Scale!$A$2:$A$18,Grade_Scale!$C$2:$C$18)</f>
        <v/>
      </c>
      <c r="AE808">
        <f>IF(AD808="","",AB808-VLOOKUP(AD808,Grade_Scale!$C$2:$E$18,3,FALSE))</f>
        <v/>
      </c>
    </row>
    <row r="809">
      <c r="Q809">
        <f>IF(OR(B809="SP",B809="RP",B809="CP",B809="SP/RP"),"P","H")</f>
        <v/>
      </c>
      <c r="R809">
        <f>IF(F809="",0,IFNA(VLOOKUP(F809,Trait_Polarity!$A:$C,2,FALSE),0))+IF(G809="",0,IFNA(VLOOKUP(G809,Trait_Polarity!$A:$C,2,FALSE),0))</f>
        <v/>
      </c>
      <c r="S809">
        <f>IF(F809="",0,IFNA(VLOOKUP(F809,Trait_Polarity!$A:$C,3,FALSE),0))+IF(G809="",0,IFNA(VLOOKUP(G809,Trait_Polarity!$A:$C,3,FALSE),0))</f>
        <v/>
      </c>
      <c r="T809">
        <f>IF(Q809="P",0,IFNA(VLOOKUP(IF(C809="","(none)",C809),Secondary_Versatility!$A:$B,2,FALSE),0))</f>
        <v/>
      </c>
      <c r="U809">
        <f>IF(H809="",0,LEN(H809)-LEN(SUBSTITUTE(H809,"|",""))+1)</f>
        <v/>
      </c>
      <c r="V809">
        <f>IF(Q809="P",(N809+O809+P809)/3,0.3*I809+0.3*J809+0.2*K809+0.1*L809+0.1*M809)</f>
        <v/>
      </c>
      <c r="W809">
        <f>IF(Q809="P",IF(F809="",0,IFNA(VLOOKUP(F809,Pitcher_Trait_Coef!$A:$B,2,FALSE),0))+IF(G809="",0,IFNA(VLOOKUP(G809,Pitcher_Trait_Coef!$A:$B,2,FALSE),0)),IF(F809="",0,IFNA(VLOOKUP(F809,Hitter_Trait_Coef!$A:$B,2,FALSE),0))+IF(G809="",0,IFNA(VLOOKUP(G809,Hitter_Trait_Coef!$A:$B,2,FALSE),0)))</f>
        <v/>
      </c>
      <c r="X809">
        <f>IF(Q809="P",IFNA(VLOOKUP(B809,Pitcher_Primary_Coef!$A:$B,2,FALSE),0),IFNA(VLOOKUP(B809,Hitter_Primary_Coef!$A:$B,2,FALSE),0))</f>
        <v/>
      </c>
      <c r="Y809">
        <f>IF(Q809="P",0,IFNA(VLOOKUP(IF(C809="","(none)",C809),Hitter_Secondary_Coef!$A:$B,2,FALSE),0))</f>
        <v/>
      </c>
      <c r="Z809">
        <f>IF(Q809="P",IF(ISNUMBER(SEARCH("2F",H809)),IFNA(VLOOKUP("2F",Pitch_Coef!$A:$B,2,FALSE),0),0)+IF(ISNUMBER(SEARCH("4F",H809)),IFNA(VLOOKUP("4F",Pitch_Coef!$A:$B,2,FALSE),0),0)+IF(ISNUMBER(SEARCH("CB",H809)),IFNA(VLOOKUP("CB",Pitch_Coef!$A:$B,2,FALSE),0),0)+IF(ISNUMBER(SEARCH("CF",H809)),IFNA(VLOOKUP("CF",Pitch_Coef!$A:$B,2,FALSE),0),0)+IF(ISNUMBER(SEARCH("CH",H809)),IFNA(VLOOKUP("CH",Pitch_Coef!$A:$B,2,FALSE),0),0)+IF(ISNUMBER(SEARCH("FK",H809)),IFNA(VLOOKUP("FK",Pitch_Coef!$A:$B,2,FALSE),0),0)+IF(ISNUMBER(SEARCH("SB",H809)),IFNA(VLOOKUP("SB",Pitch_Coef!$A:$B,2,FALSE),0),0)+IF(ISNUMBER(SEARCH("SL",H809)),IFNA(VLOOKUP("SL",Pitch_Coef!$A:$B,2,FALSE),0),0),0)</f>
        <v/>
      </c>
      <c r="AA809">
        <f>IF(Q809="P",16.5944849573+0.2529999141*N809+0.2665900378*O809+0.2632687105*P809+0.0427586837*I809+0.0534777057*J809+0.009015832*K809+0.0204898106*(O809*P809/100)+1.0091022427*U809+1.0968542297*IF(D809="L",1,0)+0.3771555045*IF(D809="S",1,0)-0.2226159177*IF(E809="L",1,0)+1.21385024*R809-1.1652812274*S809+W809+X809+Z809,10.5965166711+0.2825983581*I809+0.2806503532*J809+0.2027213083*K809+0.1147824982*L809+0.0915305332*M809-0.0088454122*(I809*J809/100)-0.0336045706*(K809*L809/100)+2.8497389733*IF(D809="L",1,0)+4.5116226727*IF(D809="S",1,0)-0.6571546448*IF(E809="L",1,0)+0.0850728147*T809+0.0129488446*(T809*T809)+0.1909373936*IF(OR(F809="Utility",G809="Utility"),T809,0)+0.9656824071*R809-1.7517683256*S809+W809+X809+Y809)</f>
        <v/>
      </c>
      <c r="AB809">
        <f>LOOKUP(AA809,Grade_Scale!$A$2:$A$18,Grade_Scale!$B$2:$B$18)</f>
        <v/>
      </c>
      <c r="AC809">
        <f>LOOKUP(AA809,Grade_Scale!$A$2:$A$18,Grade_Scale!$C$2:$C$18)</f>
        <v/>
      </c>
      <c r="AE809">
        <f>IF(AD809="","",AB809-VLOOKUP(AD809,Grade_Scale!$C$2:$E$18,3,FALSE))</f>
        <v/>
      </c>
    </row>
    <row r="810">
      <c r="Q810">
        <f>IF(OR(B810="SP",B810="RP",B810="CP",B810="SP/RP"),"P","H")</f>
        <v/>
      </c>
      <c r="R810">
        <f>IF(F810="",0,IFNA(VLOOKUP(F810,Trait_Polarity!$A:$C,2,FALSE),0))+IF(G810="",0,IFNA(VLOOKUP(G810,Trait_Polarity!$A:$C,2,FALSE),0))</f>
        <v/>
      </c>
      <c r="S810">
        <f>IF(F810="",0,IFNA(VLOOKUP(F810,Trait_Polarity!$A:$C,3,FALSE),0))+IF(G810="",0,IFNA(VLOOKUP(G810,Trait_Polarity!$A:$C,3,FALSE),0))</f>
        <v/>
      </c>
      <c r="T810">
        <f>IF(Q810="P",0,IFNA(VLOOKUP(IF(C810="","(none)",C810),Secondary_Versatility!$A:$B,2,FALSE),0))</f>
        <v/>
      </c>
      <c r="U810">
        <f>IF(H810="",0,LEN(H810)-LEN(SUBSTITUTE(H810,"|",""))+1)</f>
        <v/>
      </c>
      <c r="V810">
        <f>IF(Q810="P",(N810+O810+P810)/3,0.3*I810+0.3*J810+0.2*K810+0.1*L810+0.1*M810)</f>
        <v/>
      </c>
      <c r="W810">
        <f>IF(Q810="P",IF(F810="",0,IFNA(VLOOKUP(F810,Pitcher_Trait_Coef!$A:$B,2,FALSE),0))+IF(G810="",0,IFNA(VLOOKUP(G810,Pitcher_Trait_Coef!$A:$B,2,FALSE),0)),IF(F810="",0,IFNA(VLOOKUP(F810,Hitter_Trait_Coef!$A:$B,2,FALSE),0))+IF(G810="",0,IFNA(VLOOKUP(G810,Hitter_Trait_Coef!$A:$B,2,FALSE),0)))</f>
        <v/>
      </c>
      <c r="X810">
        <f>IF(Q810="P",IFNA(VLOOKUP(B810,Pitcher_Primary_Coef!$A:$B,2,FALSE),0),IFNA(VLOOKUP(B810,Hitter_Primary_Coef!$A:$B,2,FALSE),0))</f>
        <v/>
      </c>
      <c r="Y810">
        <f>IF(Q810="P",0,IFNA(VLOOKUP(IF(C810="","(none)",C810),Hitter_Secondary_Coef!$A:$B,2,FALSE),0))</f>
        <v/>
      </c>
      <c r="Z810">
        <f>IF(Q810="P",IF(ISNUMBER(SEARCH("2F",H810)),IFNA(VLOOKUP("2F",Pitch_Coef!$A:$B,2,FALSE),0),0)+IF(ISNUMBER(SEARCH("4F",H810)),IFNA(VLOOKUP("4F",Pitch_Coef!$A:$B,2,FALSE),0),0)+IF(ISNUMBER(SEARCH("CB",H810)),IFNA(VLOOKUP("CB",Pitch_Coef!$A:$B,2,FALSE),0),0)+IF(ISNUMBER(SEARCH("CF",H810)),IFNA(VLOOKUP("CF",Pitch_Coef!$A:$B,2,FALSE),0),0)+IF(ISNUMBER(SEARCH("CH",H810)),IFNA(VLOOKUP("CH",Pitch_Coef!$A:$B,2,FALSE),0),0)+IF(ISNUMBER(SEARCH("FK",H810)),IFNA(VLOOKUP("FK",Pitch_Coef!$A:$B,2,FALSE),0),0)+IF(ISNUMBER(SEARCH("SB",H810)),IFNA(VLOOKUP("SB",Pitch_Coef!$A:$B,2,FALSE),0),0)+IF(ISNUMBER(SEARCH("SL",H810)),IFNA(VLOOKUP("SL",Pitch_Coef!$A:$B,2,FALSE),0),0),0)</f>
        <v/>
      </c>
      <c r="AA810">
        <f>IF(Q810="P",16.5944849573+0.2529999141*N810+0.2665900378*O810+0.2632687105*P810+0.0427586837*I810+0.0534777057*J810+0.009015832*K810+0.0204898106*(O810*P810/100)+1.0091022427*U810+1.0968542297*IF(D810="L",1,0)+0.3771555045*IF(D810="S",1,0)-0.2226159177*IF(E810="L",1,0)+1.21385024*R810-1.1652812274*S810+W810+X810+Z810,10.5965166711+0.2825983581*I810+0.2806503532*J810+0.2027213083*K810+0.1147824982*L810+0.0915305332*M810-0.0088454122*(I810*J810/100)-0.0336045706*(K810*L810/100)+2.8497389733*IF(D810="L",1,0)+4.5116226727*IF(D810="S",1,0)-0.6571546448*IF(E810="L",1,0)+0.0850728147*T810+0.0129488446*(T810*T810)+0.1909373936*IF(OR(F810="Utility",G810="Utility"),T810,0)+0.9656824071*R810-1.7517683256*S810+W810+X810+Y810)</f>
        <v/>
      </c>
      <c r="AB810">
        <f>LOOKUP(AA810,Grade_Scale!$A$2:$A$18,Grade_Scale!$B$2:$B$18)</f>
        <v/>
      </c>
      <c r="AC810">
        <f>LOOKUP(AA810,Grade_Scale!$A$2:$A$18,Grade_Scale!$C$2:$C$18)</f>
        <v/>
      </c>
      <c r="AE810">
        <f>IF(AD810="","",AB810-VLOOKUP(AD810,Grade_Scale!$C$2:$E$18,3,FALSE))</f>
        <v/>
      </c>
    </row>
    <row r="811">
      <c r="Q811">
        <f>IF(OR(B811="SP",B811="RP",B811="CP",B811="SP/RP"),"P","H")</f>
        <v/>
      </c>
      <c r="R811">
        <f>IF(F811="",0,IFNA(VLOOKUP(F811,Trait_Polarity!$A:$C,2,FALSE),0))+IF(G811="",0,IFNA(VLOOKUP(G811,Trait_Polarity!$A:$C,2,FALSE),0))</f>
        <v/>
      </c>
      <c r="S811">
        <f>IF(F811="",0,IFNA(VLOOKUP(F811,Trait_Polarity!$A:$C,3,FALSE),0))+IF(G811="",0,IFNA(VLOOKUP(G811,Trait_Polarity!$A:$C,3,FALSE),0))</f>
        <v/>
      </c>
      <c r="T811">
        <f>IF(Q811="P",0,IFNA(VLOOKUP(IF(C811="","(none)",C811),Secondary_Versatility!$A:$B,2,FALSE),0))</f>
        <v/>
      </c>
      <c r="U811">
        <f>IF(H811="",0,LEN(H811)-LEN(SUBSTITUTE(H811,"|",""))+1)</f>
        <v/>
      </c>
      <c r="V811">
        <f>IF(Q811="P",(N811+O811+P811)/3,0.3*I811+0.3*J811+0.2*K811+0.1*L811+0.1*M811)</f>
        <v/>
      </c>
      <c r="W811">
        <f>IF(Q811="P",IF(F811="",0,IFNA(VLOOKUP(F811,Pitcher_Trait_Coef!$A:$B,2,FALSE),0))+IF(G811="",0,IFNA(VLOOKUP(G811,Pitcher_Trait_Coef!$A:$B,2,FALSE),0)),IF(F811="",0,IFNA(VLOOKUP(F811,Hitter_Trait_Coef!$A:$B,2,FALSE),0))+IF(G811="",0,IFNA(VLOOKUP(G811,Hitter_Trait_Coef!$A:$B,2,FALSE),0)))</f>
        <v/>
      </c>
      <c r="X811">
        <f>IF(Q811="P",IFNA(VLOOKUP(B811,Pitcher_Primary_Coef!$A:$B,2,FALSE),0),IFNA(VLOOKUP(B811,Hitter_Primary_Coef!$A:$B,2,FALSE),0))</f>
        <v/>
      </c>
      <c r="Y811">
        <f>IF(Q811="P",0,IFNA(VLOOKUP(IF(C811="","(none)",C811),Hitter_Secondary_Coef!$A:$B,2,FALSE),0))</f>
        <v/>
      </c>
      <c r="Z811">
        <f>IF(Q811="P",IF(ISNUMBER(SEARCH("2F",H811)),IFNA(VLOOKUP("2F",Pitch_Coef!$A:$B,2,FALSE),0),0)+IF(ISNUMBER(SEARCH("4F",H811)),IFNA(VLOOKUP("4F",Pitch_Coef!$A:$B,2,FALSE),0),0)+IF(ISNUMBER(SEARCH("CB",H811)),IFNA(VLOOKUP("CB",Pitch_Coef!$A:$B,2,FALSE),0),0)+IF(ISNUMBER(SEARCH("CF",H811)),IFNA(VLOOKUP("CF",Pitch_Coef!$A:$B,2,FALSE),0),0)+IF(ISNUMBER(SEARCH("CH",H811)),IFNA(VLOOKUP("CH",Pitch_Coef!$A:$B,2,FALSE),0),0)+IF(ISNUMBER(SEARCH("FK",H811)),IFNA(VLOOKUP("FK",Pitch_Coef!$A:$B,2,FALSE),0),0)+IF(ISNUMBER(SEARCH("SB",H811)),IFNA(VLOOKUP("SB",Pitch_Coef!$A:$B,2,FALSE),0),0)+IF(ISNUMBER(SEARCH("SL",H811)),IFNA(VLOOKUP("SL",Pitch_Coef!$A:$B,2,FALSE),0),0),0)</f>
        <v/>
      </c>
      <c r="AA811">
        <f>IF(Q811="P",16.5944849573+0.2529999141*N811+0.2665900378*O811+0.2632687105*P811+0.0427586837*I811+0.0534777057*J811+0.009015832*K811+0.0204898106*(O811*P811/100)+1.0091022427*U811+1.0968542297*IF(D811="L",1,0)+0.3771555045*IF(D811="S",1,0)-0.2226159177*IF(E811="L",1,0)+1.21385024*R811-1.1652812274*S811+W811+X811+Z811,10.5965166711+0.2825983581*I811+0.2806503532*J811+0.2027213083*K811+0.1147824982*L811+0.0915305332*M811-0.0088454122*(I811*J811/100)-0.0336045706*(K811*L811/100)+2.8497389733*IF(D811="L",1,0)+4.5116226727*IF(D811="S",1,0)-0.6571546448*IF(E811="L",1,0)+0.0850728147*T811+0.0129488446*(T811*T811)+0.1909373936*IF(OR(F811="Utility",G811="Utility"),T811,0)+0.9656824071*R811-1.7517683256*S811+W811+X811+Y811)</f>
        <v/>
      </c>
      <c r="AB811">
        <f>LOOKUP(AA811,Grade_Scale!$A$2:$A$18,Grade_Scale!$B$2:$B$18)</f>
        <v/>
      </c>
      <c r="AC811">
        <f>LOOKUP(AA811,Grade_Scale!$A$2:$A$18,Grade_Scale!$C$2:$C$18)</f>
        <v/>
      </c>
      <c r="AE811">
        <f>IF(AD811="","",AB811-VLOOKUP(AD811,Grade_Scale!$C$2:$E$18,3,FALSE))</f>
        <v/>
      </c>
    </row>
    <row r="812">
      <c r="Q812">
        <f>IF(OR(B812="SP",B812="RP",B812="CP",B812="SP/RP"),"P","H")</f>
        <v/>
      </c>
      <c r="R812">
        <f>IF(F812="",0,IFNA(VLOOKUP(F812,Trait_Polarity!$A:$C,2,FALSE),0))+IF(G812="",0,IFNA(VLOOKUP(G812,Trait_Polarity!$A:$C,2,FALSE),0))</f>
        <v/>
      </c>
      <c r="S812">
        <f>IF(F812="",0,IFNA(VLOOKUP(F812,Trait_Polarity!$A:$C,3,FALSE),0))+IF(G812="",0,IFNA(VLOOKUP(G812,Trait_Polarity!$A:$C,3,FALSE),0))</f>
        <v/>
      </c>
      <c r="T812">
        <f>IF(Q812="P",0,IFNA(VLOOKUP(IF(C812="","(none)",C812),Secondary_Versatility!$A:$B,2,FALSE),0))</f>
        <v/>
      </c>
      <c r="U812">
        <f>IF(H812="",0,LEN(H812)-LEN(SUBSTITUTE(H812,"|",""))+1)</f>
        <v/>
      </c>
      <c r="V812">
        <f>IF(Q812="P",(N812+O812+P812)/3,0.3*I812+0.3*J812+0.2*K812+0.1*L812+0.1*M812)</f>
        <v/>
      </c>
      <c r="W812">
        <f>IF(Q812="P",IF(F812="",0,IFNA(VLOOKUP(F812,Pitcher_Trait_Coef!$A:$B,2,FALSE),0))+IF(G812="",0,IFNA(VLOOKUP(G812,Pitcher_Trait_Coef!$A:$B,2,FALSE),0)),IF(F812="",0,IFNA(VLOOKUP(F812,Hitter_Trait_Coef!$A:$B,2,FALSE),0))+IF(G812="",0,IFNA(VLOOKUP(G812,Hitter_Trait_Coef!$A:$B,2,FALSE),0)))</f>
        <v/>
      </c>
      <c r="X812">
        <f>IF(Q812="P",IFNA(VLOOKUP(B812,Pitcher_Primary_Coef!$A:$B,2,FALSE),0),IFNA(VLOOKUP(B812,Hitter_Primary_Coef!$A:$B,2,FALSE),0))</f>
        <v/>
      </c>
      <c r="Y812">
        <f>IF(Q812="P",0,IFNA(VLOOKUP(IF(C812="","(none)",C812),Hitter_Secondary_Coef!$A:$B,2,FALSE),0))</f>
        <v/>
      </c>
      <c r="Z812">
        <f>IF(Q812="P",IF(ISNUMBER(SEARCH("2F",H812)),IFNA(VLOOKUP("2F",Pitch_Coef!$A:$B,2,FALSE),0),0)+IF(ISNUMBER(SEARCH("4F",H812)),IFNA(VLOOKUP("4F",Pitch_Coef!$A:$B,2,FALSE),0),0)+IF(ISNUMBER(SEARCH("CB",H812)),IFNA(VLOOKUP("CB",Pitch_Coef!$A:$B,2,FALSE),0),0)+IF(ISNUMBER(SEARCH("CF",H812)),IFNA(VLOOKUP("CF",Pitch_Coef!$A:$B,2,FALSE),0),0)+IF(ISNUMBER(SEARCH("CH",H812)),IFNA(VLOOKUP("CH",Pitch_Coef!$A:$B,2,FALSE),0),0)+IF(ISNUMBER(SEARCH("FK",H812)),IFNA(VLOOKUP("FK",Pitch_Coef!$A:$B,2,FALSE),0),0)+IF(ISNUMBER(SEARCH("SB",H812)),IFNA(VLOOKUP("SB",Pitch_Coef!$A:$B,2,FALSE),0),0)+IF(ISNUMBER(SEARCH("SL",H812)),IFNA(VLOOKUP("SL",Pitch_Coef!$A:$B,2,FALSE),0),0),0)</f>
        <v/>
      </c>
      <c r="AA812">
        <f>IF(Q812="P",16.5944849573+0.2529999141*N812+0.2665900378*O812+0.2632687105*P812+0.0427586837*I812+0.0534777057*J812+0.009015832*K812+0.0204898106*(O812*P812/100)+1.0091022427*U812+1.0968542297*IF(D812="L",1,0)+0.3771555045*IF(D812="S",1,0)-0.2226159177*IF(E812="L",1,0)+1.21385024*R812-1.1652812274*S812+W812+X812+Z812,10.5965166711+0.2825983581*I812+0.2806503532*J812+0.2027213083*K812+0.1147824982*L812+0.0915305332*M812-0.0088454122*(I812*J812/100)-0.0336045706*(K812*L812/100)+2.8497389733*IF(D812="L",1,0)+4.5116226727*IF(D812="S",1,0)-0.6571546448*IF(E812="L",1,0)+0.0850728147*T812+0.0129488446*(T812*T812)+0.1909373936*IF(OR(F812="Utility",G812="Utility"),T812,0)+0.9656824071*R812-1.7517683256*S812+W812+X812+Y812)</f>
        <v/>
      </c>
      <c r="AB812">
        <f>LOOKUP(AA812,Grade_Scale!$A$2:$A$18,Grade_Scale!$B$2:$B$18)</f>
        <v/>
      </c>
      <c r="AC812">
        <f>LOOKUP(AA812,Grade_Scale!$A$2:$A$18,Grade_Scale!$C$2:$C$18)</f>
        <v/>
      </c>
      <c r="AE812">
        <f>IF(AD812="","",AB812-VLOOKUP(AD812,Grade_Scale!$C$2:$E$18,3,FALSE))</f>
        <v/>
      </c>
    </row>
    <row r="813">
      <c r="Q813">
        <f>IF(OR(B813="SP",B813="RP",B813="CP",B813="SP/RP"),"P","H")</f>
        <v/>
      </c>
      <c r="R813">
        <f>IF(F813="",0,IFNA(VLOOKUP(F813,Trait_Polarity!$A:$C,2,FALSE),0))+IF(G813="",0,IFNA(VLOOKUP(G813,Trait_Polarity!$A:$C,2,FALSE),0))</f>
        <v/>
      </c>
      <c r="S813">
        <f>IF(F813="",0,IFNA(VLOOKUP(F813,Trait_Polarity!$A:$C,3,FALSE),0))+IF(G813="",0,IFNA(VLOOKUP(G813,Trait_Polarity!$A:$C,3,FALSE),0))</f>
        <v/>
      </c>
      <c r="T813">
        <f>IF(Q813="P",0,IFNA(VLOOKUP(IF(C813="","(none)",C813),Secondary_Versatility!$A:$B,2,FALSE),0))</f>
        <v/>
      </c>
      <c r="U813">
        <f>IF(H813="",0,LEN(H813)-LEN(SUBSTITUTE(H813,"|",""))+1)</f>
        <v/>
      </c>
      <c r="V813">
        <f>IF(Q813="P",(N813+O813+P813)/3,0.3*I813+0.3*J813+0.2*K813+0.1*L813+0.1*M813)</f>
        <v/>
      </c>
      <c r="W813">
        <f>IF(Q813="P",IF(F813="",0,IFNA(VLOOKUP(F813,Pitcher_Trait_Coef!$A:$B,2,FALSE),0))+IF(G813="",0,IFNA(VLOOKUP(G813,Pitcher_Trait_Coef!$A:$B,2,FALSE),0)),IF(F813="",0,IFNA(VLOOKUP(F813,Hitter_Trait_Coef!$A:$B,2,FALSE),0))+IF(G813="",0,IFNA(VLOOKUP(G813,Hitter_Trait_Coef!$A:$B,2,FALSE),0)))</f>
        <v/>
      </c>
      <c r="X813">
        <f>IF(Q813="P",IFNA(VLOOKUP(B813,Pitcher_Primary_Coef!$A:$B,2,FALSE),0),IFNA(VLOOKUP(B813,Hitter_Primary_Coef!$A:$B,2,FALSE),0))</f>
        <v/>
      </c>
      <c r="Y813">
        <f>IF(Q813="P",0,IFNA(VLOOKUP(IF(C813="","(none)",C813),Hitter_Secondary_Coef!$A:$B,2,FALSE),0))</f>
        <v/>
      </c>
      <c r="Z813">
        <f>IF(Q813="P",IF(ISNUMBER(SEARCH("2F",H813)),IFNA(VLOOKUP("2F",Pitch_Coef!$A:$B,2,FALSE),0),0)+IF(ISNUMBER(SEARCH("4F",H813)),IFNA(VLOOKUP("4F",Pitch_Coef!$A:$B,2,FALSE),0),0)+IF(ISNUMBER(SEARCH("CB",H813)),IFNA(VLOOKUP("CB",Pitch_Coef!$A:$B,2,FALSE),0),0)+IF(ISNUMBER(SEARCH("CF",H813)),IFNA(VLOOKUP("CF",Pitch_Coef!$A:$B,2,FALSE),0),0)+IF(ISNUMBER(SEARCH("CH",H813)),IFNA(VLOOKUP("CH",Pitch_Coef!$A:$B,2,FALSE),0),0)+IF(ISNUMBER(SEARCH("FK",H813)),IFNA(VLOOKUP("FK",Pitch_Coef!$A:$B,2,FALSE),0),0)+IF(ISNUMBER(SEARCH("SB",H813)),IFNA(VLOOKUP("SB",Pitch_Coef!$A:$B,2,FALSE),0),0)+IF(ISNUMBER(SEARCH("SL",H813)),IFNA(VLOOKUP("SL",Pitch_Coef!$A:$B,2,FALSE),0),0),0)</f>
        <v/>
      </c>
      <c r="AA813">
        <f>IF(Q813="P",16.5944849573+0.2529999141*N813+0.2665900378*O813+0.2632687105*P813+0.0427586837*I813+0.0534777057*J813+0.009015832*K813+0.0204898106*(O813*P813/100)+1.0091022427*U813+1.0968542297*IF(D813="L",1,0)+0.3771555045*IF(D813="S",1,0)-0.2226159177*IF(E813="L",1,0)+1.21385024*R813-1.1652812274*S813+W813+X813+Z813,10.5965166711+0.2825983581*I813+0.2806503532*J813+0.2027213083*K813+0.1147824982*L813+0.0915305332*M813-0.0088454122*(I813*J813/100)-0.0336045706*(K813*L813/100)+2.8497389733*IF(D813="L",1,0)+4.5116226727*IF(D813="S",1,0)-0.6571546448*IF(E813="L",1,0)+0.0850728147*T813+0.0129488446*(T813*T813)+0.1909373936*IF(OR(F813="Utility",G813="Utility"),T813,0)+0.9656824071*R813-1.7517683256*S813+W813+X813+Y813)</f>
        <v/>
      </c>
      <c r="AB813">
        <f>LOOKUP(AA813,Grade_Scale!$A$2:$A$18,Grade_Scale!$B$2:$B$18)</f>
        <v/>
      </c>
      <c r="AC813">
        <f>LOOKUP(AA813,Grade_Scale!$A$2:$A$18,Grade_Scale!$C$2:$C$18)</f>
        <v/>
      </c>
      <c r="AE813">
        <f>IF(AD813="","",AB813-VLOOKUP(AD813,Grade_Scale!$C$2:$E$18,3,FALSE))</f>
        <v/>
      </c>
    </row>
    <row r="814">
      <c r="Q814">
        <f>IF(OR(B814="SP",B814="RP",B814="CP",B814="SP/RP"),"P","H")</f>
        <v/>
      </c>
      <c r="R814">
        <f>IF(F814="",0,IFNA(VLOOKUP(F814,Trait_Polarity!$A:$C,2,FALSE),0))+IF(G814="",0,IFNA(VLOOKUP(G814,Trait_Polarity!$A:$C,2,FALSE),0))</f>
        <v/>
      </c>
      <c r="S814">
        <f>IF(F814="",0,IFNA(VLOOKUP(F814,Trait_Polarity!$A:$C,3,FALSE),0))+IF(G814="",0,IFNA(VLOOKUP(G814,Trait_Polarity!$A:$C,3,FALSE),0))</f>
        <v/>
      </c>
      <c r="T814">
        <f>IF(Q814="P",0,IFNA(VLOOKUP(IF(C814="","(none)",C814),Secondary_Versatility!$A:$B,2,FALSE),0))</f>
        <v/>
      </c>
      <c r="U814">
        <f>IF(H814="",0,LEN(H814)-LEN(SUBSTITUTE(H814,"|",""))+1)</f>
        <v/>
      </c>
      <c r="V814">
        <f>IF(Q814="P",(N814+O814+P814)/3,0.3*I814+0.3*J814+0.2*K814+0.1*L814+0.1*M814)</f>
        <v/>
      </c>
      <c r="W814">
        <f>IF(Q814="P",IF(F814="",0,IFNA(VLOOKUP(F814,Pitcher_Trait_Coef!$A:$B,2,FALSE),0))+IF(G814="",0,IFNA(VLOOKUP(G814,Pitcher_Trait_Coef!$A:$B,2,FALSE),0)),IF(F814="",0,IFNA(VLOOKUP(F814,Hitter_Trait_Coef!$A:$B,2,FALSE),0))+IF(G814="",0,IFNA(VLOOKUP(G814,Hitter_Trait_Coef!$A:$B,2,FALSE),0)))</f>
        <v/>
      </c>
      <c r="X814">
        <f>IF(Q814="P",IFNA(VLOOKUP(B814,Pitcher_Primary_Coef!$A:$B,2,FALSE),0),IFNA(VLOOKUP(B814,Hitter_Primary_Coef!$A:$B,2,FALSE),0))</f>
        <v/>
      </c>
      <c r="Y814">
        <f>IF(Q814="P",0,IFNA(VLOOKUP(IF(C814="","(none)",C814),Hitter_Secondary_Coef!$A:$B,2,FALSE),0))</f>
        <v/>
      </c>
      <c r="Z814">
        <f>IF(Q814="P",IF(ISNUMBER(SEARCH("2F",H814)),IFNA(VLOOKUP("2F",Pitch_Coef!$A:$B,2,FALSE),0),0)+IF(ISNUMBER(SEARCH("4F",H814)),IFNA(VLOOKUP("4F",Pitch_Coef!$A:$B,2,FALSE),0),0)+IF(ISNUMBER(SEARCH("CB",H814)),IFNA(VLOOKUP("CB",Pitch_Coef!$A:$B,2,FALSE),0),0)+IF(ISNUMBER(SEARCH("CF",H814)),IFNA(VLOOKUP("CF",Pitch_Coef!$A:$B,2,FALSE),0),0)+IF(ISNUMBER(SEARCH("CH",H814)),IFNA(VLOOKUP("CH",Pitch_Coef!$A:$B,2,FALSE),0),0)+IF(ISNUMBER(SEARCH("FK",H814)),IFNA(VLOOKUP("FK",Pitch_Coef!$A:$B,2,FALSE),0),0)+IF(ISNUMBER(SEARCH("SB",H814)),IFNA(VLOOKUP("SB",Pitch_Coef!$A:$B,2,FALSE),0),0)+IF(ISNUMBER(SEARCH("SL",H814)),IFNA(VLOOKUP("SL",Pitch_Coef!$A:$B,2,FALSE),0),0),0)</f>
        <v/>
      </c>
      <c r="AA814">
        <f>IF(Q814="P",16.5944849573+0.2529999141*N814+0.2665900378*O814+0.2632687105*P814+0.0427586837*I814+0.0534777057*J814+0.009015832*K814+0.0204898106*(O814*P814/100)+1.0091022427*U814+1.0968542297*IF(D814="L",1,0)+0.3771555045*IF(D814="S",1,0)-0.2226159177*IF(E814="L",1,0)+1.21385024*R814-1.1652812274*S814+W814+X814+Z814,10.5965166711+0.2825983581*I814+0.2806503532*J814+0.2027213083*K814+0.1147824982*L814+0.0915305332*M814-0.0088454122*(I814*J814/100)-0.0336045706*(K814*L814/100)+2.8497389733*IF(D814="L",1,0)+4.5116226727*IF(D814="S",1,0)-0.6571546448*IF(E814="L",1,0)+0.0850728147*T814+0.0129488446*(T814*T814)+0.1909373936*IF(OR(F814="Utility",G814="Utility"),T814,0)+0.9656824071*R814-1.7517683256*S814+W814+X814+Y814)</f>
        <v/>
      </c>
      <c r="AB814">
        <f>LOOKUP(AA814,Grade_Scale!$A$2:$A$18,Grade_Scale!$B$2:$B$18)</f>
        <v/>
      </c>
      <c r="AC814">
        <f>LOOKUP(AA814,Grade_Scale!$A$2:$A$18,Grade_Scale!$C$2:$C$18)</f>
        <v/>
      </c>
      <c r="AE814">
        <f>IF(AD814="","",AB814-VLOOKUP(AD814,Grade_Scale!$C$2:$E$18,3,FALSE))</f>
        <v/>
      </c>
    </row>
    <row r="815">
      <c r="Q815">
        <f>IF(OR(B815="SP",B815="RP",B815="CP",B815="SP/RP"),"P","H")</f>
        <v/>
      </c>
      <c r="R815">
        <f>IF(F815="",0,IFNA(VLOOKUP(F815,Trait_Polarity!$A:$C,2,FALSE),0))+IF(G815="",0,IFNA(VLOOKUP(G815,Trait_Polarity!$A:$C,2,FALSE),0))</f>
        <v/>
      </c>
      <c r="S815">
        <f>IF(F815="",0,IFNA(VLOOKUP(F815,Trait_Polarity!$A:$C,3,FALSE),0))+IF(G815="",0,IFNA(VLOOKUP(G815,Trait_Polarity!$A:$C,3,FALSE),0))</f>
        <v/>
      </c>
      <c r="T815">
        <f>IF(Q815="P",0,IFNA(VLOOKUP(IF(C815="","(none)",C815),Secondary_Versatility!$A:$B,2,FALSE),0))</f>
        <v/>
      </c>
      <c r="U815">
        <f>IF(H815="",0,LEN(H815)-LEN(SUBSTITUTE(H815,"|",""))+1)</f>
        <v/>
      </c>
      <c r="V815">
        <f>IF(Q815="P",(N815+O815+P815)/3,0.3*I815+0.3*J815+0.2*K815+0.1*L815+0.1*M815)</f>
        <v/>
      </c>
      <c r="W815">
        <f>IF(Q815="P",IF(F815="",0,IFNA(VLOOKUP(F815,Pitcher_Trait_Coef!$A:$B,2,FALSE),0))+IF(G815="",0,IFNA(VLOOKUP(G815,Pitcher_Trait_Coef!$A:$B,2,FALSE),0)),IF(F815="",0,IFNA(VLOOKUP(F815,Hitter_Trait_Coef!$A:$B,2,FALSE),0))+IF(G815="",0,IFNA(VLOOKUP(G815,Hitter_Trait_Coef!$A:$B,2,FALSE),0)))</f>
        <v/>
      </c>
      <c r="X815">
        <f>IF(Q815="P",IFNA(VLOOKUP(B815,Pitcher_Primary_Coef!$A:$B,2,FALSE),0),IFNA(VLOOKUP(B815,Hitter_Primary_Coef!$A:$B,2,FALSE),0))</f>
        <v/>
      </c>
      <c r="Y815">
        <f>IF(Q815="P",0,IFNA(VLOOKUP(IF(C815="","(none)",C815),Hitter_Secondary_Coef!$A:$B,2,FALSE),0))</f>
        <v/>
      </c>
      <c r="Z815">
        <f>IF(Q815="P",IF(ISNUMBER(SEARCH("2F",H815)),IFNA(VLOOKUP("2F",Pitch_Coef!$A:$B,2,FALSE),0),0)+IF(ISNUMBER(SEARCH("4F",H815)),IFNA(VLOOKUP("4F",Pitch_Coef!$A:$B,2,FALSE),0),0)+IF(ISNUMBER(SEARCH("CB",H815)),IFNA(VLOOKUP("CB",Pitch_Coef!$A:$B,2,FALSE),0),0)+IF(ISNUMBER(SEARCH("CF",H815)),IFNA(VLOOKUP("CF",Pitch_Coef!$A:$B,2,FALSE),0),0)+IF(ISNUMBER(SEARCH("CH",H815)),IFNA(VLOOKUP("CH",Pitch_Coef!$A:$B,2,FALSE),0),0)+IF(ISNUMBER(SEARCH("FK",H815)),IFNA(VLOOKUP("FK",Pitch_Coef!$A:$B,2,FALSE),0),0)+IF(ISNUMBER(SEARCH("SB",H815)),IFNA(VLOOKUP("SB",Pitch_Coef!$A:$B,2,FALSE),0),0)+IF(ISNUMBER(SEARCH("SL",H815)),IFNA(VLOOKUP("SL",Pitch_Coef!$A:$B,2,FALSE),0),0),0)</f>
        <v/>
      </c>
      <c r="AA815">
        <f>IF(Q815="P",16.5944849573+0.2529999141*N815+0.2665900378*O815+0.2632687105*P815+0.0427586837*I815+0.0534777057*J815+0.009015832*K815+0.0204898106*(O815*P815/100)+1.0091022427*U815+1.0968542297*IF(D815="L",1,0)+0.3771555045*IF(D815="S",1,0)-0.2226159177*IF(E815="L",1,0)+1.21385024*R815-1.1652812274*S815+W815+X815+Z815,10.5965166711+0.2825983581*I815+0.2806503532*J815+0.2027213083*K815+0.1147824982*L815+0.0915305332*M815-0.0088454122*(I815*J815/100)-0.0336045706*(K815*L815/100)+2.8497389733*IF(D815="L",1,0)+4.5116226727*IF(D815="S",1,0)-0.6571546448*IF(E815="L",1,0)+0.0850728147*T815+0.0129488446*(T815*T815)+0.1909373936*IF(OR(F815="Utility",G815="Utility"),T815,0)+0.9656824071*R815-1.7517683256*S815+W815+X815+Y815)</f>
        <v/>
      </c>
      <c r="AB815">
        <f>LOOKUP(AA815,Grade_Scale!$A$2:$A$18,Grade_Scale!$B$2:$B$18)</f>
        <v/>
      </c>
      <c r="AC815">
        <f>LOOKUP(AA815,Grade_Scale!$A$2:$A$18,Grade_Scale!$C$2:$C$18)</f>
        <v/>
      </c>
      <c r="AE815">
        <f>IF(AD815="","",AB815-VLOOKUP(AD815,Grade_Scale!$C$2:$E$18,3,FALSE))</f>
        <v/>
      </c>
    </row>
    <row r="816">
      <c r="Q816">
        <f>IF(OR(B816="SP",B816="RP",B816="CP",B816="SP/RP"),"P","H")</f>
        <v/>
      </c>
      <c r="R816">
        <f>IF(F816="",0,IFNA(VLOOKUP(F816,Trait_Polarity!$A:$C,2,FALSE),0))+IF(G816="",0,IFNA(VLOOKUP(G816,Trait_Polarity!$A:$C,2,FALSE),0))</f>
        <v/>
      </c>
      <c r="S816">
        <f>IF(F816="",0,IFNA(VLOOKUP(F816,Trait_Polarity!$A:$C,3,FALSE),0))+IF(G816="",0,IFNA(VLOOKUP(G816,Trait_Polarity!$A:$C,3,FALSE),0))</f>
        <v/>
      </c>
      <c r="T816">
        <f>IF(Q816="P",0,IFNA(VLOOKUP(IF(C816="","(none)",C816),Secondary_Versatility!$A:$B,2,FALSE),0))</f>
        <v/>
      </c>
      <c r="U816">
        <f>IF(H816="",0,LEN(H816)-LEN(SUBSTITUTE(H816,"|",""))+1)</f>
        <v/>
      </c>
      <c r="V816">
        <f>IF(Q816="P",(N816+O816+P816)/3,0.3*I816+0.3*J816+0.2*K816+0.1*L816+0.1*M816)</f>
        <v/>
      </c>
      <c r="W816">
        <f>IF(Q816="P",IF(F816="",0,IFNA(VLOOKUP(F816,Pitcher_Trait_Coef!$A:$B,2,FALSE),0))+IF(G816="",0,IFNA(VLOOKUP(G816,Pitcher_Trait_Coef!$A:$B,2,FALSE),0)),IF(F816="",0,IFNA(VLOOKUP(F816,Hitter_Trait_Coef!$A:$B,2,FALSE),0))+IF(G816="",0,IFNA(VLOOKUP(G816,Hitter_Trait_Coef!$A:$B,2,FALSE),0)))</f>
        <v/>
      </c>
      <c r="X816">
        <f>IF(Q816="P",IFNA(VLOOKUP(B816,Pitcher_Primary_Coef!$A:$B,2,FALSE),0),IFNA(VLOOKUP(B816,Hitter_Primary_Coef!$A:$B,2,FALSE),0))</f>
        <v/>
      </c>
      <c r="Y816">
        <f>IF(Q816="P",0,IFNA(VLOOKUP(IF(C816="","(none)",C816),Hitter_Secondary_Coef!$A:$B,2,FALSE),0))</f>
        <v/>
      </c>
      <c r="Z816">
        <f>IF(Q816="P",IF(ISNUMBER(SEARCH("2F",H816)),IFNA(VLOOKUP("2F",Pitch_Coef!$A:$B,2,FALSE),0),0)+IF(ISNUMBER(SEARCH("4F",H816)),IFNA(VLOOKUP("4F",Pitch_Coef!$A:$B,2,FALSE),0),0)+IF(ISNUMBER(SEARCH("CB",H816)),IFNA(VLOOKUP("CB",Pitch_Coef!$A:$B,2,FALSE),0),0)+IF(ISNUMBER(SEARCH("CF",H816)),IFNA(VLOOKUP("CF",Pitch_Coef!$A:$B,2,FALSE),0),0)+IF(ISNUMBER(SEARCH("CH",H816)),IFNA(VLOOKUP("CH",Pitch_Coef!$A:$B,2,FALSE),0),0)+IF(ISNUMBER(SEARCH("FK",H816)),IFNA(VLOOKUP("FK",Pitch_Coef!$A:$B,2,FALSE),0),0)+IF(ISNUMBER(SEARCH("SB",H816)),IFNA(VLOOKUP("SB",Pitch_Coef!$A:$B,2,FALSE),0),0)+IF(ISNUMBER(SEARCH("SL",H816)),IFNA(VLOOKUP("SL",Pitch_Coef!$A:$B,2,FALSE),0),0),0)</f>
        <v/>
      </c>
      <c r="AA816">
        <f>IF(Q816="P",16.5944849573+0.2529999141*N816+0.2665900378*O816+0.2632687105*P816+0.0427586837*I816+0.0534777057*J816+0.009015832*K816+0.0204898106*(O816*P816/100)+1.0091022427*U816+1.0968542297*IF(D816="L",1,0)+0.3771555045*IF(D816="S",1,0)-0.2226159177*IF(E816="L",1,0)+1.21385024*R816-1.1652812274*S816+W816+X816+Z816,10.5965166711+0.2825983581*I816+0.2806503532*J816+0.2027213083*K816+0.1147824982*L816+0.0915305332*M816-0.0088454122*(I816*J816/100)-0.0336045706*(K816*L816/100)+2.8497389733*IF(D816="L",1,0)+4.5116226727*IF(D816="S",1,0)-0.6571546448*IF(E816="L",1,0)+0.0850728147*T816+0.0129488446*(T816*T816)+0.1909373936*IF(OR(F816="Utility",G816="Utility"),T816,0)+0.9656824071*R816-1.7517683256*S816+W816+X816+Y816)</f>
        <v/>
      </c>
      <c r="AB816">
        <f>LOOKUP(AA816,Grade_Scale!$A$2:$A$18,Grade_Scale!$B$2:$B$18)</f>
        <v/>
      </c>
      <c r="AC816">
        <f>LOOKUP(AA816,Grade_Scale!$A$2:$A$18,Grade_Scale!$C$2:$C$18)</f>
        <v/>
      </c>
      <c r="AE816">
        <f>IF(AD816="","",AB816-VLOOKUP(AD816,Grade_Scale!$C$2:$E$18,3,FALSE))</f>
        <v/>
      </c>
    </row>
    <row r="817">
      <c r="Q817">
        <f>IF(OR(B817="SP",B817="RP",B817="CP",B817="SP/RP"),"P","H")</f>
        <v/>
      </c>
      <c r="R817">
        <f>IF(F817="",0,IFNA(VLOOKUP(F817,Trait_Polarity!$A:$C,2,FALSE),0))+IF(G817="",0,IFNA(VLOOKUP(G817,Trait_Polarity!$A:$C,2,FALSE),0))</f>
        <v/>
      </c>
      <c r="S817">
        <f>IF(F817="",0,IFNA(VLOOKUP(F817,Trait_Polarity!$A:$C,3,FALSE),0))+IF(G817="",0,IFNA(VLOOKUP(G817,Trait_Polarity!$A:$C,3,FALSE),0))</f>
        <v/>
      </c>
      <c r="T817">
        <f>IF(Q817="P",0,IFNA(VLOOKUP(IF(C817="","(none)",C817),Secondary_Versatility!$A:$B,2,FALSE),0))</f>
        <v/>
      </c>
      <c r="U817">
        <f>IF(H817="",0,LEN(H817)-LEN(SUBSTITUTE(H817,"|",""))+1)</f>
        <v/>
      </c>
      <c r="V817">
        <f>IF(Q817="P",(N817+O817+P817)/3,0.3*I817+0.3*J817+0.2*K817+0.1*L817+0.1*M817)</f>
        <v/>
      </c>
      <c r="W817">
        <f>IF(Q817="P",IF(F817="",0,IFNA(VLOOKUP(F817,Pitcher_Trait_Coef!$A:$B,2,FALSE),0))+IF(G817="",0,IFNA(VLOOKUP(G817,Pitcher_Trait_Coef!$A:$B,2,FALSE),0)),IF(F817="",0,IFNA(VLOOKUP(F817,Hitter_Trait_Coef!$A:$B,2,FALSE),0))+IF(G817="",0,IFNA(VLOOKUP(G817,Hitter_Trait_Coef!$A:$B,2,FALSE),0)))</f>
        <v/>
      </c>
      <c r="X817">
        <f>IF(Q817="P",IFNA(VLOOKUP(B817,Pitcher_Primary_Coef!$A:$B,2,FALSE),0),IFNA(VLOOKUP(B817,Hitter_Primary_Coef!$A:$B,2,FALSE),0))</f>
        <v/>
      </c>
      <c r="Y817">
        <f>IF(Q817="P",0,IFNA(VLOOKUP(IF(C817="","(none)",C817),Hitter_Secondary_Coef!$A:$B,2,FALSE),0))</f>
        <v/>
      </c>
      <c r="Z817">
        <f>IF(Q817="P",IF(ISNUMBER(SEARCH("2F",H817)),IFNA(VLOOKUP("2F",Pitch_Coef!$A:$B,2,FALSE),0),0)+IF(ISNUMBER(SEARCH("4F",H817)),IFNA(VLOOKUP("4F",Pitch_Coef!$A:$B,2,FALSE),0),0)+IF(ISNUMBER(SEARCH("CB",H817)),IFNA(VLOOKUP("CB",Pitch_Coef!$A:$B,2,FALSE),0),0)+IF(ISNUMBER(SEARCH("CF",H817)),IFNA(VLOOKUP("CF",Pitch_Coef!$A:$B,2,FALSE),0),0)+IF(ISNUMBER(SEARCH("CH",H817)),IFNA(VLOOKUP("CH",Pitch_Coef!$A:$B,2,FALSE),0),0)+IF(ISNUMBER(SEARCH("FK",H817)),IFNA(VLOOKUP("FK",Pitch_Coef!$A:$B,2,FALSE),0),0)+IF(ISNUMBER(SEARCH("SB",H817)),IFNA(VLOOKUP("SB",Pitch_Coef!$A:$B,2,FALSE),0),0)+IF(ISNUMBER(SEARCH("SL",H817)),IFNA(VLOOKUP("SL",Pitch_Coef!$A:$B,2,FALSE),0),0),0)</f>
        <v/>
      </c>
      <c r="AA817">
        <f>IF(Q817="P",16.5944849573+0.2529999141*N817+0.2665900378*O817+0.2632687105*P817+0.0427586837*I817+0.0534777057*J817+0.009015832*K817+0.0204898106*(O817*P817/100)+1.0091022427*U817+1.0968542297*IF(D817="L",1,0)+0.3771555045*IF(D817="S",1,0)-0.2226159177*IF(E817="L",1,0)+1.21385024*R817-1.1652812274*S817+W817+X817+Z817,10.5965166711+0.2825983581*I817+0.2806503532*J817+0.2027213083*K817+0.1147824982*L817+0.0915305332*M817-0.0088454122*(I817*J817/100)-0.0336045706*(K817*L817/100)+2.8497389733*IF(D817="L",1,0)+4.5116226727*IF(D817="S",1,0)-0.6571546448*IF(E817="L",1,0)+0.0850728147*T817+0.0129488446*(T817*T817)+0.1909373936*IF(OR(F817="Utility",G817="Utility"),T817,0)+0.9656824071*R817-1.7517683256*S817+W817+X817+Y817)</f>
        <v/>
      </c>
      <c r="AB817">
        <f>LOOKUP(AA817,Grade_Scale!$A$2:$A$18,Grade_Scale!$B$2:$B$18)</f>
        <v/>
      </c>
      <c r="AC817">
        <f>LOOKUP(AA817,Grade_Scale!$A$2:$A$18,Grade_Scale!$C$2:$C$18)</f>
        <v/>
      </c>
      <c r="AE817">
        <f>IF(AD817="","",AB817-VLOOKUP(AD817,Grade_Scale!$C$2:$E$18,3,FALSE))</f>
        <v/>
      </c>
    </row>
    <row r="818">
      <c r="Q818">
        <f>IF(OR(B818="SP",B818="RP",B818="CP",B818="SP/RP"),"P","H")</f>
        <v/>
      </c>
      <c r="R818">
        <f>IF(F818="",0,IFNA(VLOOKUP(F818,Trait_Polarity!$A:$C,2,FALSE),0))+IF(G818="",0,IFNA(VLOOKUP(G818,Trait_Polarity!$A:$C,2,FALSE),0))</f>
        <v/>
      </c>
      <c r="S818">
        <f>IF(F818="",0,IFNA(VLOOKUP(F818,Trait_Polarity!$A:$C,3,FALSE),0))+IF(G818="",0,IFNA(VLOOKUP(G818,Trait_Polarity!$A:$C,3,FALSE),0))</f>
        <v/>
      </c>
      <c r="T818">
        <f>IF(Q818="P",0,IFNA(VLOOKUP(IF(C818="","(none)",C818),Secondary_Versatility!$A:$B,2,FALSE),0))</f>
        <v/>
      </c>
      <c r="U818">
        <f>IF(H818="",0,LEN(H818)-LEN(SUBSTITUTE(H818,"|",""))+1)</f>
        <v/>
      </c>
      <c r="V818">
        <f>IF(Q818="P",(N818+O818+P818)/3,0.3*I818+0.3*J818+0.2*K818+0.1*L818+0.1*M818)</f>
        <v/>
      </c>
      <c r="W818">
        <f>IF(Q818="P",IF(F818="",0,IFNA(VLOOKUP(F818,Pitcher_Trait_Coef!$A:$B,2,FALSE),0))+IF(G818="",0,IFNA(VLOOKUP(G818,Pitcher_Trait_Coef!$A:$B,2,FALSE),0)),IF(F818="",0,IFNA(VLOOKUP(F818,Hitter_Trait_Coef!$A:$B,2,FALSE),0))+IF(G818="",0,IFNA(VLOOKUP(G818,Hitter_Trait_Coef!$A:$B,2,FALSE),0)))</f>
        <v/>
      </c>
      <c r="X818">
        <f>IF(Q818="P",IFNA(VLOOKUP(B818,Pitcher_Primary_Coef!$A:$B,2,FALSE),0),IFNA(VLOOKUP(B818,Hitter_Primary_Coef!$A:$B,2,FALSE),0))</f>
        <v/>
      </c>
      <c r="Y818">
        <f>IF(Q818="P",0,IFNA(VLOOKUP(IF(C818="","(none)",C818),Hitter_Secondary_Coef!$A:$B,2,FALSE),0))</f>
        <v/>
      </c>
      <c r="Z818">
        <f>IF(Q818="P",IF(ISNUMBER(SEARCH("2F",H818)),IFNA(VLOOKUP("2F",Pitch_Coef!$A:$B,2,FALSE),0),0)+IF(ISNUMBER(SEARCH("4F",H818)),IFNA(VLOOKUP("4F",Pitch_Coef!$A:$B,2,FALSE),0),0)+IF(ISNUMBER(SEARCH("CB",H818)),IFNA(VLOOKUP("CB",Pitch_Coef!$A:$B,2,FALSE),0),0)+IF(ISNUMBER(SEARCH("CF",H818)),IFNA(VLOOKUP("CF",Pitch_Coef!$A:$B,2,FALSE),0),0)+IF(ISNUMBER(SEARCH("CH",H818)),IFNA(VLOOKUP("CH",Pitch_Coef!$A:$B,2,FALSE),0),0)+IF(ISNUMBER(SEARCH("FK",H818)),IFNA(VLOOKUP("FK",Pitch_Coef!$A:$B,2,FALSE),0),0)+IF(ISNUMBER(SEARCH("SB",H818)),IFNA(VLOOKUP("SB",Pitch_Coef!$A:$B,2,FALSE),0),0)+IF(ISNUMBER(SEARCH("SL",H818)),IFNA(VLOOKUP("SL",Pitch_Coef!$A:$B,2,FALSE),0),0),0)</f>
        <v/>
      </c>
      <c r="AA818">
        <f>IF(Q818="P",16.5944849573+0.2529999141*N818+0.2665900378*O818+0.2632687105*P818+0.0427586837*I818+0.0534777057*J818+0.009015832*K818+0.0204898106*(O818*P818/100)+1.0091022427*U818+1.0968542297*IF(D818="L",1,0)+0.3771555045*IF(D818="S",1,0)-0.2226159177*IF(E818="L",1,0)+1.21385024*R818-1.1652812274*S818+W818+X818+Z818,10.5965166711+0.2825983581*I818+0.2806503532*J818+0.2027213083*K818+0.1147824982*L818+0.0915305332*M818-0.0088454122*(I818*J818/100)-0.0336045706*(K818*L818/100)+2.8497389733*IF(D818="L",1,0)+4.5116226727*IF(D818="S",1,0)-0.6571546448*IF(E818="L",1,0)+0.0850728147*T818+0.0129488446*(T818*T818)+0.1909373936*IF(OR(F818="Utility",G818="Utility"),T818,0)+0.9656824071*R818-1.7517683256*S818+W818+X818+Y818)</f>
        <v/>
      </c>
      <c r="AB818">
        <f>LOOKUP(AA818,Grade_Scale!$A$2:$A$18,Grade_Scale!$B$2:$B$18)</f>
        <v/>
      </c>
      <c r="AC818">
        <f>LOOKUP(AA818,Grade_Scale!$A$2:$A$18,Grade_Scale!$C$2:$C$18)</f>
        <v/>
      </c>
      <c r="AE818">
        <f>IF(AD818="","",AB818-VLOOKUP(AD818,Grade_Scale!$C$2:$E$18,3,FALSE))</f>
        <v/>
      </c>
    </row>
    <row r="819">
      <c r="Q819">
        <f>IF(OR(B819="SP",B819="RP",B819="CP",B819="SP/RP"),"P","H")</f>
        <v/>
      </c>
      <c r="R819">
        <f>IF(F819="",0,IFNA(VLOOKUP(F819,Trait_Polarity!$A:$C,2,FALSE),0))+IF(G819="",0,IFNA(VLOOKUP(G819,Trait_Polarity!$A:$C,2,FALSE),0))</f>
        <v/>
      </c>
      <c r="S819">
        <f>IF(F819="",0,IFNA(VLOOKUP(F819,Trait_Polarity!$A:$C,3,FALSE),0))+IF(G819="",0,IFNA(VLOOKUP(G819,Trait_Polarity!$A:$C,3,FALSE),0))</f>
        <v/>
      </c>
      <c r="T819">
        <f>IF(Q819="P",0,IFNA(VLOOKUP(IF(C819="","(none)",C819),Secondary_Versatility!$A:$B,2,FALSE),0))</f>
        <v/>
      </c>
      <c r="U819">
        <f>IF(H819="",0,LEN(H819)-LEN(SUBSTITUTE(H819,"|",""))+1)</f>
        <v/>
      </c>
      <c r="V819">
        <f>IF(Q819="P",(N819+O819+P819)/3,0.3*I819+0.3*J819+0.2*K819+0.1*L819+0.1*M819)</f>
        <v/>
      </c>
      <c r="W819">
        <f>IF(Q819="P",IF(F819="",0,IFNA(VLOOKUP(F819,Pitcher_Trait_Coef!$A:$B,2,FALSE),0))+IF(G819="",0,IFNA(VLOOKUP(G819,Pitcher_Trait_Coef!$A:$B,2,FALSE),0)),IF(F819="",0,IFNA(VLOOKUP(F819,Hitter_Trait_Coef!$A:$B,2,FALSE),0))+IF(G819="",0,IFNA(VLOOKUP(G819,Hitter_Trait_Coef!$A:$B,2,FALSE),0)))</f>
        <v/>
      </c>
      <c r="X819">
        <f>IF(Q819="P",IFNA(VLOOKUP(B819,Pitcher_Primary_Coef!$A:$B,2,FALSE),0),IFNA(VLOOKUP(B819,Hitter_Primary_Coef!$A:$B,2,FALSE),0))</f>
        <v/>
      </c>
      <c r="Y819">
        <f>IF(Q819="P",0,IFNA(VLOOKUP(IF(C819="","(none)",C819),Hitter_Secondary_Coef!$A:$B,2,FALSE),0))</f>
        <v/>
      </c>
      <c r="Z819">
        <f>IF(Q819="P",IF(ISNUMBER(SEARCH("2F",H819)),IFNA(VLOOKUP("2F",Pitch_Coef!$A:$B,2,FALSE),0),0)+IF(ISNUMBER(SEARCH("4F",H819)),IFNA(VLOOKUP("4F",Pitch_Coef!$A:$B,2,FALSE),0),0)+IF(ISNUMBER(SEARCH("CB",H819)),IFNA(VLOOKUP("CB",Pitch_Coef!$A:$B,2,FALSE),0),0)+IF(ISNUMBER(SEARCH("CF",H819)),IFNA(VLOOKUP("CF",Pitch_Coef!$A:$B,2,FALSE),0),0)+IF(ISNUMBER(SEARCH("CH",H819)),IFNA(VLOOKUP("CH",Pitch_Coef!$A:$B,2,FALSE),0),0)+IF(ISNUMBER(SEARCH("FK",H819)),IFNA(VLOOKUP("FK",Pitch_Coef!$A:$B,2,FALSE),0),0)+IF(ISNUMBER(SEARCH("SB",H819)),IFNA(VLOOKUP("SB",Pitch_Coef!$A:$B,2,FALSE),0),0)+IF(ISNUMBER(SEARCH("SL",H819)),IFNA(VLOOKUP("SL",Pitch_Coef!$A:$B,2,FALSE),0),0),0)</f>
        <v/>
      </c>
      <c r="AA819">
        <f>IF(Q819="P",16.5944849573+0.2529999141*N819+0.2665900378*O819+0.2632687105*P819+0.0427586837*I819+0.0534777057*J819+0.009015832*K819+0.0204898106*(O819*P819/100)+1.0091022427*U819+1.0968542297*IF(D819="L",1,0)+0.3771555045*IF(D819="S",1,0)-0.2226159177*IF(E819="L",1,0)+1.21385024*R819-1.1652812274*S819+W819+X819+Z819,10.5965166711+0.2825983581*I819+0.2806503532*J819+0.2027213083*K819+0.1147824982*L819+0.0915305332*M819-0.0088454122*(I819*J819/100)-0.0336045706*(K819*L819/100)+2.8497389733*IF(D819="L",1,0)+4.5116226727*IF(D819="S",1,0)-0.6571546448*IF(E819="L",1,0)+0.0850728147*T819+0.0129488446*(T819*T819)+0.1909373936*IF(OR(F819="Utility",G819="Utility"),T819,0)+0.9656824071*R819-1.7517683256*S819+W819+X819+Y819)</f>
        <v/>
      </c>
      <c r="AB819">
        <f>LOOKUP(AA819,Grade_Scale!$A$2:$A$18,Grade_Scale!$B$2:$B$18)</f>
        <v/>
      </c>
      <c r="AC819">
        <f>LOOKUP(AA819,Grade_Scale!$A$2:$A$18,Grade_Scale!$C$2:$C$18)</f>
        <v/>
      </c>
      <c r="AE819">
        <f>IF(AD819="","",AB819-VLOOKUP(AD819,Grade_Scale!$C$2:$E$18,3,FALSE))</f>
        <v/>
      </c>
    </row>
    <row r="820">
      <c r="Q820">
        <f>IF(OR(B820="SP",B820="RP",B820="CP",B820="SP/RP"),"P","H")</f>
        <v/>
      </c>
      <c r="R820">
        <f>IF(F820="",0,IFNA(VLOOKUP(F820,Trait_Polarity!$A:$C,2,FALSE),0))+IF(G820="",0,IFNA(VLOOKUP(G820,Trait_Polarity!$A:$C,2,FALSE),0))</f>
        <v/>
      </c>
      <c r="S820">
        <f>IF(F820="",0,IFNA(VLOOKUP(F820,Trait_Polarity!$A:$C,3,FALSE),0))+IF(G820="",0,IFNA(VLOOKUP(G820,Trait_Polarity!$A:$C,3,FALSE),0))</f>
        <v/>
      </c>
      <c r="T820">
        <f>IF(Q820="P",0,IFNA(VLOOKUP(IF(C820="","(none)",C820),Secondary_Versatility!$A:$B,2,FALSE),0))</f>
        <v/>
      </c>
      <c r="U820">
        <f>IF(H820="",0,LEN(H820)-LEN(SUBSTITUTE(H820,"|",""))+1)</f>
        <v/>
      </c>
      <c r="V820">
        <f>IF(Q820="P",(N820+O820+P820)/3,0.3*I820+0.3*J820+0.2*K820+0.1*L820+0.1*M820)</f>
        <v/>
      </c>
      <c r="W820">
        <f>IF(Q820="P",IF(F820="",0,IFNA(VLOOKUP(F820,Pitcher_Trait_Coef!$A:$B,2,FALSE),0))+IF(G820="",0,IFNA(VLOOKUP(G820,Pitcher_Trait_Coef!$A:$B,2,FALSE),0)),IF(F820="",0,IFNA(VLOOKUP(F820,Hitter_Trait_Coef!$A:$B,2,FALSE),0))+IF(G820="",0,IFNA(VLOOKUP(G820,Hitter_Trait_Coef!$A:$B,2,FALSE),0)))</f>
        <v/>
      </c>
      <c r="X820">
        <f>IF(Q820="P",IFNA(VLOOKUP(B820,Pitcher_Primary_Coef!$A:$B,2,FALSE),0),IFNA(VLOOKUP(B820,Hitter_Primary_Coef!$A:$B,2,FALSE),0))</f>
        <v/>
      </c>
      <c r="Y820">
        <f>IF(Q820="P",0,IFNA(VLOOKUP(IF(C820="","(none)",C820),Hitter_Secondary_Coef!$A:$B,2,FALSE),0))</f>
        <v/>
      </c>
      <c r="Z820">
        <f>IF(Q820="P",IF(ISNUMBER(SEARCH("2F",H820)),IFNA(VLOOKUP("2F",Pitch_Coef!$A:$B,2,FALSE),0),0)+IF(ISNUMBER(SEARCH("4F",H820)),IFNA(VLOOKUP("4F",Pitch_Coef!$A:$B,2,FALSE),0),0)+IF(ISNUMBER(SEARCH("CB",H820)),IFNA(VLOOKUP("CB",Pitch_Coef!$A:$B,2,FALSE),0),0)+IF(ISNUMBER(SEARCH("CF",H820)),IFNA(VLOOKUP("CF",Pitch_Coef!$A:$B,2,FALSE),0),0)+IF(ISNUMBER(SEARCH("CH",H820)),IFNA(VLOOKUP("CH",Pitch_Coef!$A:$B,2,FALSE),0),0)+IF(ISNUMBER(SEARCH("FK",H820)),IFNA(VLOOKUP("FK",Pitch_Coef!$A:$B,2,FALSE),0),0)+IF(ISNUMBER(SEARCH("SB",H820)),IFNA(VLOOKUP("SB",Pitch_Coef!$A:$B,2,FALSE),0),0)+IF(ISNUMBER(SEARCH("SL",H820)),IFNA(VLOOKUP("SL",Pitch_Coef!$A:$B,2,FALSE),0),0),0)</f>
        <v/>
      </c>
      <c r="AA820">
        <f>IF(Q820="P",16.5944849573+0.2529999141*N820+0.2665900378*O820+0.2632687105*P820+0.0427586837*I820+0.0534777057*J820+0.009015832*K820+0.0204898106*(O820*P820/100)+1.0091022427*U820+1.0968542297*IF(D820="L",1,0)+0.3771555045*IF(D820="S",1,0)-0.2226159177*IF(E820="L",1,0)+1.21385024*R820-1.1652812274*S820+W820+X820+Z820,10.5965166711+0.2825983581*I820+0.2806503532*J820+0.2027213083*K820+0.1147824982*L820+0.0915305332*M820-0.0088454122*(I820*J820/100)-0.0336045706*(K820*L820/100)+2.8497389733*IF(D820="L",1,0)+4.5116226727*IF(D820="S",1,0)-0.6571546448*IF(E820="L",1,0)+0.0850728147*T820+0.0129488446*(T820*T820)+0.1909373936*IF(OR(F820="Utility",G820="Utility"),T820,0)+0.9656824071*R820-1.7517683256*S820+W820+X820+Y820)</f>
        <v/>
      </c>
      <c r="AB820">
        <f>LOOKUP(AA820,Grade_Scale!$A$2:$A$18,Grade_Scale!$B$2:$B$18)</f>
        <v/>
      </c>
      <c r="AC820">
        <f>LOOKUP(AA820,Grade_Scale!$A$2:$A$18,Grade_Scale!$C$2:$C$18)</f>
        <v/>
      </c>
      <c r="AE820">
        <f>IF(AD820="","",AB820-VLOOKUP(AD820,Grade_Scale!$C$2:$E$18,3,FALSE))</f>
        <v/>
      </c>
    </row>
    <row r="821">
      <c r="Q821">
        <f>IF(OR(B821="SP",B821="RP",B821="CP",B821="SP/RP"),"P","H")</f>
        <v/>
      </c>
      <c r="R821">
        <f>IF(F821="",0,IFNA(VLOOKUP(F821,Trait_Polarity!$A:$C,2,FALSE),0))+IF(G821="",0,IFNA(VLOOKUP(G821,Trait_Polarity!$A:$C,2,FALSE),0))</f>
        <v/>
      </c>
      <c r="S821">
        <f>IF(F821="",0,IFNA(VLOOKUP(F821,Trait_Polarity!$A:$C,3,FALSE),0))+IF(G821="",0,IFNA(VLOOKUP(G821,Trait_Polarity!$A:$C,3,FALSE),0))</f>
        <v/>
      </c>
      <c r="T821">
        <f>IF(Q821="P",0,IFNA(VLOOKUP(IF(C821="","(none)",C821),Secondary_Versatility!$A:$B,2,FALSE),0))</f>
        <v/>
      </c>
      <c r="U821">
        <f>IF(H821="",0,LEN(H821)-LEN(SUBSTITUTE(H821,"|",""))+1)</f>
        <v/>
      </c>
      <c r="V821">
        <f>IF(Q821="P",(N821+O821+P821)/3,0.3*I821+0.3*J821+0.2*K821+0.1*L821+0.1*M821)</f>
        <v/>
      </c>
      <c r="W821">
        <f>IF(Q821="P",IF(F821="",0,IFNA(VLOOKUP(F821,Pitcher_Trait_Coef!$A:$B,2,FALSE),0))+IF(G821="",0,IFNA(VLOOKUP(G821,Pitcher_Trait_Coef!$A:$B,2,FALSE),0)),IF(F821="",0,IFNA(VLOOKUP(F821,Hitter_Trait_Coef!$A:$B,2,FALSE),0))+IF(G821="",0,IFNA(VLOOKUP(G821,Hitter_Trait_Coef!$A:$B,2,FALSE),0)))</f>
        <v/>
      </c>
      <c r="X821">
        <f>IF(Q821="P",IFNA(VLOOKUP(B821,Pitcher_Primary_Coef!$A:$B,2,FALSE),0),IFNA(VLOOKUP(B821,Hitter_Primary_Coef!$A:$B,2,FALSE),0))</f>
        <v/>
      </c>
      <c r="Y821">
        <f>IF(Q821="P",0,IFNA(VLOOKUP(IF(C821="","(none)",C821),Hitter_Secondary_Coef!$A:$B,2,FALSE),0))</f>
        <v/>
      </c>
      <c r="Z821">
        <f>IF(Q821="P",IF(ISNUMBER(SEARCH("2F",H821)),IFNA(VLOOKUP("2F",Pitch_Coef!$A:$B,2,FALSE),0),0)+IF(ISNUMBER(SEARCH("4F",H821)),IFNA(VLOOKUP("4F",Pitch_Coef!$A:$B,2,FALSE),0),0)+IF(ISNUMBER(SEARCH("CB",H821)),IFNA(VLOOKUP("CB",Pitch_Coef!$A:$B,2,FALSE),0),0)+IF(ISNUMBER(SEARCH("CF",H821)),IFNA(VLOOKUP("CF",Pitch_Coef!$A:$B,2,FALSE),0),0)+IF(ISNUMBER(SEARCH("CH",H821)),IFNA(VLOOKUP("CH",Pitch_Coef!$A:$B,2,FALSE),0),0)+IF(ISNUMBER(SEARCH("FK",H821)),IFNA(VLOOKUP("FK",Pitch_Coef!$A:$B,2,FALSE),0),0)+IF(ISNUMBER(SEARCH("SB",H821)),IFNA(VLOOKUP("SB",Pitch_Coef!$A:$B,2,FALSE),0),0)+IF(ISNUMBER(SEARCH("SL",H821)),IFNA(VLOOKUP("SL",Pitch_Coef!$A:$B,2,FALSE),0),0),0)</f>
        <v/>
      </c>
      <c r="AA821">
        <f>IF(Q821="P",16.5944849573+0.2529999141*N821+0.2665900378*O821+0.2632687105*P821+0.0427586837*I821+0.0534777057*J821+0.009015832*K821+0.0204898106*(O821*P821/100)+1.0091022427*U821+1.0968542297*IF(D821="L",1,0)+0.3771555045*IF(D821="S",1,0)-0.2226159177*IF(E821="L",1,0)+1.21385024*R821-1.1652812274*S821+W821+X821+Z821,10.5965166711+0.2825983581*I821+0.2806503532*J821+0.2027213083*K821+0.1147824982*L821+0.0915305332*M821-0.0088454122*(I821*J821/100)-0.0336045706*(K821*L821/100)+2.8497389733*IF(D821="L",1,0)+4.5116226727*IF(D821="S",1,0)-0.6571546448*IF(E821="L",1,0)+0.0850728147*T821+0.0129488446*(T821*T821)+0.1909373936*IF(OR(F821="Utility",G821="Utility"),T821,0)+0.9656824071*R821-1.7517683256*S821+W821+X821+Y821)</f>
        <v/>
      </c>
      <c r="AB821">
        <f>LOOKUP(AA821,Grade_Scale!$A$2:$A$18,Grade_Scale!$B$2:$B$18)</f>
        <v/>
      </c>
      <c r="AC821">
        <f>LOOKUP(AA821,Grade_Scale!$A$2:$A$18,Grade_Scale!$C$2:$C$18)</f>
        <v/>
      </c>
      <c r="AE821">
        <f>IF(AD821="","",AB821-VLOOKUP(AD821,Grade_Scale!$C$2:$E$18,3,FALSE))</f>
        <v/>
      </c>
    </row>
    <row r="822">
      <c r="Q822">
        <f>IF(OR(B822="SP",B822="RP",B822="CP",B822="SP/RP"),"P","H")</f>
        <v/>
      </c>
      <c r="R822">
        <f>IF(F822="",0,IFNA(VLOOKUP(F822,Trait_Polarity!$A:$C,2,FALSE),0))+IF(G822="",0,IFNA(VLOOKUP(G822,Trait_Polarity!$A:$C,2,FALSE),0))</f>
        <v/>
      </c>
      <c r="S822">
        <f>IF(F822="",0,IFNA(VLOOKUP(F822,Trait_Polarity!$A:$C,3,FALSE),0))+IF(G822="",0,IFNA(VLOOKUP(G822,Trait_Polarity!$A:$C,3,FALSE),0))</f>
        <v/>
      </c>
      <c r="T822">
        <f>IF(Q822="P",0,IFNA(VLOOKUP(IF(C822="","(none)",C822),Secondary_Versatility!$A:$B,2,FALSE),0))</f>
        <v/>
      </c>
      <c r="U822">
        <f>IF(H822="",0,LEN(H822)-LEN(SUBSTITUTE(H822,"|",""))+1)</f>
        <v/>
      </c>
      <c r="V822">
        <f>IF(Q822="P",(N822+O822+P822)/3,0.3*I822+0.3*J822+0.2*K822+0.1*L822+0.1*M822)</f>
        <v/>
      </c>
      <c r="W822">
        <f>IF(Q822="P",IF(F822="",0,IFNA(VLOOKUP(F822,Pitcher_Trait_Coef!$A:$B,2,FALSE),0))+IF(G822="",0,IFNA(VLOOKUP(G822,Pitcher_Trait_Coef!$A:$B,2,FALSE),0)),IF(F822="",0,IFNA(VLOOKUP(F822,Hitter_Trait_Coef!$A:$B,2,FALSE),0))+IF(G822="",0,IFNA(VLOOKUP(G822,Hitter_Trait_Coef!$A:$B,2,FALSE),0)))</f>
        <v/>
      </c>
      <c r="X822">
        <f>IF(Q822="P",IFNA(VLOOKUP(B822,Pitcher_Primary_Coef!$A:$B,2,FALSE),0),IFNA(VLOOKUP(B822,Hitter_Primary_Coef!$A:$B,2,FALSE),0))</f>
        <v/>
      </c>
      <c r="Y822">
        <f>IF(Q822="P",0,IFNA(VLOOKUP(IF(C822="","(none)",C822),Hitter_Secondary_Coef!$A:$B,2,FALSE),0))</f>
        <v/>
      </c>
      <c r="Z822">
        <f>IF(Q822="P",IF(ISNUMBER(SEARCH("2F",H822)),IFNA(VLOOKUP("2F",Pitch_Coef!$A:$B,2,FALSE),0),0)+IF(ISNUMBER(SEARCH("4F",H822)),IFNA(VLOOKUP("4F",Pitch_Coef!$A:$B,2,FALSE),0),0)+IF(ISNUMBER(SEARCH("CB",H822)),IFNA(VLOOKUP("CB",Pitch_Coef!$A:$B,2,FALSE),0),0)+IF(ISNUMBER(SEARCH("CF",H822)),IFNA(VLOOKUP("CF",Pitch_Coef!$A:$B,2,FALSE),0),0)+IF(ISNUMBER(SEARCH("CH",H822)),IFNA(VLOOKUP("CH",Pitch_Coef!$A:$B,2,FALSE),0),0)+IF(ISNUMBER(SEARCH("FK",H822)),IFNA(VLOOKUP("FK",Pitch_Coef!$A:$B,2,FALSE),0),0)+IF(ISNUMBER(SEARCH("SB",H822)),IFNA(VLOOKUP("SB",Pitch_Coef!$A:$B,2,FALSE),0),0)+IF(ISNUMBER(SEARCH("SL",H822)),IFNA(VLOOKUP("SL",Pitch_Coef!$A:$B,2,FALSE),0),0),0)</f>
        <v/>
      </c>
      <c r="AA822">
        <f>IF(Q822="P",16.5944849573+0.2529999141*N822+0.2665900378*O822+0.2632687105*P822+0.0427586837*I822+0.0534777057*J822+0.009015832*K822+0.0204898106*(O822*P822/100)+1.0091022427*U822+1.0968542297*IF(D822="L",1,0)+0.3771555045*IF(D822="S",1,0)-0.2226159177*IF(E822="L",1,0)+1.21385024*R822-1.1652812274*S822+W822+X822+Z822,10.5965166711+0.2825983581*I822+0.2806503532*J822+0.2027213083*K822+0.1147824982*L822+0.0915305332*M822-0.0088454122*(I822*J822/100)-0.0336045706*(K822*L822/100)+2.8497389733*IF(D822="L",1,0)+4.5116226727*IF(D822="S",1,0)-0.6571546448*IF(E822="L",1,0)+0.0850728147*T822+0.0129488446*(T822*T822)+0.1909373936*IF(OR(F822="Utility",G822="Utility"),T822,0)+0.9656824071*R822-1.7517683256*S822+W822+X822+Y822)</f>
        <v/>
      </c>
      <c r="AB822">
        <f>LOOKUP(AA822,Grade_Scale!$A$2:$A$18,Grade_Scale!$B$2:$B$18)</f>
        <v/>
      </c>
      <c r="AC822">
        <f>LOOKUP(AA822,Grade_Scale!$A$2:$A$18,Grade_Scale!$C$2:$C$18)</f>
        <v/>
      </c>
      <c r="AE822">
        <f>IF(AD822="","",AB822-VLOOKUP(AD822,Grade_Scale!$C$2:$E$18,3,FALSE))</f>
        <v/>
      </c>
    </row>
    <row r="823">
      <c r="Q823">
        <f>IF(OR(B823="SP",B823="RP",B823="CP",B823="SP/RP"),"P","H")</f>
        <v/>
      </c>
      <c r="R823">
        <f>IF(F823="",0,IFNA(VLOOKUP(F823,Trait_Polarity!$A:$C,2,FALSE),0))+IF(G823="",0,IFNA(VLOOKUP(G823,Trait_Polarity!$A:$C,2,FALSE),0))</f>
        <v/>
      </c>
      <c r="S823">
        <f>IF(F823="",0,IFNA(VLOOKUP(F823,Trait_Polarity!$A:$C,3,FALSE),0))+IF(G823="",0,IFNA(VLOOKUP(G823,Trait_Polarity!$A:$C,3,FALSE),0))</f>
        <v/>
      </c>
      <c r="T823">
        <f>IF(Q823="P",0,IFNA(VLOOKUP(IF(C823="","(none)",C823),Secondary_Versatility!$A:$B,2,FALSE),0))</f>
        <v/>
      </c>
      <c r="U823">
        <f>IF(H823="",0,LEN(H823)-LEN(SUBSTITUTE(H823,"|",""))+1)</f>
        <v/>
      </c>
      <c r="V823">
        <f>IF(Q823="P",(N823+O823+P823)/3,0.3*I823+0.3*J823+0.2*K823+0.1*L823+0.1*M823)</f>
        <v/>
      </c>
      <c r="W823">
        <f>IF(Q823="P",IF(F823="",0,IFNA(VLOOKUP(F823,Pitcher_Trait_Coef!$A:$B,2,FALSE),0))+IF(G823="",0,IFNA(VLOOKUP(G823,Pitcher_Trait_Coef!$A:$B,2,FALSE),0)),IF(F823="",0,IFNA(VLOOKUP(F823,Hitter_Trait_Coef!$A:$B,2,FALSE),0))+IF(G823="",0,IFNA(VLOOKUP(G823,Hitter_Trait_Coef!$A:$B,2,FALSE),0)))</f>
        <v/>
      </c>
      <c r="X823">
        <f>IF(Q823="P",IFNA(VLOOKUP(B823,Pitcher_Primary_Coef!$A:$B,2,FALSE),0),IFNA(VLOOKUP(B823,Hitter_Primary_Coef!$A:$B,2,FALSE),0))</f>
        <v/>
      </c>
      <c r="Y823">
        <f>IF(Q823="P",0,IFNA(VLOOKUP(IF(C823="","(none)",C823),Hitter_Secondary_Coef!$A:$B,2,FALSE),0))</f>
        <v/>
      </c>
      <c r="Z823">
        <f>IF(Q823="P",IF(ISNUMBER(SEARCH("2F",H823)),IFNA(VLOOKUP("2F",Pitch_Coef!$A:$B,2,FALSE),0),0)+IF(ISNUMBER(SEARCH("4F",H823)),IFNA(VLOOKUP("4F",Pitch_Coef!$A:$B,2,FALSE),0),0)+IF(ISNUMBER(SEARCH("CB",H823)),IFNA(VLOOKUP("CB",Pitch_Coef!$A:$B,2,FALSE),0),0)+IF(ISNUMBER(SEARCH("CF",H823)),IFNA(VLOOKUP("CF",Pitch_Coef!$A:$B,2,FALSE),0),0)+IF(ISNUMBER(SEARCH("CH",H823)),IFNA(VLOOKUP("CH",Pitch_Coef!$A:$B,2,FALSE),0),0)+IF(ISNUMBER(SEARCH("FK",H823)),IFNA(VLOOKUP("FK",Pitch_Coef!$A:$B,2,FALSE),0),0)+IF(ISNUMBER(SEARCH("SB",H823)),IFNA(VLOOKUP("SB",Pitch_Coef!$A:$B,2,FALSE),0),0)+IF(ISNUMBER(SEARCH("SL",H823)),IFNA(VLOOKUP("SL",Pitch_Coef!$A:$B,2,FALSE),0),0),0)</f>
        <v/>
      </c>
      <c r="AA823">
        <f>IF(Q823="P",16.5944849573+0.2529999141*N823+0.2665900378*O823+0.2632687105*P823+0.0427586837*I823+0.0534777057*J823+0.009015832*K823+0.0204898106*(O823*P823/100)+1.0091022427*U823+1.0968542297*IF(D823="L",1,0)+0.3771555045*IF(D823="S",1,0)-0.2226159177*IF(E823="L",1,0)+1.21385024*R823-1.1652812274*S823+W823+X823+Z823,10.5965166711+0.2825983581*I823+0.2806503532*J823+0.2027213083*K823+0.1147824982*L823+0.0915305332*M823-0.0088454122*(I823*J823/100)-0.0336045706*(K823*L823/100)+2.8497389733*IF(D823="L",1,0)+4.5116226727*IF(D823="S",1,0)-0.6571546448*IF(E823="L",1,0)+0.0850728147*T823+0.0129488446*(T823*T823)+0.1909373936*IF(OR(F823="Utility",G823="Utility"),T823,0)+0.9656824071*R823-1.7517683256*S823+W823+X823+Y823)</f>
        <v/>
      </c>
      <c r="AB823">
        <f>LOOKUP(AA823,Grade_Scale!$A$2:$A$18,Grade_Scale!$B$2:$B$18)</f>
        <v/>
      </c>
      <c r="AC823">
        <f>LOOKUP(AA823,Grade_Scale!$A$2:$A$18,Grade_Scale!$C$2:$C$18)</f>
        <v/>
      </c>
      <c r="AE823">
        <f>IF(AD823="","",AB823-VLOOKUP(AD823,Grade_Scale!$C$2:$E$18,3,FALSE))</f>
        <v/>
      </c>
    </row>
    <row r="824">
      <c r="Q824">
        <f>IF(OR(B824="SP",B824="RP",B824="CP",B824="SP/RP"),"P","H")</f>
        <v/>
      </c>
      <c r="R824">
        <f>IF(F824="",0,IFNA(VLOOKUP(F824,Trait_Polarity!$A:$C,2,FALSE),0))+IF(G824="",0,IFNA(VLOOKUP(G824,Trait_Polarity!$A:$C,2,FALSE),0))</f>
        <v/>
      </c>
      <c r="S824">
        <f>IF(F824="",0,IFNA(VLOOKUP(F824,Trait_Polarity!$A:$C,3,FALSE),0))+IF(G824="",0,IFNA(VLOOKUP(G824,Trait_Polarity!$A:$C,3,FALSE),0))</f>
        <v/>
      </c>
      <c r="T824">
        <f>IF(Q824="P",0,IFNA(VLOOKUP(IF(C824="","(none)",C824),Secondary_Versatility!$A:$B,2,FALSE),0))</f>
        <v/>
      </c>
      <c r="U824">
        <f>IF(H824="",0,LEN(H824)-LEN(SUBSTITUTE(H824,"|",""))+1)</f>
        <v/>
      </c>
      <c r="V824">
        <f>IF(Q824="P",(N824+O824+P824)/3,0.3*I824+0.3*J824+0.2*K824+0.1*L824+0.1*M824)</f>
        <v/>
      </c>
      <c r="W824">
        <f>IF(Q824="P",IF(F824="",0,IFNA(VLOOKUP(F824,Pitcher_Trait_Coef!$A:$B,2,FALSE),0))+IF(G824="",0,IFNA(VLOOKUP(G824,Pitcher_Trait_Coef!$A:$B,2,FALSE),0)),IF(F824="",0,IFNA(VLOOKUP(F824,Hitter_Trait_Coef!$A:$B,2,FALSE),0))+IF(G824="",0,IFNA(VLOOKUP(G824,Hitter_Trait_Coef!$A:$B,2,FALSE),0)))</f>
        <v/>
      </c>
      <c r="X824">
        <f>IF(Q824="P",IFNA(VLOOKUP(B824,Pitcher_Primary_Coef!$A:$B,2,FALSE),0),IFNA(VLOOKUP(B824,Hitter_Primary_Coef!$A:$B,2,FALSE),0))</f>
        <v/>
      </c>
      <c r="Y824">
        <f>IF(Q824="P",0,IFNA(VLOOKUP(IF(C824="","(none)",C824),Hitter_Secondary_Coef!$A:$B,2,FALSE),0))</f>
        <v/>
      </c>
      <c r="Z824">
        <f>IF(Q824="P",IF(ISNUMBER(SEARCH("2F",H824)),IFNA(VLOOKUP("2F",Pitch_Coef!$A:$B,2,FALSE),0),0)+IF(ISNUMBER(SEARCH("4F",H824)),IFNA(VLOOKUP("4F",Pitch_Coef!$A:$B,2,FALSE),0),0)+IF(ISNUMBER(SEARCH("CB",H824)),IFNA(VLOOKUP("CB",Pitch_Coef!$A:$B,2,FALSE),0),0)+IF(ISNUMBER(SEARCH("CF",H824)),IFNA(VLOOKUP("CF",Pitch_Coef!$A:$B,2,FALSE),0),0)+IF(ISNUMBER(SEARCH("CH",H824)),IFNA(VLOOKUP("CH",Pitch_Coef!$A:$B,2,FALSE),0),0)+IF(ISNUMBER(SEARCH("FK",H824)),IFNA(VLOOKUP("FK",Pitch_Coef!$A:$B,2,FALSE),0),0)+IF(ISNUMBER(SEARCH("SB",H824)),IFNA(VLOOKUP("SB",Pitch_Coef!$A:$B,2,FALSE),0),0)+IF(ISNUMBER(SEARCH("SL",H824)),IFNA(VLOOKUP("SL",Pitch_Coef!$A:$B,2,FALSE),0),0),0)</f>
        <v/>
      </c>
      <c r="AA824">
        <f>IF(Q824="P",16.5944849573+0.2529999141*N824+0.2665900378*O824+0.2632687105*P824+0.0427586837*I824+0.0534777057*J824+0.009015832*K824+0.0204898106*(O824*P824/100)+1.0091022427*U824+1.0968542297*IF(D824="L",1,0)+0.3771555045*IF(D824="S",1,0)-0.2226159177*IF(E824="L",1,0)+1.21385024*R824-1.1652812274*S824+W824+X824+Z824,10.5965166711+0.2825983581*I824+0.2806503532*J824+0.2027213083*K824+0.1147824982*L824+0.0915305332*M824-0.0088454122*(I824*J824/100)-0.0336045706*(K824*L824/100)+2.8497389733*IF(D824="L",1,0)+4.5116226727*IF(D824="S",1,0)-0.6571546448*IF(E824="L",1,0)+0.0850728147*T824+0.0129488446*(T824*T824)+0.1909373936*IF(OR(F824="Utility",G824="Utility"),T824,0)+0.9656824071*R824-1.7517683256*S824+W824+X824+Y824)</f>
        <v/>
      </c>
      <c r="AB824">
        <f>LOOKUP(AA824,Grade_Scale!$A$2:$A$18,Grade_Scale!$B$2:$B$18)</f>
        <v/>
      </c>
      <c r="AC824">
        <f>LOOKUP(AA824,Grade_Scale!$A$2:$A$18,Grade_Scale!$C$2:$C$18)</f>
        <v/>
      </c>
      <c r="AE824">
        <f>IF(AD824="","",AB824-VLOOKUP(AD824,Grade_Scale!$C$2:$E$18,3,FALSE))</f>
        <v/>
      </c>
    </row>
    <row r="825">
      <c r="Q825">
        <f>IF(OR(B825="SP",B825="RP",B825="CP",B825="SP/RP"),"P","H")</f>
        <v/>
      </c>
      <c r="R825">
        <f>IF(F825="",0,IFNA(VLOOKUP(F825,Trait_Polarity!$A:$C,2,FALSE),0))+IF(G825="",0,IFNA(VLOOKUP(G825,Trait_Polarity!$A:$C,2,FALSE),0))</f>
        <v/>
      </c>
      <c r="S825">
        <f>IF(F825="",0,IFNA(VLOOKUP(F825,Trait_Polarity!$A:$C,3,FALSE),0))+IF(G825="",0,IFNA(VLOOKUP(G825,Trait_Polarity!$A:$C,3,FALSE),0))</f>
        <v/>
      </c>
      <c r="T825">
        <f>IF(Q825="P",0,IFNA(VLOOKUP(IF(C825="","(none)",C825),Secondary_Versatility!$A:$B,2,FALSE),0))</f>
        <v/>
      </c>
      <c r="U825">
        <f>IF(H825="",0,LEN(H825)-LEN(SUBSTITUTE(H825,"|",""))+1)</f>
        <v/>
      </c>
      <c r="V825">
        <f>IF(Q825="P",(N825+O825+P825)/3,0.3*I825+0.3*J825+0.2*K825+0.1*L825+0.1*M825)</f>
        <v/>
      </c>
      <c r="W825">
        <f>IF(Q825="P",IF(F825="",0,IFNA(VLOOKUP(F825,Pitcher_Trait_Coef!$A:$B,2,FALSE),0))+IF(G825="",0,IFNA(VLOOKUP(G825,Pitcher_Trait_Coef!$A:$B,2,FALSE),0)),IF(F825="",0,IFNA(VLOOKUP(F825,Hitter_Trait_Coef!$A:$B,2,FALSE),0))+IF(G825="",0,IFNA(VLOOKUP(G825,Hitter_Trait_Coef!$A:$B,2,FALSE),0)))</f>
        <v/>
      </c>
      <c r="X825">
        <f>IF(Q825="P",IFNA(VLOOKUP(B825,Pitcher_Primary_Coef!$A:$B,2,FALSE),0),IFNA(VLOOKUP(B825,Hitter_Primary_Coef!$A:$B,2,FALSE),0))</f>
        <v/>
      </c>
      <c r="Y825">
        <f>IF(Q825="P",0,IFNA(VLOOKUP(IF(C825="","(none)",C825),Hitter_Secondary_Coef!$A:$B,2,FALSE),0))</f>
        <v/>
      </c>
      <c r="Z825">
        <f>IF(Q825="P",IF(ISNUMBER(SEARCH("2F",H825)),IFNA(VLOOKUP("2F",Pitch_Coef!$A:$B,2,FALSE),0),0)+IF(ISNUMBER(SEARCH("4F",H825)),IFNA(VLOOKUP("4F",Pitch_Coef!$A:$B,2,FALSE),0),0)+IF(ISNUMBER(SEARCH("CB",H825)),IFNA(VLOOKUP("CB",Pitch_Coef!$A:$B,2,FALSE),0),0)+IF(ISNUMBER(SEARCH("CF",H825)),IFNA(VLOOKUP("CF",Pitch_Coef!$A:$B,2,FALSE),0),0)+IF(ISNUMBER(SEARCH("CH",H825)),IFNA(VLOOKUP("CH",Pitch_Coef!$A:$B,2,FALSE),0),0)+IF(ISNUMBER(SEARCH("FK",H825)),IFNA(VLOOKUP("FK",Pitch_Coef!$A:$B,2,FALSE),0),0)+IF(ISNUMBER(SEARCH("SB",H825)),IFNA(VLOOKUP("SB",Pitch_Coef!$A:$B,2,FALSE),0),0)+IF(ISNUMBER(SEARCH("SL",H825)),IFNA(VLOOKUP("SL",Pitch_Coef!$A:$B,2,FALSE),0),0),0)</f>
        <v/>
      </c>
      <c r="AA825">
        <f>IF(Q825="P",16.5944849573+0.2529999141*N825+0.2665900378*O825+0.2632687105*P825+0.0427586837*I825+0.0534777057*J825+0.009015832*K825+0.0204898106*(O825*P825/100)+1.0091022427*U825+1.0968542297*IF(D825="L",1,0)+0.3771555045*IF(D825="S",1,0)-0.2226159177*IF(E825="L",1,0)+1.21385024*R825-1.1652812274*S825+W825+X825+Z825,10.5965166711+0.2825983581*I825+0.2806503532*J825+0.2027213083*K825+0.1147824982*L825+0.0915305332*M825-0.0088454122*(I825*J825/100)-0.0336045706*(K825*L825/100)+2.8497389733*IF(D825="L",1,0)+4.5116226727*IF(D825="S",1,0)-0.6571546448*IF(E825="L",1,0)+0.0850728147*T825+0.0129488446*(T825*T825)+0.1909373936*IF(OR(F825="Utility",G825="Utility"),T825,0)+0.9656824071*R825-1.7517683256*S825+W825+X825+Y825)</f>
        <v/>
      </c>
      <c r="AB825">
        <f>LOOKUP(AA825,Grade_Scale!$A$2:$A$18,Grade_Scale!$B$2:$B$18)</f>
        <v/>
      </c>
      <c r="AC825">
        <f>LOOKUP(AA825,Grade_Scale!$A$2:$A$18,Grade_Scale!$C$2:$C$18)</f>
        <v/>
      </c>
      <c r="AE825">
        <f>IF(AD825="","",AB825-VLOOKUP(AD825,Grade_Scale!$C$2:$E$18,3,FALSE))</f>
        <v/>
      </c>
    </row>
    <row r="826">
      <c r="Q826">
        <f>IF(OR(B826="SP",B826="RP",B826="CP",B826="SP/RP"),"P","H")</f>
        <v/>
      </c>
      <c r="R826">
        <f>IF(F826="",0,IFNA(VLOOKUP(F826,Trait_Polarity!$A:$C,2,FALSE),0))+IF(G826="",0,IFNA(VLOOKUP(G826,Trait_Polarity!$A:$C,2,FALSE),0))</f>
        <v/>
      </c>
      <c r="S826">
        <f>IF(F826="",0,IFNA(VLOOKUP(F826,Trait_Polarity!$A:$C,3,FALSE),0))+IF(G826="",0,IFNA(VLOOKUP(G826,Trait_Polarity!$A:$C,3,FALSE),0))</f>
        <v/>
      </c>
      <c r="T826">
        <f>IF(Q826="P",0,IFNA(VLOOKUP(IF(C826="","(none)",C826),Secondary_Versatility!$A:$B,2,FALSE),0))</f>
        <v/>
      </c>
      <c r="U826">
        <f>IF(H826="",0,LEN(H826)-LEN(SUBSTITUTE(H826,"|",""))+1)</f>
        <v/>
      </c>
      <c r="V826">
        <f>IF(Q826="P",(N826+O826+P826)/3,0.3*I826+0.3*J826+0.2*K826+0.1*L826+0.1*M826)</f>
        <v/>
      </c>
      <c r="W826">
        <f>IF(Q826="P",IF(F826="",0,IFNA(VLOOKUP(F826,Pitcher_Trait_Coef!$A:$B,2,FALSE),0))+IF(G826="",0,IFNA(VLOOKUP(G826,Pitcher_Trait_Coef!$A:$B,2,FALSE),0)),IF(F826="",0,IFNA(VLOOKUP(F826,Hitter_Trait_Coef!$A:$B,2,FALSE),0))+IF(G826="",0,IFNA(VLOOKUP(G826,Hitter_Trait_Coef!$A:$B,2,FALSE),0)))</f>
        <v/>
      </c>
      <c r="X826">
        <f>IF(Q826="P",IFNA(VLOOKUP(B826,Pitcher_Primary_Coef!$A:$B,2,FALSE),0),IFNA(VLOOKUP(B826,Hitter_Primary_Coef!$A:$B,2,FALSE),0))</f>
        <v/>
      </c>
      <c r="Y826">
        <f>IF(Q826="P",0,IFNA(VLOOKUP(IF(C826="","(none)",C826),Hitter_Secondary_Coef!$A:$B,2,FALSE),0))</f>
        <v/>
      </c>
      <c r="Z826">
        <f>IF(Q826="P",IF(ISNUMBER(SEARCH("2F",H826)),IFNA(VLOOKUP("2F",Pitch_Coef!$A:$B,2,FALSE),0),0)+IF(ISNUMBER(SEARCH("4F",H826)),IFNA(VLOOKUP("4F",Pitch_Coef!$A:$B,2,FALSE),0),0)+IF(ISNUMBER(SEARCH("CB",H826)),IFNA(VLOOKUP("CB",Pitch_Coef!$A:$B,2,FALSE),0),0)+IF(ISNUMBER(SEARCH("CF",H826)),IFNA(VLOOKUP("CF",Pitch_Coef!$A:$B,2,FALSE),0),0)+IF(ISNUMBER(SEARCH("CH",H826)),IFNA(VLOOKUP("CH",Pitch_Coef!$A:$B,2,FALSE),0),0)+IF(ISNUMBER(SEARCH("FK",H826)),IFNA(VLOOKUP("FK",Pitch_Coef!$A:$B,2,FALSE),0),0)+IF(ISNUMBER(SEARCH("SB",H826)),IFNA(VLOOKUP("SB",Pitch_Coef!$A:$B,2,FALSE),0),0)+IF(ISNUMBER(SEARCH("SL",H826)),IFNA(VLOOKUP("SL",Pitch_Coef!$A:$B,2,FALSE),0),0),0)</f>
        <v/>
      </c>
      <c r="AA826">
        <f>IF(Q826="P",16.5944849573+0.2529999141*N826+0.2665900378*O826+0.2632687105*P826+0.0427586837*I826+0.0534777057*J826+0.009015832*K826+0.0204898106*(O826*P826/100)+1.0091022427*U826+1.0968542297*IF(D826="L",1,0)+0.3771555045*IF(D826="S",1,0)-0.2226159177*IF(E826="L",1,0)+1.21385024*R826-1.1652812274*S826+W826+X826+Z826,10.5965166711+0.2825983581*I826+0.2806503532*J826+0.2027213083*K826+0.1147824982*L826+0.0915305332*M826-0.0088454122*(I826*J826/100)-0.0336045706*(K826*L826/100)+2.8497389733*IF(D826="L",1,0)+4.5116226727*IF(D826="S",1,0)-0.6571546448*IF(E826="L",1,0)+0.0850728147*T826+0.0129488446*(T826*T826)+0.1909373936*IF(OR(F826="Utility",G826="Utility"),T826,0)+0.9656824071*R826-1.7517683256*S826+W826+X826+Y826)</f>
        <v/>
      </c>
      <c r="AB826">
        <f>LOOKUP(AA826,Grade_Scale!$A$2:$A$18,Grade_Scale!$B$2:$B$18)</f>
        <v/>
      </c>
      <c r="AC826">
        <f>LOOKUP(AA826,Grade_Scale!$A$2:$A$18,Grade_Scale!$C$2:$C$18)</f>
        <v/>
      </c>
      <c r="AE826">
        <f>IF(AD826="","",AB826-VLOOKUP(AD826,Grade_Scale!$C$2:$E$18,3,FALSE))</f>
        <v/>
      </c>
    </row>
    <row r="827">
      <c r="Q827">
        <f>IF(OR(B827="SP",B827="RP",B827="CP",B827="SP/RP"),"P","H")</f>
        <v/>
      </c>
      <c r="R827">
        <f>IF(F827="",0,IFNA(VLOOKUP(F827,Trait_Polarity!$A:$C,2,FALSE),0))+IF(G827="",0,IFNA(VLOOKUP(G827,Trait_Polarity!$A:$C,2,FALSE),0))</f>
        <v/>
      </c>
      <c r="S827">
        <f>IF(F827="",0,IFNA(VLOOKUP(F827,Trait_Polarity!$A:$C,3,FALSE),0))+IF(G827="",0,IFNA(VLOOKUP(G827,Trait_Polarity!$A:$C,3,FALSE),0))</f>
        <v/>
      </c>
      <c r="T827">
        <f>IF(Q827="P",0,IFNA(VLOOKUP(IF(C827="","(none)",C827),Secondary_Versatility!$A:$B,2,FALSE),0))</f>
        <v/>
      </c>
      <c r="U827">
        <f>IF(H827="",0,LEN(H827)-LEN(SUBSTITUTE(H827,"|",""))+1)</f>
        <v/>
      </c>
      <c r="V827">
        <f>IF(Q827="P",(N827+O827+P827)/3,0.3*I827+0.3*J827+0.2*K827+0.1*L827+0.1*M827)</f>
        <v/>
      </c>
      <c r="W827">
        <f>IF(Q827="P",IF(F827="",0,IFNA(VLOOKUP(F827,Pitcher_Trait_Coef!$A:$B,2,FALSE),0))+IF(G827="",0,IFNA(VLOOKUP(G827,Pitcher_Trait_Coef!$A:$B,2,FALSE),0)),IF(F827="",0,IFNA(VLOOKUP(F827,Hitter_Trait_Coef!$A:$B,2,FALSE),0))+IF(G827="",0,IFNA(VLOOKUP(G827,Hitter_Trait_Coef!$A:$B,2,FALSE),0)))</f>
        <v/>
      </c>
      <c r="X827">
        <f>IF(Q827="P",IFNA(VLOOKUP(B827,Pitcher_Primary_Coef!$A:$B,2,FALSE),0),IFNA(VLOOKUP(B827,Hitter_Primary_Coef!$A:$B,2,FALSE),0))</f>
        <v/>
      </c>
      <c r="Y827">
        <f>IF(Q827="P",0,IFNA(VLOOKUP(IF(C827="","(none)",C827),Hitter_Secondary_Coef!$A:$B,2,FALSE),0))</f>
        <v/>
      </c>
      <c r="Z827">
        <f>IF(Q827="P",IF(ISNUMBER(SEARCH("2F",H827)),IFNA(VLOOKUP("2F",Pitch_Coef!$A:$B,2,FALSE),0),0)+IF(ISNUMBER(SEARCH("4F",H827)),IFNA(VLOOKUP("4F",Pitch_Coef!$A:$B,2,FALSE),0),0)+IF(ISNUMBER(SEARCH("CB",H827)),IFNA(VLOOKUP("CB",Pitch_Coef!$A:$B,2,FALSE),0),0)+IF(ISNUMBER(SEARCH("CF",H827)),IFNA(VLOOKUP("CF",Pitch_Coef!$A:$B,2,FALSE),0),0)+IF(ISNUMBER(SEARCH("CH",H827)),IFNA(VLOOKUP("CH",Pitch_Coef!$A:$B,2,FALSE),0),0)+IF(ISNUMBER(SEARCH("FK",H827)),IFNA(VLOOKUP("FK",Pitch_Coef!$A:$B,2,FALSE),0),0)+IF(ISNUMBER(SEARCH("SB",H827)),IFNA(VLOOKUP("SB",Pitch_Coef!$A:$B,2,FALSE),0),0)+IF(ISNUMBER(SEARCH("SL",H827)),IFNA(VLOOKUP("SL",Pitch_Coef!$A:$B,2,FALSE),0),0),0)</f>
        <v/>
      </c>
      <c r="AA827">
        <f>IF(Q827="P",16.5944849573+0.2529999141*N827+0.2665900378*O827+0.2632687105*P827+0.0427586837*I827+0.0534777057*J827+0.009015832*K827+0.0204898106*(O827*P827/100)+1.0091022427*U827+1.0968542297*IF(D827="L",1,0)+0.3771555045*IF(D827="S",1,0)-0.2226159177*IF(E827="L",1,0)+1.21385024*R827-1.1652812274*S827+W827+X827+Z827,10.5965166711+0.2825983581*I827+0.2806503532*J827+0.2027213083*K827+0.1147824982*L827+0.0915305332*M827-0.0088454122*(I827*J827/100)-0.0336045706*(K827*L827/100)+2.8497389733*IF(D827="L",1,0)+4.5116226727*IF(D827="S",1,0)-0.6571546448*IF(E827="L",1,0)+0.0850728147*T827+0.0129488446*(T827*T827)+0.1909373936*IF(OR(F827="Utility",G827="Utility"),T827,0)+0.9656824071*R827-1.7517683256*S827+W827+X827+Y827)</f>
        <v/>
      </c>
      <c r="AB827">
        <f>LOOKUP(AA827,Grade_Scale!$A$2:$A$18,Grade_Scale!$B$2:$B$18)</f>
        <v/>
      </c>
      <c r="AC827">
        <f>LOOKUP(AA827,Grade_Scale!$A$2:$A$18,Grade_Scale!$C$2:$C$18)</f>
        <v/>
      </c>
      <c r="AE827">
        <f>IF(AD827="","",AB827-VLOOKUP(AD827,Grade_Scale!$C$2:$E$18,3,FALSE))</f>
        <v/>
      </c>
    </row>
    <row r="828">
      <c r="Q828">
        <f>IF(OR(B828="SP",B828="RP",B828="CP",B828="SP/RP"),"P","H")</f>
        <v/>
      </c>
      <c r="R828">
        <f>IF(F828="",0,IFNA(VLOOKUP(F828,Trait_Polarity!$A:$C,2,FALSE),0))+IF(G828="",0,IFNA(VLOOKUP(G828,Trait_Polarity!$A:$C,2,FALSE),0))</f>
        <v/>
      </c>
      <c r="S828">
        <f>IF(F828="",0,IFNA(VLOOKUP(F828,Trait_Polarity!$A:$C,3,FALSE),0))+IF(G828="",0,IFNA(VLOOKUP(G828,Trait_Polarity!$A:$C,3,FALSE),0))</f>
        <v/>
      </c>
      <c r="T828">
        <f>IF(Q828="P",0,IFNA(VLOOKUP(IF(C828="","(none)",C828),Secondary_Versatility!$A:$B,2,FALSE),0))</f>
        <v/>
      </c>
      <c r="U828">
        <f>IF(H828="",0,LEN(H828)-LEN(SUBSTITUTE(H828,"|",""))+1)</f>
        <v/>
      </c>
      <c r="V828">
        <f>IF(Q828="P",(N828+O828+P828)/3,0.3*I828+0.3*J828+0.2*K828+0.1*L828+0.1*M828)</f>
        <v/>
      </c>
      <c r="W828">
        <f>IF(Q828="P",IF(F828="",0,IFNA(VLOOKUP(F828,Pitcher_Trait_Coef!$A:$B,2,FALSE),0))+IF(G828="",0,IFNA(VLOOKUP(G828,Pitcher_Trait_Coef!$A:$B,2,FALSE),0)),IF(F828="",0,IFNA(VLOOKUP(F828,Hitter_Trait_Coef!$A:$B,2,FALSE),0))+IF(G828="",0,IFNA(VLOOKUP(G828,Hitter_Trait_Coef!$A:$B,2,FALSE),0)))</f>
        <v/>
      </c>
      <c r="X828">
        <f>IF(Q828="P",IFNA(VLOOKUP(B828,Pitcher_Primary_Coef!$A:$B,2,FALSE),0),IFNA(VLOOKUP(B828,Hitter_Primary_Coef!$A:$B,2,FALSE),0))</f>
        <v/>
      </c>
      <c r="Y828">
        <f>IF(Q828="P",0,IFNA(VLOOKUP(IF(C828="","(none)",C828),Hitter_Secondary_Coef!$A:$B,2,FALSE),0))</f>
        <v/>
      </c>
      <c r="Z828">
        <f>IF(Q828="P",IF(ISNUMBER(SEARCH("2F",H828)),IFNA(VLOOKUP("2F",Pitch_Coef!$A:$B,2,FALSE),0),0)+IF(ISNUMBER(SEARCH("4F",H828)),IFNA(VLOOKUP("4F",Pitch_Coef!$A:$B,2,FALSE),0),0)+IF(ISNUMBER(SEARCH("CB",H828)),IFNA(VLOOKUP("CB",Pitch_Coef!$A:$B,2,FALSE),0),0)+IF(ISNUMBER(SEARCH("CF",H828)),IFNA(VLOOKUP("CF",Pitch_Coef!$A:$B,2,FALSE),0),0)+IF(ISNUMBER(SEARCH("CH",H828)),IFNA(VLOOKUP("CH",Pitch_Coef!$A:$B,2,FALSE),0),0)+IF(ISNUMBER(SEARCH("FK",H828)),IFNA(VLOOKUP("FK",Pitch_Coef!$A:$B,2,FALSE),0),0)+IF(ISNUMBER(SEARCH("SB",H828)),IFNA(VLOOKUP("SB",Pitch_Coef!$A:$B,2,FALSE),0),0)+IF(ISNUMBER(SEARCH("SL",H828)),IFNA(VLOOKUP("SL",Pitch_Coef!$A:$B,2,FALSE),0),0),0)</f>
        <v/>
      </c>
      <c r="AA828">
        <f>IF(Q828="P",16.5944849573+0.2529999141*N828+0.2665900378*O828+0.2632687105*P828+0.0427586837*I828+0.0534777057*J828+0.009015832*K828+0.0204898106*(O828*P828/100)+1.0091022427*U828+1.0968542297*IF(D828="L",1,0)+0.3771555045*IF(D828="S",1,0)-0.2226159177*IF(E828="L",1,0)+1.21385024*R828-1.1652812274*S828+W828+X828+Z828,10.5965166711+0.2825983581*I828+0.2806503532*J828+0.2027213083*K828+0.1147824982*L828+0.0915305332*M828-0.0088454122*(I828*J828/100)-0.0336045706*(K828*L828/100)+2.8497389733*IF(D828="L",1,0)+4.5116226727*IF(D828="S",1,0)-0.6571546448*IF(E828="L",1,0)+0.0850728147*T828+0.0129488446*(T828*T828)+0.1909373936*IF(OR(F828="Utility",G828="Utility"),T828,0)+0.9656824071*R828-1.7517683256*S828+W828+X828+Y828)</f>
        <v/>
      </c>
      <c r="AB828">
        <f>LOOKUP(AA828,Grade_Scale!$A$2:$A$18,Grade_Scale!$B$2:$B$18)</f>
        <v/>
      </c>
      <c r="AC828">
        <f>LOOKUP(AA828,Grade_Scale!$A$2:$A$18,Grade_Scale!$C$2:$C$18)</f>
        <v/>
      </c>
      <c r="AE828">
        <f>IF(AD828="","",AB828-VLOOKUP(AD828,Grade_Scale!$C$2:$E$18,3,FALSE))</f>
        <v/>
      </c>
    </row>
    <row r="829">
      <c r="Q829">
        <f>IF(OR(B829="SP",B829="RP",B829="CP",B829="SP/RP"),"P","H")</f>
        <v/>
      </c>
      <c r="R829">
        <f>IF(F829="",0,IFNA(VLOOKUP(F829,Trait_Polarity!$A:$C,2,FALSE),0))+IF(G829="",0,IFNA(VLOOKUP(G829,Trait_Polarity!$A:$C,2,FALSE),0))</f>
        <v/>
      </c>
      <c r="S829">
        <f>IF(F829="",0,IFNA(VLOOKUP(F829,Trait_Polarity!$A:$C,3,FALSE),0))+IF(G829="",0,IFNA(VLOOKUP(G829,Trait_Polarity!$A:$C,3,FALSE),0))</f>
        <v/>
      </c>
      <c r="T829">
        <f>IF(Q829="P",0,IFNA(VLOOKUP(IF(C829="","(none)",C829),Secondary_Versatility!$A:$B,2,FALSE),0))</f>
        <v/>
      </c>
      <c r="U829">
        <f>IF(H829="",0,LEN(H829)-LEN(SUBSTITUTE(H829,"|",""))+1)</f>
        <v/>
      </c>
      <c r="V829">
        <f>IF(Q829="P",(N829+O829+P829)/3,0.3*I829+0.3*J829+0.2*K829+0.1*L829+0.1*M829)</f>
        <v/>
      </c>
      <c r="W829">
        <f>IF(Q829="P",IF(F829="",0,IFNA(VLOOKUP(F829,Pitcher_Trait_Coef!$A:$B,2,FALSE),0))+IF(G829="",0,IFNA(VLOOKUP(G829,Pitcher_Trait_Coef!$A:$B,2,FALSE),0)),IF(F829="",0,IFNA(VLOOKUP(F829,Hitter_Trait_Coef!$A:$B,2,FALSE),0))+IF(G829="",0,IFNA(VLOOKUP(G829,Hitter_Trait_Coef!$A:$B,2,FALSE),0)))</f>
        <v/>
      </c>
      <c r="X829">
        <f>IF(Q829="P",IFNA(VLOOKUP(B829,Pitcher_Primary_Coef!$A:$B,2,FALSE),0),IFNA(VLOOKUP(B829,Hitter_Primary_Coef!$A:$B,2,FALSE),0))</f>
        <v/>
      </c>
      <c r="Y829">
        <f>IF(Q829="P",0,IFNA(VLOOKUP(IF(C829="","(none)",C829),Hitter_Secondary_Coef!$A:$B,2,FALSE),0))</f>
        <v/>
      </c>
      <c r="Z829">
        <f>IF(Q829="P",IF(ISNUMBER(SEARCH("2F",H829)),IFNA(VLOOKUP("2F",Pitch_Coef!$A:$B,2,FALSE),0),0)+IF(ISNUMBER(SEARCH("4F",H829)),IFNA(VLOOKUP("4F",Pitch_Coef!$A:$B,2,FALSE),0),0)+IF(ISNUMBER(SEARCH("CB",H829)),IFNA(VLOOKUP("CB",Pitch_Coef!$A:$B,2,FALSE),0),0)+IF(ISNUMBER(SEARCH("CF",H829)),IFNA(VLOOKUP("CF",Pitch_Coef!$A:$B,2,FALSE),0),0)+IF(ISNUMBER(SEARCH("CH",H829)),IFNA(VLOOKUP("CH",Pitch_Coef!$A:$B,2,FALSE),0),0)+IF(ISNUMBER(SEARCH("FK",H829)),IFNA(VLOOKUP("FK",Pitch_Coef!$A:$B,2,FALSE),0),0)+IF(ISNUMBER(SEARCH("SB",H829)),IFNA(VLOOKUP("SB",Pitch_Coef!$A:$B,2,FALSE),0),0)+IF(ISNUMBER(SEARCH("SL",H829)),IFNA(VLOOKUP("SL",Pitch_Coef!$A:$B,2,FALSE),0),0),0)</f>
        <v/>
      </c>
      <c r="AA829">
        <f>IF(Q829="P",16.5944849573+0.2529999141*N829+0.2665900378*O829+0.2632687105*P829+0.0427586837*I829+0.0534777057*J829+0.009015832*K829+0.0204898106*(O829*P829/100)+1.0091022427*U829+1.0968542297*IF(D829="L",1,0)+0.3771555045*IF(D829="S",1,0)-0.2226159177*IF(E829="L",1,0)+1.21385024*R829-1.1652812274*S829+W829+X829+Z829,10.5965166711+0.2825983581*I829+0.2806503532*J829+0.2027213083*K829+0.1147824982*L829+0.0915305332*M829-0.0088454122*(I829*J829/100)-0.0336045706*(K829*L829/100)+2.8497389733*IF(D829="L",1,0)+4.5116226727*IF(D829="S",1,0)-0.6571546448*IF(E829="L",1,0)+0.0850728147*T829+0.0129488446*(T829*T829)+0.1909373936*IF(OR(F829="Utility",G829="Utility"),T829,0)+0.9656824071*R829-1.7517683256*S829+W829+X829+Y829)</f>
        <v/>
      </c>
      <c r="AB829">
        <f>LOOKUP(AA829,Grade_Scale!$A$2:$A$18,Grade_Scale!$B$2:$B$18)</f>
        <v/>
      </c>
      <c r="AC829">
        <f>LOOKUP(AA829,Grade_Scale!$A$2:$A$18,Grade_Scale!$C$2:$C$18)</f>
        <v/>
      </c>
      <c r="AE829">
        <f>IF(AD829="","",AB829-VLOOKUP(AD829,Grade_Scale!$C$2:$E$18,3,FALSE))</f>
        <v/>
      </c>
    </row>
    <row r="830">
      <c r="Q830">
        <f>IF(OR(B830="SP",B830="RP",B830="CP",B830="SP/RP"),"P","H")</f>
        <v/>
      </c>
      <c r="R830">
        <f>IF(F830="",0,IFNA(VLOOKUP(F830,Trait_Polarity!$A:$C,2,FALSE),0))+IF(G830="",0,IFNA(VLOOKUP(G830,Trait_Polarity!$A:$C,2,FALSE),0))</f>
        <v/>
      </c>
      <c r="S830">
        <f>IF(F830="",0,IFNA(VLOOKUP(F830,Trait_Polarity!$A:$C,3,FALSE),0))+IF(G830="",0,IFNA(VLOOKUP(G830,Trait_Polarity!$A:$C,3,FALSE),0))</f>
        <v/>
      </c>
      <c r="T830">
        <f>IF(Q830="P",0,IFNA(VLOOKUP(IF(C830="","(none)",C830),Secondary_Versatility!$A:$B,2,FALSE),0))</f>
        <v/>
      </c>
      <c r="U830">
        <f>IF(H830="",0,LEN(H830)-LEN(SUBSTITUTE(H830,"|",""))+1)</f>
        <v/>
      </c>
      <c r="V830">
        <f>IF(Q830="P",(N830+O830+P830)/3,0.3*I830+0.3*J830+0.2*K830+0.1*L830+0.1*M830)</f>
        <v/>
      </c>
      <c r="W830">
        <f>IF(Q830="P",IF(F830="",0,IFNA(VLOOKUP(F830,Pitcher_Trait_Coef!$A:$B,2,FALSE),0))+IF(G830="",0,IFNA(VLOOKUP(G830,Pitcher_Trait_Coef!$A:$B,2,FALSE),0)),IF(F830="",0,IFNA(VLOOKUP(F830,Hitter_Trait_Coef!$A:$B,2,FALSE),0))+IF(G830="",0,IFNA(VLOOKUP(G830,Hitter_Trait_Coef!$A:$B,2,FALSE),0)))</f>
        <v/>
      </c>
      <c r="X830">
        <f>IF(Q830="P",IFNA(VLOOKUP(B830,Pitcher_Primary_Coef!$A:$B,2,FALSE),0),IFNA(VLOOKUP(B830,Hitter_Primary_Coef!$A:$B,2,FALSE),0))</f>
        <v/>
      </c>
      <c r="Y830">
        <f>IF(Q830="P",0,IFNA(VLOOKUP(IF(C830="","(none)",C830),Hitter_Secondary_Coef!$A:$B,2,FALSE),0))</f>
        <v/>
      </c>
      <c r="Z830">
        <f>IF(Q830="P",IF(ISNUMBER(SEARCH("2F",H830)),IFNA(VLOOKUP("2F",Pitch_Coef!$A:$B,2,FALSE),0),0)+IF(ISNUMBER(SEARCH("4F",H830)),IFNA(VLOOKUP("4F",Pitch_Coef!$A:$B,2,FALSE),0),0)+IF(ISNUMBER(SEARCH("CB",H830)),IFNA(VLOOKUP("CB",Pitch_Coef!$A:$B,2,FALSE),0),0)+IF(ISNUMBER(SEARCH("CF",H830)),IFNA(VLOOKUP("CF",Pitch_Coef!$A:$B,2,FALSE),0),0)+IF(ISNUMBER(SEARCH("CH",H830)),IFNA(VLOOKUP("CH",Pitch_Coef!$A:$B,2,FALSE),0),0)+IF(ISNUMBER(SEARCH("FK",H830)),IFNA(VLOOKUP("FK",Pitch_Coef!$A:$B,2,FALSE),0),0)+IF(ISNUMBER(SEARCH("SB",H830)),IFNA(VLOOKUP("SB",Pitch_Coef!$A:$B,2,FALSE),0),0)+IF(ISNUMBER(SEARCH("SL",H830)),IFNA(VLOOKUP("SL",Pitch_Coef!$A:$B,2,FALSE),0),0),0)</f>
        <v/>
      </c>
      <c r="AA830">
        <f>IF(Q830="P",16.5944849573+0.2529999141*N830+0.2665900378*O830+0.2632687105*P830+0.0427586837*I830+0.0534777057*J830+0.009015832*K830+0.0204898106*(O830*P830/100)+1.0091022427*U830+1.0968542297*IF(D830="L",1,0)+0.3771555045*IF(D830="S",1,0)-0.2226159177*IF(E830="L",1,0)+1.21385024*R830-1.1652812274*S830+W830+X830+Z830,10.5965166711+0.2825983581*I830+0.2806503532*J830+0.2027213083*K830+0.1147824982*L830+0.0915305332*M830-0.0088454122*(I830*J830/100)-0.0336045706*(K830*L830/100)+2.8497389733*IF(D830="L",1,0)+4.5116226727*IF(D830="S",1,0)-0.6571546448*IF(E830="L",1,0)+0.0850728147*T830+0.0129488446*(T830*T830)+0.1909373936*IF(OR(F830="Utility",G830="Utility"),T830,0)+0.9656824071*R830-1.7517683256*S830+W830+X830+Y830)</f>
        <v/>
      </c>
      <c r="AB830">
        <f>LOOKUP(AA830,Grade_Scale!$A$2:$A$18,Grade_Scale!$B$2:$B$18)</f>
        <v/>
      </c>
      <c r="AC830">
        <f>LOOKUP(AA830,Grade_Scale!$A$2:$A$18,Grade_Scale!$C$2:$C$18)</f>
        <v/>
      </c>
      <c r="AE830">
        <f>IF(AD830="","",AB830-VLOOKUP(AD830,Grade_Scale!$C$2:$E$18,3,FALSE))</f>
        <v/>
      </c>
    </row>
    <row r="831">
      <c r="Q831">
        <f>IF(OR(B831="SP",B831="RP",B831="CP",B831="SP/RP"),"P","H")</f>
        <v/>
      </c>
      <c r="R831">
        <f>IF(F831="",0,IFNA(VLOOKUP(F831,Trait_Polarity!$A:$C,2,FALSE),0))+IF(G831="",0,IFNA(VLOOKUP(G831,Trait_Polarity!$A:$C,2,FALSE),0))</f>
        <v/>
      </c>
      <c r="S831">
        <f>IF(F831="",0,IFNA(VLOOKUP(F831,Trait_Polarity!$A:$C,3,FALSE),0))+IF(G831="",0,IFNA(VLOOKUP(G831,Trait_Polarity!$A:$C,3,FALSE),0))</f>
        <v/>
      </c>
      <c r="T831">
        <f>IF(Q831="P",0,IFNA(VLOOKUP(IF(C831="","(none)",C831),Secondary_Versatility!$A:$B,2,FALSE),0))</f>
        <v/>
      </c>
      <c r="U831">
        <f>IF(H831="",0,LEN(H831)-LEN(SUBSTITUTE(H831,"|",""))+1)</f>
        <v/>
      </c>
      <c r="V831">
        <f>IF(Q831="P",(N831+O831+P831)/3,0.3*I831+0.3*J831+0.2*K831+0.1*L831+0.1*M831)</f>
        <v/>
      </c>
      <c r="W831">
        <f>IF(Q831="P",IF(F831="",0,IFNA(VLOOKUP(F831,Pitcher_Trait_Coef!$A:$B,2,FALSE),0))+IF(G831="",0,IFNA(VLOOKUP(G831,Pitcher_Trait_Coef!$A:$B,2,FALSE),0)),IF(F831="",0,IFNA(VLOOKUP(F831,Hitter_Trait_Coef!$A:$B,2,FALSE),0))+IF(G831="",0,IFNA(VLOOKUP(G831,Hitter_Trait_Coef!$A:$B,2,FALSE),0)))</f>
        <v/>
      </c>
      <c r="X831">
        <f>IF(Q831="P",IFNA(VLOOKUP(B831,Pitcher_Primary_Coef!$A:$B,2,FALSE),0),IFNA(VLOOKUP(B831,Hitter_Primary_Coef!$A:$B,2,FALSE),0))</f>
        <v/>
      </c>
      <c r="Y831">
        <f>IF(Q831="P",0,IFNA(VLOOKUP(IF(C831="","(none)",C831),Hitter_Secondary_Coef!$A:$B,2,FALSE),0))</f>
        <v/>
      </c>
      <c r="Z831">
        <f>IF(Q831="P",IF(ISNUMBER(SEARCH("2F",H831)),IFNA(VLOOKUP("2F",Pitch_Coef!$A:$B,2,FALSE),0),0)+IF(ISNUMBER(SEARCH("4F",H831)),IFNA(VLOOKUP("4F",Pitch_Coef!$A:$B,2,FALSE),0),0)+IF(ISNUMBER(SEARCH("CB",H831)),IFNA(VLOOKUP("CB",Pitch_Coef!$A:$B,2,FALSE),0),0)+IF(ISNUMBER(SEARCH("CF",H831)),IFNA(VLOOKUP("CF",Pitch_Coef!$A:$B,2,FALSE),0),0)+IF(ISNUMBER(SEARCH("CH",H831)),IFNA(VLOOKUP("CH",Pitch_Coef!$A:$B,2,FALSE),0),0)+IF(ISNUMBER(SEARCH("FK",H831)),IFNA(VLOOKUP("FK",Pitch_Coef!$A:$B,2,FALSE),0),0)+IF(ISNUMBER(SEARCH("SB",H831)),IFNA(VLOOKUP("SB",Pitch_Coef!$A:$B,2,FALSE),0),0)+IF(ISNUMBER(SEARCH("SL",H831)),IFNA(VLOOKUP("SL",Pitch_Coef!$A:$B,2,FALSE),0),0),0)</f>
        <v/>
      </c>
      <c r="AA831">
        <f>IF(Q831="P",16.5944849573+0.2529999141*N831+0.2665900378*O831+0.2632687105*P831+0.0427586837*I831+0.0534777057*J831+0.009015832*K831+0.0204898106*(O831*P831/100)+1.0091022427*U831+1.0968542297*IF(D831="L",1,0)+0.3771555045*IF(D831="S",1,0)-0.2226159177*IF(E831="L",1,0)+1.21385024*R831-1.1652812274*S831+W831+X831+Z831,10.5965166711+0.2825983581*I831+0.2806503532*J831+0.2027213083*K831+0.1147824982*L831+0.0915305332*M831-0.0088454122*(I831*J831/100)-0.0336045706*(K831*L831/100)+2.8497389733*IF(D831="L",1,0)+4.5116226727*IF(D831="S",1,0)-0.6571546448*IF(E831="L",1,0)+0.0850728147*T831+0.0129488446*(T831*T831)+0.1909373936*IF(OR(F831="Utility",G831="Utility"),T831,0)+0.9656824071*R831-1.7517683256*S831+W831+X831+Y831)</f>
        <v/>
      </c>
      <c r="AB831">
        <f>LOOKUP(AA831,Grade_Scale!$A$2:$A$18,Grade_Scale!$B$2:$B$18)</f>
        <v/>
      </c>
      <c r="AC831">
        <f>LOOKUP(AA831,Grade_Scale!$A$2:$A$18,Grade_Scale!$C$2:$C$18)</f>
        <v/>
      </c>
      <c r="AE831">
        <f>IF(AD831="","",AB831-VLOOKUP(AD831,Grade_Scale!$C$2:$E$18,3,FALSE))</f>
        <v/>
      </c>
    </row>
    <row r="832">
      <c r="Q832">
        <f>IF(OR(B832="SP",B832="RP",B832="CP",B832="SP/RP"),"P","H")</f>
        <v/>
      </c>
      <c r="R832">
        <f>IF(F832="",0,IFNA(VLOOKUP(F832,Trait_Polarity!$A:$C,2,FALSE),0))+IF(G832="",0,IFNA(VLOOKUP(G832,Trait_Polarity!$A:$C,2,FALSE),0))</f>
        <v/>
      </c>
      <c r="S832">
        <f>IF(F832="",0,IFNA(VLOOKUP(F832,Trait_Polarity!$A:$C,3,FALSE),0))+IF(G832="",0,IFNA(VLOOKUP(G832,Trait_Polarity!$A:$C,3,FALSE),0))</f>
        <v/>
      </c>
      <c r="T832">
        <f>IF(Q832="P",0,IFNA(VLOOKUP(IF(C832="","(none)",C832),Secondary_Versatility!$A:$B,2,FALSE),0))</f>
        <v/>
      </c>
      <c r="U832">
        <f>IF(H832="",0,LEN(H832)-LEN(SUBSTITUTE(H832,"|",""))+1)</f>
        <v/>
      </c>
      <c r="V832">
        <f>IF(Q832="P",(N832+O832+P832)/3,0.3*I832+0.3*J832+0.2*K832+0.1*L832+0.1*M832)</f>
        <v/>
      </c>
      <c r="W832">
        <f>IF(Q832="P",IF(F832="",0,IFNA(VLOOKUP(F832,Pitcher_Trait_Coef!$A:$B,2,FALSE),0))+IF(G832="",0,IFNA(VLOOKUP(G832,Pitcher_Trait_Coef!$A:$B,2,FALSE),0)),IF(F832="",0,IFNA(VLOOKUP(F832,Hitter_Trait_Coef!$A:$B,2,FALSE),0))+IF(G832="",0,IFNA(VLOOKUP(G832,Hitter_Trait_Coef!$A:$B,2,FALSE),0)))</f>
        <v/>
      </c>
      <c r="X832">
        <f>IF(Q832="P",IFNA(VLOOKUP(B832,Pitcher_Primary_Coef!$A:$B,2,FALSE),0),IFNA(VLOOKUP(B832,Hitter_Primary_Coef!$A:$B,2,FALSE),0))</f>
        <v/>
      </c>
      <c r="Y832">
        <f>IF(Q832="P",0,IFNA(VLOOKUP(IF(C832="","(none)",C832),Hitter_Secondary_Coef!$A:$B,2,FALSE),0))</f>
        <v/>
      </c>
      <c r="Z832">
        <f>IF(Q832="P",IF(ISNUMBER(SEARCH("2F",H832)),IFNA(VLOOKUP("2F",Pitch_Coef!$A:$B,2,FALSE),0),0)+IF(ISNUMBER(SEARCH("4F",H832)),IFNA(VLOOKUP("4F",Pitch_Coef!$A:$B,2,FALSE),0),0)+IF(ISNUMBER(SEARCH("CB",H832)),IFNA(VLOOKUP("CB",Pitch_Coef!$A:$B,2,FALSE),0),0)+IF(ISNUMBER(SEARCH("CF",H832)),IFNA(VLOOKUP("CF",Pitch_Coef!$A:$B,2,FALSE),0),0)+IF(ISNUMBER(SEARCH("CH",H832)),IFNA(VLOOKUP("CH",Pitch_Coef!$A:$B,2,FALSE),0),0)+IF(ISNUMBER(SEARCH("FK",H832)),IFNA(VLOOKUP("FK",Pitch_Coef!$A:$B,2,FALSE),0),0)+IF(ISNUMBER(SEARCH("SB",H832)),IFNA(VLOOKUP("SB",Pitch_Coef!$A:$B,2,FALSE),0),0)+IF(ISNUMBER(SEARCH("SL",H832)),IFNA(VLOOKUP("SL",Pitch_Coef!$A:$B,2,FALSE),0),0),0)</f>
        <v/>
      </c>
      <c r="AA832">
        <f>IF(Q832="P",16.5944849573+0.2529999141*N832+0.2665900378*O832+0.2632687105*P832+0.0427586837*I832+0.0534777057*J832+0.009015832*K832+0.0204898106*(O832*P832/100)+1.0091022427*U832+1.0968542297*IF(D832="L",1,0)+0.3771555045*IF(D832="S",1,0)-0.2226159177*IF(E832="L",1,0)+1.21385024*R832-1.1652812274*S832+W832+X832+Z832,10.5965166711+0.2825983581*I832+0.2806503532*J832+0.2027213083*K832+0.1147824982*L832+0.0915305332*M832-0.0088454122*(I832*J832/100)-0.0336045706*(K832*L832/100)+2.8497389733*IF(D832="L",1,0)+4.5116226727*IF(D832="S",1,0)-0.6571546448*IF(E832="L",1,0)+0.0850728147*T832+0.0129488446*(T832*T832)+0.1909373936*IF(OR(F832="Utility",G832="Utility"),T832,0)+0.9656824071*R832-1.7517683256*S832+W832+X832+Y832)</f>
        <v/>
      </c>
      <c r="AB832">
        <f>LOOKUP(AA832,Grade_Scale!$A$2:$A$18,Grade_Scale!$B$2:$B$18)</f>
        <v/>
      </c>
      <c r="AC832">
        <f>LOOKUP(AA832,Grade_Scale!$A$2:$A$18,Grade_Scale!$C$2:$C$18)</f>
        <v/>
      </c>
      <c r="AE832">
        <f>IF(AD832="","",AB832-VLOOKUP(AD832,Grade_Scale!$C$2:$E$18,3,FALSE))</f>
        <v/>
      </c>
    </row>
    <row r="833">
      <c r="Q833">
        <f>IF(OR(B833="SP",B833="RP",B833="CP",B833="SP/RP"),"P","H")</f>
        <v/>
      </c>
      <c r="R833">
        <f>IF(F833="",0,IFNA(VLOOKUP(F833,Trait_Polarity!$A:$C,2,FALSE),0))+IF(G833="",0,IFNA(VLOOKUP(G833,Trait_Polarity!$A:$C,2,FALSE),0))</f>
        <v/>
      </c>
      <c r="S833">
        <f>IF(F833="",0,IFNA(VLOOKUP(F833,Trait_Polarity!$A:$C,3,FALSE),0))+IF(G833="",0,IFNA(VLOOKUP(G833,Trait_Polarity!$A:$C,3,FALSE),0))</f>
        <v/>
      </c>
      <c r="T833">
        <f>IF(Q833="P",0,IFNA(VLOOKUP(IF(C833="","(none)",C833),Secondary_Versatility!$A:$B,2,FALSE),0))</f>
        <v/>
      </c>
      <c r="U833">
        <f>IF(H833="",0,LEN(H833)-LEN(SUBSTITUTE(H833,"|",""))+1)</f>
        <v/>
      </c>
      <c r="V833">
        <f>IF(Q833="P",(N833+O833+P833)/3,0.3*I833+0.3*J833+0.2*K833+0.1*L833+0.1*M833)</f>
        <v/>
      </c>
      <c r="W833">
        <f>IF(Q833="P",IF(F833="",0,IFNA(VLOOKUP(F833,Pitcher_Trait_Coef!$A:$B,2,FALSE),0))+IF(G833="",0,IFNA(VLOOKUP(G833,Pitcher_Trait_Coef!$A:$B,2,FALSE),0)),IF(F833="",0,IFNA(VLOOKUP(F833,Hitter_Trait_Coef!$A:$B,2,FALSE),0))+IF(G833="",0,IFNA(VLOOKUP(G833,Hitter_Trait_Coef!$A:$B,2,FALSE),0)))</f>
        <v/>
      </c>
      <c r="X833">
        <f>IF(Q833="P",IFNA(VLOOKUP(B833,Pitcher_Primary_Coef!$A:$B,2,FALSE),0),IFNA(VLOOKUP(B833,Hitter_Primary_Coef!$A:$B,2,FALSE),0))</f>
        <v/>
      </c>
      <c r="Y833">
        <f>IF(Q833="P",0,IFNA(VLOOKUP(IF(C833="","(none)",C833),Hitter_Secondary_Coef!$A:$B,2,FALSE),0))</f>
        <v/>
      </c>
      <c r="Z833">
        <f>IF(Q833="P",IF(ISNUMBER(SEARCH("2F",H833)),IFNA(VLOOKUP("2F",Pitch_Coef!$A:$B,2,FALSE),0),0)+IF(ISNUMBER(SEARCH("4F",H833)),IFNA(VLOOKUP("4F",Pitch_Coef!$A:$B,2,FALSE),0),0)+IF(ISNUMBER(SEARCH("CB",H833)),IFNA(VLOOKUP("CB",Pitch_Coef!$A:$B,2,FALSE),0),0)+IF(ISNUMBER(SEARCH("CF",H833)),IFNA(VLOOKUP("CF",Pitch_Coef!$A:$B,2,FALSE),0),0)+IF(ISNUMBER(SEARCH("CH",H833)),IFNA(VLOOKUP("CH",Pitch_Coef!$A:$B,2,FALSE),0),0)+IF(ISNUMBER(SEARCH("FK",H833)),IFNA(VLOOKUP("FK",Pitch_Coef!$A:$B,2,FALSE),0),0)+IF(ISNUMBER(SEARCH("SB",H833)),IFNA(VLOOKUP("SB",Pitch_Coef!$A:$B,2,FALSE),0),0)+IF(ISNUMBER(SEARCH("SL",H833)),IFNA(VLOOKUP("SL",Pitch_Coef!$A:$B,2,FALSE),0),0),0)</f>
        <v/>
      </c>
      <c r="AA833">
        <f>IF(Q833="P",16.5944849573+0.2529999141*N833+0.2665900378*O833+0.2632687105*P833+0.0427586837*I833+0.0534777057*J833+0.009015832*K833+0.0204898106*(O833*P833/100)+1.0091022427*U833+1.0968542297*IF(D833="L",1,0)+0.3771555045*IF(D833="S",1,0)-0.2226159177*IF(E833="L",1,0)+1.21385024*R833-1.1652812274*S833+W833+X833+Z833,10.5965166711+0.2825983581*I833+0.2806503532*J833+0.2027213083*K833+0.1147824982*L833+0.0915305332*M833-0.0088454122*(I833*J833/100)-0.0336045706*(K833*L833/100)+2.8497389733*IF(D833="L",1,0)+4.5116226727*IF(D833="S",1,0)-0.6571546448*IF(E833="L",1,0)+0.0850728147*T833+0.0129488446*(T833*T833)+0.1909373936*IF(OR(F833="Utility",G833="Utility"),T833,0)+0.9656824071*R833-1.7517683256*S833+W833+X833+Y833)</f>
        <v/>
      </c>
      <c r="AB833">
        <f>LOOKUP(AA833,Grade_Scale!$A$2:$A$18,Grade_Scale!$B$2:$B$18)</f>
        <v/>
      </c>
      <c r="AC833">
        <f>LOOKUP(AA833,Grade_Scale!$A$2:$A$18,Grade_Scale!$C$2:$C$18)</f>
        <v/>
      </c>
      <c r="AE833">
        <f>IF(AD833="","",AB833-VLOOKUP(AD833,Grade_Scale!$C$2:$E$18,3,FALSE))</f>
        <v/>
      </c>
    </row>
    <row r="834">
      <c r="Q834">
        <f>IF(OR(B834="SP",B834="RP",B834="CP",B834="SP/RP"),"P","H")</f>
        <v/>
      </c>
      <c r="R834">
        <f>IF(F834="",0,IFNA(VLOOKUP(F834,Trait_Polarity!$A:$C,2,FALSE),0))+IF(G834="",0,IFNA(VLOOKUP(G834,Trait_Polarity!$A:$C,2,FALSE),0))</f>
        <v/>
      </c>
      <c r="S834">
        <f>IF(F834="",0,IFNA(VLOOKUP(F834,Trait_Polarity!$A:$C,3,FALSE),0))+IF(G834="",0,IFNA(VLOOKUP(G834,Trait_Polarity!$A:$C,3,FALSE),0))</f>
        <v/>
      </c>
      <c r="T834">
        <f>IF(Q834="P",0,IFNA(VLOOKUP(IF(C834="","(none)",C834),Secondary_Versatility!$A:$B,2,FALSE),0))</f>
        <v/>
      </c>
      <c r="U834">
        <f>IF(H834="",0,LEN(H834)-LEN(SUBSTITUTE(H834,"|",""))+1)</f>
        <v/>
      </c>
      <c r="V834">
        <f>IF(Q834="P",(N834+O834+P834)/3,0.3*I834+0.3*J834+0.2*K834+0.1*L834+0.1*M834)</f>
        <v/>
      </c>
      <c r="W834">
        <f>IF(Q834="P",IF(F834="",0,IFNA(VLOOKUP(F834,Pitcher_Trait_Coef!$A:$B,2,FALSE),0))+IF(G834="",0,IFNA(VLOOKUP(G834,Pitcher_Trait_Coef!$A:$B,2,FALSE),0)),IF(F834="",0,IFNA(VLOOKUP(F834,Hitter_Trait_Coef!$A:$B,2,FALSE),0))+IF(G834="",0,IFNA(VLOOKUP(G834,Hitter_Trait_Coef!$A:$B,2,FALSE),0)))</f>
        <v/>
      </c>
      <c r="X834">
        <f>IF(Q834="P",IFNA(VLOOKUP(B834,Pitcher_Primary_Coef!$A:$B,2,FALSE),0),IFNA(VLOOKUP(B834,Hitter_Primary_Coef!$A:$B,2,FALSE),0))</f>
        <v/>
      </c>
      <c r="Y834">
        <f>IF(Q834="P",0,IFNA(VLOOKUP(IF(C834="","(none)",C834),Hitter_Secondary_Coef!$A:$B,2,FALSE),0))</f>
        <v/>
      </c>
      <c r="Z834">
        <f>IF(Q834="P",IF(ISNUMBER(SEARCH("2F",H834)),IFNA(VLOOKUP("2F",Pitch_Coef!$A:$B,2,FALSE),0),0)+IF(ISNUMBER(SEARCH("4F",H834)),IFNA(VLOOKUP("4F",Pitch_Coef!$A:$B,2,FALSE),0),0)+IF(ISNUMBER(SEARCH("CB",H834)),IFNA(VLOOKUP("CB",Pitch_Coef!$A:$B,2,FALSE),0),0)+IF(ISNUMBER(SEARCH("CF",H834)),IFNA(VLOOKUP("CF",Pitch_Coef!$A:$B,2,FALSE),0),0)+IF(ISNUMBER(SEARCH("CH",H834)),IFNA(VLOOKUP("CH",Pitch_Coef!$A:$B,2,FALSE),0),0)+IF(ISNUMBER(SEARCH("FK",H834)),IFNA(VLOOKUP("FK",Pitch_Coef!$A:$B,2,FALSE),0),0)+IF(ISNUMBER(SEARCH("SB",H834)),IFNA(VLOOKUP("SB",Pitch_Coef!$A:$B,2,FALSE),0),0)+IF(ISNUMBER(SEARCH("SL",H834)),IFNA(VLOOKUP("SL",Pitch_Coef!$A:$B,2,FALSE),0),0),0)</f>
        <v/>
      </c>
      <c r="AA834">
        <f>IF(Q834="P",16.5944849573+0.2529999141*N834+0.2665900378*O834+0.2632687105*P834+0.0427586837*I834+0.0534777057*J834+0.009015832*K834+0.0204898106*(O834*P834/100)+1.0091022427*U834+1.0968542297*IF(D834="L",1,0)+0.3771555045*IF(D834="S",1,0)-0.2226159177*IF(E834="L",1,0)+1.21385024*R834-1.1652812274*S834+W834+X834+Z834,10.5965166711+0.2825983581*I834+0.2806503532*J834+0.2027213083*K834+0.1147824982*L834+0.0915305332*M834-0.0088454122*(I834*J834/100)-0.0336045706*(K834*L834/100)+2.8497389733*IF(D834="L",1,0)+4.5116226727*IF(D834="S",1,0)-0.6571546448*IF(E834="L",1,0)+0.0850728147*T834+0.0129488446*(T834*T834)+0.1909373936*IF(OR(F834="Utility",G834="Utility"),T834,0)+0.9656824071*R834-1.7517683256*S834+W834+X834+Y834)</f>
        <v/>
      </c>
      <c r="AB834">
        <f>LOOKUP(AA834,Grade_Scale!$A$2:$A$18,Grade_Scale!$B$2:$B$18)</f>
        <v/>
      </c>
      <c r="AC834">
        <f>LOOKUP(AA834,Grade_Scale!$A$2:$A$18,Grade_Scale!$C$2:$C$18)</f>
        <v/>
      </c>
      <c r="AE834">
        <f>IF(AD834="","",AB834-VLOOKUP(AD834,Grade_Scale!$C$2:$E$18,3,FALSE))</f>
        <v/>
      </c>
    </row>
    <row r="835">
      <c r="Q835">
        <f>IF(OR(B835="SP",B835="RP",B835="CP",B835="SP/RP"),"P","H")</f>
        <v/>
      </c>
      <c r="R835">
        <f>IF(F835="",0,IFNA(VLOOKUP(F835,Trait_Polarity!$A:$C,2,FALSE),0))+IF(G835="",0,IFNA(VLOOKUP(G835,Trait_Polarity!$A:$C,2,FALSE),0))</f>
        <v/>
      </c>
      <c r="S835">
        <f>IF(F835="",0,IFNA(VLOOKUP(F835,Trait_Polarity!$A:$C,3,FALSE),0))+IF(G835="",0,IFNA(VLOOKUP(G835,Trait_Polarity!$A:$C,3,FALSE),0))</f>
        <v/>
      </c>
      <c r="T835">
        <f>IF(Q835="P",0,IFNA(VLOOKUP(IF(C835="","(none)",C835),Secondary_Versatility!$A:$B,2,FALSE),0))</f>
        <v/>
      </c>
      <c r="U835">
        <f>IF(H835="",0,LEN(H835)-LEN(SUBSTITUTE(H835,"|",""))+1)</f>
        <v/>
      </c>
      <c r="V835">
        <f>IF(Q835="P",(N835+O835+P835)/3,0.3*I835+0.3*J835+0.2*K835+0.1*L835+0.1*M835)</f>
        <v/>
      </c>
      <c r="W835">
        <f>IF(Q835="P",IF(F835="",0,IFNA(VLOOKUP(F835,Pitcher_Trait_Coef!$A:$B,2,FALSE),0))+IF(G835="",0,IFNA(VLOOKUP(G835,Pitcher_Trait_Coef!$A:$B,2,FALSE),0)),IF(F835="",0,IFNA(VLOOKUP(F835,Hitter_Trait_Coef!$A:$B,2,FALSE),0))+IF(G835="",0,IFNA(VLOOKUP(G835,Hitter_Trait_Coef!$A:$B,2,FALSE),0)))</f>
        <v/>
      </c>
      <c r="X835">
        <f>IF(Q835="P",IFNA(VLOOKUP(B835,Pitcher_Primary_Coef!$A:$B,2,FALSE),0),IFNA(VLOOKUP(B835,Hitter_Primary_Coef!$A:$B,2,FALSE),0))</f>
        <v/>
      </c>
      <c r="Y835">
        <f>IF(Q835="P",0,IFNA(VLOOKUP(IF(C835="","(none)",C835),Hitter_Secondary_Coef!$A:$B,2,FALSE),0))</f>
        <v/>
      </c>
      <c r="Z835">
        <f>IF(Q835="P",IF(ISNUMBER(SEARCH("2F",H835)),IFNA(VLOOKUP("2F",Pitch_Coef!$A:$B,2,FALSE),0),0)+IF(ISNUMBER(SEARCH("4F",H835)),IFNA(VLOOKUP("4F",Pitch_Coef!$A:$B,2,FALSE),0),0)+IF(ISNUMBER(SEARCH("CB",H835)),IFNA(VLOOKUP("CB",Pitch_Coef!$A:$B,2,FALSE),0),0)+IF(ISNUMBER(SEARCH("CF",H835)),IFNA(VLOOKUP("CF",Pitch_Coef!$A:$B,2,FALSE),0),0)+IF(ISNUMBER(SEARCH("CH",H835)),IFNA(VLOOKUP("CH",Pitch_Coef!$A:$B,2,FALSE),0),0)+IF(ISNUMBER(SEARCH("FK",H835)),IFNA(VLOOKUP("FK",Pitch_Coef!$A:$B,2,FALSE),0),0)+IF(ISNUMBER(SEARCH("SB",H835)),IFNA(VLOOKUP("SB",Pitch_Coef!$A:$B,2,FALSE),0),0)+IF(ISNUMBER(SEARCH("SL",H835)),IFNA(VLOOKUP("SL",Pitch_Coef!$A:$B,2,FALSE),0),0),0)</f>
        <v/>
      </c>
      <c r="AA835">
        <f>IF(Q835="P",16.5944849573+0.2529999141*N835+0.2665900378*O835+0.2632687105*P835+0.0427586837*I835+0.0534777057*J835+0.009015832*K835+0.0204898106*(O835*P835/100)+1.0091022427*U835+1.0968542297*IF(D835="L",1,0)+0.3771555045*IF(D835="S",1,0)-0.2226159177*IF(E835="L",1,0)+1.21385024*R835-1.1652812274*S835+W835+X835+Z835,10.5965166711+0.2825983581*I835+0.2806503532*J835+0.2027213083*K835+0.1147824982*L835+0.0915305332*M835-0.0088454122*(I835*J835/100)-0.0336045706*(K835*L835/100)+2.8497389733*IF(D835="L",1,0)+4.5116226727*IF(D835="S",1,0)-0.6571546448*IF(E835="L",1,0)+0.0850728147*T835+0.0129488446*(T835*T835)+0.1909373936*IF(OR(F835="Utility",G835="Utility"),T835,0)+0.9656824071*R835-1.7517683256*S835+W835+X835+Y835)</f>
        <v/>
      </c>
      <c r="AB835">
        <f>LOOKUP(AA835,Grade_Scale!$A$2:$A$18,Grade_Scale!$B$2:$B$18)</f>
        <v/>
      </c>
      <c r="AC835">
        <f>LOOKUP(AA835,Grade_Scale!$A$2:$A$18,Grade_Scale!$C$2:$C$18)</f>
        <v/>
      </c>
      <c r="AE835">
        <f>IF(AD835="","",AB835-VLOOKUP(AD835,Grade_Scale!$C$2:$E$18,3,FALSE))</f>
        <v/>
      </c>
    </row>
    <row r="836">
      <c r="Q836">
        <f>IF(OR(B836="SP",B836="RP",B836="CP",B836="SP/RP"),"P","H")</f>
        <v/>
      </c>
      <c r="R836">
        <f>IF(F836="",0,IFNA(VLOOKUP(F836,Trait_Polarity!$A:$C,2,FALSE),0))+IF(G836="",0,IFNA(VLOOKUP(G836,Trait_Polarity!$A:$C,2,FALSE),0))</f>
        <v/>
      </c>
      <c r="S836">
        <f>IF(F836="",0,IFNA(VLOOKUP(F836,Trait_Polarity!$A:$C,3,FALSE),0))+IF(G836="",0,IFNA(VLOOKUP(G836,Trait_Polarity!$A:$C,3,FALSE),0))</f>
        <v/>
      </c>
      <c r="T836">
        <f>IF(Q836="P",0,IFNA(VLOOKUP(IF(C836="","(none)",C836),Secondary_Versatility!$A:$B,2,FALSE),0))</f>
        <v/>
      </c>
      <c r="U836">
        <f>IF(H836="",0,LEN(H836)-LEN(SUBSTITUTE(H836,"|",""))+1)</f>
        <v/>
      </c>
      <c r="V836">
        <f>IF(Q836="P",(N836+O836+P836)/3,0.3*I836+0.3*J836+0.2*K836+0.1*L836+0.1*M836)</f>
        <v/>
      </c>
      <c r="W836">
        <f>IF(Q836="P",IF(F836="",0,IFNA(VLOOKUP(F836,Pitcher_Trait_Coef!$A:$B,2,FALSE),0))+IF(G836="",0,IFNA(VLOOKUP(G836,Pitcher_Trait_Coef!$A:$B,2,FALSE),0)),IF(F836="",0,IFNA(VLOOKUP(F836,Hitter_Trait_Coef!$A:$B,2,FALSE),0))+IF(G836="",0,IFNA(VLOOKUP(G836,Hitter_Trait_Coef!$A:$B,2,FALSE),0)))</f>
        <v/>
      </c>
      <c r="X836">
        <f>IF(Q836="P",IFNA(VLOOKUP(B836,Pitcher_Primary_Coef!$A:$B,2,FALSE),0),IFNA(VLOOKUP(B836,Hitter_Primary_Coef!$A:$B,2,FALSE),0))</f>
        <v/>
      </c>
      <c r="Y836">
        <f>IF(Q836="P",0,IFNA(VLOOKUP(IF(C836="","(none)",C836),Hitter_Secondary_Coef!$A:$B,2,FALSE),0))</f>
        <v/>
      </c>
      <c r="Z836">
        <f>IF(Q836="P",IF(ISNUMBER(SEARCH("2F",H836)),IFNA(VLOOKUP("2F",Pitch_Coef!$A:$B,2,FALSE),0),0)+IF(ISNUMBER(SEARCH("4F",H836)),IFNA(VLOOKUP("4F",Pitch_Coef!$A:$B,2,FALSE),0),0)+IF(ISNUMBER(SEARCH("CB",H836)),IFNA(VLOOKUP("CB",Pitch_Coef!$A:$B,2,FALSE),0),0)+IF(ISNUMBER(SEARCH("CF",H836)),IFNA(VLOOKUP("CF",Pitch_Coef!$A:$B,2,FALSE),0),0)+IF(ISNUMBER(SEARCH("CH",H836)),IFNA(VLOOKUP("CH",Pitch_Coef!$A:$B,2,FALSE),0),0)+IF(ISNUMBER(SEARCH("FK",H836)),IFNA(VLOOKUP("FK",Pitch_Coef!$A:$B,2,FALSE),0),0)+IF(ISNUMBER(SEARCH("SB",H836)),IFNA(VLOOKUP("SB",Pitch_Coef!$A:$B,2,FALSE),0),0)+IF(ISNUMBER(SEARCH("SL",H836)),IFNA(VLOOKUP("SL",Pitch_Coef!$A:$B,2,FALSE),0),0),0)</f>
        <v/>
      </c>
      <c r="AA836">
        <f>IF(Q836="P",16.5944849573+0.2529999141*N836+0.2665900378*O836+0.2632687105*P836+0.0427586837*I836+0.0534777057*J836+0.009015832*K836+0.0204898106*(O836*P836/100)+1.0091022427*U836+1.0968542297*IF(D836="L",1,0)+0.3771555045*IF(D836="S",1,0)-0.2226159177*IF(E836="L",1,0)+1.21385024*R836-1.1652812274*S836+W836+X836+Z836,10.5965166711+0.2825983581*I836+0.2806503532*J836+0.2027213083*K836+0.1147824982*L836+0.0915305332*M836-0.0088454122*(I836*J836/100)-0.0336045706*(K836*L836/100)+2.8497389733*IF(D836="L",1,0)+4.5116226727*IF(D836="S",1,0)-0.6571546448*IF(E836="L",1,0)+0.0850728147*T836+0.0129488446*(T836*T836)+0.1909373936*IF(OR(F836="Utility",G836="Utility"),T836,0)+0.9656824071*R836-1.7517683256*S836+W836+X836+Y836)</f>
        <v/>
      </c>
      <c r="AB836">
        <f>LOOKUP(AA836,Grade_Scale!$A$2:$A$18,Grade_Scale!$B$2:$B$18)</f>
        <v/>
      </c>
      <c r="AC836">
        <f>LOOKUP(AA836,Grade_Scale!$A$2:$A$18,Grade_Scale!$C$2:$C$18)</f>
        <v/>
      </c>
      <c r="AE836">
        <f>IF(AD836="","",AB836-VLOOKUP(AD836,Grade_Scale!$C$2:$E$18,3,FALSE))</f>
        <v/>
      </c>
    </row>
    <row r="837">
      <c r="Q837">
        <f>IF(OR(B837="SP",B837="RP",B837="CP",B837="SP/RP"),"P","H")</f>
        <v/>
      </c>
      <c r="R837">
        <f>IF(F837="",0,IFNA(VLOOKUP(F837,Trait_Polarity!$A:$C,2,FALSE),0))+IF(G837="",0,IFNA(VLOOKUP(G837,Trait_Polarity!$A:$C,2,FALSE),0))</f>
        <v/>
      </c>
      <c r="S837">
        <f>IF(F837="",0,IFNA(VLOOKUP(F837,Trait_Polarity!$A:$C,3,FALSE),0))+IF(G837="",0,IFNA(VLOOKUP(G837,Trait_Polarity!$A:$C,3,FALSE),0))</f>
        <v/>
      </c>
      <c r="T837">
        <f>IF(Q837="P",0,IFNA(VLOOKUP(IF(C837="","(none)",C837),Secondary_Versatility!$A:$B,2,FALSE),0))</f>
        <v/>
      </c>
      <c r="U837">
        <f>IF(H837="",0,LEN(H837)-LEN(SUBSTITUTE(H837,"|",""))+1)</f>
        <v/>
      </c>
      <c r="V837">
        <f>IF(Q837="P",(N837+O837+P837)/3,0.3*I837+0.3*J837+0.2*K837+0.1*L837+0.1*M837)</f>
        <v/>
      </c>
      <c r="W837">
        <f>IF(Q837="P",IF(F837="",0,IFNA(VLOOKUP(F837,Pitcher_Trait_Coef!$A:$B,2,FALSE),0))+IF(G837="",0,IFNA(VLOOKUP(G837,Pitcher_Trait_Coef!$A:$B,2,FALSE),0)),IF(F837="",0,IFNA(VLOOKUP(F837,Hitter_Trait_Coef!$A:$B,2,FALSE),0))+IF(G837="",0,IFNA(VLOOKUP(G837,Hitter_Trait_Coef!$A:$B,2,FALSE),0)))</f>
        <v/>
      </c>
      <c r="X837">
        <f>IF(Q837="P",IFNA(VLOOKUP(B837,Pitcher_Primary_Coef!$A:$B,2,FALSE),0),IFNA(VLOOKUP(B837,Hitter_Primary_Coef!$A:$B,2,FALSE),0))</f>
        <v/>
      </c>
      <c r="Y837">
        <f>IF(Q837="P",0,IFNA(VLOOKUP(IF(C837="","(none)",C837),Hitter_Secondary_Coef!$A:$B,2,FALSE),0))</f>
        <v/>
      </c>
      <c r="Z837">
        <f>IF(Q837="P",IF(ISNUMBER(SEARCH("2F",H837)),IFNA(VLOOKUP("2F",Pitch_Coef!$A:$B,2,FALSE),0),0)+IF(ISNUMBER(SEARCH("4F",H837)),IFNA(VLOOKUP("4F",Pitch_Coef!$A:$B,2,FALSE),0),0)+IF(ISNUMBER(SEARCH("CB",H837)),IFNA(VLOOKUP("CB",Pitch_Coef!$A:$B,2,FALSE),0),0)+IF(ISNUMBER(SEARCH("CF",H837)),IFNA(VLOOKUP("CF",Pitch_Coef!$A:$B,2,FALSE),0),0)+IF(ISNUMBER(SEARCH("CH",H837)),IFNA(VLOOKUP("CH",Pitch_Coef!$A:$B,2,FALSE),0),0)+IF(ISNUMBER(SEARCH("FK",H837)),IFNA(VLOOKUP("FK",Pitch_Coef!$A:$B,2,FALSE),0),0)+IF(ISNUMBER(SEARCH("SB",H837)),IFNA(VLOOKUP("SB",Pitch_Coef!$A:$B,2,FALSE),0),0)+IF(ISNUMBER(SEARCH("SL",H837)),IFNA(VLOOKUP("SL",Pitch_Coef!$A:$B,2,FALSE),0),0),0)</f>
        <v/>
      </c>
      <c r="AA837">
        <f>IF(Q837="P",16.5944849573+0.2529999141*N837+0.2665900378*O837+0.2632687105*P837+0.0427586837*I837+0.0534777057*J837+0.009015832*K837+0.0204898106*(O837*P837/100)+1.0091022427*U837+1.0968542297*IF(D837="L",1,0)+0.3771555045*IF(D837="S",1,0)-0.2226159177*IF(E837="L",1,0)+1.21385024*R837-1.1652812274*S837+W837+X837+Z837,10.5965166711+0.2825983581*I837+0.2806503532*J837+0.2027213083*K837+0.1147824982*L837+0.0915305332*M837-0.0088454122*(I837*J837/100)-0.0336045706*(K837*L837/100)+2.8497389733*IF(D837="L",1,0)+4.5116226727*IF(D837="S",1,0)-0.6571546448*IF(E837="L",1,0)+0.0850728147*T837+0.0129488446*(T837*T837)+0.1909373936*IF(OR(F837="Utility",G837="Utility"),T837,0)+0.9656824071*R837-1.7517683256*S837+W837+X837+Y837)</f>
        <v/>
      </c>
      <c r="AB837">
        <f>LOOKUP(AA837,Grade_Scale!$A$2:$A$18,Grade_Scale!$B$2:$B$18)</f>
        <v/>
      </c>
      <c r="AC837">
        <f>LOOKUP(AA837,Grade_Scale!$A$2:$A$18,Grade_Scale!$C$2:$C$18)</f>
        <v/>
      </c>
      <c r="AE837">
        <f>IF(AD837="","",AB837-VLOOKUP(AD837,Grade_Scale!$C$2:$E$18,3,FALSE))</f>
        <v/>
      </c>
    </row>
    <row r="838">
      <c r="Q838">
        <f>IF(OR(B838="SP",B838="RP",B838="CP",B838="SP/RP"),"P","H")</f>
        <v/>
      </c>
      <c r="R838">
        <f>IF(F838="",0,IFNA(VLOOKUP(F838,Trait_Polarity!$A:$C,2,FALSE),0))+IF(G838="",0,IFNA(VLOOKUP(G838,Trait_Polarity!$A:$C,2,FALSE),0))</f>
        <v/>
      </c>
      <c r="S838">
        <f>IF(F838="",0,IFNA(VLOOKUP(F838,Trait_Polarity!$A:$C,3,FALSE),0))+IF(G838="",0,IFNA(VLOOKUP(G838,Trait_Polarity!$A:$C,3,FALSE),0))</f>
        <v/>
      </c>
      <c r="T838">
        <f>IF(Q838="P",0,IFNA(VLOOKUP(IF(C838="","(none)",C838),Secondary_Versatility!$A:$B,2,FALSE),0))</f>
        <v/>
      </c>
      <c r="U838">
        <f>IF(H838="",0,LEN(H838)-LEN(SUBSTITUTE(H838,"|",""))+1)</f>
        <v/>
      </c>
      <c r="V838">
        <f>IF(Q838="P",(N838+O838+P838)/3,0.3*I838+0.3*J838+0.2*K838+0.1*L838+0.1*M838)</f>
        <v/>
      </c>
      <c r="W838">
        <f>IF(Q838="P",IF(F838="",0,IFNA(VLOOKUP(F838,Pitcher_Trait_Coef!$A:$B,2,FALSE),0))+IF(G838="",0,IFNA(VLOOKUP(G838,Pitcher_Trait_Coef!$A:$B,2,FALSE),0)),IF(F838="",0,IFNA(VLOOKUP(F838,Hitter_Trait_Coef!$A:$B,2,FALSE),0))+IF(G838="",0,IFNA(VLOOKUP(G838,Hitter_Trait_Coef!$A:$B,2,FALSE),0)))</f>
        <v/>
      </c>
      <c r="X838">
        <f>IF(Q838="P",IFNA(VLOOKUP(B838,Pitcher_Primary_Coef!$A:$B,2,FALSE),0),IFNA(VLOOKUP(B838,Hitter_Primary_Coef!$A:$B,2,FALSE),0))</f>
        <v/>
      </c>
      <c r="Y838">
        <f>IF(Q838="P",0,IFNA(VLOOKUP(IF(C838="","(none)",C838),Hitter_Secondary_Coef!$A:$B,2,FALSE),0))</f>
        <v/>
      </c>
      <c r="Z838">
        <f>IF(Q838="P",IF(ISNUMBER(SEARCH("2F",H838)),IFNA(VLOOKUP("2F",Pitch_Coef!$A:$B,2,FALSE),0),0)+IF(ISNUMBER(SEARCH("4F",H838)),IFNA(VLOOKUP("4F",Pitch_Coef!$A:$B,2,FALSE),0),0)+IF(ISNUMBER(SEARCH("CB",H838)),IFNA(VLOOKUP("CB",Pitch_Coef!$A:$B,2,FALSE),0),0)+IF(ISNUMBER(SEARCH("CF",H838)),IFNA(VLOOKUP("CF",Pitch_Coef!$A:$B,2,FALSE),0),0)+IF(ISNUMBER(SEARCH("CH",H838)),IFNA(VLOOKUP("CH",Pitch_Coef!$A:$B,2,FALSE),0),0)+IF(ISNUMBER(SEARCH("FK",H838)),IFNA(VLOOKUP("FK",Pitch_Coef!$A:$B,2,FALSE),0),0)+IF(ISNUMBER(SEARCH("SB",H838)),IFNA(VLOOKUP("SB",Pitch_Coef!$A:$B,2,FALSE),0),0)+IF(ISNUMBER(SEARCH("SL",H838)),IFNA(VLOOKUP("SL",Pitch_Coef!$A:$B,2,FALSE),0),0),0)</f>
        <v/>
      </c>
      <c r="AA838">
        <f>IF(Q838="P",16.5944849573+0.2529999141*N838+0.2665900378*O838+0.2632687105*P838+0.0427586837*I838+0.0534777057*J838+0.009015832*K838+0.0204898106*(O838*P838/100)+1.0091022427*U838+1.0968542297*IF(D838="L",1,0)+0.3771555045*IF(D838="S",1,0)-0.2226159177*IF(E838="L",1,0)+1.21385024*R838-1.1652812274*S838+W838+X838+Z838,10.5965166711+0.2825983581*I838+0.2806503532*J838+0.2027213083*K838+0.1147824982*L838+0.0915305332*M838-0.0088454122*(I838*J838/100)-0.0336045706*(K838*L838/100)+2.8497389733*IF(D838="L",1,0)+4.5116226727*IF(D838="S",1,0)-0.6571546448*IF(E838="L",1,0)+0.0850728147*T838+0.0129488446*(T838*T838)+0.1909373936*IF(OR(F838="Utility",G838="Utility"),T838,0)+0.9656824071*R838-1.7517683256*S838+W838+X838+Y838)</f>
        <v/>
      </c>
      <c r="AB838">
        <f>LOOKUP(AA838,Grade_Scale!$A$2:$A$18,Grade_Scale!$B$2:$B$18)</f>
        <v/>
      </c>
      <c r="AC838">
        <f>LOOKUP(AA838,Grade_Scale!$A$2:$A$18,Grade_Scale!$C$2:$C$18)</f>
        <v/>
      </c>
      <c r="AE838">
        <f>IF(AD838="","",AB838-VLOOKUP(AD838,Grade_Scale!$C$2:$E$18,3,FALSE))</f>
        <v/>
      </c>
    </row>
    <row r="839">
      <c r="Q839">
        <f>IF(OR(B839="SP",B839="RP",B839="CP",B839="SP/RP"),"P","H")</f>
        <v/>
      </c>
      <c r="R839">
        <f>IF(F839="",0,IFNA(VLOOKUP(F839,Trait_Polarity!$A:$C,2,FALSE),0))+IF(G839="",0,IFNA(VLOOKUP(G839,Trait_Polarity!$A:$C,2,FALSE),0))</f>
        <v/>
      </c>
      <c r="S839">
        <f>IF(F839="",0,IFNA(VLOOKUP(F839,Trait_Polarity!$A:$C,3,FALSE),0))+IF(G839="",0,IFNA(VLOOKUP(G839,Trait_Polarity!$A:$C,3,FALSE),0))</f>
        <v/>
      </c>
      <c r="T839">
        <f>IF(Q839="P",0,IFNA(VLOOKUP(IF(C839="","(none)",C839),Secondary_Versatility!$A:$B,2,FALSE),0))</f>
        <v/>
      </c>
      <c r="U839">
        <f>IF(H839="",0,LEN(H839)-LEN(SUBSTITUTE(H839,"|",""))+1)</f>
        <v/>
      </c>
      <c r="V839">
        <f>IF(Q839="P",(N839+O839+P839)/3,0.3*I839+0.3*J839+0.2*K839+0.1*L839+0.1*M839)</f>
        <v/>
      </c>
      <c r="W839">
        <f>IF(Q839="P",IF(F839="",0,IFNA(VLOOKUP(F839,Pitcher_Trait_Coef!$A:$B,2,FALSE),0))+IF(G839="",0,IFNA(VLOOKUP(G839,Pitcher_Trait_Coef!$A:$B,2,FALSE),0)),IF(F839="",0,IFNA(VLOOKUP(F839,Hitter_Trait_Coef!$A:$B,2,FALSE),0))+IF(G839="",0,IFNA(VLOOKUP(G839,Hitter_Trait_Coef!$A:$B,2,FALSE),0)))</f>
        <v/>
      </c>
      <c r="X839">
        <f>IF(Q839="P",IFNA(VLOOKUP(B839,Pitcher_Primary_Coef!$A:$B,2,FALSE),0),IFNA(VLOOKUP(B839,Hitter_Primary_Coef!$A:$B,2,FALSE),0))</f>
        <v/>
      </c>
      <c r="Y839">
        <f>IF(Q839="P",0,IFNA(VLOOKUP(IF(C839="","(none)",C839),Hitter_Secondary_Coef!$A:$B,2,FALSE),0))</f>
        <v/>
      </c>
      <c r="Z839">
        <f>IF(Q839="P",IF(ISNUMBER(SEARCH("2F",H839)),IFNA(VLOOKUP("2F",Pitch_Coef!$A:$B,2,FALSE),0),0)+IF(ISNUMBER(SEARCH("4F",H839)),IFNA(VLOOKUP("4F",Pitch_Coef!$A:$B,2,FALSE),0),0)+IF(ISNUMBER(SEARCH("CB",H839)),IFNA(VLOOKUP("CB",Pitch_Coef!$A:$B,2,FALSE),0),0)+IF(ISNUMBER(SEARCH("CF",H839)),IFNA(VLOOKUP("CF",Pitch_Coef!$A:$B,2,FALSE),0),0)+IF(ISNUMBER(SEARCH("CH",H839)),IFNA(VLOOKUP("CH",Pitch_Coef!$A:$B,2,FALSE),0),0)+IF(ISNUMBER(SEARCH("FK",H839)),IFNA(VLOOKUP("FK",Pitch_Coef!$A:$B,2,FALSE),0),0)+IF(ISNUMBER(SEARCH("SB",H839)),IFNA(VLOOKUP("SB",Pitch_Coef!$A:$B,2,FALSE),0),0)+IF(ISNUMBER(SEARCH("SL",H839)),IFNA(VLOOKUP("SL",Pitch_Coef!$A:$B,2,FALSE),0),0),0)</f>
        <v/>
      </c>
      <c r="AA839">
        <f>IF(Q839="P",16.5944849573+0.2529999141*N839+0.2665900378*O839+0.2632687105*P839+0.0427586837*I839+0.0534777057*J839+0.009015832*K839+0.0204898106*(O839*P839/100)+1.0091022427*U839+1.0968542297*IF(D839="L",1,0)+0.3771555045*IF(D839="S",1,0)-0.2226159177*IF(E839="L",1,0)+1.21385024*R839-1.1652812274*S839+W839+X839+Z839,10.5965166711+0.2825983581*I839+0.2806503532*J839+0.2027213083*K839+0.1147824982*L839+0.0915305332*M839-0.0088454122*(I839*J839/100)-0.0336045706*(K839*L839/100)+2.8497389733*IF(D839="L",1,0)+4.5116226727*IF(D839="S",1,0)-0.6571546448*IF(E839="L",1,0)+0.0850728147*T839+0.0129488446*(T839*T839)+0.1909373936*IF(OR(F839="Utility",G839="Utility"),T839,0)+0.9656824071*R839-1.7517683256*S839+W839+X839+Y839)</f>
        <v/>
      </c>
      <c r="AB839">
        <f>LOOKUP(AA839,Grade_Scale!$A$2:$A$18,Grade_Scale!$B$2:$B$18)</f>
        <v/>
      </c>
      <c r="AC839">
        <f>LOOKUP(AA839,Grade_Scale!$A$2:$A$18,Grade_Scale!$C$2:$C$18)</f>
        <v/>
      </c>
      <c r="AE839">
        <f>IF(AD839="","",AB839-VLOOKUP(AD839,Grade_Scale!$C$2:$E$18,3,FALSE))</f>
        <v/>
      </c>
    </row>
    <row r="840">
      <c r="Q840">
        <f>IF(OR(B840="SP",B840="RP",B840="CP",B840="SP/RP"),"P","H")</f>
        <v/>
      </c>
      <c r="R840">
        <f>IF(F840="",0,IFNA(VLOOKUP(F840,Trait_Polarity!$A:$C,2,FALSE),0))+IF(G840="",0,IFNA(VLOOKUP(G840,Trait_Polarity!$A:$C,2,FALSE),0))</f>
        <v/>
      </c>
      <c r="S840">
        <f>IF(F840="",0,IFNA(VLOOKUP(F840,Trait_Polarity!$A:$C,3,FALSE),0))+IF(G840="",0,IFNA(VLOOKUP(G840,Trait_Polarity!$A:$C,3,FALSE),0))</f>
        <v/>
      </c>
      <c r="T840">
        <f>IF(Q840="P",0,IFNA(VLOOKUP(IF(C840="","(none)",C840),Secondary_Versatility!$A:$B,2,FALSE),0))</f>
        <v/>
      </c>
      <c r="U840">
        <f>IF(H840="",0,LEN(H840)-LEN(SUBSTITUTE(H840,"|",""))+1)</f>
        <v/>
      </c>
      <c r="V840">
        <f>IF(Q840="P",(N840+O840+P840)/3,0.3*I840+0.3*J840+0.2*K840+0.1*L840+0.1*M840)</f>
        <v/>
      </c>
      <c r="W840">
        <f>IF(Q840="P",IF(F840="",0,IFNA(VLOOKUP(F840,Pitcher_Trait_Coef!$A:$B,2,FALSE),0))+IF(G840="",0,IFNA(VLOOKUP(G840,Pitcher_Trait_Coef!$A:$B,2,FALSE),0)),IF(F840="",0,IFNA(VLOOKUP(F840,Hitter_Trait_Coef!$A:$B,2,FALSE),0))+IF(G840="",0,IFNA(VLOOKUP(G840,Hitter_Trait_Coef!$A:$B,2,FALSE),0)))</f>
        <v/>
      </c>
      <c r="X840">
        <f>IF(Q840="P",IFNA(VLOOKUP(B840,Pitcher_Primary_Coef!$A:$B,2,FALSE),0),IFNA(VLOOKUP(B840,Hitter_Primary_Coef!$A:$B,2,FALSE),0))</f>
        <v/>
      </c>
      <c r="Y840">
        <f>IF(Q840="P",0,IFNA(VLOOKUP(IF(C840="","(none)",C840),Hitter_Secondary_Coef!$A:$B,2,FALSE),0))</f>
        <v/>
      </c>
      <c r="Z840">
        <f>IF(Q840="P",IF(ISNUMBER(SEARCH("2F",H840)),IFNA(VLOOKUP("2F",Pitch_Coef!$A:$B,2,FALSE),0),0)+IF(ISNUMBER(SEARCH("4F",H840)),IFNA(VLOOKUP("4F",Pitch_Coef!$A:$B,2,FALSE),0),0)+IF(ISNUMBER(SEARCH("CB",H840)),IFNA(VLOOKUP("CB",Pitch_Coef!$A:$B,2,FALSE),0),0)+IF(ISNUMBER(SEARCH("CF",H840)),IFNA(VLOOKUP("CF",Pitch_Coef!$A:$B,2,FALSE),0),0)+IF(ISNUMBER(SEARCH("CH",H840)),IFNA(VLOOKUP("CH",Pitch_Coef!$A:$B,2,FALSE),0),0)+IF(ISNUMBER(SEARCH("FK",H840)),IFNA(VLOOKUP("FK",Pitch_Coef!$A:$B,2,FALSE),0),0)+IF(ISNUMBER(SEARCH("SB",H840)),IFNA(VLOOKUP("SB",Pitch_Coef!$A:$B,2,FALSE),0),0)+IF(ISNUMBER(SEARCH("SL",H840)),IFNA(VLOOKUP("SL",Pitch_Coef!$A:$B,2,FALSE),0),0),0)</f>
        <v/>
      </c>
      <c r="AA840">
        <f>IF(Q840="P",16.5944849573+0.2529999141*N840+0.2665900378*O840+0.2632687105*P840+0.0427586837*I840+0.0534777057*J840+0.009015832*K840+0.0204898106*(O840*P840/100)+1.0091022427*U840+1.0968542297*IF(D840="L",1,0)+0.3771555045*IF(D840="S",1,0)-0.2226159177*IF(E840="L",1,0)+1.21385024*R840-1.1652812274*S840+W840+X840+Z840,10.5965166711+0.2825983581*I840+0.2806503532*J840+0.2027213083*K840+0.1147824982*L840+0.0915305332*M840-0.0088454122*(I840*J840/100)-0.0336045706*(K840*L840/100)+2.8497389733*IF(D840="L",1,0)+4.5116226727*IF(D840="S",1,0)-0.6571546448*IF(E840="L",1,0)+0.0850728147*T840+0.0129488446*(T840*T840)+0.1909373936*IF(OR(F840="Utility",G840="Utility"),T840,0)+0.9656824071*R840-1.7517683256*S840+W840+X840+Y840)</f>
        <v/>
      </c>
      <c r="AB840">
        <f>LOOKUP(AA840,Grade_Scale!$A$2:$A$18,Grade_Scale!$B$2:$B$18)</f>
        <v/>
      </c>
      <c r="AC840">
        <f>LOOKUP(AA840,Grade_Scale!$A$2:$A$18,Grade_Scale!$C$2:$C$18)</f>
        <v/>
      </c>
      <c r="AE840">
        <f>IF(AD840="","",AB840-VLOOKUP(AD840,Grade_Scale!$C$2:$E$18,3,FALSE))</f>
        <v/>
      </c>
    </row>
    <row r="841">
      <c r="Q841">
        <f>IF(OR(B841="SP",B841="RP",B841="CP",B841="SP/RP"),"P","H")</f>
        <v/>
      </c>
      <c r="R841">
        <f>IF(F841="",0,IFNA(VLOOKUP(F841,Trait_Polarity!$A:$C,2,FALSE),0))+IF(G841="",0,IFNA(VLOOKUP(G841,Trait_Polarity!$A:$C,2,FALSE),0))</f>
        <v/>
      </c>
      <c r="S841">
        <f>IF(F841="",0,IFNA(VLOOKUP(F841,Trait_Polarity!$A:$C,3,FALSE),0))+IF(G841="",0,IFNA(VLOOKUP(G841,Trait_Polarity!$A:$C,3,FALSE),0))</f>
        <v/>
      </c>
      <c r="T841">
        <f>IF(Q841="P",0,IFNA(VLOOKUP(IF(C841="","(none)",C841),Secondary_Versatility!$A:$B,2,FALSE),0))</f>
        <v/>
      </c>
      <c r="U841">
        <f>IF(H841="",0,LEN(H841)-LEN(SUBSTITUTE(H841,"|",""))+1)</f>
        <v/>
      </c>
      <c r="V841">
        <f>IF(Q841="P",(N841+O841+P841)/3,0.3*I841+0.3*J841+0.2*K841+0.1*L841+0.1*M841)</f>
        <v/>
      </c>
      <c r="W841">
        <f>IF(Q841="P",IF(F841="",0,IFNA(VLOOKUP(F841,Pitcher_Trait_Coef!$A:$B,2,FALSE),0))+IF(G841="",0,IFNA(VLOOKUP(G841,Pitcher_Trait_Coef!$A:$B,2,FALSE),0)),IF(F841="",0,IFNA(VLOOKUP(F841,Hitter_Trait_Coef!$A:$B,2,FALSE),0))+IF(G841="",0,IFNA(VLOOKUP(G841,Hitter_Trait_Coef!$A:$B,2,FALSE),0)))</f>
        <v/>
      </c>
      <c r="X841">
        <f>IF(Q841="P",IFNA(VLOOKUP(B841,Pitcher_Primary_Coef!$A:$B,2,FALSE),0),IFNA(VLOOKUP(B841,Hitter_Primary_Coef!$A:$B,2,FALSE),0))</f>
        <v/>
      </c>
      <c r="Y841">
        <f>IF(Q841="P",0,IFNA(VLOOKUP(IF(C841="","(none)",C841),Hitter_Secondary_Coef!$A:$B,2,FALSE),0))</f>
        <v/>
      </c>
      <c r="Z841">
        <f>IF(Q841="P",IF(ISNUMBER(SEARCH("2F",H841)),IFNA(VLOOKUP("2F",Pitch_Coef!$A:$B,2,FALSE),0),0)+IF(ISNUMBER(SEARCH("4F",H841)),IFNA(VLOOKUP("4F",Pitch_Coef!$A:$B,2,FALSE),0),0)+IF(ISNUMBER(SEARCH("CB",H841)),IFNA(VLOOKUP("CB",Pitch_Coef!$A:$B,2,FALSE),0),0)+IF(ISNUMBER(SEARCH("CF",H841)),IFNA(VLOOKUP("CF",Pitch_Coef!$A:$B,2,FALSE),0),0)+IF(ISNUMBER(SEARCH("CH",H841)),IFNA(VLOOKUP("CH",Pitch_Coef!$A:$B,2,FALSE),0),0)+IF(ISNUMBER(SEARCH("FK",H841)),IFNA(VLOOKUP("FK",Pitch_Coef!$A:$B,2,FALSE),0),0)+IF(ISNUMBER(SEARCH("SB",H841)),IFNA(VLOOKUP("SB",Pitch_Coef!$A:$B,2,FALSE),0),0)+IF(ISNUMBER(SEARCH("SL",H841)),IFNA(VLOOKUP("SL",Pitch_Coef!$A:$B,2,FALSE),0),0),0)</f>
        <v/>
      </c>
      <c r="AA841">
        <f>IF(Q841="P",16.5944849573+0.2529999141*N841+0.2665900378*O841+0.2632687105*P841+0.0427586837*I841+0.0534777057*J841+0.009015832*K841+0.0204898106*(O841*P841/100)+1.0091022427*U841+1.0968542297*IF(D841="L",1,0)+0.3771555045*IF(D841="S",1,0)-0.2226159177*IF(E841="L",1,0)+1.21385024*R841-1.1652812274*S841+W841+X841+Z841,10.5965166711+0.2825983581*I841+0.2806503532*J841+0.2027213083*K841+0.1147824982*L841+0.0915305332*M841-0.0088454122*(I841*J841/100)-0.0336045706*(K841*L841/100)+2.8497389733*IF(D841="L",1,0)+4.5116226727*IF(D841="S",1,0)-0.6571546448*IF(E841="L",1,0)+0.0850728147*T841+0.0129488446*(T841*T841)+0.1909373936*IF(OR(F841="Utility",G841="Utility"),T841,0)+0.9656824071*R841-1.7517683256*S841+W841+X841+Y841)</f>
        <v/>
      </c>
      <c r="AB841">
        <f>LOOKUP(AA841,Grade_Scale!$A$2:$A$18,Grade_Scale!$B$2:$B$18)</f>
        <v/>
      </c>
      <c r="AC841">
        <f>LOOKUP(AA841,Grade_Scale!$A$2:$A$18,Grade_Scale!$C$2:$C$18)</f>
        <v/>
      </c>
      <c r="AE841">
        <f>IF(AD841="","",AB841-VLOOKUP(AD841,Grade_Scale!$C$2:$E$18,3,FALSE))</f>
        <v/>
      </c>
    </row>
    <row r="842">
      <c r="Q842">
        <f>IF(OR(B842="SP",B842="RP",B842="CP",B842="SP/RP"),"P","H")</f>
        <v/>
      </c>
      <c r="R842">
        <f>IF(F842="",0,IFNA(VLOOKUP(F842,Trait_Polarity!$A:$C,2,FALSE),0))+IF(G842="",0,IFNA(VLOOKUP(G842,Trait_Polarity!$A:$C,2,FALSE),0))</f>
        <v/>
      </c>
      <c r="S842">
        <f>IF(F842="",0,IFNA(VLOOKUP(F842,Trait_Polarity!$A:$C,3,FALSE),0))+IF(G842="",0,IFNA(VLOOKUP(G842,Trait_Polarity!$A:$C,3,FALSE),0))</f>
        <v/>
      </c>
      <c r="T842">
        <f>IF(Q842="P",0,IFNA(VLOOKUP(IF(C842="","(none)",C842),Secondary_Versatility!$A:$B,2,FALSE),0))</f>
        <v/>
      </c>
      <c r="U842">
        <f>IF(H842="",0,LEN(H842)-LEN(SUBSTITUTE(H842,"|",""))+1)</f>
        <v/>
      </c>
      <c r="V842">
        <f>IF(Q842="P",(N842+O842+P842)/3,0.3*I842+0.3*J842+0.2*K842+0.1*L842+0.1*M842)</f>
        <v/>
      </c>
      <c r="W842">
        <f>IF(Q842="P",IF(F842="",0,IFNA(VLOOKUP(F842,Pitcher_Trait_Coef!$A:$B,2,FALSE),0))+IF(G842="",0,IFNA(VLOOKUP(G842,Pitcher_Trait_Coef!$A:$B,2,FALSE),0)),IF(F842="",0,IFNA(VLOOKUP(F842,Hitter_Trait_Coef!$A:$B,2,FALSE),0))+IF(G842="",0,IFNA(VLOOKUP(G842,Hitter_Trait_Coef!$A:$B,2,FALSE),0)))</f>
        <v/>
      </c>
      <c r="X842">
        <f>IF(Q842="P",IFNA(VLOOKUP(B842,Pitcher_Primary_Coef!$A:$B,2,FALSE),0),IFNA(VLOOKUP(B842,Hitter_Primary_Coef!$A:$B,2,FALSE),0))</f>
        <v/>
      </c>
      <c r="Y842">
        <f>IF(Q842="P",0,IFNA(VLOOKUP(IF(C842="","(none)",C842),Hitter_Secondary_Coef!$A:$B,2,FALSE),0))</f>
        <v/>
      </c>
      <c r="Z842">
        <f>IF(Q842="P",IF(ISNUMBER(SEARCH("2F",H842)),IFNA(VLOOKUP("2F",Pitch_Coef!$A:$B,2,FALSE),0),0)+IF(ISNUMBER(SEARCH("4F",H842)),IFNA(VLOOKUP("4F",Pitch_Coef!$A:$B,2,FALSE),0),0)+IF(ISNUMBER(SEARCH("CB",H842)),IFNA(VLOOKUP("CB",Pitch_Coef!$A:$B,2,FALSE),0),0)+IF(ISNUMBER(SEARCH("CF",H842)),IFNA(VLOOKUP("CF",Pitch_Coef!$A:$B,2,FALSE),0),0)+IF(ISNUMBER(SEARCH("CH",H842)),IFNA(VLOOKUP("CH",Pitch_Coef!$A:$B,2,FALSE),0),0)+IF(ISNUMBER(SEARCH("FK",H842)),IFNA(VLOOKUP("FK",Pitch_Coef!$A:$B,2,FALSE),0),0)+IF(ISNUMBER(SEARCH("SB",H842)),IFNA(VLOOKUP("SB",Pitch_Coef!$A:$B,2,FALSE),0),0)+IF(ISNUMBER(SEARCH("SL",H842)),IFNA(VLOOKUP("SL",Pitch_Coef!$A:$B,2,FALSE),0),0),0)</f>
        <v/>
      </c>
      <c r="AA842">
        <f>IF(Q842="P",16.5944849573+0.2529999141*N842+0.2665900378*O842+0.2632687105*P842+0.0427586837*I842+0.0534777057*J842+0.009015832*K842+0.0204898106*(O842*P842/100)+1.0091022427*U842+1.0968542297*IF(D842="L",1,0)+0.3771555045*IF(D842="S",1,0)-0.2226159177*IF(E842="L",1,0)+1.21385024*R842-1.1652812274*S842+W842+X842+Z842,10.5965166711+0.2825983581*I842+0.2806503532*J842+0.2027213083*K842+0.1147824982*L842+0.0915305332*M842-0.0088454122*(I842*J842/100)-0.0336045706*(K842*L842/100)+2.8497389733*IF(D842="L",1,0)+4.5116226727*IF(D842="S",1,0)-0.6571546448*IF(E842="L",1,0)+0.0850728147*T842+0.0129488446*(T842*T842)+0.1909373936*IF(OR(F842="Utility",G842="Utility"),T842,0)+0.9656824071*R842-1.7517683256*S842+W842+X842+Y842)</f>
        <v/>
      </c>
      <c r="AB842">
        <f>LOOKUP(AA842,Grade_Scale!$A$2:$A$18,Grade_Scale!$B$2:$B$18)</f>
        <v/>
      </c>
      <c r="AC842">
        <f>LOOKUP(AA842,Grade_Scale!$A$2:$A$18,Grade_Scale!$C$2:$C$18)</f>
        <v/>
      </c>
      <c r="AE842">
        <f>IF(AD842="","",AB842-VLOOKUP(AD842,Grade_Scale!$C$2:$E$18,3,FALSE))</f>
        <v/>
      </c>
    </row>
    <row r="843">
      <c r="Q843">
        <f>IF(OR(B843="SP",B843="RP",B843="CP",B843="SP/RP"),"P","H")</f>
        <v/>
      </c>
      <c r="R843">
        <f>IF(F843="",0,IFNA(VLOOKUP(F843,Trait_Polarity!$A:$C,2,FALSE),0))+IF(G843="",0,IFNA(VLOOKUP(G843,Trait_Polarity!$A:$C,2,FALSE),0))</f>
        <v/>
      </c>
      <c r="S843">
        <f>IF(F843="",0,IFNA(VLOOKUP(F843,Trait_Polarity!$A:$C,3,FALSE),0))+IF(G843="",0,IFNA(VLOOKUP(G843,Trait_Polarity!$A:$C,3,FALSE),0))</f>
        <v/>
      </c>
      <c r="T843">
        <f>IF(Q843="P",0,IFNA(VLOOKUP(IF(C843="","(none)",C843),Secondary_Versatility!$A:$B,2,FALSE),0))</f>
        <v/>
      </c>
      <c r="U843">
        <f>IF(H843="",0,LEN(H843)-LEN(SUBSTITUTE(H843,"|",""))+1)</f>
        <v/>
      </c>
      <c r="V843">
        <f>IF(Q843="P",(N843+O843+P843)/3,0.3*I843+0.3*J843+0.2*K843+0.1*L843+0.1*M843)</f>
        <v/>
      </c>
      <c r="W843">
        <f>IF(Q843="P",IF(F843="",0,IFNA(VLOOKUP(F843,Pitcher_Trait_Coef!$A:$B,2,FALSE),0))+IF(G843="",0,IFNA(VLOOKUP(G843,Pitcher_Trait_Coef!$A:$B,2,FALSE),0)),IF(F843="",0,IFNA(VLOOKUP(F843,Hitter_Trait_Coef!$A:$B,2,FALSE),0))+IF(G843="",0,IFNA(VLOOKUP(G843,Hitter_Trait_Coef!$A:$B,2,FALSE),0)))</f>
        <v/>
      </c>
      <c r="X843">
        <f>IF(Q843="P",IFNA(VLOOKUP(B843,Pitcher_Primary_Coef!$A:$B,2,FALSE),0),IFNA(VLOOKUP(B843,Hitter_Primary_Coef!$A:$B,2,FALSE),0))</f>
        <v/>
      </c>
      <c r="Y843">
        <f>IF(Q843="P",0,IFNA(VLOOKUP(IF(C843="","(none)",C843),Hitter_Secondary_Coef!$A:$B,2,FALSE),0))</f>
        <v/>
      </c>
      <c r="Z843">
        <f>IF(Q843="P",IF(ISNUMBER(SEARCH("2F",H843)),IFNA(VLOOKUP("2F",Pitch_Coef!$A:$B,2,FALSE),0),0)+IF(ISNUMBER(SEARCH("4F",H843)),IFNA(VLOOKUP("4F",Pitch_Coef!$A:$B,2,FALSE),0),0)+IF(ISNUMBER(SEARCH("CB",H843)),IFNA(VLOOKUP("CB",Pitch_Coef!$A:$B,2,FALSE),0),0)+IF(ISNUMBER(SEARCH("CF",H843)),IFNA(VLOOKUP("CF",Pitch_Coef!$A:$B,2,FALSE),0),0)+IF(ISNUMBER(SEARCH("CH",H843)),IFNA(VLOOKUP("CH",Pitch_Coef!$A:$B,2,FALSE),0),0)+IF(ISNUMBER(SEARCH("FK",H843)),IFNA(VLOOKUP("FK",Pitch_Coef!$A:$B,2,FALSE),0),0)+IF(ISNUMBER(SEARCH("SB",H843)),IFNA(VLOOKUP("SB",Pitch_Coef!$A:$B,2,FALSE),0),0)+IF(ISNUMBER(SEARCH("SL",H843)),IFNA(VLOOKUP("SL",Pitch_Coef!$A:$B,2,FALSE),0),0),0)</f>
        <v/>
      </c>
      <c r="AA843">
        <f>IF(Q843="P",16.5944849573+0.2529999141*N843+0.2665900378*O843+0.2632687105*P843+0.0427586837*I843+0.0534777057*J843+0.009015832*K843+0.0204898106*(O843*P843/100)+1.0091022427*U843+1.0968542297*IF(D843="L",1,0)+0.3771555045*IF(D843="S",1,0)-0.2226159177*IF(E843="L",1,0)+1.21385024*R843-1.1652812274*S843+W843+X843+Z843,10.5965166711+0.2825983581*I843+0.2806503532*J843+0.2027213083*K843+0.1147824982*L843+0.0915305332*M843-0.0088454122*(I843*J843/100)-0.0336045706*(K843*L843/100)+2.8497389733*IF(D843="L",1,0)+4.5116226727*IF(D843="S",1,0)-0.6571546448*IF(E843="L",1,0)+0.0850728147*T843+0.0129488446*(T843*T843)+0.1909373936*IF(OR(F843="Utility",G843="Utility"),T843,0)+0.9656824071*R843-1.7517683256*S843+W843+X843+Y843)</f>
        <v/>
      </c>
      <c r="AB843">
        <f>LOOKUP(AA843,Grade_Scale!$A$2:$A$18,Grade_Scale!$B$2:$B$18)</f>
        <v/>
      </c>
      <c r="AC843">
        <f>LOOKUP(AA843,Grade_Scale!$A$2:$A$18,Grade_Scale!$C$2:$C$18)</f>
        <v/>
      </c>
      <c r="AE843">
        <f>IF(AD843="","",AB843-VLOOKUP(AD843,Grade_Scale!$C$2:$E$18,3,FALSE))</f>
        <v/>
      </c>
    </row>
    <row r="844">
      <c r="Q844">
        <f>IF(OR(B844="SP",B844="RP",B844="CP",B844="SP/RP"),"P","H")</f>
        <v/>
      </c>
      <c r="R844">
        <f>IF(F844="",0,IFNA(VLOOKUP(F844,Trait_Polarity!$A:$C,2,FALSE),0))+IF(G844="",0,IFNA(VLOOKUP(G844,Trait_Polarity!$A:$C,2,FALSE),0))</f>
        <v/>
      </c>
      <c r="S844">
        <f>IF(F844="",0,IFNA(VLOOKUP(F844,Trait_Polarity!$A:$C,3,FALSE),0))+IF(G844="",0,IFNA(VLOOKUP(G844,Trait_Polarity!$A:$C,3,FALSE),0))</f>
        <v/>
      </c>
      <c r="T844">
        <f>IF(Q844="P",0,IFNA(VLOOKUP(IF(C844="","(none)",C844),Secondary_Versatility!$A:$B,2,FALSE),0))</f>
        <v/>
      </c>
      <c r="U844">
        <f>IF(H844="",0,LEN(H844)-LEN(SUBSTITUTE(H844,"|",""))+1)</f>
        <v/>
      </c>
      <c r="V844">
        <f>IF(Q844="P",(N844+O844+P844)/3,0.3*I844+0.3*J844+0.2*K844+0.1*L844+0.1*M844)</f>
        <v/>
      </c>
      <c r="W844">
        <f>IF(Q844="P",IF(F844="",0,IFNA(VLOOKUP(F844,Pitcher_Trait_Coef!$A:$B,2,FALSE),0))+IF(G844="",0,IFNA(VLOOKUP(G844,Pitcher_Trait_Coef!$A:$B,2,FALSE),0)),IF(F844="",0,IFNA(VLOOKUP(F844,Hitter_Trait_Coef!$A:$B,2,FALSE),0))+IF(G844="",0,IFNA(VLOOKUP(G844,Hitter_Trait_Coef!$A:$B,2,FALSE),0)))</f>
        <v/>
      </c>
      <c r="X844">
        <f>IF(Q844="P",IFNA(VLOOKUP(B844,Pitcher_Primary_Coef!$A:$B,2,FALSE),0),IFNA(VLOOKUP(B844,Hitter_Primary_Coef!$A:$B,2,FALSE),0))</f>
        <v/>
      </c>
      <c r="Y844">
        <f>IF(Q844="P",0,IFNA(VLOOKUP(IF(C844="","(none)",C844),Hitter_Secondary_Coef!$A:$B,2,FALSE),0))</f>
        <v/>
      </c>
      <c r="Z844">
        <f>IF(Q844="P",IF(ISNUMBER(SEARCH("2F",H844)),IFNA(VLOOKUP("2F",Pitch_Coef!$A:$B,2,FALSE),0),0)+IF(ISNUMBER(SEARCH("4F",H844)),IFNA(VLOOKUP("4F",Pitch_Coef!$A:$B,2,FALSE),0),0)+IF(ISNUMBER(SEARCH("CB",H844)),IFNA(VLOOKUP("CB",Pitch_Coef!$A:$B,2,FALSE),0),0)+IF(ISNUMBER(SEARCH("CF",H844)),IFNA(VLOOKUP("CF",Pitch_Coef!$A:$B,2,FALSE),0),0)+IF(ISNUMBER(SEARCH("CH",H844)),IFNA(VLOOKUP("CH",Pitch_Coef!$A:$B,2,FALSE),0),0)+IF(ISNUMBER(SEARCH("FK",H844)),IFNA(VLOOKUP("FK",Pitch_Coef!$A:$B,2,FALSE),0),0)+IF(ISNUMBER(SEARCH("SB",H844)),IFNA(VLOOKUP("SB",Pitch_Coef!$A:$B,2,FALSE),0),0)+IF(ISNUMBER(SEARCH("SL",H844)),IFNA(VLOOKUP("SL",Pitch_Coef!$A:$B,2,FALSE),0),0),0)</f>
        <v/>
      </c>
      <c r="AA844">
        <f>IF(Q844="P",16.5944849573+0.2529999141*N844+0.2665900378*O844+0.2632687105*P844+0.0427586837*I844+0.0534777057*J844+0.009015832*K844+0.0204898106*(O844*P844/100)+1.0091022427*U844+1.0968542297*IF(D844="L",1,0)+0.3771555045*IF(D844="S",1,0)-0.2226159177*IF(E844="L",1,0)+1.21385024*R844-1.1652812274*S844+W844+X844+Z844,10.5965166711+0.2825983581*I844+0.2806503532*J844+0.2027213083*K844+0.1147824982*L844+0.0915305332*M844-0.0088454122*(I844*J844/100)-0.0336045706*(K844*L844/100)+2.8497389733*IF(D844="L",1,0)+4.5116226727*IF(D844="S",1,0)-0.6571546448*IF(E844="L",1,0)+0.0850728147*T844+0.0129488446*(T844*T844)+0.1909373936*IF(OR(F844="Utility",G844="Utility"),T844,0)+0.9656824071*R844-1.7517683256*S844+W844+X844+Y844)</f>
        <v/>
      </c>
      <c r="AB844">
        <f>LOOKUP(AA844,Grade_Scale!$A$2:$A$18,Grade_Scale!$B$2:$B$18)</f>
        <v/>
      </c>
      <c r="AC844">
        <f>LOOKUP(AA844,Grade_Scale!$A$2:$A$18,Grade_Scale!$C$2:$C$18)</f>
        <v/>
      </c>
      <c r="AE844">
        <f>IF(AD844="","",AB844-VLOOKUP(AD844,Grade_Scale!$C$2:$E$18,3,FALSE))</f>
        <v/>
      </c>
    </row>
    <row r="845">
      <c r="Q845">
        <f>IF(OR(B845="SP",B845="RP",B845="CP",B845="SP/RP"),"P","H")</f>
        <v/>
      </c>
      <c r="R845">
        <f>IF(F845="",0,IFNA(VLOOKUP(F845,Trait_Polarity!$A:$C,2,FALSE),0))+IF(G845="",0,IFNA(VLOOKUP(G845,Trait_Polarity!$A:$C,2,FALSE),0))</f>
        <v/>
      </c>
      <c r="S845">
        <f>IF(F845="",0,IFNA(VLOOKUP(F845,Trait_Polarity!$A:$C,3,FALSE),0))+IF(G845="",0,IFNA(VLOOKUP(G845,Trait_Polarity!$A:$C,3,FALSE),0))</f>
        <v/>
      </c>
      <c r="T845">
        <f>IF(Q845="P",0,IFNA(VLOOKUP(IF(C845="","(none)",C845),Secondary_Versatility!$A:$B,2,FALSE),0))</f>
        <v/>
      </c>
      <c r="U845">
        <f>IF(H845="",0,LEN(H845)-LEN(SUBSTITUTE(H845,"|",""))+1)</f>
        <v/>
      </c>
      <c r="V845">
        <f>IF(Q845="P",(N845+O845+P845)/3,0.3*I845+0.3*J845+0.2*K845+0.1*L845+0.1*M845)</f>
        <v/>
      </c>
      <c r="W845">
        <f>IF(Q845="P",IF(F845="",0,IFNA(VLOOKUP(F845,Pitcher_Trait_Coef!$A:$B,2,FALSE),0))+IF(G845="",0,IFNA(VLOOKUP(G845,Pitcher_Trait_Coef!$A:$B,2,FALSE),0)),IF(F845="",0,IFNA(VLOOKUP(F845,Hitter_Trait_Coef!$A:$B,2,FALSE),0))+IF(G845="",0,IFNA(VLOOKUP(G845,Hitter_Trait_Coef!$A:$B,2,FALSE),0)))</f>
        <v/>
      </c>
      <c r="X845">
        <f>IF(Q845="P",IFNA(VLOOKUP(B845,Pitcher_Primary_Coef!$A:$B,2,FALSE),0),IFNA(VLOOKUP(B845,Hitter_Primary_Coef!$A:$B,2,FALSE),0))</f>
        <v/>
      </c>
      <c r="Y845">
        <f>IF(Q845="P",0,IFNA(VLOOKUP(IF(C845="","(none)",C845),Hitter_Secondary_Coef!$A:$B,2,FALSE),0))</f>
        <v/>
      </c>
      <c r="Z845">
        <f>IF(Q845="P",IF(ISNUMBER(SEARCH("2F",H845)),IFNA(VLOOKUP("2F",Pitch_Coef!$A:$B,2,FALSE),0),0)+IF(ISNUMBER(SEARCH("4F",H845)),IFNA(VLOOKUP("4F",Pitch_Coef!$A:$B,2,FALSE),0),0)+IF(ISNUMBER(SEARCH("CB",H845)),IFNA(VLOOKUP("CB",Pitch_Coef!$A:$B,2,FALSE),0),0)+IF(ISNUMBER(SEARCH("CF",H845)),IFNA(VLOOKUP("CF",Pitch_Coef!$A:$B,2,FALSE),0),0)+IF(ISNUMBER(SEARCH("CH",H845)),IFNA(VLOOKUP("CH",Pitch_Coef!$A:$B,2,FALSE),0),0)+IF(ISNUMBER(SEARCH("FK",H845)),IFNA(VLOOKUP("FK",Pitch_Coef!$A:$B,2,FALSE),0),0)+IF(ISNUMBER(SEARCH("SB",H845)),IFNA(VLOOKUP("SB",Pitch_Coef!$A:$B,2,FALSE),0),0)+IF(ISNUMBER(SEARCH("SL",H845)),IFNA(VLOOKUP("SL",Pitch_Coef!$A:$B,2,FALSE),0),0),0)</f>
        <v/>
      </c>
      <c r="AA845">
        <f>IF(Q845="P",16.5944849573+0.2529999141*N845+0.2665900378*O845+0.2632687105*P845+0.0427586837*I845+0.0534777057*J845+0.009015832*K845+0.0204898106*(O845*P845/100)+1.0091022427*U845+1.0968542297*IF(D845="L",1,0)+0.3771555045*IF(D845="S",1,0)-0.2226159177*IF(E845="L",1,0)+1.21385024*R845-1.1652812274*S845+W845+X845+Z845,10.5965166711+0.2825983581*I845+0.2806503532*J845+0.2027213083*K845+0.1147824982*L845+0.0915305332*M845-0.0088454122*(I845*J845/100)-0.0336045706*(K845*L845/100)+2.8497389733*IF(D845="L",1,0)+4.5116226727*IF(D845="S",1,0)-0.6571546448*IF(E845="L",1,0)+0.0850728147*T845+0.0129488446*(T845*T845)+0.1909373936*IF(OR(F845="Utility",G845="Utility"),T845,0)+0.9656824071*R845-1.7517683256*S845+W845+X845+Y845)</f>
        <v/>
      </c>
      <c r="AB845">
        <f>LOOKUP(AA845,Grade_Scale!$A$2:$A$18,Grade_Scale!$B$2:$B$18)</f>
        <v/>
      </c>
      <c r="AC845">
        <f>LOOKUP(AA845,Grade_Scale!$A$2:$A$18,Grade_Scale!$C$2:$C$18)</f>
        <v/>
      </c>
      <c r="AE845">
        <f>IF(AD845="","",AB845-VLOOKUP(AD845,Grade_Scale!$C$2:$E$18,3,FALSE))</f>
        <v/>
      </c>
    </row>
    <row r="846">
      <c r="Q846">
        <f>IF(OR(B846="SP",B846="RP",B846="CP",B846="SP/RP"),"P","H")</f>
        <v/>
      </c>
      <c r="R846">
        <f>IF(F846="",0,IFNA(VLOOKUP(F846,Trait_Polarity!$A:$C,2,FALSE),0))+IF(G846="",0,IFNA(VLOOKUP(G846,Trait_Polarity!$A:$C,2,FALSE),0))</f>
        <v/>
      </c>
      <c r="S846">
        <f>IF(F846="",0,IFNA(VLOOKUP(F846,Trait_Polarity!$A:$C,3,FALSE),0))+IF(G846="",0,IFNA(VLOOKUP(G846,Trait_Polarity!$A:$C,3,FALSE),0))</f>
        <v/>
      </c>
      <c r="T846">
        <f>IF(Q846="P",0,IFNA(VLOOKUP(IF(C846="","(none)",C846),Secondary_Versatility!$A:$B,2,FALSE),0))</f>
        <v/>
      </c>
      <c r="U846">
        <f>IF(H846="",0,LEN(H846)-LEN(SUBSTITUTE(H846,"|",""))+1)</f>
        <v/>
      </c>
      <c r="V846">
        <f>IF(Q846="P",(N846+O846+P846)/3,0.3*I846+0.3*J846+0.2*K846+0.1*L846+0.1*M846)</f>
        <v/>
      </c>
      <c r="W846">
        <f>IF(Q846="P",IF(F846="",0,IFNA(VLOOKUP(F846,Pitcher_Trait_Coef!$A:$B,2,FALSE),0))+IF(G846="",0,IFNA(VLOOKUP(G846,Pitcher_Trait_Coef!$A:$B,2,FALSE),0)),IF(F846="",0,IFNA(VLOOKUP(F846,Hitter_Trait_Coef!$A:$B,2,FALSE),0))+IF(G846="",0,IFNA(VLOOKUP(G846,Hitter_Trait_Coef!$A:$B,2,FALSE),0)))</f>
        <v/>
      </c>
      <c r="X846">
        <f>IF(Q846="P",IFNA(VLOOKUP(B846,Pitcher_Primary_Coef!$A:$B,2,FALSE),0),IFNA(VLOOKUP(B846,Hitter_Primary_Coef!$A:$B,2,FALSE),0))</f>
        <v/>
      </c>
      <c r="Y846">
        <f>IF(Q846="P",0,IFNA(VLOOKUP(IF(C846="","(none)",C846),Hitter_Secondary_Coef!$A:$B,2,FALSE),0))</f>
        <v/>
      </c>
      <c r="Z846">
        <f>IF(Q846="P",IF(ISNUMBER(SEARCH("2F",H846)),IFNA(VLOOKUP("2F",Pitch_Coef!$A:$B,2,FALSE),0),0)+IF(ISNUMBER(SEARCH("4F",H846)),IFNA(VLOOKUP("4F",Pitch_Coef!$A:$B,2,FALSE),0),0)+IF(ISNUMBER(SEARCH("CB",H846)),IFNA(VLOOKUP("CB",Pitch_Coef!$A:$B,2,FALSE),0),0)+IF(ISNUMBER(SEARCH("CF",H846)),IFNA(VLOOKUP("CF",Pitch_Coef!$A:$B,2,FALSE),0),0)+IF(ISNUMBER(SEARCH("CH",H846)),IFNA(VLOOKUP("CH",Pitch_Coef!$A:$B,2,FALSE),0),0)+IF(ISNUMBER(SEARCH("FK",H846)),IFNA(VLOOKUP("FK",Pitch_Coef!$A:$B,2,FALSE),0),0)+IF(ISNUMBER(SEARCH("SB",H846)),IFNA(VLOOKUP("SB",Pitch_Coef!$A:$B,2,FALSE),0),0)+IF(ISNUMBER(SEARCH("SL",H846)),IFNA(VLOOKUP("SL",Pitch_Coef!$A:$B,2,FALSE),0),0),0)</f>
        <v/>
      </c>
      <c r="AA846">
        <f>IF(Q846="P",16.5944849573+0.2529999141*N846+0.2665900378*O846+0.2632687105*P846+0.0427586837*I846+0.0534777057*J846+0.009015832*K846+0.0204898106*(O846*P846/100)+1.0091022427*U846+1.0968542297*IF(D846="L",1,0)+0.3771555045*IF(D846="S",1,0)-0.2226159177*IF(E846="L",1,0)+1.21385024*R846-1.1652812274*S846+W846+X846+Z846,10.5965166711+0.2825983581*I846+0.2806503532*J846+0.2027213083*K846+0.1147824982*L846+0.0915305332*M846-0.0088454122*(I846*J846/100)-0.0336045706*(K846*L846/100)+2.8497389733*IF(D846="L",1,0)+4.5116226727*IF(D846="S",1,0)-0.6571546448*IF(E846="L",1,0)+0.0850728147*T846+0.0129488446*(T846*T846)+0.1909373936*IF(OR(F846="Utility",G846="Utility"),T846,0)+0.9656824071*R846-1.7517683256*S846+W846+X846+Y846)</f>
        <v/>
      </c>
      <c r="AB846">
        <f>LOOKUP(AA846,Grade_Scale!$A$2:$A$18,Grade_Scale!$B$2:$B$18)</f>
        <v/>
      </c>
      <c r="AC846">
        <f>LOOKUP(AA846,Grade_Scale!$A$2:$A$18,Grade_Scale!$C$2:$C$18)</f>
        <v/>
      </c>
      <c r="AE846">
        <f>IF(AD846="","",AB846-VLOOKUP(AD846,Grade_Scale!$C$2:$E$18,3,FALSE))</f>
        <v/>
      </c>
    </row>
    <row r="847">
      <c r="Q847">
        <f>IF(OR(B847="SP",B847="RP",B847="CP",B847="SP/RP"),"P","H")</f>
        <v/>
      </c>
      <c r="R847">
        <f>IF(F847="",0,IFNA(VLOOKUP(F847,Trait_Polarity!$A:$C,2,FALSE),0))+IF(G847="",0,IFNA(VLOOKUP(G847,Trait_Polarity!$A:$C,2,FALSE),0))</f>
        <v/>
      </c>
      <c r="S847">
        <f>IF(F847="",0,IFNA(VLOOKUP(F847,Trait_Polarity!$A:$C,3,FALSE),0))+IF(G847="",0,IFNA(VLOOKUP(G847,Trait_Polarity!$A:$C,3,FALSE),0))</f>
        <v/>
      </c>
      <c r="T847">
        <f>IF(Q847="P",0,IFNA(VLOOKUP(IF(C847="","(none)",C847),Secondary_Versatility!$A:$B,2,FALSE),0))</f>
        <v/>
      </c>
      <c r="U847">
        <f>IF(H847="",0,LEN(H847)-LEN(SUBSTITUTE(H847,"|",""))+1)</f>
        <v/>
      </c>
      <c r="V847">
        <f>IF(Q847="P",(N847+O847+P847)/3,0.3*I847+0.3*J847+0.2*K847+0.1*L847+0.1*M847)</f>
        <v/>
      </c>
      <c r="W847">
        <f>IF(Q847="P",IF(F847="",0,IFNA(VLOOKUP(F847,Pitcher_Trait_Coef!$A:$B,2,FALSE),0))+IF(G847="",0,IFNA(VLOOKUP(G847,Pitcher_Trait_Coef!$A:$B,2,FALSE),0)),IF(F847="",0,IFNA(VLOOKUP(F847,Hitter_Trait_Coef!$A:$B,2,FALSE),0))+IF(G847="",0,IFNA(VLOOKUP(G847,Hitter_Trait_Coef!$A:$B,2,FALSE),0)))</f>
        <v/>
      </c>
      <c r="X847">
        <f>IF(Q847="P",IFNA(VLOOKUP(B847,Pitcher_Primary_Coef!$A:$B,2,FALSE),0),IFNA(VLOOKUP(B847,Hitter_Primary_Coef!$A:$B,2,FALSE),0))</f>
        <v/>
      </c>
      <c r="Y847">
        <f>IF(Q847="P",0,IFNA(VLOOKUP(IF(C847="","(none)",C847),Hitter_Secondary_Coef!$A:$B,2,FALSE),0))</f>
        <v/>
      </c>
      <c r="Z847">
        <f>IF(Q847="P",IF(ISNUMBER(SEARCH("2F",H847)),IFNA(VLOOKUP("2F",Pitch_Coef!$A:$B,2,FALSE),0),0)+IF(ISNUMBER(SEARCH("4F",H847)),IFNA(VLOOKUP("4F",Pitch_Coef!$A:$B,2,FALSE),0),0)+IF(ISNUMBER(SEARCH("CB",H847)),IFNA(VLOOKUP("CB",Pitch_Coef!$A:$B,2,FALSE),0),0)+IF(ISNUMBER(SEARCH("CF",H847)),IFNA(VLOOKUP("CF",Pitch_Coef!$A:$B,2,FALSE),0),0)+IF(ISNUMBER(SEARCH("CH",H847)),IFNA(VLOOKUP("CH",Pitch_Coef!$A:$B,2,FALSE),0),0)+IF(ISNUMBER(SEARCH("FK",H847)),IFNA(VLOOKUP("FK",Pitch_Coef!$A:$B,2,FALSE),0),0)+IF(ISNUMBER(SEARCH("SB",H847)),IFNA(VLOOKUP("SB",Pitch_Coef!$A:$B,2,FALSE),0),0)+IF(ISNUMBER(SEARCH("SL",H847)),IFNA(VLOOKUP("SL",Pitch_Coef!$A:$B,2,FALSE),0),0),0)</f>
        <v/>
      </c>
      <c r="AA847">
        <f>IF(Q847="P",16.5944849573+0.2529999141*N847+0.2665900378*O847+0.2632687105*P847+0.0427586837*I847+0.0534777057*J847+0.009015832*K847+0.0204898106*(O847*P847/100)+1.0091022427*U847+1.0968542297*IF(D847="L",1,0)+0.3771555045*IF(D847="S",1,0)-0.2226159177*IF(E847="L",1,0)+1.21385024*R847-1.1652812274*S847+W847+X847+Z847,10.5965166711+0.2825983581*I847+0.2806503532*J847+0.2027213083*K847+0.1147824982*L847+0.0915305332*M847-0.0088454122*(I847*J847/100)-0.0336045706*(K847*L847/100)+2.8497389733*IF(D847="L",1,0)+4.5116226727*IF(D847="S",1,0)-0.6571546448*IF(E847="L",1,0)+0.0850728147*T847+0.0129488446*(T847*T847)+0.1909373936*IF(OR(F847="Utility",G847="Utility"),T847,0)+0.9656824071*R847-1.7517683256*S847+W847+X847+Y847)</f>
        <v/>
      </c>
      <c r="AB847">
        <f>LOOKUP(AA847,Grade_Scale!$A$2:$A$18,Grade_Scale!$B$2:$B$18)</f>
        <v/>
      </c>
      <c r="AC847">
        <f>LOOKUP(AA847,Grade_Scale!$A$2:$A$18,Grade_Scale!$C$2:$C$18)</f>
        <v/>
      </c>
      <c r="AE847">
        <f>IF(AD847="","",AB847-VLOOKUP(AD847,Grade_Scale!$C$2:$E$18,3,FALSE))</f>
        <v/>
      </c>
    </row>
    <row r="848">
      <c r="Q848">
        <f>IF(OR(B848="SP",B848="RP",B848="CP",B848="SP/RP"),"P","H")</f>
        <v/>
      </c>
      <c r="R848">
        <f>IF(F848="",0,IFNA(VLOOKUP(F848,Trait_Polarity!$A:$C,2,FALSE),0))+IF(G848="",0,IFNA(VLOOKUP(G848,Trait_Polarity!$A:$C,2,FALSE),0))</f>
        <v/>
      </c>
      <c r="S848">
        <f>IF(F848="",0,IFNA(VLOOKUP(F848,Trait_Polarity!$A:$C,3,FALSE),0))+IF(G848="",0,IFNA(VLOOKUP(G848,Trait_Polarity!$A:$C,3,FALSE),0))</f>
        <v/>
      </c>
      <c r="T848">
        <f>IF(Q848="P",0,IFNA(VLOOKUP(IF(C848="","(none)",C848),Secondary_Versatility!$A:$B,2,FALSE),0))</f>
        <v/>
      </c>
      <c r="U848">
        <f>IF(H848="",0,LEN(H848)-LEN(SUBSTITUTE(H848,"|",""))+1)</f>
        <v/>
      </c>
      <c r="V848">
        <f>IF(Q848="P",(N848+O848+P848)/3,0.3*I848+0.3*J848+0.2*K848+0.1*L848+0.1*M848)</f>
        <v/>
      </c>
      <c r="W848">
        <f>IF(Q848="P",IF(F848="",0,IFNA(VLOOKUP(F848,Pitcher_Trait_Coef!$A:$B,2,FALSE),0))+IF(G848="",0,IFNA(VLOOKUP(G848,Pitcher_Trait_Coef!$A:$B,2,FALSE),0)),IF(F848="",0,IFNA(VLOOKUP(F848,Hitter_Trait_Coef!$A:$B,2,FALSE),0))+IF(G848="",0,IFNA(VLOOKUP(G848,Hitter_Trait_Coef!$A:$B,2,FALSE),0)))</f>
        <v/>
      </c>
      <c r="X848">
        <f>IF(Q848="P",IFNA(VLOOKUP(B848,Pitcher_Primary_Coef!$A:$B,2,FALSE),0),IFNA(VLOOKUP(B848,Hitter_Primary_Coef!$A:$B,2,FALSE),0))</f>
        <v/>
      </c>
      <c r="Y848">
        <f>IF(Q848="P",0,IFNA(VLOOKUP(IF(C848="","(none)",C848),Hitter_Secondary_Coef!$A:$B,2,FALSE),0))</f>
        <v/>
      </c>
      <c r="Z848">
        <f>IF(Q848="P",IF(ISNUMBER(SEARCH("2F",H848)),IFNA(VLOOKUP("2F",Pitch_Coef!$A:$B,2,FALSE),0),0)+IF(ISNUMBER(SEARCH("4F",H848)),IFNA(VLOOKUP("4F",Pitch_Coef!$A:$B,2,FALSE),0),0)+IF(ISNUMBER(SEARCH("CB",H848)),IFNA(VLOOKUP("CB",Pitch_Coef!$A:$B,2,FALSE),0),0)+IF(ISNUMBER(SEARCH("CF",H848)),IFNA(VLOOKUP("CF",Pitch_Coef!$A:$B,2,FALSE),0),0)+IF(ISNUMBER(SEARCH("CH",H848)),IFNA(VLOOKUP("CH",Pitch_Coef!$A:$B,2,FALSE),0),0)+IF(ISNUMBER(SEARCH("FK",H848)),IFNA(VLOOKUP("FK",Pitch_Coef!$A:$B,2,FALSE),0),0)+IF(ISNUMBER(SEARCH("SB",H848)),IFNA(VLOOKUP("SB",Pitch_Coef!$A:$B,2,FALSE),0),0)+IF(ISNUMBER(SEARCH("SL",H848)),IFNA(VLOOKUP("SL",Pitch_Coef!$A:$B,2,FALSE),0),0),0)</f>
        <v/>
      </c>
      <c r="AA848">
        <f>IF(Q848="P",16.5944849573+0.2529999141*N848+0.2665900378*O848+0.2632687105*P848+0.0427586837*I848+0.0534777057*J848+0.009015832*K848+0.0204898106*(O848*P848/100)+1.0091022427*U848+1.0968542297*IF(D848="L",1,0)+0.3771555045*IF(D848="S",1,0)-0.2226159177*IF(E848="L",1,0)+1.21385024*R848-1.1652812274*S848+W848+X848+Z848,10.5965166711+0.2825983581*I848+0.2806503532*J848+0.2027213083*K848+0.1147824982*L848+0.0915305332*M848-0.0088454122*(I848*J848/100)-0.0336045706*(K848*L848/100)+2.8497389733*IF(D848="L",1,0)+4.5116226727*IF(D848="S",1,0)-0.6571546448*IF(E848="L",1,0)+0.0850728147*T848+0.0129488446*(T848*T848)+0.1909373936*IF(OR(F848="Utility",G848="Utility"),T848,0)+0.9656824071*R848-1.7517683256*S848+W848+X848+Y848)</f>
        <v/>
      </c>
      <c r="AB848">
        <f>LOOKUP(AA848,Grade_Scale!$A$2:$A$18,Grade_Scale!$B$2:$B$18)</f>
        <v/>
      </c>
      <c r="AC848">
        <f>LOOKUP(AA848,Grade_Scale!$A$2:$A$18,Grade_Scale!$C$2:$C$18)</f>
        <v/>
      </c>
      <c r="AE848">
        <f>IF(AD848="","",AB848-VLOOKUP(AD848,Grade_Scale!$C$2:$E$18,3,FALSE))</f>
        <v/>
      </c>
    </row>
    <row r="849">
      <c r="Q849">
        <f>IF(OR(B849="SP",B849="RP",B849="CP",B849="SP/RP"),"P","H")</f>
        <v/>
      </c>
      <c r="R849">
        <f>IF(F849="",0,IFNA(VLOOKUP(F849,Trait_Polarity!$A:$C,2,FALSE),0))+IF(G849="",0,IFNA(VLOOKUP(G849,Trait_Polarity!$A:$C,2,FALSE),0))</f>
        <v/>
      </c>
      <c r="S849">
        <f>IF(F849="",0,IFNA(VLOOKUP(F849,Trait_Polarity!$A:$C,3,FALSE),0))+IF(G849="",0,IFNA(VLOOKUP(G849,Trait_Polarity!$A:$C,3,FALSE),0))</f>
        <v/>
      </c>
      <c r="T849">
        <f>IF(Q849="P",0,IFNA(VLOOKUP(IF(C849="","(none)",C849),Secondary_Versatility!$A:$B,2,FALSE),0))</f>
        <v/>
      </c>
      <c r="U849">
        <f>IF(H849="",0,LEN(H849)-LEN(SUBSTITUTE(H849,"|",""))+1)</f>
        <v/>
      </c>
      <c r="V849">
        <f>IF(Q849="P",(N849+O849+P849)/3,0.3*I849+0.3*J849+0.2*K849+0.1*L849+0.1*M849)</f>
        <v/>
      </c>
      <c r="W849">
        <f>IF(Q849="P",IF(F849="",0,IFNA(VLOOKUP(F849,Pitcher_Trait_Coef!$A:$B,2,FALSE),0))+IF(G849="",0,IFNA(VLOOKUP(G849,Pitcher_Trait_Coef!$A:$B,2,FALSE),0)),IF(F849="",0,IFNA(VLOOKUP(F849,Hitter_Trait_Coef!$A:$B,2,FALSE),0))+IF(G849="",0,IFNA(VLOOKUP(G849,Hitter_Trait_Coef!$A:$B,2,FALSE),0)))</f>
        <v/>
      </c>
      <c r="X849">
        <f>IF(Q849="P",IFNA(VLOOKUP(B849,Pitcher_Primary_Coef!$A:$B,2,FALSE),0),IFNA(VLOOKUP(B849,Hitter_Primary_Coef!$A:$B,2,FALSE),0))</f>
        <v/>
      </c>
      <c r="Y849">
        <f>IF(Q849="P",0,IFNA(VLOOKUP(IF(C849="","(none)",C849),Hitter_Secondary_Coef!$A:$B,2,FALSE),0))</f>
        <v/>
      </c>
      <c r="Z849">
        <f>IF(Q849="P",IF(ISNUMBER(SEARCH("2F",H849)),IFNA(VLOOKUP("2F",Pitch_Coef!$A:$B,2,FALSE),0),0)+IF(ISNUMBER(SEARCH("4F",H849)),IFNA(VLOOKUP("4F",Pitch_Coef!$A:$B,2,FALSE),0),0)+IF(ISNUMBER(SEARCH("CB",H849)),IFNA(VLOOKUP("CB",Pitch_Coef!$A:$B,2,FALSE),0),0)+IF(ISNUMBER(SEARCH("CF",H849)),IFNA(VLOOKUP("CF",Pitch_Coef!$A:$B,2,FALSE),0),0)+IF(ISNUMBER(SEARCH("CH",H849)),IFNA(VLOOKUP("CH",Pitch_Coef!$A:$B,2,FALSE),0),0)+IF(ISNUMBER(SEARCH("FK",H849)),IFNA(VLOOKUP("FK",Pitch_Coef!$A:$B,2,FALSE),0),0)+IF(ISNUMBER(SEARCH("SB",H849)),IFNA(VLOOKUP("SB",Pitch_Coef!$A:$B,2,FALSE),0),0)+IF(ISNUMBER(SEARCH("SL",H849)),IFNA(VLOOKUP("SL",Pitch_Coef!$A:$B,2,FALSE),0),0),0)</f>
        <v/>
      </c>
      <c r="AA849">
        <f>IF(Q849="P",16.5944849573+0.2529999141*N849+0.2665900378*O849+0.2632687105*P849+0.0427586837*I849+0.0534777057*J849+0.009015832*K849+0.0204898106*(O849*P849/100)+1.0091022427*U849+1.0968542297*IF(D849="L",1,0)+0.3771555045*IF(D849="S",1,0)-0.2226159177*IF(E849="L",1,0)+1.21385024*R849-1.1652812274*S849+W849+X849+Z849,10.5965166711+0.2825983581*I849+0.2806503532*J849+0.2027213083*K849+0.1147824982*L849+0.0915305332*M849-0.0088454122*(I849*J849/100)-0.0336045706*(K849*L849/100)+2.8497389733*IF(D849="L",1,0)+4.5116226727*IF(D849="S",1,0)-0.6571546448*IF(E849="L",1,0)+0.0850728147*T849+0.0129488446*(T849*T849)+0.1909373936*IF(OR(F849="Utility",G849="Utility"),T849,0)+0.9656824071*R849-1.7517683256*S849+W849+X849+Y849)</f>
        <v/>
      </c>
      <c r="AB849">
        <f>LOOKUP(AA849,Grade_Scale!$A$2:$A$18,Grade_Scale!$B$2:$B$18)</f>
        <v/>
      </c>
      <c r="AC849">
        <f>LOOKUP(AA849,Grade_Scale!$A$2:$A$18,Grade_Scale!$C$2:$C$18)</f>
        <v/>
      </c>
      <c r="AE849">
        <f>IF(AD849="","",AB849-VLOOKUP(AD849,Grade_Scale!$C$2:$E$18,3,FALSE))</f>
        <v/>
      </c>
    </row>
    <row r="850">
      <c r="Q850">
        <f>IF(OR(B850="SP",B850="RP",B850="CP",B850="SP/RP"),"P","H")</f>
        <v/>
      </c>
      <c r="R850">
        <f>IF(F850="",0,IFNA(VLOOKUP(F850,Trait_Polarity!$A:$C,2,FALSE),0))+IF(G850="",0,IFNA(VLOOKUP(G850,Trait_Polarity!$A:$C,2,FALSE),0))</f>
        <v/>
      </c>
      <c r="S850">
        <f>IF(F850="",0,IFNA(VLOOKUP(F850,Trait_Polarity!$A:$C,3,FALSE),0))+IF(G850="",0,IFNA(VLOOKUP(G850,Trait_Polarity!$A:$C,3,FALSE),0))</f>
        <v/>
      </c>
      <c r="T850">
        <f>IF(Q850="P",0,IFNA(VLOOKUP(IF(C850="","(none)",C850),Secondary_Versatility!$A:$B,2,FALSE),0))</f>
        <v/>
      </c>
      <c r="U850">
        <f>IF(H850="",0,LEN(H850)-LEN(SUBSTITUTE(H850,"|",""))+1)</f>
        <v/>
      </c>
      <c r="V850">
        <f>IF(Q850="P",(N850+O850+P850)/3,0.3*I850+0.3*J850+0.2*K850+0.1*L850+0.1*M850)</f>
        <v/>
      </c>
      <c r="W850">
        <f>IF(Q850="P",IF(F850="",0,IFNA(VLOOKUP(F850,Pitcher_Trait_Coef!$A:$B,2,FALSE),0))+IF(G850="",0,IFNA(VLOOKUP(G850,Pitcher_Trait_Coef!$A:$B,2,FALSE),0)),IF(F850="",0,IFNA(VLOOKUP(F850,Hitter_Trait_Coef!$A:$B,2,FALSE),0))+IF(G850="",0,IFNA(VLOOKUP(G850,Hitter_Trait_Coef!$A:$B,2,FALSE),0)))</f>
        <v/>
      </c>
      <c r="X850">
        <f>IF(Q850="P",IFNA(VLOOKUP(B850,Pitcher_Primary_Coef!$A:$B,2,FALSE),0),IFNA(VLOOKUP(B850,Hitter_Primary_Coef!$A:$B,2,FALSE),0))</f>
        <v/>
      </c>
      <c r="Y850">
        <f>IF(Q850="P",0,IFNA(VLOOKUP(IF(C850="","(none)",C850),Hitter_Secondary_Coef!$A:$B,2,FALSE),0))</f>
        <v/>
      </c>
      <c r="Z850">
        <f>IF(Q850="P",IF(ISNUMBER(SEARCH("2F",H850)),IFNA(VLOOKUP("2F",Pitch_Coef!$A:$B,2,FALSE),0),0)+IF(ISNUMBER(SEARCH("4F",H850)),IFNA(VLOOKUP("4F",Pitch_Coef!$A:$B,2,FALSE),0),0)+IF(ISNUMBER(SEARCH("CB",H850)),IFNA(VLOOKUP("CB",Pitch_Coef!$A:$B,2,FALSE),0),0)+IF(ISNUMBER(SEARCH("CF",H850)),IFNA(VLOOKUP("CF",Pitch_Coef!$A:$B,2,FALSE),0),0)+IF(ISNUMBER(SEARCH("CH",H850)),IFNA(VLOOKUP("CH",Pitch_Coef!$A:$B,2,FALSE),0),0)+IF(ISNUMBER(SEARCH("FK",H850)),IFNA(VLOOKUP("FK",Pitch_Coef!$A:$B,2,FALSE),0),0)+IF(ISNUMBER(SEARCH("SB",H850)),IFNA(VLOOKUP("SB",Pitch_Coef!$A:$B,2,FALSE),0),0)+IF(ISNUMBER(SEARCH("SL",H850)),IFNA(VLOOKUP("SL",Pitch_Coef!$A:$B,2,FALSE),0),0),0)</f>
        <v/>
      </c>
      <c r="AA850">
        <f>IF(Q850="P",16.5944849573+0.2529999141*N850+0.2665900378*O850+0.2632687105*P850+0.0427586837*I850+0.0534777057*J850+0.009015832*K850+0.0204898106*(O850*P850/100)+1.0091022427*U850+1.0968542297*IF(D850="L",1,0)+0.3771555045*IF(D850="S",1,0)-0.2226159177*IF(E850="L",1,0)+1.21385024*R850-1.1652812274*S850+W850+X850+Z850,10.5965166711+0.2825983581*I850+0.2806503532*J850+0.2027213083*K850+0.1147824982*L850+0.0915305332*M850-0.0088454122*(I850*J850/100)-0.0336045706*(K850*L850/100)+2.8497389733*IF(D850="L",1,0)+4.5116226727*IF(D850="S",1,0)-0.6571546448*IF(E850="L",1,0)+0.0850728147*T850+0.0129488446*(T850*T850)+0.1909373936*IF(OR(F850="Utility",G850="Utility"),T850,0)+0.9656824071*R850-1.7517683256*S850+W850+X850+Y850)</f>
        <v/>
      </c>
      <c r="AB850">
        <f>LOOKUP(AA850,Grade_Scale!$A$2:$A$18,Grade_Scale!$B$2:$B$18)</f>
        <v/>
      </c>
      <c r="AC850">
        <f>LOOKUP(AA850,Grade_Scale!$A$2:$A$18,Grade_Scale!$C$2:$C$18)</f>
        <v/>
      </c>
      <c r="AE850">
        <f>IF(AD850="","",AB850-VLOOKUP(AD850,Grade_Scale!$C$2:$E$18,3,FALSE))</f>
        <v/>
      </c>
    </row>
    <row r="851">
      <c r="Q851">
        <f>IF(OR(B851="SP",B851="RP",B851="CP",B851="SP/RP"),"P","H")</f>
        <v/>
      </c>
      <c r="R851">
        <f>IF(F851="",0,IFNA(VLOOKUP(F851,Trait_Polarity!$A:$C,2,FALSE),0))+IF(G851="",0,IFNA(VLOOKUP(G851,Trait_Polarity!$A:$C,2,FALSE),0))</f>
        <v/>
      </c>
      <c r="S851">
        <f>IF(F851="",0,IFNA(VLOOKUP(F851,Trait_Polarity!$A:$C,3,FALSE),0))+IF(G851="",0,IFNA(VLOOKUP(G851,Trait_Polarity!$A:$C,3,FALSE),0))</f>
        <v/>
      </c>
      <c r="T851">
        <f>IF(Q851="P",0,IFNA(VLOOKUP(IF(C851="","(none)",C851),Secondary_Versatility!$A:$B,2,FALSE),0))</f>
        <v/>
      </c>
      <c r="U851">
        <f>IF(H851="",0,LEN(H851)-LEN(SUBSTITUTE(H851,"|",""))+1)</f>
        <v/>
      </c>
      <c r="V851">
        <f>IF(Q851="P",(N851+O851+P851)/3,0.3*I851+0.3*J851+0.2*K851+0.1*L851+0.1*M851)</f>
        <v/>
      </c>
      <c r="W851">
        <f>IF(Q851="P",IF(F851="",0,IFNA(VLOOKUP(F851,Pitcher_Trait_Coef!$A:$B,2,FALSE),0))+IF(G851="",0,IFNA(VLOOKUP(G851,Pitcher_Trait_Coef!$A:$B,2,FALSE),0)),IF(F851="",0,IFNA(VLOOKUP(F851,Hitter_Trait_Coef!$A:$B,2,FALSE),0))+IF(G851="",0,IFNA(VLOOKUP(G851,Hitter_Trait_Coef!$A:$B,2,FALSE),0)))</f>
        <v/>
      </c>
      <c r="X851">
        <f>IF(Q851="P",IFNA(VLOOKUP(B851,Pitcher_Primary_Coef!$A:$B,2,FALSE),0),IFNA(VLOOKUP(B851,Hitter_Primary_Coef!$A:$B,2,FALSE),0))</f>
        <v/>
      </c>
      <c r="Y851">
        <f>IF(Q851="P",0,IFNA(VLOOKUP(IF(C851="","(none)",C851),Hitter_Secondary_Coef!$A:$B,2,FALSE),0))</f>
        <v/>
      </c>
      <c r="Z851">
        <f>IF(Q851="P",IF(ISNUMBER(SEARCH("2F",H851)),IFNA(VLOOKUP("2F",Pitch_Coef!$A:$B,2,FALSE),0),0)+IF(ISNUMBER(SEARCH("4F",H851)),IFNA(VLOOKUP("4F",Pitch_Coef!$A:$B,2,FALSE),0),0)+IF(ISNUMBER(SEARCH("CB",H851)),IFNA(VLOOKUP("CB",Pitch_Coef!$A:$B,2,FALSE),0),0)+IF(ISNUMBER(SEARCH("CF",H851)),IFNA(VLOOKUP("CF",Pitch_Coef!$A:$B,2,FALSE),0),0)+IF(ISNUMBER(SEARCH("CH",H851)),IFNA(VLOOKUP("CH",Pitch_Coef!$A:$B,2,FALSE),0),0)+IF(ISNUMBER(SEARCH("FK",H851)),IFNA(VLOOKUP("FK",Pitch_Coef!$A:$B,2,FALSE),0),0)+IF(ISNUMBER(SEARCH("SB",H851)),IFNA(VLOOKUP("SB",Pitch_Coef!$A:$B,2,FALSE),0),0)+IF(ISNUMBER(SEARCH("SL",H851)),IFNA(VLOOKUP("SL",Pitch_Coef!$A:$B,2,FALSE),0),0),0)</f>
        <v/>
      </c>
      <c r="AA851">
        <f>IF(Q851="P",16.5944849573+0.2529999141*N851+0.2665900378*O851+0.2632687105*P851+0.0427586837*I851+0.0534777057*J851+0.009015832*K851+0.0204898106*(O851*P851/100)+1.0091022427*U851+1.0968542297*IF(D851="L",1,0)+0.3771555045*IF(D851="S",1,0)-0.2226159177*IF(E851="L",1,0)+1.21385024*R851-1.1652812274*S851+W851+X851+Z851,10.5965166711+0.2825983581*I851+0.2806503532*J851+0.2027213083*K851+0.1147824982*L851+0.0915305332*M851-0.0088454122*(I851*J851/100)-0.0336045706*(K851*L851/100)+2.8497389733*IF(D851="L",1,0)+4.5116226727*IF(D851="S",1,0)-0.6571546448*IF(E851="L",1,0)+0.0850728147*T851+0.0129488446*(T851*T851)+0.1909373936*IF(OR(F851="Utility",G851="Utility"),T851,0)+0.9656824071*R851-1.7517683256*S851+W851+X851+Y851)</f>
        <v/>
      </c>
      <c r="AB851">
        <f>LOOKUP(AA851,Grade_Scale!$A$2:$A$18,Grade_Scale!$B$2:$B$18)</f>
        <v/>
      </c>
      <c r="AC851">
        <f>LOOKUP(AA851,Grade_Scale!$A$2:$A$18,Grade_Scale!$C$2:$C$18)</f>
        <v/>
      </c>
      <c r="AE851">
        <f>IF(AD851="","",AB851-VLOOKUP(AD851,Grade_Scale!$C$2:$E$18,3,FALSE))</f>
        <v/>
      </c>
    </row>
    <row r="852">
      <c r="Q852">
        <f>IF(OR(B852="SP",B852="RP",B852="CP",B852="SP/RP"),"P","H")</f>
        <v/>
      </c>
      <c r="R852">
        <f>IF(F852="",0,IFNA(VLOOKUP(F852,Trait_Polarity!$A:$C,2,FALSE),0))+IF(G852="",0,IFNA(VLOOKUP(G852,Trait_Polarity!$A:$C,2,FALSE),0))</f>
        <v/>
      </c>
      <c r="S852">
        <f>IF(F852="",0,IFNA(VLOOKUP(F852,Trait_Polarity!$A:$C,3,FALSE),0))+IF(G852="",0,IFNA(VLOOKUP(G852,Trait_Polarity!$A:$C,3,FALSE),0))</f>
        <v/>
      </c>
      <c r="T852">
        <f>IF(Q852="P",0,IFNA(VLOOKUP(IF(C852="","(none)",C852),Secondary_Versatility!$A:$B,2,FALSE),0))</f>
        <v/>
      </c>
      <c r="U852">
        <f>IF(H852="",0,LEN(H852)-LEN(SUBSTITUTE(H852,"|",""))+1)</f>
        <v/>
      </c>
      <c r="V852">
        <f>IF(Q852="P",(N852+O852+P852)/3,0.3*I852+0.3*J852+0.2*K852+0.1*L852+0.1*M852)</f>
        <v/>
      </c>
      <c r="W852">
        <f>IF(Q852="P",IF(F852="",0,IFNA(VLOOKUP(F852,Pitcher_Trait_Coef!$A:$B,2,FALSE),0))+IF(G852="",0,IFNA(VLOOKUP(G852,Pitcher_Trait_Coef!$A:$B,2,FALSE),0)),IF(F852="",0,IFNA(VLOOKUP(F852,Hitter_Trait_Coef!$A:$B,2,FALSE),0))+IF(G852="",0,IFNA(VLOOKUP(G852,Hitter_Trait_Coef!$A:$B,2,FALSE),0)))</f>
        <v/>
      </c>
      <c r="X852">
        <f>IF(Q852="P",IFNA(VLOOKUP(B852,Pitcher_Primary_Coef!$A:$B,2,FALSE),0),IFNA(VLOOKUP(B852,Hitter_Primary_Coef!$A:$B,2,FALSE),0))</f>
        <v/>
      </c>
      <c r="Y852">
        <f>IF(Q852="P",0,IFNA(VLOOKUP(IF(C852="","(none)",C852),Hitter_Secondary_Coef!$A:$B,2,FALSE),0))</f>
        <v/>
      </c>
      <c r="Z852">
        <f>IF(Q852="P",IF(ISNUMBER(SEARCH("2F",H852)),IFNA(VLOOKUP("2F",Pitch_Coef!$A:$B,2,FALSE),0),0)+IF(ISNUMBER(SEARCH("4F",H852)),IFNA(VLOOKUP("4F",Pitch_Coef!$A:$B,2,FALSE),0),0)+IF(ISNUMBER(SEARCH("CB",H852)),IFNA(VLOOKUP("CB",Pitch_Coef!$A:$B,2,FALSE),0),0)+IF(ISNUMBER(SEARCH("CF",H852)),IFNA(VLOOKUP("CF",Pitch_Coef!$A:$B,2,FALSE),0),0)+IF(ISNUMBER(SEARCH("CH",H852)),IFNA(VLOOKUP("CH",Pitch_Coef!$A:$B,2,FALSE),0),0)+IF(ISNUMBER(SEARCH("FK",H852)),IFNA(VLOOKUP("FK",Pitch_Coef!$A:$B,2,FALSE),0),0)+IF(ISNUMBER(SEARCH("SB",H852)),IFNA(VLOOKUP("SB",Pitch_Coef!$A:$B,2,FALSE),0),0)+IF(ISNUMBER(SEARCH("SL",H852)),IFNA(VLOOKUP("SL",Pitch_Coef!$A:$B,2,FALSE),0),0),0)</f>
        <v/>
      </c>
      <c r="AA852">
        <f>IF(Q852="P",16.5944849573+0.2529999141*N852+0.2665900378*O852+0.2632687105*P852+0.0427586837*I852+0.0534777057*J852+0.009015832*K852+0.0204898106*(O852*P852/100)+1.0091022427*U852+1.0968542297*IF(D852="L",1,0)+0.3771555045*IF(D852="S",1,0)-0.2226159177*IF(E852="L",1,0)+1.21385024*R852-1.1652812274*S852+W852+X852+Z852,10.5965166711+0.2825983581*I852+0.2806503532*J852+0.2027213083*K852+0.1147824982*L852+0.0915305332*M852-0.0088454122*(I852*J852/100)-0.0336045706*(K852*L852/100)+2.8497389733*IF(D852="L",1,0)+4.5116226727*IF(D852="S",1,0)-0.6571546448*IF(E852="L",1,0)+0.0850728147*T852+0.0129488446*(T852*T852)+0.1909373936*IF(OR(F852="Utility",G852="Utility"),T852,0)+0.9656824071*R852-1.7517683256*S852+W852+X852+Y852)</f>
        <v/>
      </c>
      <c r="AB852">
        <f>LOOKUP(AA852,Grade_Scale!$A$2:$A$18,Grade_Scale!$B$2:$B$18)</f>
        <v/>
      </c>
      <c r="AC852">
        <f>LOOKUP(AA852,Grade_Scale!$A$2:$A$18,Grade_Scale!$C$2:$C$18)</f>
        <v/>
      </c>
      <c r="AE852">
        <f>IF(AD852="","",AB852-VLOOKUP(AD852,Grade_Scale!$C$2:$E$18,3,FALSE))</f>
        <v/>
      </c>
    </row>
    <row r="853">
      <c r="Q853">
        <f>IF(OR(B853="SP",B853="RP",B853="CP",B853="SP/RP"),"P","H")</f>
        <v/>
      </c>
      <c r="R853">
        <f>IF(F853="",0,IFNA(VLOOKUP(F853,Trait_Polarity!$A:$C,2,FALSE),0))+IF(G853="",0,IFNA(VLOOKUP(G853,Trait_Polarity!$A:$C,2,FALSE),0))</f>
        <v/>
      </c>
      <c r="S853">
        <f>IF(F853="",0,IFNA(VLOOKUP(F853,Trait_Polarity!$A:$C,3,FALSE),0))+IF(G853="",0,IFNA(VLOOKUP(G853,Trait_Polarity!$A:$C,3,FALSE),0))</f>
        <v/>
      </c>
      <c r="T853">
        <f>IF(Q853="P",0,IFNA(VLOOKUP(IF(C853="","(none)",C853),Secondary_Versatility!$A:$B,2,FALSE),0))</f>
        <v/>
      </c>
      <c r="U853">
        <f>IF(H853="",0,LEN(H853)-LEN(SUBSTITUTE(H853,"|",""))+1)</f>
        <v/>
      </c>
      <c r="V853">
        <f>IF(Q853="P",(N853+O853+P853)/3,0.3*I853+0.3*J853+0.2*K853+0.1*L853+0.1*M853)</f>
        <v/>
      </c>
      <c r="W853">
        <f>IF(Q853="P",IF(F853="",0,IFNA(VLOOKUP(F853,Pitcher_Trait_Coef!$A:$B,2,FALSE),0))+IF(G853="",0,IFNA(VLOOKUP(G853,Pitcher_Trait_Coef!$A:$B,2,FALSE),0)),IF(F853="",0,IFNA(VLOOKUP(F853,Hitter_Trait_Coef!$A:$B,2,FALSE),0))+IF(G853="",0,IFNA(VLOOKUP(G853,Hitter_Trait_Coef!$A:$B,2,FALSE),0)))</f>
        <v/>
      </c>
      <c r="X853">
        <f>IF(Q853="P",IFNA(VLOOKUP(B853,Pitcher_Primary_Coef!$A:$B,2,FALSE),0),IFNA(VLOOKUP(B853,Hitter_Primary_Coef!$A:$B,2,FALSE),0))</f>
        <v/>
      </c>
      <c r="Y853">
        <f>IF(Q853="P",0,IFNA(VLOOKUP(IF(C853="","(none)",C853),Hitter_Secondary_Coef!$A:$B,2,FALSE),0))</f>
        <v/>
      </c>
      <c r="Z853">
        <f>IF(Q853="P",IF(ISNUMBER(SEARCH("2F",H853)),IFNA(VLOOKUP("2F",Pitch_Coef!$A:$B,2,FALSE),0),0)+IF(ISNUMBER(SEARCH("4F",H853)),IFNA(VLOOKUP("4F",Pitch_Coef!$A:$B,2,FALSE),0),0)+IF(ISNUMBER(SEARCH("CB",H853)),IFNA(VLOOKUP("CB",Pitch_Coef!$A:$B,2,FALSE),0),0)+IF(ISNUMBER(SEARCH("CF",H853)),IFNA(VLOOKUP("CF",Pitch_Coef!$A:$B,2,FALSE),0),0)+IF(ISNUMBER(SEARCH("CH",H853)),IFNA(VLOOKUP("CH",Pitch_Coef!$A:$B,2,FALSE),0),0)+IF(ISNUMBER(SEARCH("FK",H853)),IFNA(VLOOKUP("FK",Pitch_Coef!$A:$B,2,FALSE),0),0)+IF(ISNUMBER(SEARCH("SB",H853)),IFNA(VLOOKUP("SB",Pitch_Coef!$A:$B,2,FALSE),0),0)+IF(ISNUMBER(SEARCH("SL",H853)),IFNA(VLOOKUP("SL",Pitch_Coef!$A:$B,2,FALSE),0),0),0)</f>
        <v/>
      </c>
      <c r="AA853">
        <f>IF(Q853="P",16.5944849573+0.2529999141*N853+0.2665900378*O853+0.2632687105*P853+0.0427586837*I853+0.0534777057*J853+0.009015832*K853+0.0204898106*(O853*P853/100)+1.0091022427*U853+1.0968542297*IF(D853="L",1,0)+0.3771555045*IF(D853="S",1,0)-0.2226159177*IF(E853="L",1,0)+1.21385024*R853-1.1652812274*S853+W853+X853+Z853,10.5965166711+0.2825983581*I853+0.2806503532*J853+0.2027213083*K853+0.1147824982*L853+0.0915305332*M853-0.0088454122*(I853*J853/100)-0.0336045706*(K853*L853/100)+2.8497389733*IF(D853="L",1,0)+4.5116226727*IF(D853="S",1,0)-0.6571546448*IF(E853="L",1,0)+0.0850728147*T853+0.0129488446*(T853*T853)+0.1909373936*IF(OR(F853="Utility",G853="Utility"),T853,0)+0.9656824071*R853-1.7517683256*S853+W853+X853+Y853)</f>
        <v/>
      </c>
      <c r="AB853">
        <f>LOOKUP(AA853,Grade_Scale!$A$2:$A$18,Grade_Scale!$B$2:$B$18)</f>
        <v/>
      </c>
      <c r="AC853">
        <f>LOOKUP(AA853,Grade_Scale!$A$2:$A$18,Grade_Scale!$C$2:$C$18)</f>
        <v/>
      </c>
      <c r="AE853">
        <f>IF(AD853="","",AB853-VLOOKUP(AD853,Grade_Scale!$C$2:$E$18,3,FALSE))</f>
        <v/>
      </c>
    </row>
    <row r="854">
      <c r="Q854">
        <f>IF(OR(B854="SP",B854="RP",B854="CP",B854="SP/RP"),"P","H")</f>
        <v/>
      </c>
      <c r="R854">
        <f>IF(F854="",0,IFNA(VLOOKUP(F854,Trait_Polarity!$A:$C,2,FALSE),0))+IF(G854="",0,IFNA(VLOOKUP(G854,Trait_Polarity!$A:$C,2,FALSE),0))</f>
        <v/>
      </c>
      <c r="S854">
        <f>IF(F854="",0,IFNA(VLOOKUP(F854,Trait_Polarity!$A:$C,3,FALSE),0))+IF(G854="",0,IFNA(VLOOKUP(G854,Trait_Polarity!$A:$C,3,FALSE),0))</f>
        <v/>
      </c>
      <c r="T854">
        <f>IF(Q854="P",0,IFNA(VLOOKUP(IF(C854="","(none)",C854),Secondary_Versatility!$A:$B,2,FALSE),0))</f>
        <v/>
      </c>
      <c r="U854">
        <f>IF(H854="",0,LEN(H854)-LEN(SUBSTITUTE(H854,"|",""))+1)</f>
        <v/>
      </c>
      <c r="V854">
        <f>IF(Q854="P",(N854+O854+P854)/3,0.3*I854+0.3*J854+0.2*K854+0.1*L854+0.1*M854)</f>
        <v/>
      </c>
      <c r="W854">
        <f>IF(Q854="P",IF(F854="",0,IFNA(VLOOKUP(F854,Pitcher_Trait_Coef!$A:$B,2,FALSE),0))+IF(G854="",0,IFNA(VLOOKUP(G854,Pitcher_Trait_Coef!$A:$B,2,FALSE),0)),IF(F854="",0,IFNA(VLOOKUP(F854,Hitter_Trait_Coef!$A:$B,2,FALSE),0))+IF(G854="",0,IFNA(VLOOKUP(G854,Hitter_Trait_Coef!$A:$B,2,FALSE),0)))</f>
        <v/>
      </c>
      <c r="X854">
        <f>IF(Q854="P",IFNA(VLOOKUP(B854,Pitcher_Primary_Coef!$A:$B,2,FALSE),0),IFNA(VLOOKUP(B854,Hitter_Primary_Coef!$A:$B,2,FALSE),0))</f>
        <v/>
      </c>
      <c r="Y854">
        <f>IF(Q854="P",0,IFNA(VLOOKUP(IF(C854="","(none)",C854),Hitter_Secondary_Coef!$A:$B,2,FALSE),0))</f>
        <v/>
      </c>
      <c r="Z854">
        <f>IF(Q854="P",IF(ISNUMBER(SEARCH("2F",H854)),IFNA(VLOOKUP("2F",Pitch_Coef!$A:$B,2,FALSE),0),0)+IF(ISNUMBER(SEARCH("4F",H854)),IFNA(VLOOKUP("4F",Pitch_Coef!$A:$B,2,FALSE),0),0)+IF(ISNUMBER(SEARCH("CB",H854)),IFNA(VLOOKUP("CB",Pitch_Coef!$A:$B,2,FALSE),0),0)+IF(ISNUMBER(SEARCH("CF",H854)),IFNA(VLOOKUP("CF",Pitch_Coef!$A:$B,2,FALSE),0),0)+IF(ISNUMBER(SEARCH("CH",H854)),IFNA(VLOOKUP("CH",Pitch_Coef!$A:$B,2,FALSE),0),0)+IF(ISNUMBER(SEARCH("FK",H854)),IFNA(VLOOKUP("FK",Pitch_Coef!$A:$B,2,FALSE),0),0)+IF(ISNUMBER(SEARCH("SB",H854)),IFNA(VLOOKUP("SB",Pitch_Coef!$A:$B,2,FALSE),0),0)+IF(ISNUMBER(SEARCH("SL",H854)),IFNA(VLOOKUP("SL",Pitch_Coef!$A:$B,2,FALSE),0),0),0)</f>
        <v/>
      </c>
      <c r="AA854">
        <f>IF(Q854="P",16.5944849573+0.2529999141*N854+0.2665900378*O854+0.2632687105*P854+0.0427586837*I854+0.0534777057*J854+0.009015832*K854+0.0204898106*(O854*P854/100)+1.0091022427*U854+1.0968542297*IF(D854="L",1,0)+0.3771555045*IF(D854="S",1,0)-0.2226159177*IF(E854="L",1,0)+1.21385024*R854-1.1652812274*S854+W854+X854+Z854,10.5965166711+0.2825983581*I854+0.2806503532*J854+0.2027213083*K854+0.1147824982*L854+0.0915305332*M854-0.0088454122*(I854*J854/100)-0.0336045706*(K854*L854/100)+2.8497389733*IF(D854="L",1,0)+4.5116226727*IF(D854="S",1,0)-0.6571546448*IF(E854="L",1,0)+0.0850728147*T854+0.0129488446*(T854*T854)+0.1909373936*IF(OR(F854="Utility",G854="Utility"),T854,0)+0.9656824071*R854-1.7517683256*S854+W854+X854+Y854)</f>
        <v/>
      </c>
      <c r="AB854">
        <f>LOOKUP(AA854,Grade_Scale!$A$2:$A$18,Grade_Scale!$B$2:$B$18)</f>
        <v/>
      </c>
      <c r="AC854">
        <f>LOOKUP(AA854,Grade_Scale!$A$2:$A$18,Grade_Scale!$C$2:$C$18)</f>
        <v/>
      </c>
      <c r="AE854">
        <f>IF(AD854="","",AB854-VLOOKUP(AD854,Grade_Scale!$C$2:$E$18,3,FALSE))</f>
        <v/>
      </c>
    </row>
    <row r="855">
      <c r="Q855">
        <f>IF(OR(B855="SP",B855="RP",B855="CP",B855="SP/RP"),"P","H")</f>
        <v/>
      </c>
      <c r="R855">
        <f>IF(F855="",0,IFNA(VLOOKUP(F855,Trait_Polarity!$A:$C,2,FALSE),0))+IF(G855="",0,IFNA(VLOOKUP(G855,Trait_Polarity!$A:$C,2,FALSE),0))</f>
        <v/>
      </c>
      <c r="S855">
        <f>IF(F855="",0,IFNA(VLOOKUP(F855,Trait_Polarity!$A:$C,3,FALSE),0))+IF(G855="",0,IFNA(VLOOKUP(G855,Trait_Polarity!$A:$C,3,FALSE),0))</f>
        <v/>
      </c>
      <c r="T855">
        <f>IF(Q855="P",0,IFNA(VLOOKUP(IF(C855="","(none)",C855),Secondary_Versatility!$A:$B,2,FALSE),0))</f>
        <v/>
      </c>
      <c r="U855">
        <f>IF(H855="",0,LEN(H855)-LEN(SUBSTITUTE(H855,"|",""))+1)</f>
        <v/>
      </c>
      <c r="V855">
        <f>IF(Q855="P",(N855+O855+P855)/3,0.3*I855+0.3*J855+0.2*K855+0.1*L855+0.1*M855)</f>
        <v/>
      </c>
      <c r="W855">
        <f>IF(Q855="P",IF(F855="",0,IFNA(VLOOKUP(F855,Pitcher_Trait_Coef!$A:$B,2,FALSE),0))+IF(G855="",0,IFNA(VLOOKUP(G855,Pitcher_Trait_Coef!$A:$B,2,FALSE),0)),IF(F855="",0,IFNA(VLOOKUP(F855,Hitter_Trait_Coef!$A:$B,2,FALSE),0))+IF(G855="",0,IFNA(VLOOKUP(G855,Hitter_Trait_Coef!$A:$B,2,FALSE),0)))</f>
        <v/>
      </c>
      <c r="X855">
        <f>IF(Q855="P",IFNA(VLOOKUP(B855,Pitcher_Primary_Coef!$A:$B,2,FALSE),0),IFNA(VLOOKUP(B855,Hitter_Primary_Coef!$A:$B,2,FALSE),0))</f>
        <v/>
      </c>
      <c r="Y855">
        <f>IF(Q855="P",0,IFNA(VLOOKUP(IF(C855="","(none)",C855),Hitter_Secondary_Coef!$A:$B,2,FALSE),0))</f>
        <v/>
      </c>
      <c r="Z855">
        <f>IF(Q855="P",IF(ISNUMBER(SEARCH("2F",H855)),IFNA(VLOOKUP("2F",Pitch_Coef!$A:$B,2,FALSE),0),0)+IF(ISNUMBER(SEARCH("4F",H855)),IFNA(VLOOKUP("4F",Pitch_Coef!$A:$B,2,FALSE),0),0)+IF(ISNUMBER(SEARCH("CB",H855)),IFNA(VLOOKUP("CB",Pitch_Coef!$A:$B,2,FALSE),0),0)+IF(ISNUMBER(SEARCH("CF",H855)),IFNA(VLOOKUP("CF",Pitch_Coef!$A:$B,2,FALSE),0),0)+IF(ISNUMBER(SEARCH("CH",H855)),IFNA(VLOOKUP("CH",Pitch_Coef!$A:$B,2,FALSE),0),0)+IF(ISNUMBER(SEARCH("FK",H855)),IFNA(VLOOKUP("FK",Pitch_Coef!$A:$B,2,FALSE),0),0)+IF(ISNUMBER(SEARCH("SB",H855)),IFNA(VLOOKUP("SB",Pitch_Coef!$A:$B,2,FALSE),0),0)+IF(ISNUMBER(SEARCH("SL",H855)),IFNA(VLOOKUP("SL",Pitch_Coef!$A:$B,2,FALSE),0),0),0)</f>
        <v/>
      </c>
      <c r="AA855">
        <f>IF(Q855="P",16.5944849573+0.2529999141*N855+0.2665900378*O855+0.2632687105*P855+0.0427586837*I855+0.0534777057*J855+0.009015832*K855+0.0204898106*(O855*P855/100)+1.0091022427*U855+1.0968542297*IF(D855="L",1,0)+0.3771555045*IF(D855="S",1,0)-0.2226159177*IF(E855="L",1,0)+1.21385024*R855-1.1652812274*S855+W855+X855+Z855,10.5965166711+0.2825983581*I855+0.2806503532*J855+0.2027213083*K855+0.1147824982*L855+0.0915305332*M855-0.0088454122*(I855*J855/100)-0.0336045706*(K855*L855/100)+2.8497389733*IF(D855="L",1,0)+4.5116226727*IF(D855="S",1,0)-0.6571546448*IF(E855="L",1,0)+0.0850728147*T855+0.0129488446*(T855*T855)+0.1909373936*IF(OR(F855="Utility",G855="Utility"),T855,0)+0.9656824071*R855-1.7517683256*S855+W855+X855+Y855)</f>
        <v/>
      </c>
      <c r="AB855">
        <f>LOOKUP(AA855,Grade_Scale!$A$2:$A$18,Grade_Scale!$B$2:$B$18)</f>
        <v/>
      </c>
      <c r="AC855">
        <f>LOOKUP(AA855,Grade_Scale!$A$2:$A$18,Grade_Scale!$C$2:$C$18)</f>
        <v/>
      </c>
      <c r="AE855">
        <f>IF(AD855="","",AB855-VLOOKUP(AD855,Grade_Scale!$C$2:$E$18,3,FALSE))</f>
        <v/>
      </c>
    </row>
    <row r="856">
      <c r="Q856">
        <f>IF(OR(B856="SP",B856="RP",B856="CP",B856="SP/RP"),"P","H")</f>
        <v/>
      </c>
      <c r="R856">
        <f>IF(F856="",0,IFNA(VLOOKUP(F856,Trait_Polarity!$A:$C,2,FALSE),0))+IF(G856="",0,IFNA(VLOOKUP(G856,Trait_Polarity!$A:$C,2,FALSE),0))</f>
        <v/>
      </c>
      <c r="S856">
        <f>IF(F856="",0,IFNA(VLOOKUP(F856,Trait_Polarity!$A:$C,3,FALSE),0))+IF(G856="",0,IFNA(VLOOKUP(G856,Trait_Polarity!$A:$C,3,FALSE),0))</f>
        <v/>
      </c>
      <c r="T856">
        <f>IF(Q856="P",0,IFNA(VLOOKUP(IF(C856="","(none)",C856),Secondary_Versatility!$A:$B,2,FALSE),0))</f>
        <v/>
      </c>
      <c r="U856">
        <f>IF(H856="",0,LEN(H856)-LEN(SUBSTITUTE(H856,"|",""))+1)</f>
        <v/>
      </c>
      <c r="V856">
        <f>IF(Q856="P",(N856+O856+P856)/3,0.3*I856+0.3*J856+0.2*K856+0.1*L856+0.1*M856)</f>
        <v/>
      </c>
      <c r="W856">
        <f>IF(Q856="P",IF(F856="",0,IFNA(VLOOKUP(F856,Pitcher_Trait_Coef!$A:$B,2,FALSE),0))+IF(G856="",0,IFNA(VLOOKUP(G856,Pitcher_Trait_Coef!$A:$B,2,FALSE),0)),IF(F856="",0,IFNA(VLOOKUP(F856,Hitter_Trait_Coef!$A:$B,2,FALSE),0))+IF(G856="",0,IFNA(VLOOKUP(G856,Hitter_Trait_Coef!$A:$B,2,FALSE),0)))</f>
        <v/>
      </c>
      <c r="X856">
        <f>IF(Q856="P",IFNA(VLOOKUP(B856,Pitcher_Primary_Coef!$A:$B,2,FALSE),0),IFNA(VLOOKUP(B856,Hitter_Primary_Coef!$A:$B,2,FALSE),0))</f>
        <v/>
      </c>
      <c r="Y856">
        <f>IF(Q856="P",0,IFNA(VLOOKUP(IF(C856="","(none)",C856),Hitter_Secondary_Coef!$A:$B,2,FALSE),0))</f>
        <v/>
      </c>
      <c r="Z856">
        <f>IF(Q856="P",IF(ISNUMBER(SEARCH("2F",H856)),IFNA(VLOOKUP("2F",Pitch_Coef!$A:$B,2,FALSE),0),0)+IF(ISNUMBER(SEARCH("4F",H856)),IFNA(VLOOKUP("4F",Pitch_Coef!$A:$B,2,FALSE),0),0)+IF(ISNUMBER(SEARCH("CB",H856)),IFNA(VLOOKUP("CB",Pitch_Coef!$A:$B,2,FALSE),0),0)+IF(ISNUMBER(SEARCH("CF",H856)),IFNA(VLOOKUP("CF",Pitch_Coef!$A:$B,2,FALSE),0),0)+IF(ISNUMBER(SEARCH("CH",H856)),IFNA(VLOOKUP("CH",Pitch_Coef!$A:$B,2,FALSE),0),0)+IF(ISNUMBER(SEARCH("FK",H856)),IFNA(VLOOKUP("FK",Pitch_Coef!$A:$B,2,FALSE),0),0)+IF(ISNUMBER(SEARCH("SB",H856)),IFNA(VLOOKUP("SB",Pitch_Coef!$A:$B,2,FALSE),0),0)+IF(ISNUMBER(SEARCH("SL",H856)),IFNA(VLOOKUP("SL",Pitch_Coef!$A:$B,2,FALSE),0),0),0)</f>
        <v/>
      </c>
      <c r="AA856">
        <f>IF(Q856="P",16.5944849573+0.2529999141*N856+0.2665900378*O856+0.2632687105*P856+0.0427586837*I856+0.0534777057*J856+0.009015832*K856+0.0204898106*(O856*P856/100)+1.0091022427*U856+1.0968542297*IF(D856="L",1,0)+0.3771555045*IF(D856="S",1,0)-0.2226159177*IF(E856="L",1,0)+1.21385024*R856-1.1652812274*S856+W856+X856+Z856,10.5965166711+0.2825983581*I856+0.2806503532*J856+0.2027213083*K856+0.1147824982*L856+0.0915305332*M856-0.0088454122*(I856*J856/100)-0.0336045706*(K856*L856/100)+2.8497389733*IF(D856="L",1,0)+4.5116226727*IF(D856="S",1,0)-0.6571546448*IF(E856="L",1,0)+0.0850728147*T856+0.0129488446*(T856*T856)+0.1909373936*IF(OR(F856="Utility",G856="Utility"),T856,0)+0.9656824071*R856-1.7517683256*S856+W856+X856+Y856)</f>
        <v/>
      </c>
      <c r="AB856">
        <f>LOOKUP(AA856,Grade_Scale!$A$2:$A$18,Grade_Scale!$B$2:$B$18)</f>
        <v/>
      </c>
      <c r="AC856">
        <f>LOOKUP(AA856,Grade_Scale!$A$2:$A$18,Grade_Scale!$C$2:$C$18)</f>
        <v/>
      </c>
      <c r="AE856">
        <f>IF(AD856="","",AB856-VLOOKUP(AD856,Grade_Scale!$C$2:$E$18,3,FALSE))</f>
        <v/>
      </c>
    </row>
    <row r="857">
      <c r="Q857">
        <f>IF(OR(B857="SP",B857="RP",B857="CP",B857="SP/RP"),"P","H")</f>
        <v/>
      </c>
      <c r="R857">
        <f>IF(F857="",0,IFNA(VLOOKUP(F857,Trait_Polarity!$A:$C,2,FALSE),0))+IF(G857="",0,IFNA(VLOOKUP(G857,Trait_Polarity!$A:$C,2,FALSE),0))</f>
        <v/>
      </c>
      <c r="S857">
        <f>IF(F857="",0,IFNA(VLOOKUP(F857,Trait_Polarity!$A:$C,3,FALSE),0))+IF(G857="",0,IFNA(VLOOKUP(G857,Trait_Polarity!$A:$C,3,FALSE),0))</f>
        <v/>
      </c>
      <c r="T857">
        <f>IF(Q857="P",0,IFNA(VLOOKUP(IF(C857="","(none)",C857),Secondary_Versatility!$A:$B,2,FALSE),0))</f>
        <v/>
      </c>
      <c r="U857">
        <f>IF(H857="",0,LEN(H857)-LEN(SUBSTITUTE(H857,"|",""))+1)</f>
        <v/>
      </c>
      <c r="V857">
        <f>IF(Q857="P",(N857+O857+P857)/3,0.3*I857+0.3*J857+0.2*K857+0.1*L857+0.1*M857)</f>
        <v/>
      </c>
      <c r="W857">
        <f>IF(Q857="P",IF(F857="",0,IFNA(VLOOKUP(F857,Pitcher_Trait_Coef!$A:$B,2,FALSE),0))+IF(G857="",0,IFNA(VLOOKUP(G857,Pitcher_Trait_Coef!$A:$B,2,FALSE),0)),IF(F857="",0,IFNA(VLOOKUP(F857,Hitter_Trait_Coef!$A:$B,2,FALSE),0))+IF(G857="",0,IFNA(VLOOKUP(G857,Hitter_Trait_Coef!$A:$B,2,FALSE),0)))</f>
        <v/>
      </c>
      <c r="X857">
        <f>IF(Q857="P",IFNA(VLOOKUP(B857,Pitcher_Primary_Coef!$A:$B,2,FALSE),0),IFNA(VLOOKUP(B857,Hitter_Primary_Coef!$A:$B,2,FALSE),0))</f>
        <v/>
      </c>
      <c r="Y857">
        <f>IF(Q857="P",0,IFNA(VLOOKUP(IF(C857="","(none)",C857),Hitter_Secondary_Coef!$A:$B,2,FALSE),0))</f>
        <v/>
      </c>
      <c r="Z857">
        <f>IF(Q857="P",IF(ISNUMBER(SEARCH("2F",H857)),IFNA(VLOOKUP("2F",Pitch_Coef!$A:$B,2,FALSE),0),0)+IF(ISNUMBER(SEARCH("4F",H857)),IFNA(VLOOKUP("4F",Pitch_Coef!$A:$B,2,FALSE),0),0)+IF(ISNUMBER(SEARCH("CB",H857)),IFNA(VLOOKUP("CB",Pitch_Coef!$A:$B,2,FALSE),0),0)+IF(ISNUMBER(SEARCH("CF",H857)),IFNA(VLOOKUP("CF",Pitch_Coef!$A:$B,2,FALSE),0),0)+IF(ISNUMBER(SEARCH("CH",H857)),IFNA(VLOOKUP("CH",Pitch_Coef!$A:$B,2,FALSE),0),0)+IF(ISNUMBER(SEARCH("FK",H857)),IFNA(VLOOKUP("FK",Pitch_Coef!$A:$B,2,FALSE),0),0)+IF(ISNUMBER(SEARCH("SB",H857)),IFNA(VLOOKUP("SB",Pitch_Coef!$A:$B,2,FALSE),0),0)+IF(ISNUMBER(SEARCH("SL",H857)),IFNA(VLOOKUP("SL",Pitch_Coef!$A:$B,2,FALSE),0),0),0)</f>
        <v/>
      </c>
      <c r="AA857">
        <f>IF(Q857="P",16.5944849573+0.2529999141*N857+0.2665900378*O857+0.2632687105*P857+0.0427586837*I857+0.0534777057*J857+0.009015832*K857+0.0204898106*(O857*P857/100)+1.0091022427*U857+1.0968542297*IF(D857="L",1,0)+0.3771555045*IF(D857="S",1,0)-0.2226159177*IF(E857="L",1,0)+1.21385024*R857-1.1652812274*S857+W857+X857+Z857,10.5965166711+0.2825983581*I857+0.2806503532*J857+0.2027213083*K857+0.1147824982*L857+0.0915305332*M857-0.0088454122*(I857*J857/100)-0.0336045706*(K857*L857/100)+2.8497389733*IF(D857="L",1,0)+4.5116226727*IF(D857="S",1,0)-0.6571546448*IF(E857="L",1,0)+0.0850728147*T857+0.0129488446*(T857*T857)+0.1909373936*IF(OR(F857="Utility",G857="Utility"),T857,0)+0.9656824071*R857-1.7517683256*S857+W857+X857+Y857)</f>
        <v/>
      </c>
      <c r="AB857">
        <f>LOOKUP(AA857,Grade_Scale!$A$2:$A$18,Grade_Scale!$B$2:$B$18)</f>
        <v/>
      </c>
      <c r="AC857">
        <f>LOOKUP(AA857,Grade_Scale!$A$2:$A$18,Grade_Scale!$C$2:$C$18)</f>
        <v/>
      </c>
      <c r="AE857">
        <f>IF(AD857="","",AB857-VLOOKUP(AD857,Grade_Scale!$C$2:$E$18,3,FALSE))</f>
        <v/>
      </c>
    </row>
    <row r="858">
      <c r="Q858">
        <f>IF(OR(B858="SP",B858="RP",B858="CP",B858="SP/RP"),"P","H")</f>
        <v/>
      </c>
      <c r="R858">
        <f>IF(F858="",0,IFNA(VLOOKUP(F858,Trait_Polarity!$A:$C,2,FALSE),0))+IF(G858="",0,IFNA(VLOOKUP(G858,Trait_Polarity!$A:$C,2,FALSE),0))</f>
        <v/>
      </c>
      <c r="S858">
        <f>IF(F858="",0,IFNA(VLOOKUP(F858,Trait_Polarity!$A:$C,3,FALSE),0))+IF(G858="",0,IFNA(VLOOKUP(G858,Trait_Polarity!$A:$C,3,FALSE),0))</f>
        <v/>
      </c>
      <c r="T858">
        <f>IF(Q858="P",0,IFNA(VLOOKUP(IF(C858="","(none)",C858),Secondary_Versatility!$A:$B,2,FALSE),0))</f>
        <v/>
      </c>
      <c r="U858">
        <f>IF(H858="",0,LEN(H858)-LEN(SUBSTITUTE(H858,"|",""))+1)</f>
        <v/>
      </c>
      <c r="V858">
        <f>IF(Q858="P",(N858+O858+P858)/3,0.3*I858+0.3*J858+0.2*K858+0.1*L858+0.1*M858)</f>
        <v/>
      </c>
      <c r="W858">
        <f>IF(Q858="P",IF(F858="",0,IFNA(VLOOKUP(F858,Pitcher_Trait_Coef!$A:$B,2,FALSE),0))+IF(G858="",0,IFNA(VLOOKUP(G858,Pitcher_Trait_Coef!$A:$B,2,FALSE),0)),IF(F858="",0,IFNA(VLOOKUP(F858,Hitter_Trait_Coef!$A:$B,2,FALSE),0))+IF(G858="",0,IFNA(VLOOKUP(G858,Hitter_Trait_Coef!$A:$B,2,FALSE),0)))</f>
        <v/>
      </c>
      <c r="X858">
        <f>IF(Q858="P",IFNA(VLOOKUP(B858,Pitcher_Primary_Coef!$A:$B,2,FALSE),0),IFNA(VLOOKUP(B858,Hitter_Primary_Coef!$A:$B,2,FALSE),0))</f>
        <v/>
      </c>
      <c r="Y858">
        <f>IF(Q858="P",0,IFNA(VLOOKUP(IF(C858="","(none)",C858),Hitter_Secondary_Coef!$A:$B,2,FALSE),0))</f>
        <v/>
      </c>
      <c r="Z858">
        <f>IF(Q858="P",IF(ISNUMBER(SEARCH("2F",H858)),IFNA(VLOOKUP("2F",Pitch_Coef!$A:$B,2,FALSE),0),0)+IF(ISNUMBER(SEARCH("4F",H858)),IFNA(VLOOKUP("4F",Pitch_Coef!$A:$B,2,FALSE),0),0)+IF(ISNUMBER(SEARCH("CB",H858)),IFNA(VLOOKUP("CB",Pitch_Coef!$A:$B,2,FALSE),0),0)+IF(ISNUMBER(SEARCH("CF",H858)),IFNA(VLOOKUP("CF",Pitch_Coef!$A:$B,2,FALSE),0),0)+IF(ISNUMBER(SEARCH("CH",H858)),IFNA(VLOOKUP("CH",Pitch_Coef!$A:$B,2,FALSE),0),0)+IF(ISNUMBER(SEARCH("FK",H858)),IFNA(VLOOKUP("FK",Pitch_Coef!$A:$B,2,FALSE),0),0)+IF(ISNUMBER(SEARCH("SB",H858)),IFNA(VLOOKUP("SB",Pitch_Coef!$A:$B,2,FALSE),0),0)+IF(ISNUMBER(SEARCH("SL",H858)),IFNA(VLOOKUP("SL",Pitch_Coef!$A:$B,2,FALSE),0),0),0)</f>
        <v/>
      </c>
      <c r="AA858">
        <f>IF(Q858="P",16.5944849573+0.2529999141*N858+0.2665900378*O858+0.2632687105*P858+0.0427586837*I858+0.0534777057*J858+0.009015832*K858+0.0204898106*(O858*P858/100)+1.0091022427*U858+1.0968542297*IF(D858="L",1,0)+0.3771555045*IF(D858="S",1,0)-0.2226159177*IF(E858="L",1,0)+1.21385024*R858-1.1652812274*S858+W858+X858+Z858,10.5965166711+0.2825983581*I858+0.2806503532*J858+0.2027213083*K858+0.1147824982*L858+0.0915305332*M858-0.0088454122*(I858*J858/100)-0.0336045706*(K858*L858/100)+2.8497389733*IF(D858="L",1,0)+4.5116226727*IF(D858="S",1,0)-0.6571546448*IF(E858="L",1,0)+0.0850728147*T858+0.0129488446*(T858*T858)+0.1909373936*IF(OR(F858="Utility",G858="Utility"),T858,0)+0.9656824071*R858-1.7517683256*S858+W858+X858+Y858)</f>
        <v/>
      </c>
      <c r="AB858">
        <f>LOOKUP(AA858,Grade_Scale!$A$2:$A$18,Grade_Scale!$B$2:$B$18)</f>
        <v/>
      </c>
      <c r="AC858">
        <f>LOOKUP(AA858,Grade_Scale!$A$2:$A$18,Grade_Scale!$C$2:$C$18)</f>
        <v/>
      </c>
      <c r="AE858">
        <f>IF(AD858="","",AB858-VLOOKUP(AD858,Grade_Scale!$C$2:$E$18,3,FALSE))</f>
        <v/>
      </c>
    </row>
    <row r="859">
      <c r="Q859">
        <f>IF(OR(B859="SP",B859="RP",B859="CP",B859="SP/RP"),"P","H")</f>
        <v/>
      </c>
      <c r="R859">
        <f>IF(F859="",0,IFNA(VLOOKUP(F859,Trait_Polarity!$A:$C,2,FALSE),0))+IF(G859="",0,IFNA(VLOOKUP(G859,Trait_Polarity!$A:$C,2,FALSE),0))</f>
        <v/>
      </c>
      <c r="S859">
        <f>IF(F859="",0,IFNA(VLOOKUP(F859,Trait_Polarity!$A:$C,3,FALSE),0))+IF(G859="",0,IFNA(VLOOKUP(G859,Trait_Polarity!$A:$C,3,FALSE),0))</f>
        <v/>
      </c>
      <c r="T859">
        <f>IF(Q859="P",0,IFNA(VLOOKUP(IF(C859="","(none)",C859),Secondary_Versatility!$A:$B,2,FALSE),0))</f>
        <v/>
      </c>
      <c r="U859">
        <f>IF(H859="",0,LEN(H859)-LEN(SUBSTITUTE(H859,"|",""))+1)</f>
        <v/>
      </c>
      <c r="V859">
        <f>IF(Q859="P",(N859+O859+P859)/3,0.3*I859+0.3*J859+0.2*K859+0.1*L859+0.1*M859)</f>
        <v/>
      </c>
      <c r="W859">
        <f>IF(Q859="P",IF(F859="",0,IFNA(VLOOKUP(F859,Pitcher_Trait_Coef!$A:$B,2,FALSE),0))+IF(G859="",0,IFNA(VLOOKUP(G859,Pitcher_Trait_Coef!$A:$B,2,FALSE),0)),IF(F859="",0,IFNA(VLOOKUP(F859,Hitter_Trait_Coef!$A:$B,2,FALSE),0))+IF(G859="",0,IFNA(VLOOKUP(G859,Hitter_Trait_Coef!$A:$B,2,FALSE),0)))</f>
        <v/>
      </c>
      <c r="X859">
        <f>IF(Q859="P",IFNA(VLOOKUP(B859,Pitcher_Primary_Coef!$A:$B,2,FALSE),0),IFNA(VLOOKUP(B859,Hitter_Primary_Coef!$A:$B,2,FALSE),0))</f>
        <v/>
      </c>
      <c r="Y859">
        <f>IF(Q859="P",0,IFNA(VLOOKUP(IF(C859="","(none)",C859),Hitter_Secondary_Coef!$A:$B,2,FALSE),0))</f>
        <v/>
      </c>
      <c r="Z859">
        <f>IF(Q859="P",IF(ISNUMBER(SEARCH("2F",H859)),IFNA(VLOOKUP("2F",Pitch_Coef!$A:$B,2,FALSE),0),0)+IF(ISNUMBER(SEARCH("4F",H859)),IFNA(VLOOKUP("4F",Pitch_Coef!$A:$B,2,FALSE),0),0)+IF(ISNUMBER(SEARCH("CB",H859)),IFNA(VLOOKUP("CB",Pitch_Coef!$A:$B,2,FALSE),0),0)+IF(ISNUMBER(SEARCH("CF",H859)),IFNA(VLOOKUP("CF",Pitch_Coef!$A:$B,2,FALSE),0),0)+IF(ISNUMBER(SEARCH("CH",H859)),IFNA(VLOOKUP("CH",Pitch_Coef!$A:$B,2,FALSE),0),0)+IF(ISNUMBER(SEARCH("FK",H859)),IFNA(VLOOKUP("FK",Pitch_Coef!$A:$B,2,FALSE),0),0)+IF(ISNUMBER(SEARCH("SB",H859)),IFNA(VLOOKUP("SB",Pitch_Coef!$A:$B,2,FALSE),0),0)+IF(ISNUMBER(SEARCH("SL",H859)),IFNA(VLOOKUP("SL",Pitch_Coef!$A:$B,2,FALSE),0),0),0)</f>
        <v/>
      </c>
      <c r="AA859">
        <f>IF(Q859="P",16.5944849573+0.2529999141*N859+0.2665900378*O859+0.2632687105*P859+0.0427586837*I859+0.0534777057*J859+0.009015832*K859+0.0204898106*(O859*P859/100)+1.0091022427*U859+1.0968542297*IF(D859="L",1,0)+0.3771555045*IF(D859="S",1,0)-0.2226159177*IF(E859="L",1,0)+1.21385024*R859-1.1652812274*S859+W859+X859+Z859,10.5965166711+0.2825983581*I859+0.2806503532*J859+0.2027213083*K859+0.1147824982*L859+0.0915305332*M859-0.0088454122*(I859*J859/100)-0.0336045706*(K859*L859/100)+2.8497389733*IF(D859="L",1,0)+4.5116226727*IF(D859="S",1,0)-0.6571546448*IF(E859="L",1,0)+0.0850728147*T859+0.0129488446*(T859*T859)+0.1909373936*IF(OR(F859="Utility",G859="Utility"),T859,0)+0.9656824071*R859-1.7517683256*S859+W859+X859+Y859)</f>
        <v/>
      </c>
      <c r="AB859">
        <f>LOOKUP(AA859,Grade_Scale!$A$2:$A$18,Grade_Scale!$B$2:$B$18)</f>
        <v/>
      </c>
      <c r="AC859">
        <f>LOOKUP(AA859,Grade_Scale!$A$2:$A$18,Grade_Scale!$C$2:$C$18)</f>
        <v/>
      </c>
      <c r="AE859">
        <f>IF(AD859="","",AB859-VLOOKUP(AD859,Grade_Scale!$C$2:$E$18,3,FALSE))</f>
        <v/>
      </c>
    </row>
    <row r="860">
      <c r="Q860">
        <f>IF(OR(B860="SP",B860="RP",B860="CP",B860="SP/RP"),"P","H")</f>
        <v/>
      </c>
      <c r="R860">
        <f>IF(F860="",0,IFNA(VLOOKUP(F860,Trait_Polarity!$A:$C,2,FALSE),0))+IF(G860="",0,IFNA(VLOOKUP(G860,Trait_Polarity!$A:$C,2,FALSE),0))</f>
        <v/>
      </c>
      <c r="S860">
        <f>IF(F860="",0,IFNA(VLOOKUP(F860,Trait_Polarity!$A:$C,3,FALSE),0))+IF(G860="",0,IFNA(VLOOKUP(G860,Trait_Polarity!$A:$C,3,FALSE),0))</f>
        <v/>
      </c>
      <c r="T860">
        <f>IF(Q860="P",0,IFNA(VLOOKUP(IF(C860="","(none)",C860),Secondary_Versatility!$A:$B,2,FALSE),0))</f>
        <v/>
      </c>
      <c r="U860">
        <f>IF(H860="",0,LEN(H860)-LEN(SUBSTITUTE(H860,"|",""))+1)</f>
        <v/>
      </c>
      <c r="V860">
        <f>IF(Q860="P",(N860+O860+P860)/3,0.3*I860+0.3*J860+0.2*K860+0.1*L860+0.1*M860)</f>
        <v/>
      </c>
      <c r="W860">
        <f>IF(Q860="P",IF(F860="",0,IFNA(VLOOKUP(F860,Pitcher_Trait_Coef!$A:$B,2,FALSE),0))+IF(G860="",0,IFNA(VLOOKUP(G860,Pitcher_Trait_Coef!$A:$B,2,FALSE),0)),IF(F860="",0,IFNA(VLOOKUP(F860,Hitter_Trait_Coef!$A:$B,2,FALSE),0))+IF(G860="",0,IFNA(VLOOKUP(G860,Hitter_Trait_Coef!$A:$B,2,FALSE),0)))</f>
        <v/>
      </c>
      <c r="X860">
        <f>IF(Q860="P",IFNA(VLOOKUP(B860,Pitcher_Primary_Coef!$A:$B,2,FALSE),0),IFNA(VLOOKUP(B860,Hitter_Primary_Coef!$A:$B,2,FALSE),0))</f>
        <v/>
      </c>
      <c r="Y860">
        <f>IF(Q860="P",0,IFNA(VLOOKUP(IF(C860="","(none)",C860),Hitter_Secondary_Coef!$A:$B,2,FALSE),0))</f>
        <v/>
      </c>
      <c r="Z860">
        <f>IF(Q860="P",IF(ISNUMBER(SEARCH("2F",H860)),IFNA(VLOOKUP("2F",Pitch_Coef!$A:$B,2,FALSE),0),0)+IF(ISNUMBER(SEARCH("4F",H860)),IFNA(VLOOKUP("4F",Pitch_Coef!$A:$B,2,FALSE),0),0)+IF(ISNUMBER(SEARCH("CB",H860)),IFNA(VLOOKUP("CB",Pitch_Coef!$A:$B,2,FALSE),0),0)+IF(ISNUMBER(SEARCH("CF",H860)),IFNA(VLOOKUP("CF",Pitch_Coef!$A:$B,2,FALSE),0),0)+IF(ISNUMBER(SEARCH("CH",H860)),IFNA(VLOOKUP("CH",Pitch_Coef!$A:$B,2,FALSE),0),0)+IF(ISNUMBER(SEARCH("FK",H860)),IFNA(VLOOKUP("FK",Pitch_Coef!$A:$B,2,FALSE),0),0)+IF(ISNUMBER(SEARCH("SB",H860)),IFNA(VLOOKUP("SB",Pitch_Coef!$A:$B,2,FALSE),0),0)+IF(ISNUMBER(SEARCH("SL",H860)),IFNA(VLOOKUP("SL",Pitch_Coef!$A:$B,2,FALSE),0),0),0)</f>
        <v/>
      </c>
      <c r="AA860">
        <f>IF(Q860="P",16.5944849573+0.2529999141*N860+0.2665900378*O860+0.2632687105*P860+0.0427586837*I860+0.0534777057*J860+0.009015832*K860+0.0204898106*(O860*P860/100)+1.0091022427*U860+1.0968542297*IF(D860="L",1,0)+0.3771555045*IF(D860="S",1,0)-0.2226159177*IF(E860="L",1,0)+1.21385024*R860-1.1652812274*S860+W860+X860+Z860,10.5965166711+0.2825983581*I860+0.2806503532*J860+0.2027213083*K860+0.1147824982*L860+0.0915305332*M860-0.0088454122*(I860*J860/100)-0.0336045706*(K860*L860/100)+2.8497389733*IF(D860="L",1,0)+4.5116226727*IF(D860="S",1,0)-0.6571546448*IF(E860="L",1,0)+0.0850728147*T860+0.0129488446*(T860*T860)+0.1909373936*IF(OR(F860="Utility",G860="Utility"),T860,0)+0.9656824071*R860-1.7517683256*S860+W860+X860+Y860)</f>
        <v/>
      </c>
      <c r="AB860">
        <f>LOOKUP(AA860,Grade_Scale!$A$2:$A$18,Grade_Scale!$B$2:$B$18)</f>
        <v/>
      </c>
      <c r="AC860">
        <f>LOOKUP(AA860,Grade_Scale!$A$2:$A$18,Grade_Scale!$C$2:$C$18)</f>
        <v/>
      </c>
      <c r="AE860">
        <f>IF(AD860="","",AB860-VLOOKUP(AD860,Grade_Scale!$C$2:$E$18,3,FALSE))</f>
        <v/>
      </c>
    </row>
    <row r="861">
      <c r="Q861">
        <f>IF(OR(B861="SP",B861="RP",B861="CP",B861="SP/RP"),"P","H")</f>
        <v/>
      </c>
      <c r="R861">
        <f>IF(F861="",0,IFNA(VLOOKUP(F861,Trait_Polarity!$A:$C,2,FALSE),0))+IF(G861="",0,IFNA(VLOOKUP(G861,Trait_Polarity!$A:$C,2,FALSE),0))</f>
        <v/>
      </c>
      <c r="S861">
        <f>IF(F861="",0,IFNA(VLOOKUP(F861,Trait_Polarity!$A:$C,3,FALSE),0))+IF(G861="",0,IFNA(VLOOKUP(G861,Trait_Polarity!$A:$C,3,FALSE),0))</f>
        <v/>
      </c>
      <c r="T861">
        <f>IF(Q861="P",0,IFNA(VLOOKUP(IF(C861="","(none)",C861),Secondary_Versatility!$A:$B,2,FALSE),0))</f>
        <v/>
      </c>
      <c r="U861">
        <f>IF(H861="",0,LEN(H861)-LEN(SUBSTITUTE(H861,"|",""))+1)</f>
        <v/>
      </c>
      <c r="V861">
        <f>IF(Q861="P",(N861+O861+P861)/3,0.3*I861+0.3*J861+0.2*K861+0.1*L861+0.1*M861)</f>
        <v/>
      </c>
      <c r="W861">
        <f>IF(Q861="P",IF(F861="",0,IFNA(VLOOKUP(F861,Pitcher_Trait_Coef!$A:$B,2,FALSE),0))+IF(G861="",0,IFNA(VLOOKUP(G861,Pitcher_Trait_Coef!$A:$B,2,FALSE),0)),IF(F861="",0,IFNA(VLOOKUP(F861,Hitter_Trait_Coef!$A:$B,2,FALSE),0))+IF(G861="",0,IFNA(VLOOKUP(G861,Hitter_Trait_Coef!$A:$B,2,FALSE),0)))</f>
        <v/>
      </c>
      <c r="X861">
        <f>IF(Q861="P",IFNA(VLOOKUP(B861,Pitcher_Primary_Coef!$A:$B,2,FALSE),0),IFNA(VLOOKUP(B861,Hitter_Primary_Coef!$A:$B,2,FALSE),0))</f>
        <v/>
      </c>
      <c r="Y861">
        <f>IF(Q861="P",0,IFNA(VLOOKUP(IF(C861="","(none)",C861),Hitter_Secondary_Coef!$A:$B,2,FALSE),0))</f>
        <v/>
      </c>
      <c r="Z861">
        <f>IF(Q861="P",IF(ISNUMBER(SEARCH("2F",H861)),IFNA(VLOOKUP("2F",Pitch_Coef!$A:$B,2,FALSE),0),0)+IF(ISNUMBER(SEARCH("4F",H861)),IFNA(VLOOKUP("4F",Pitch_Coef!$A:$B,2,FALSE),0),0)+IF(ISNUMBER(SEARCH("CB",H861)),IFNA(VLOOKUP("CB",Pitch_Coef!$A:$B,2,FALSE),0),0)+IF(ISNUMBER(SEARCH("CF",H861)),IFNA(VLOOKUP("CF",Pitch_Coef!$A:$B,2,FALSE),0),0)+IF(ISNUMBER(SEARCH("CH",H861)),IFNA(VLOOKUP("CH",Pitch_Coef!$A:$B,2,FALSE),0),0)+IF(ISNUMBER(SEARCH("FK",H861)),IFNA(VLOOKUP("FK",Pitch_Coef!$A:$B,2,FALSE),0),0)+IF(ISNUMBER(SEARCH("SB",H861)),IFNA(VLOOKUP("SB",Pitch_Coef!$A:$B,2,FALSE),0),0)+IF(ISNUMBER(SEARCH("SL",H861)),IFNA(VLOOKUP("SL",Pitch_Coef!$A:$B,2,FALSE),0),0),0)</f>
        <v/>
      </c>
      <c r="AA861">
        <f>IF(Q861="P",16.5944849573+0.2529999141*N861+0.2665900378*O861+0.2632687105*P861+0.0427586837*I861+0.0534777057*J861+0.009015832*K861+0.0204898106*(O861*P861/100)+1.0091022427*U861+1.0968542297*IF(D861="L",1,0)+0.3771555045*IF(D861="S",1,0)-0.2226159177*IF(E861="L",1,0)+1.21385024*R861-1.1652812274*S861+W861+X861+Z861,10.5965166711+0.2825983581*I861+0.2806503532*J861+0.2027213083*K861+0.1147824982*L861+0.0915305332*M861-0.0088454122*(I861*J861/100)-0.0336045706*(K861*L861/100)+2.8497389733*IF(D861="L",1,0)+4.5116226727*IF(D861="S",1,0)-0.6571546448*IF(E861="L",1,0)+0.0850728147*T861+0.0129488446*(T861*T861)+0.1909373936*IF(OR(F861="Utility",G861="Utility"),T861,0)+0.9656824071*R861-1.7517683256*S861+W861+X861+Y861)</f>
        <v/>
      </c>
      <c r="AB861">
        <f>LOOKUP(AA861,Grade_Scale!$A$2:$A$18,Grade_Scale!$B$2:$B$18)</f>
        <v/>
      </c>
      <c r="AC861">
        <f>LOOKUP(AA861,Grade_Scale!$A$2:$A$18,Grade_Scale!$C$2:$C$18)</f>
        <v/>
      </c>
      <c r="AE861">
        <f>IF(AD861="","",AB861-VLOOKUP(AD861,Grade_Scale!$C$2:$E$18,3,FALSE))</f>
        <v/>
      </c>
    </row>
    <row r="862">
      <c r="Q862">
        <f>IF(OR(B862="SP",B862="RP",B862="CP",B862="SP/RP"),"P","H")</f>
        <v/>
      </c>
      <c r="R862">
        <f>IF(F862="",0,IFNA(VLOOKUP(F862,Trait_Polarity!$A:$C,2,FALSE),0))+IF(G862="",0,IFNA(VLOOKUP(G862,Trait_Polarity!$A:$C,2,FALSE),0))</f>
        <v/>
      </c>
      <c r="S862">
        <f>IF(F862="",0,IFNA(VLOOKUP(F862,Trait_Polarity!$A:$C,3,FALSE),0))+IF(G862="",0,IFNA(VLOOKUP(G862,Trait_Polarity!$A:$C,3,FALSE),0))</f>
        <v/>
      </c>
      <c r="T862">
        <f>IF(Q862="P",0,IFNA(VLOOKUP(IF(C862="","(none)",C862),Secondary_Versatility!$A:$B,2,FALSE),0))</f>
        <v/>
      </c>
      <c r="U862">
        <f>IF(H862="",0,LEN(H862)-LEN(SUBSTITUTE(H862,"|",""))+1)</f>
        <v/>
      </c>
      <c r="V862">
        <f>IF(Q862="P",(N862+O862+P862)/3,0.3*I862+0.3*J862+0.2*K862+0.1*L862+0.1*M862)</f>
        <v/>
      </c>
      <c r="W862">
        <f>IF(Q862="P",IF(F862="",0,IFNA(VLOOKUP(F862,Pitcher_Trait_Coef!$A:$B,2,FALSE),0))+IF(G862="",0,IFNA(VLOOKUP(G862,Pitcher_Trait_Coef!$A:$B,2,FALSE),0)),IF(F862="",0,IFNA(VLOOKUP(F862,Hitter_Trait_Coef!$A:$B,2,FALSE),0))+IF(G862="",0,IFNA(VLOOKUP(G862,Hitter_Trait_Coef!$A:$B,2,FALSE),0)))</f>
        <v/>
      </c>
      <c r="X862">
        <f>IF(Q862="P",IFNA(VLOOKUP(B862,Pitcher_Primary_Coef!$A:$B,2,FALSE),0),IFNA(VLOOKUP(B862,Hitter_Primary_Coef!$A:$B,2,FALSE),0))</f>
        <v/>
      </c>
      <c r="Y862">
        <f>IF(Q862="P",0,IFNA(VLOOKUP(IF(C862="","(none)",C862),Hitter_Secondary_Coef!$A:$B,2,FALSE),0))</f>
        <v/>
      </c>
      <c r="Z862">
        <f>IF(Q862="P",IF(ISNUMBER(SEARCH("2F",H862)),IFNA(VLOOKUP("2F",Pitch_Coef!$A:$B,2,FALSE),0),0)+IF(ISNUMBER(SEARCH("4F",H862)),IFNA(VLOOKUP("4F",Pitch_Coef!$A:$B,2,FALSE),0),0)+IF(ISNUMBER(SEARCH("CB",H862)),IFNA(VLOOKUP("CB",Pitch_Coef!$A:$B,2,FALSE),0),0)+IF(ISNUMBER(SEARCH("CF",H862)),IFNA(VLOOKUP("CF",Pitch_Coef!$A:$B,2,FALSE),0),0)+IF(ISNUMBER(SEARCH("CH",H862)),IFNA(VLOOKUP("CH",Pitch_Coef!$A:$B,2,FALSE),0),0)+IF(ISNUMBER(SEARCH("FK",H862)),IFNA(VLOOKUP("FK",Pitch_Coef!$A:$B,2,FALSE),0),0)+IF(ISNUMBER(SEARCH("SB",H862)),IFNA(VLOOKUP("SB",Pitch_Coef!$A:$B,2,FALSE),0),0)+IF(ISNUMBER(SEARCH("SL",H862)),IFNA(VLOOKUP("SL",Pitch_Coef!$A:$B,2,FALSE),0),0),0)</f>
        <v/>
      </c>
      <c r="AA862">
        <f>IF(Q862="P",16.5944849573+0.2529999141*N862+0.2665900378*O862+0.2632687105*P862+0.0427586837*I862+0.0534777057*J862+0.009015832*K862+0.0204898106*(O862*P862/100)+1.0091022427*U862+1.0968542297*IF(D862="L",1,0)+0.3771555045*IF(D862="S",1,0)-0.2226159177*IF(E862="L",1,0)+1.21385024*R862-1.1652812274*S862+W862+X862+Z862,10.5965166711+0.2825983581*I862+0.2806503532*J862+0.2027213083*K862+0.1147824982*L862+0.0915305332*M862-0.0088454122*(I862*J862/100)-0.0336045706*(K862*L862/100)+2.8497389733*IF(D862="L",1,0)+4.5116226727*IF(D862="S",1,0)-0.6571546448*IF(E862="L",1,0)+0.0850728147*T862+0.0129488446*(T862*T862)+0.1909373936*IF(OR(F862="Utility",G862="Utility"),T862,0)+0.9656824071*R862-1.7517683256*S862+W862+X862+Y862)</f>
        <v/>
      </c>
      <c r="AB862">
        <f>LOOKUP(AA862,Grade_Scale!$A$2:$A$18,Grade_Scale!$B$2:$B$18)</f>
        <v/>
      </c>
      <c r="AC862">
        <f>LOOKUP(AA862,Grade_Scale!$A$2:$A$18,Grade_Scale!$C$2:$C$18)</f>
        <v/>
      </c>
      <c r="AE862">
        <f>IF(AD862="","",AB862-VLOOKUP(AD862,Grade_Scale!$C$2:$E$18,3,FALSE))</f>
        <v/>
      </c>
    </row>
    <row r="863">
      <c r="Q863">
        <f>IF(OR(B863="SP",B863="RP",B863="CP",B863="SP/RP"),"P","H")</f>
        <v/>
      </c>
      <c r="R863">
        <f>IF(F863="",0,IFNA(VLOOKUP(F863,Trait_Polarity!$A:$C,2,FALSE),0))+IF(G863="",0,IFNA(VLOOKUP(G863,Trait_Polarity!$A:$C,2,FALSE),0))</f>
        <v/>
      </c>
      <c r="S863">
        <f>IF(F863="",0,IFNA(VLOOKUP(F863,Trait_Polarity!$A:$C,3,FALSE),0))+IF(G863="",0,IFNA(VLOOKUP(G863,Trait_Polarity!$A:$C,3,FALSE),0))</f>
        <v/>
      </c>
      <c r="T863">
        <f>IF(Q863="P",0,IFNA(VLOOKUP(IF(C863="","(none)",C863),Secondary_Versatility!$A:$B,2,FALSE),0))</f>
        <v/>
      </c>
      <c r="U863">
        <f>IF(H863="",0,LEN(H863)-LEN(SUBSTITUTE(H863,"|",""))+1)</f>
        <v/>
      </c>
      <c r="V863">
        <f>IF(Q863="P",(N863+O863+P863)/3,0.3*I863+0.3*J863+0.2*K863+0.1*L863+0.1*M863)</f>
        <v/>
      </c>
      <c r="W863">
        <f>IF(Q863="P",IF(F863="",0,IFNA(VLOOKUP(F863,Pitcher_Trait_Coef!$A:$B,2,FALSE),0))+IF(G863="",0,IFNA(VLOOKUP(G863,Pitcher_Trait_Coef!$A:$B,2,FALSE),0)),IF(F863="",0,IFNA(VLOOKUP(F863,Hitter_Trait_Coef!$A:$B,2,FALSE),0))+IF(G863="",0,IFNA(VLOOKUP(G863,Hitter_Trait_Coef!$A:$B,2,FALSE),0)))</f>
        <v/>
      </c>
      <c r="X863">
        <f>IF(Q863="P",IFNA(VLOOKUP(B863,Pitcher_Primary_Coef!$A:$B,2,FALSE),0),IFNA(VLOOKUP(B863,Hitter_Primary_Coef!$A:$B,2,FALSE),0))</f>
        <v/>
      </c>
      <c r="Y863">
        <f>IF(Q863="P",0,IFNA(VLOOKUP(IF(C863="","(none)",C863),Hitter_Secondary_Coef!$A:$B,2,FALSE),0))</f>
        <v/>
      </c>
      <c r="Z863">
        <f>IF(Q863="P",IF(ISNUMBER(SEARCH("2F",H863)),IFNA(VLOOKUP("2F",Pitch_Coef!$A:$B,2,FALSE),0),0)+IF(ISNUMBER(SEARCH("4F",H863)),IFNA(VLOOKUP("4F",Pitch_Coef!$A:$B,2,FALSE),0),0)+IF(ISNUMBER(SEARCH("CB",H863)),IFNA(VLOOKUP("CB",Pitch_Coef!$A:$B,2,FALSE),0),0)+IF(ISNUMBER(SEARCH("CF",H863)),IFNA(VLOOKUP("CF",Pitch_Coef!$A:$B,2,FALSE),0),0)+IF(ISNUMBER(SEARCH("CH",H863)),IFNA(VLOOKUP("CH",Pitch_Coef!$A:$B,2,FALSE),0),0)+IF(ISNUMBER(SEARCH("FK",H863)),IFNA(VLOOKUP("FK",Pitch_Coef!$A:$B,2,FALSE),0),0)+IF(ISNUMBER(SEARCH("SB",H863)),IFNA(VLOOKUP("SB",Pitch_Coef!$A:$B,2,FALSE),0),0)+IF(ISNUMBER(SEARCH("SL",H863)),IFNA(VLOOKUP("SL",Pitch_Coef!$A:$B,2,FALSE),0),0),0)</f>
        <v/>
      </c>
      <c r="AA863">
        <f>IF(Q863="P",16.5944849573+0.2529999141*N863+0.2665900378*O863+0.2632687105*P863+0.0427586837*I863+0.0534777057*J863+0.009015832*K863+0.0204898106*(O863*P863/100)+1.0091022427*U863+1.0968542297*IF(D863="L",1,0)+0.3771555045*IF(D863="S",1,0)-0.2226159177*IF(E863="L",1,0)+1.21385024*R863-1.1652812274*S863+W863+X863+Z863,10.5965166711+0.2825983581*I863+0.2806503532*J863+0.2027213083*K863+0.1147824982*L863+0.0915305332*M863-0.0088454122*(I863*J863/100)-0.0336045706*(K863*L863/100)+2.8497389733*IF(D863="L",1,0)+4.5116226727*IF(D863="S",1,0)-0.6571546448*IF(E863="L",1,0)+0.0850728147*T863+0.0129488446*(T863*T863)+0.1909373936*IF(OR(F863="Utility",G863="Utility"),T863,0)+0.9656824071*R863-1.7517683256*S863+W863+X863+Y863)</f>
        <v/>
      </c>
      <c r="AB863">
        <f>LOOKUP(AA863,Grade_Scale!$A$2:$A$18,Grade_Scale!$B$2:$B$18)</f>
        <v/>
      </c>
      <c r="AC863">
        <f>LOOKUP(AA863,Grade_Scale!$A$2:$A$18,Grade_Scale!$C$2:$C$18)</f>
        <v/>
      </c>
      <c r="AE863">
        <f>IF(AD863="","",AB863-VLOOKUP(AD863,Grade_Scale!$C$2:$E$18,3,FALSE))</f>
        <v/>
      </c>
    </row>
    <row r="864">
      <c r="Q864">
        <f>IF(OR(B864="SP",B864="RP",B864="CP",B864="SP/RP"),"P","H")</f>
        <v/>
      </c>
      <c r="R864">
        <f>IF(F864="",0,IFNA(VLOOKUP(F864,Trait_Polarity!$A:$C,2,FALSE),0))+IF(G864="",0,IFNA(VLOOKUP(G864,Trait_Polarity!$A:$C,2,FALSE),0))</f>
        <v/>
      </c>
      <c r="S864">
        <f>IF(F864="",0,IFNA(VLOOKUP(F864,Trait_Polarity!$A:$C,3,FALSE),0))+IF(G864="",0,IFNA(VLOOKUP(G864,Trait_Polarity!$A:$C,3,FALSE),0))</f>
        <v/>
      </c>
      <c r="T864">
        <f>IF(Q864="P",0,IFNA(VLOOKUP(IF(C864="","(none)",C864),Secondary_Versatility!$A:$B,2,FALSE),0))</f>
        <v/>
      </c>
      <c r="U864">
        <f>IF(H864="",0,LEN(H864)-LEN(SUBSTITUTE(H864,"|",""))+1)</f>
        <v/>
      </c>
      <c r="V864">
        <f>IF(Q864="P",(N864+O864+P864)/3,0.3*I864+0.3*J864+0.2*K864+0.1*L864+0.1*M864)</f>
        <v/>
      </c>
      <c r="W864">
        <f>IF(Q864="P",IF(F864="",0,IFNA(VLOOKUP(F864,Pitcher_Trait_Coef!$A:$B,2,FALSE),0))+IF(G864="",0,IFNA(VLOOKUP(G864,Pitcher_Trait_Coef!$A:$B,2,FALSE),0)),IF(F864="",0,IFNA(VLOOKUP(F864,Hitter_Trait_Coef!$A:$B,2,FALSE),0))+IF(G864="",0,IFNA(VLOOKUP(G864,Hitter_Trait_Coef!$A:$B,2,FALSE),0)))</f>
        <v/>
      </c>
      <c r="X864">
        <f>IF(Q864="P",IFNA(VLOOKUP(B864,Pitcher_Primary_Coef!$A:$B,2,FALSE),0),IFNA(VLOOKUP(B864,Hitter_Primary_Coef!$A:$B,2,FALSE),0))</f>
        <v/>
      </c>
      <c r="Y864">
        <f>IF(Q864="P",0,IFNA(VLOOKUP(IF(C864="","(none)",C864),Hitter_Secondary_Coef!$A:$B,2,FALSE),0))</f>
        <v/>
      </c>
      <c r="Z864">
        <f>IF(Q864="P",IF(ISNUMBER(SEARCH("2F",H864)),IFNA(VLOOKUP("2F",Pitch_Coef!$A:$B,2,FALSE),0),0)+IF(ISNUMBER(SEARCH("4F",H864)),IFNA(VLOOKUP("4F",Pitch_Coef!$A:$B,2,FALSE),0),0)+IF(ISNUMBER(SEARCH("CB",H864)),IFNA(VLOOKUP("CB",Pitch_Coef!$A:$B,2,FALSE),0),0)+IF(ISNUMBER(SEARCH("CF",H864)),IFNA(VLOOKUP("CF",Pitch_Coef!$A:$B,2,FALSE),0),0)+IF(ISNUMBER(SEARCH("CH",H864)),IFNA(VLOOKUP("CH",Pitch_Coef!$A:$B,2,FALSE),0),0)+IF(ISNUMBER(SEARCH("FK",H864)),IFNA(VLOOKUP("FK",Pitch_Coef!$A:$B,2,FALSE),0),0)+IF(ISNUMBER(SEARCH("SB",H864)),IFNA(VLOOKUP("SB",Pitch_Coef!$A:$B,2,FALSE),0),0)+IF(ISNUMBER(SEARCH("SL",H864)),IFNA(VLOOKUP("SL",Pitch_Coef!$A:$B,2,FALSE),0),0),0)</f>
        <v/>
      </c>
      <c r="AA864">
        <f>IF(Q864="P",16.5944849573+0.2529999141*N864+0.2665900378*O864+0.2632687105*P864+0.0427586837*I864+0.0534777057*J864+0.009015832*K864+0.0204898106*(O864*P864/100)+1.0091022427*U864+1.0968542297*IF(D864="L",1,0)+0.3771555045*IF(D864="S",1,0)-0.2226159177*IF(E864="L",1,0)+1.21385024*R864-1.1652812274*S864+W864+X864+Z864,10.5965166711+0.2825983581*I864+0.2806503532*J864+0.2027213083*K864+0.1147824982*L864+0.0915305332*M864-0.0088454122*(I864*J864/100)-0.0336045706*(K864*L864/100)+2.8497389733*IF(D864="L",1,0)+4.5116226727*IF(D864="S",1,0)-0.6571546448*IF(E864="L",1,0)+0.0850728147*T864+0.0129488446*(T864*T864)+0.1909373936*IF(OR(F864="Utility",G864="Utility"),T864,0)+0.9656824071*R864-1.7517683256*S864+W864+X864+Y864)</f>
        <v/>
      </c>
      <c r="AB864">
        <f>LOOKUP(AA864,Grade_Scale!$A$2:$A$18,Grade_Scale!$B$2:$B$18)</f>
        <v/>
      </c>
      <c r="AC864">
        <f>LOOKUP(AA864,Grade_Scale!$A$2:$A$18,Grade_Scale!$C$2:$C$18)</f>
        <v/>
      </c>
      <c r="AE864">
        <f>IF(AD864="","",AB864-VLOOKUP(AD864,Grade_Scale!$C$2:$E$18,3,FALSE))</f>
        <v/>
      </c>
    </row>
    <row r="865">
      <c r="Q865">
        <f>IF(OR(B865="SP",B865="RP",B865="CP",B865="SP/RP"),"P","H")</f>
        <v/>
      </c>
      <c r="R865">
        <f>IF(F865="",0,IFNA(VLOOKUP(F865,Trait_Polarity!$A:$C,2,FALSE),0))+IF(G865="",0,IFNA(VLOOKUP(G865,Trait_Polarity!$A:$C,2,FALSE),0))</f>
        <v/>
      </c>
      <c r="S865">
        <f>IF(F865="",0,IFNA(VLOOKUP(F865,Trait_Polarity!$A:$C,3,FALSE),0))+IF(G865="",0,IFNA(VLOOKUP(G865,Trait_Polarity!$A:$C,3,FALSE),0))</f>
        <v/>
      </c>
      <c r="T865">
        <f>IF(Q865="P",0,IFNA(VLOOKUP(IF(C865="","(none)",C865),Secondary_Versatility!$A:$B,2,FALSE),0))</f>
        <v/>
      </c>
      <c r="U865">
        <f>IF(H865="",0,LEN(H865)-LEN(SUBSTITUTE(H865,"|",""))+1)</f>
        <v/>
      </c>
      <c r="V865">
        <f>IF(Q865="P",(N865+O865+P865)/3,0.3*I865+0.3*J865+0.2*K865+0.1*L865+0.1*M865)</f>
        <v/>
      </c>
      <c r="W865">
        <f>IF(Q865="P",IF(F865="",0,IFNA(VLOOKUP(F865,Pitcher_Trait_Coef!$A:$B,2,FALSE),0))+IF(G865="",0,IFNA(VLOOKUP(G865,Pitcher_Trait_Coef!$A:$B,2,FALSE),0)),IF(F865="",0,IFNA(VLOOKUP(F865,Hitter_Trait_Coef!$A:$B,2,FALSE),0))+IF(G865="",0,IFNA(VLOOKUP(G865,Hitter_Trait_Coef!$A:$B,2,FALSE),0)))</f>
        <v/>
      </c>
      <c r="X865">
        <f>IF(Q865="P",IFNA(VLOOKUP(B865,Pitcher_Primary_Coef!$A:$B,2,FALSE),0),IFNA(VLOOKUP(B865,Hitter_Primary_Coef!$A:$B,2,FALSE),0))</f>
        <v/>
      </c>
      <c r="Y865">
        <f>IF(Q865="P",0,IFNA(VLOOKUP(IF(C865="","(none)",C865),Hitter_Secondary_Coef!$A:$B,2,FALSE),0))</f>
        <v/>
      </c>
      <c r="Z865">
        <f>IF(Q865="P",IF(ISNUMBER(SEARCH("2F",H865)),IFNA(VLOOKUP("2F",Pitch_Coef!$A:$B,2,FALSE),0),0)+IF(ISNUMBER(SEARCH("4F",H865)),IFNA(VLOOKUP("4F",Pitch_Coef!$A:$B,2,FALSE),0),0)+IF(ISNUMBER(SEARCH("CB",H865)),IFNA(VLOOKUP("CB",Pitch_Coef!$A:$B,2,FALSE),0),0)+IF(ISNUMBER(SEARCH("CF",H865)),IFNA(VLOOKUP("CF",Pitch_Coef!$A:$B,2,FALSE),0),0)+IF(ISNUMBER(SEARCH("CH",H865)),IFNA(VLOOKUP("CH",Pitch_Coef!$A:$B,2,FALSE),0),0)+IF(ISNUMBER(SEARCH("FK",H865)),IFNA(VLOOKUP("FK",Pitch_Coef!$A:$B,2,FALSE),0),0)+IF(ISNUMBER(SEARCH("SB",H865)),IFNA(VLOOKUP("SB",Pitch_Coef!$A:$B,2,FALSE),0),0)+IF(ISNUMBER(SEARCH("SL",H865)),IFNA(VLOOKUP("SL",Pitch_Coef!$A:$B,2,FALSE),0),0),0)</f>
        <v/>
      </c>
      <c r="AA865">
        <f>IF(Q865="P",16.5944849573+0.2529999141*N865+0.2665900378*O865+0.2632687105*P865+0.0427586837*I865+0.0534777057*J865+0.009015832*K865+0.0204898106*(O865*P865/100)+1.0091022427*U865+1.0968542297*IF(D865="L",1,0)+0.3771555045*IF(D865="S",1,0)-0.2226159177*IF(E865="L",1,0)+1.21385024*R865-1.1652812274*S865+W865+X865+Z865,10.5965166711+0.2825983581*I865+0.2806503532*J865+0.2027213083*K865+0.1147824982*L865+0.0915305332*M865-0.0088454122*(I865*J865/100)-0.0336045706*(K865*L865/100)+2.8497389733*IF(D865="L",1,0)+4.5116226727*IF(D865="S",1,0)-0.6571546448*IF(E865="L",1,0)+0.0850728147*T865+0.0129488446*(T865*T865)+0.1909373936*IF(OR(F865="Utility",G865="Utility"),T865,0)+0.9656824071*R865-1.7517683256*S865+W865+X865+Y865)</f>
        <v/>
      </c>
      <c r="AB865">
        <f>LOOKUP(AA865,Grade_Scale!$A$2:$A$18,Grade_Scale!$B$2:$B$18)</f>
        <v/>
      </c>
      <c r="AC865">
        <f>LOOKUP(AA865,Grade_Scale!$A$2:$A$18,Grade_Scale!$C$2:$C$18)</f>
        <v/>
      </c>
      <c r="AE865">
        <f>IF(AD865="","",AB865-VLOOKUP(AD865,Grade_Scale!$C$2:$E$18,3,FALSE))</f>
        <v/>
      </c>
    </row>
    <row r="866">
      <c r="Q866">
        <f>IF(OR(B866="SP",B866="RP",B866="CP",B866="SP/RP"),"P","H")</f>
        <v/>
      </c>
      <c r="R866">
        <f>IF(F866="",0,IFNA(VLOOKUP(F866,Trait_Polarity!$A:$C,2,FALSE),0))+IF(G866="",0,IFNA(VLOOKUP(G866,Trait_Polarity!$A:$C,2,FALSE),0))</f>
        <v/>
      </c>
      <c r="S866">
        <f>IF(F866="",0,IFNA(VLOOKUP(F866,Trait_Polarity!$A:$C,3,FALSE),0))+IF(G866="",0,IFNA(VLOOKUP(G866,Trait_Polarity!$A:$C,3,FALSE),0))</f>
        <v/>
      </c>
      <c r="T866">
        <f>IF(Q866="P",0,IFNA(VLOOKUP(IF(C866="","(none)",C866),Secondary_Versatility!$A:$B,2,FALSE),0))</f>
        <v/>
      </c>
      <c r="U866">
        <f>IF(H866="",0,LEN(H866)-LEN(SUBSTITUTE(H866,"|",""))+1)</f>
        <v/>
      </c>
      <c r="V866">
        <f>IF(Q866="P",(N866+O866+P866)/3,0.3*I866+0.3*J866+0.2*K866+0.1*L866+0.1*M866)</f>
        <v/>
      </c>
      <c r="W866">
        <f>IF(Q866="P",IF(F866="",0,IFNA(VLOOKUP(F866,Pitcher_Trait_Coef!$A:$B,2,FALSE),0))+IF(G866="",0,IFNA(VLOOKUP(G866,Pitcher_Trait_Coef!$A:$B,2,FALSE),0)),IF(F866="",0,IFNA(VLOOKUP(F866,Hitter_Trait_Coef!$A:$B,2,FALSE),0))+IF(G866="",0,IFNA(VLOOKUP(G866,Hitter_Trait_Coef!$A:$B,2,FALSE),0)))</f>
        <v/>
      </c>
      <c r="X866">
        <f>IF(Q866="P",IFNA(VLOOKUP(B866,Pitcher_Primary_Coef!$A:$B,2,FALSE),0),IFNA(VLOOKUP(B866,Hitter_Primary_Coef!$A:$B,2,FALSE),0))</f>
        <v/>
      </c>
      <c r="Y866">
        <f>IF(Q866="P",0,IFNA(VLOOKUP(IF(C866="","(none)",C866),Hitter_Secondary_Coef!$A:$B,2,FALSE),0))</f>
        <v/>
      </c>
      <c r="Z866">
        <f>IF(Q866="P",IF(ISNUMBER(SEARCH("2F",H866)),IFNA(VLOOKUP("2F",Pitch_Coef!$A:$B,2,FALSE),0),0)+IF(ISNUMBER(SEARCH("4F",H866)),IFNA(VLOOKUP("4F",Pitch_Coef!$A:$B,2,FALSE),0),0)+IF(ISNUMBER(SEARCH("CB",H866)),IFNA(VLOOKUP("CB",Pitch_Coef!$A:$B,2,FALSE),0),0)+IF(ISNUMBER(SEARCH("CF",H866)),IFNA(VLOOKUP("CF",Pitch_Coef!$A:$B,2,FALSE),0),0)+IF(ISNUMBER(SEARCH("CH",H866)),IFNA(VLOOKUP("CH",Pitch_Coef!$A:$B,2,FALSE),0),0)+IF(ISNUMBER(SEARCH("FK",H866)),IFNA(VLOOKUP("FK",Pitch_Coef!$A:$B,2,FALSE),0),0)+IF(ISNUMBER(SEARCH("SB",H866)),IFNA(VLOOKUP("SB",Pitch_Coef!$A:$B,2,FALSE),0),0)+IF(ISNUMBER(SEARCH("SL",H866)),IFNA(VLOOKUP("SL",Pitch_Coef!$A:$B,2,FALSE),0),0),0)</f>
        <v/>
      </c>
      <c r="AA866">
        <f>IF(Q866="P",16.5944849573+0.2529999141*N866+0.2665900378*O866+0.2632687105*P866+0.0427586837*I866+0.0534777057*J866+0.009015832*K866+0.0204898106*(O866*P866/100)+1.0091022427*U866+1.0968542297*IF(D866="L",1,0)+0.3771555045*IF(D866="S",1,0)-0.2226159177*IF(E866="L",1,0)+1.21385024*R866-1.1652812274*S866+W866+X866+Z866,10.5965166711+0.2825983581*I866+0.2806503532*J866+0.2027213083*K866+0.1147824982*L866+0.0915305332*M866-0.0088454122*(I866*J866/100)-0.0336045706*(K866*L866/100)+2.8497389733*IF(D866="L",1,0)+4.5116226727*IF(D866="S",1,0)-0.6571546448*IF(E866="L",1,0)+0.0850728147*T866+0.0129488446*(T866*T866)+0.1909373936*IF(OR(F866="Utility",G866="Utility"),T866,0)+0.9656824071*R866-1.7517683256*S866+W866+X866+Y866)</f>
        <v/>
      </c>
      <c r="AB866">
        <f>LOOKUP(AA866,Grade_Scale!$A$2:$A$18,Grade_Scale!$B$2:$B$18)</f>
        <v/>
      </c>
      <c r="AC866">
        <f>LOOKUP(AA866,Grade_Scale!$A$2:$A$18,Grade_Scale!$C$2:$C$18)</f>
        <v/>
      </c>
      <c r="AE866">
        <f>IF(AD866="","",AB866-VLOOKUP(AD866,Grade_Scale!$C$2:$E$18,3,FALSE))</f>
        <v/>
      </c>
    </row>
    <row r="867">
      <c r="Q867">
        <f>IF(OR(B867="SP",B867="RP",B867="CP",B867="SP/RP"),"P","H")</f>
        <v/>
      </c>
      <c r="R867">
        <f>IF(F867="",0,IFNA(VLOOKUP(F867,Trait_Polarity!$A:$C,2,FALSE),0))+IF(G867="",0,IFNA(VLOOKUP(G867,Trait_Polarity!$A:$C,2,FALSE),0))</f>
        <v/>
      </c>
      <c r="S867">
        <f>IF(F867="",0,IFNA(VLOOKUP(F867,Trait_Polarity!$A:$C,3,FALSE),0))+IF(G867="",0,IFNA(VLOOKUP(G867,Trait_Polarity!$A:$C,3,FALSE),0))</f>
        <v/>
      </c>
      <c r="T867">
        <f>IF(Q867="P",0,IFNA(VLOOKUP(IF(C867="","(none)",C867),Secondary_Versatility!$A:$B,2,FALSE),0))</f>
        <v/>
      </c>
      <c r="U867">
        <f>IF(H867="",0,LEN(H867)-LEN(SUBSTITUTE(H867,"|",""))+1)</f>
        <v/>
      </c>
      <c r="V867">
        <f>IF(Q867="P",(N867+O867+P867)/3,0.3*I867+0.3*J867+0.2*K867+0.1*L867+0.1*M867)</f>
        <v/>
      </c>
      <c r="W867">
        <f>IF(Q867="P",IF(F867="",0,IFNA(VLOOKUP(F867,Pitcher_Trait_Coef!$A:$B,2,FALSE),0))+IF(G867="",0,IFNA(VLOOKUP(G867,Pitcher_Trait_Coef!$A:$B,2,FALSE),0)),IF(F867="",0,IFNA(VLOOKUP(F867,Hitter_Trait_Coef!$A:$B,2,FALSE),0))+IF(G867="",0,IFNA(VLOOKUP(G867,Hitter_Trait_Coef!$A:$B,2,FALSE),0)))</f>
        <v/>
      </c>
      <c r="X867">
        <f>IF(Q867="P",IFNA(VLOOKUP(B867,Pitcher_Primary_Coef!$A:$B,2,FALSE),0),IFNA(VLOOKUP(B867,Hitter_Primary_Coef!$A:$B,2,FALSE),0))</f>
        <v/>
      </c>
      <c r="Y867">
        <f>IF(Q867="P",0,IFNA(VLOOKUP(IF(C867="","(none)",C867),Hitter_Secondary_Coef!$A:$B,2,FALSE),0))</f>
        <v/>
      </c>
      <c r="Z867">
        <f>IF(Q867="P",IF(ISNUMBER(SEARCH("2F",H867)),IFNA(VLOOKUP("2F",Pitch_Coef!$A:$B,2,FALSE),0),0)+IF(ISNUMBER(SEARCH("4F",H867)),IFNA(VLOOKUP("4F",Pitch_Coef!$A:$B,2,FALSE),0),0)+IF(ISNUMBER(SEARCH("CB",H867)),IFNA(VLOOKUP("CB",Pitch_Coef!$A:$B,2,FALSE),0),0)+IF(ISNUMBER(SEARCH("CF",H867)),IFNA(VLOOKUP("CF",Pitch_Coef!$A:$B,2,FALSE),0),0)+IF(ISNUMBER(SEARCH("CH",H867)),IFNA(VLOOKUP("CH",Pitch_Coef!$A:$B,2,FALSE),0),0)+IF(ISNUMBER(SEARCH("FK",H867)),IFNA(VLOOKUP("FK",Pitch_Coef!$A:$B,2,FALSE),0),0)+IF(ISNUMBER(SEARCH("SB",H867)),IFNA(VLOOKUP("SB",Pitch_Coef!$A:$B,2,FALSE),0),0)+IF(ISNUMBER(SEARCH("SL",H867)),IFNA(VLOOKUP("SL",Pitch_Coef!$A:$B,2,FALSE),0),0),0)</f>
        <v/>
      </c>
      <c r="AA867">
        <f>IF(Q867="P",16.5944849573+0.2529999141*N867+0.2665900378*O867+0.2632687105*P867+0.0427586837*I867+0.0534777057*J867+0.009015832*K867+0.0204898106*(O867*P867/100)+1.0091022427*U867+1.0968542297*IF(D867="L",1,0)+0.3771555045*IF(D867="S",1,0)-0.2226159177*IF(E867="L",1,0)+1.21385024*R867-1.1652812274*S867+W867+X867+Z867,10.5965166711+0.2825983581*I867+0.2806503532*J867+0.2027213083*K867+0.1147824982*L867+0.0915305332*M867-0.0088454122*(I867*J867/100)-0.0336045706*(K867*L867/100)+2.8497389733*IF(D867="L",1,0)+4.5116226727*IF(D867="S",1,0)-0.6571546448*IF(E867="L",1,0)+0.0850728147*T867+0.0129488446*(T867*T867)+0.1909373936*IF(OR(F867="Utility",G867="Utility"),T867,0)+0.9656824071*R867-1.7517683256*S867+W867+X867+Y867)</f>
        <v/>
      </c>
      <c r="AB867">
        <f>LOOKUP(AA867,Grade_Scale!$A$2:$A$18,Grade_Scale!$B$2:$B$18)</f>
        <v/>
      </c>
      <c r="AC867">
        <f>LOOKUP(AA867,Grade_Scale!$A$2:$A$18,Grade_Scale!$C$2:$C$18)</f>
        <v/>
      </c>
      <c r="AE867">
        <f>IF(AD867="","",AB867-VLOOKUP(AD867,Grade_Scale!$C$2:$E$18,3,FALSE))</f>
        <v/>
      </c>
    </row>
    <row r="868">
      <c r="Q868">
        <f>IF(OR(B868="SP",B868="RP",B868="CP",B868="SP/RP"),"P","H")</f>
        <v/>
      </c>
      <c r="R868">
        <f>IF(F868="",0,IFNA(VLOOKUP(F868,Trait_Polarity!$A:$C,2,FALSE),0))+IF(G868="",0,IFNA(VLOOKUP(G868,Trait_Polarity!$A:$C,2,FALSE),0))</f>
        <v/>
      </c>
      <c r="S868">
        <f>IF(F868="",0,IFNA(VLOOKUP(F868,Trait_Polarity!$A:$C,3,FALSE),0))+IF(G868="",0,IFNA(VLOOKUP(G868,Trait_Polarity!$A:$C,3,FALSE),0))</f>
        <v/>
      </c>
      <c r="T868">
        <f>IF(Q868="P",0,IFNA(VLOOKUP(IF(C868="","(none)",C868),Secondary_Versatility!$A:$B,2,FALSE),0))</f>
        <v/>
      </c>
      <c r="U868">
        <f>IF(H868="",0,LEN(H868)-LEN(SUBSTITUTE(H868,"|",""))+1)</f>
        <v/>
      </c>
      <c r="V868">
        <f>IF(Q868="P",(N868+O868+P868)/3,0.3*I868+0.3*J868+0.2*K868+0.1*L868+0.1*M868)</f>
        <v/>
      </c>
      <c r="W868">
        <f>IF(Q868="P",IF(F868="",0,IFNA(VLOOKUP(F868,Pitcher_Trait_Coef!$A:$B,2,FALSE),0))+IF(G868="",0,IFNA(VLOOKUP(G868,Pitcher_Trait_Coef!$A:$B,2,FALSE),0)),IF(F868="",0,IFNA(VLOOKUP(F868,Hitter_Trait_Coef!$A:$B,2,FALSE),0))+IF(G868="",0,IFNA(VLOOKUP(G868,Hitter_Trait_Coef!$A:$B,2,FALSE),0)))</f>
        <v/>
      </c>
      <c r="X868">
        <f>IF(Q868="P",IFNA(VLOOKUP(B868,Pitcher_Primary_Coef!$A:$B,2,FALSE),0),IFNA(VLOOKUP(B868,Hitter_Primary_Coef!$A:$B,2,FALSE),0))</f>
        <v/>
      </c>
      <c r="Y868">
        <f>IF(Q868="P",0,IFNA(VLOOKUP(IF(C868="","(none)",C868),Hitter_Secondary_Coef!$A:$B,2,FALSE),0))</f>
        <v/>
      </c>
      <c r="Z868">
        <f>IF(Q868="P",IF(ISNUMBER(SEARCH("2F",H868)),IFNA(VLOOKUP("2F",Pitch_Coef!$A:$B,2,FALSE),0),0)+IF(ISNUMBER(SEARCH("4F",H868)),IFNA(VLOOKUP("4F",Pitch_Coef!$A:$B,2,FALSE),0),0)+IF(ISNUMBER(SEARCH("CB",H868)),IFNA(VLOOKUP("CB",Pitch_Coef!$A:$B,2,FALSE),0),0)+IF(ISNUMBER(SEARCH("CF",H868)),IFNA(VLOOKUP("CF",Pitch_Coef!$A:$B,2,FALSE),0),0)+IF(ISNUMBER(SEARCH("CH",H868)),IFNA(VLOOKUP("CH",Pitch_Coef!$A:$B,2,FALSE),0),0)+IF(ISNUMBER(SEARCH("FK",H868)),IFNA(VLOOKUP("FK",Pitch_Coef!$A:$B,2,FALSE),0),0)+IF(ISNUMBER(SEARCH("SB",H868)),IFNA(VLOOKUP("SB",Pitch_Coef!$A:$B,2,FALSE),0),0)+IF(ISNUMBER(SEARCH("SL",H868)),IFNA(VLOOKUP("SL",Pitch_Coef!$A:$B,2,FALSE),0),0),0)</f>
        <v/>
      </c>
      <c r="AA868">
        <f>IF(Q868="P",16.5944849573+0.2529999141*N868+0.2665900378*O868+0.2632687105*P868+0.0427586837*I868+0.0534777057*J868+0.009015832*K868+0.0204898106*(O868*P868/100)+1.0091022427*U868+1.0968542297*IF(D868="L",1,0)+0.3771555045*IF(D868="S",1,0)-0.2226159177*IF(E868="L",1,0)+1.21385024*R868-1.1652812274*S868+W868+X868+Z868,10.5965166711+0.2825983581*I868+0.2806503532*J868+0.2027213083*K868+0.1147824982*L868+0.0915305332*M868-0.0088454122*(I868*J868/100)-0.0336045706*(K868*L868/100)+2.8497389733*IF(D868="L",1,0)+4.5116226727*IF(D868="S",1,0)-0.6571546448*IF(E868="L",1,0)+0.0850728147*T868+0.0129488446*(T868*T868)+0.1909373936*IF(OR(F868="Utility",G868="Utility"),T868,0)+0.9656824071*R868-1.7517683256*S868+W868+X868+Y868)</f>
        <v/>
      </c>
      <c r="AB868">
        <f>LOOKUP(AA868,Grade_Scale!$A$2:$A$18,Grade_Scale!$B$2:$B$18)</f>
        <v/>
      </c>
      <c r="AC868">
        <f>LOOKUP(AA868,Grade_Scale!$A$2:$A$18,Grade_Scale!$C$2:$C$18)</f>
        <v/>
      </c>
      <c r="AE868">
        <f>IF(AD868="","",AB868-VLOOKUP(AD868,Grade_Scale!$C$2:$E$18,3,FALSE))</f>
        <v/>
      </c>
    </row>
    <row r="869">
      <c r="Q869">
        <f>IF(OR(B869="SP",B869="RP",B869="CP",B869="SP/RP"),"P","H")</f>
        <v/>
      </c>
      <c r="R869">
        <f>IF(F869="",0,IFNA(VLOOKUP(F869,Trait_Polarity!$A:$C,2,FALSE),0))+IF(G869="",0,IFNA(VLOOKUP(G869,Trait_Polarity!$A:$C,2,FALSE),0))</f>
        <v/>
      </c>
      <c r="S869">
        <f>IF(F869="",0,IFNA(VLOOKUP(F869,Trait_Polarity!$A:$C,3,FALSE),0))+IF(G869="",0,IFNA(VLOOKUP(G869,Trait_Polarity!$A:$C,3,FALSE),0))</f>
        <v/>
      </c>
      <c r="T869">
        <f>IF(Q869="P",0,IFNA(VLOOKUP(IF(C869="","(none)",C869),Secondary_Versatility!$A:$B,2,FALSE),0))</f>
        <v/>
      </c>
      <c r="U869">
        <f>IF(H869="",0,LEN(H869)-LEN(SUBSTITUTE(H869,"|",""))+1)</f>
        <v/>
      </c>
      <c r="V869">
        <f>IF(Q869="P",(N869+O869+P869)/3,0.3*I869+0.3*J869+0.2*K869+0.1*L869+0.1*M869)</f>
        <v/>
      </c>
      <c r="W869">
        <f>IF(Q869="P",IF(F869="",0,IFNA(VLOOKUP(F869,Pitcher_Trait_Coef!$A:$B,2,FALSE),0))+IF(G869="",0,IFNA(VLOOKUP(G869,Pitcher_Trait_Coef!$A:$B,2,FALSE),0)),IF(F869="",0,IFNA(VLOOKUP(F869,Hitter_Trait_Coef!$A:$B,2,FALSE),0))+IF(G869="",0,IFNA(VLOOKUP(G869,Hitter_Trait_Coef!$A:$B,2,FALSE),0)))</f>
        <v/>
      </c>
      <c r="X869">
        <f>IF(Q869="P",IFNA(VLOOKUP(B869,Pitcher_Primary_Coef!$A:$B,2,FALSE),0),IFNA(VLOOKUP(B869,Hitter_Primary_Coef!$A:$B,2,FALSE),0))</f>
        <v/>
      </c>
      <c r="Y869">
        <f>IF(Q869="P",0,IFNA(VLOOKUP(IF(C869="","(none)",C869),Hitter_Secondary_Coef!$A:$B,2,FALSE),0))</f>
        <v/>
      </c>
      <c r="Z869">
        <f>IF(Q869="P",IF(ISNUMBER(SEARCH("2F",H869)),IFNA(VLOOKUP("2F",Pitch_Coef!$A:$B,2,FALSE),0),0)+IF(ISNUMBER(SEARCH("4F",H869)),IFNA(VLOOKUP("4F",Pitch_Coef!$A:$B,2,FALSE),0),0)+IF(ISNUMBER(SEARCH("CB",H869)),IFNA(VLOOKUP("CB",Pitch_Coef!$A:$B,2,FALSE),0),0)+IF(ISNUMBER(SEARCH("CF",H869)),IFNA(VLOOKUP("CF",Pitch_Coef!$A:$B,2,FALSE),0),0)+IF(ISNUMBER(SEARCH("CH",H869)),IFNA(VLOOKUP("CH",Pitch_Coef!$A:$B,2,FALSE),0),0)+IF(ISNUMBER(SEARCH("FK",H869)),IFNA(VLOOKUP("FK",Pitch_Coef!$A:$B,2,FALSE),0),0)+IF(ISNUMBER(SEARCH("SB",H869)),IFNA(VLOOKUP("SB",Pitch_Coef!$A:$B,2,FALSE),0),0)+IF(ISNUMBER(SEARCH("SL",H869)),IFNA(VLOOKUP("SL",Pitch_Coef!$A:$B,2,FALSE),0),0),0)</f>
        <v/>
      </c>
      <c r="AA869">
        <f>IF(Q869="P",16.5944849573+0.2529999141*N869+0.2665900378*O869+0.2632687105*P869+0.0427586837*I869+0.0534777057*J869+0.009015832*K869+0.0204898106*(O869*P869/100)+1.0091022427*U869+1.0968542297*IF(D869="L",1,0)+0.3771555045*IF(D869="S",1,0)-0.2226159177*IF(E869="L",1,0)+1.21385024*R869-1.1652812274*S869+W869+X869+Z869,10.5965166711+0.2825983581*I869+0.2806503532*J869+0.2027213083*K869+0.1147824982*L869+0.0915305332*M869-0.0088454122*(I869*J869/100)-0.0336045706*(K869*L869/100)+2.8497389733*IF(D869="L",1,0)+4.5116226727*IF(D869="S",1,0)-0.6571546448*IF(E869="L",1,0)+0.0850728147*T869+0.0129488446*(T869*T869)+0.1909373936*IF(OR(F869="Utility",G869="Utility"),T869,0)+0.9656824071*R869-1.7517683256*S869+W869+X869+Y869)</f>
        <v/>
      </c>
      <c r="AB869">
        <f>LOOKUP(AA869,Grade_Scale!$A$2:$A$18,Grade_Scale!$B$2:$B$18)</f>
        <v/>
      </c>
      <c r="AC869">
        <f>LOOKUP(AA869,Grade_Scale!$A$2:$A$18,Grade_Scale!$C$2:$C$18)</f>
        <v/>
      </c>
      <c r="AE869">
        <f>IF(AD869="","",AB869-VLOOKUP(AD869,Grade_Scale!$C$2:$E$18,3,FALSE))</f>
        <v/>
      </c>
    </row>
    <row r="870">
      <c r="Q870">
        <f>IF(OR(B870="SP",B870="RP",B870="CP",B870="SP/RP"),"P","H")</f>
        <v/>
      </c>
      <c r="R870">
        <f>IF(F870="",0,IFNA(VLOOKUP(F870,Trait_Polarity!$A:$C,2,FALSE),0))+IF(G870="",0,IFNA(VLOOKUP(G870,Trait_Polarity!$A:$C,2,FALSE),0))</f>
        <v/>
      </c>
      <c r="S870">
        <f>IF(F870="",0,IFNA(VLOOKUP(F870,Trait_Polarity!$A:$C,3,FALSE),0))+IF(G870="",0,IFNA(VLOOKUP(G870,Trait_Polarity!$A:$C,3,FALSE),0))</f>
        <v/>
      </c>
      <c r="T870">
        <f>IF(Q870="P",0,IFNA(VLOOKUP(IF(C870="","(none)",C870),Secondary_Versatility!$A:$B,2,FALSE),0))</f>
        <v/>
      </c>
      <c r="U870">
        <f>IF(H870="",0,LEN(H870)-LEN(SUBSTITUTE(H870,"|",""))+1)</f>
        <v/>
      </c>
      <c r="V870">
        <f>IF(Q870="P",(N870+O870+P870)/3,0.3*I870+0.3*J870+0.2*K870+0.1*L870+0.1*M870)</f>
        <v/>
      </c>
      <c r="W870">
        <f>IF(Q870="P",IF(F870="",0,IFNA(VLOOKUP(F870,Pitcher_Trait_Coef!$A:$B,2,FALSE),0))+IF(G870="",0,IFNA(VLOOKUP(G870,Pitcher_Trait_Coef!$A:$B,2,FALSE),0)),IF(F870="",0,IFNA(VLOOKUP(F870,Hitter_Trait_Coef!$A:$B,2,FALSE),0))+IF(G870="",0,IFNA(VLOOKUP(G870,Hitter_Trait_Coef!$A:$B,2,FALSE),0)))</f>
        <v/>
      </c>
      <c r="X870">
        <f>IF(Q870="P",IFNA(VLOOKUP(B870,Pitcher_Primary_Coef!$A:$B,2,FALSE),0),IFNA(VLOOKUP(B870,Hitter_Primary_Coef!$A:$B,2,FALSE),0))</f>
        <v/>
      </c>
      <c r="Y870">
        <f>IF(Q870="P",0,IFNA(VLOOKUP(IF(C870="","(none)",C870),Hitter_Secondary_Coef!$A:$B,2,FALSE),0))</f>
        <v/>
      </c>
      <c r="Z870">
        <f>IF(Q870="P",IF(ISNUMBER(SEARCH("2F",H870)),IFNA(VLOOKUP("2F",Pitch_Coef!$A:$B,2,FALSE),0),0)+IF(ISNUMBER(SEARCH("4F",H870)),IFNA(VLOOKUP("4F",Pitch_Coef!$A:$B,2,FALSE),0),0)+IF(ISNUMBER(SEARCH("CB",H870)),IFNA(VLOOKUP("CB",Pitch_Coef!$A:$B,2,FALSE),0),0)+IF(ISNUMBER(SEARCH("CF",H870)),IFNA(VLOOKUP("CF",Pitch_Coef!$A:$B,2,FALSE),0),0)+IF(ISNUMBER(SEARCH("CH",H870)),IFNA(VLOOKUP("CH",Pitch_Coef!$A:$B,2,FALSE),0),0)+IF(ISNUMBER(SEARCH("FK",H870)),IFNA(VLOOKUP("FK",Pitch_Coef!$A:$B,2,FALSE),0),0)+IF(ISNUMBER(SEARCH("SB",H870)),IFNA(VLOOKUP("SB",Pitch_Coef!$A:$B,2,FALSE),0),0)+IF(ISNUMBER(SEARCH("SL",H870)),IFNA(VLOOKUP("SL",Pitch_Coef!$A:$B,2,FALSE),0),0),0)</f>
        <v/>
      </c>
      <c r="AA870">
        <f>IF(Q870="P",16.5944849573+0.2529999141*N870+0.2665900378*O870+0.2632687105*P870+0.0427586837*I870+0.0534777057*J870+0.009015832*K870+0.0204898106*(O870*P870/100)+1.0091022427*U870+1.0968542297*IF(D870="L",1,0)+0.3771555045*IF(D870="S",1,0)-0.2226159177*IF(E870="L",1,0)+1.21385024*R870-1.1652812274*S870+W870+X870+Z870,10.5965166711+0.2825983581*I870+0.2806503532*J870+0.2027213083*K870+0.1147824982*L870+0.0915305332*M870-0.0088454122*(I870*J870/100)-0.0336045706*(K870*L870/100)+2.8497389733*IF(D870="L",1,0)+4.5116226727*IF(D870="S",1,0)-0.6571546448*IF(E870="L",1,0)+0.0850728147*T870+0.0129488446*(T870*T870)+0.1909373936*IF(OR(F870="Utility",G870="Utility"),T870,0)+0.9656824071*R870-1.7517683256*S870+W870+X870+Y870)</f>
        <v/>
      </c>
      <c r="AB870">
        <f>LOOKUP(AA870,Grade_Scale!$A$2:$A$18,Grade_Scale!$B$2:$B$18)</f>
        <v/>
      </c>
      <c r="AC870">
        <f>LOOKUP(AA870,Grade_Scale!$A$2:$A$18,Grade_Scale!$C$2:$C$18)</f>
        <v/>
      </c>
      <c r="AE870">
        <f>IF(AD870="","",AB870-VLOOKUP(AD870,Grade_Scale!$C$2:$E$18,3,FALSE))</f>
        <v/>
      </c>
    </row>
    <row r="871">
      <c r="Q871">
        <f>IF(OR(B871="SP",B871="RP",B871="CP",B871="SP/RP"),"P","H")</f>
        <v/>
      </c>
      <c r="R871">
        <f>IF(F871="",0,IFNA(VLOOKUP(F871,Trait_Polarity!$A:$C,2,FALSE),0))+IF(G871="",0,IFNA(VLOOKUP(G871,Trait_Polarity!$A:$C,2,FALSE),0))</f>
        <v/>
      </c>
      <c r="S871">
        <f>IF(F871="",0,IFNA(VLOOKUP(F871,Trait_Polarity!$A:$C,3,FALSE),0))+IF(G871="",0,IFNA(VLOOKUP(G871,Trait_Polarity!$A:$C,3,FALSE),0))</f>
        <v/>
      </c>
      <c r="T871">
        <f>IF(Q871="P",0,IFNA(VLOOKUP(IF(C871="","(none)",C871),Secondary_Versatility!$A:$B,2,FALSE),0))</f>
        <v/>
      </c>
      <c r="U871">
        <f>IF(H871="",0,LEN(H871)-LEN(SUBSTITUTE(H871,"|",""))+1)</f>
        <v/>
      </c>
      <c r="V871">
        <f>IF(Q871="P",(N871+O871+P871)/3,0.3*I871+0.3*J871+0.2*K871+0.1*L871+0.1*M871)</f>
        <v/>
      </c>
      <c r="W871">
        <f>IF(Q871="P",IF(F871="",0,IFNA(VLOOKUP(F871,Pitcher_Trait_Coef!$A:$B,2,FALSE),0))+IF(G871="",0,IFNA(VLOOKUP(G871,Pitcher_Trait_Coef!$A:$B,2,FALSE),0)),IF(F871="",0,IFNA(VLOOKUP(F871,Hitter_Trait_Coef!$A:$B,2,FALSE),0))+IF(G871="",0,IFNA(VLOOKUP(G871,Hitter_Trait_Coef!$A:$B,2,FALSE),0)))</f>
        <v/>
      </c>
      <c r="X871">
        <f>IF(Q871="P",IFNA(VLOOKUP(B871,Pitcher_Primary_Coef!$A:$B,2,FALSE),0),IFNA(VLOOKUP(B871,Hitter_Primary_Coef!$A:$B,2,FALSE),0))</f>
        <v/>
      </c>
      <c r="Y871">
        <f>IF(Q871="P",0,IFNA(VLOOKUP(IF(C871="","(none)",C871),Hitter_Secondary_Coef!$A:$B,2,FALSE),0))</f>
        <v/>
      </c>
      <c r="Z871">
        <f>IF(Q871="P",IF(ISNUMBER(SEARCH("2F",H871)),IFNA(VLOOKUP("2F",Pitch_Coef!$A:$B,2,FALSE),0),0)+IF(ISNUMBER(SEARCH("4F",H871)),IFNA(VLOOKUP("4F",Pitch_Coef!$A:$B,2,FALSE),0),0)+IF(ISNUMBER(SEARCH("CB",H871)),IFNA(VLOOKUP("CB",Pitch_Coef!$A:$B,2,FALSE),0),0)+IF(ISNUMBER(SEARCH("CF",H871)),IFNA(VLOOKUP("CF",Pitch_Coef!$A:$B,2,FALSE),0),0)+IF(ISNUMBER(SEARCH("CH",H871)),IFNA(VLOOKUP("CH",Pitch_Coef!$A:$B,2,FALSE),0),0)+IF(ISNUMBER(SEARCH("FK",H871)),IFNA(VLOOKUP("FK",Pitch_Coef!$A:$B,2,FALSE),0),0)+IF(ISNUMBER(SEARCH("SB",H871)),IFNA(VLOOKUP("SB",Pitch_Coef!$A:$B,2,FALSE),0),0)+IF(ISNUMBER(SEARCH("SL",H871)),IFNA(VLOOKUP("SL",Pitch_Coef!$A:$B,2,FALSE),0),0),0)</f>
        <v/>
      </c>
      <c r="AA871">
        <f>IF(Q871="P",16.5944849573+0.2529999141*N871+0.2665900378*O871+0.2632687105*P871+0.0427586837*I871+0.0534777057*J871+0.009015832*K871+0.0204898106*(O871*P871/100)+1.0091022427*U871+1.0968542297*IF(D871="L",1,0)+0.3771555045*IF(D871="S",1,0)-0.2226159177*IF(E871="L",1,0)+1.21385024*R871-1.1652812274*S871+W871+X871+Z871,10.5965166711+0.2825983581*I871+0.2806503532*J871+0.2027213083*K871+0.1147824982*L871+0.0915305332*M871-0.0088454122*(I871*J871/100)-0.0336045706*(K871*L871/100)+2.8497389733*IF(D871="L",1,0)+4.5116226727*IF(D871="S",1,0)-0.6571546448*IF(E871="L",1,0)+0.0850728147*T871+0.0129488446*(T871*T871)+0.1909373936*IF(OR(F871="Utility",G871="Utility"),T871,0)+0.9656824071*R871-1.7517683256*S871+W871+X871+Y871)</f>
        <v/>
      </c>
      <c r="AB871">
        <f>LOOKUP(AA871,Grade_Scale!$A$2:$A$18,Grade_Scale!$B$2:$B$18)</f>
        <v/>
      </c>
      <c r="AC871">
        <f>LOOKUP(AA871,Grade_Scale!$A$2:$A$18,Grade_Scale!$C$2:$C$18)</f>
        <v/>
      </c>
      <c r="AE871">
        <f>IF(AD871="","",AB871-VLOOKUP(AD871,Grade_Scale!$C$2:$E$18,3,FALSE))</f>
        <v/>
      </c>
    </row>
    <row r="872">
      <c r="Q872">
        <f>IF(OR(B872="SP",B872="RP",B872="CP",B872="SP/RP"),"P","H")</f>
        <v/>
      </c>
      <c r="R872">
        <f>IF(F872="",0,IFNA(VLOOKUP(F872,Trait_Polarity!$A:$C,2,FALSE),0))+IF(G872="",0,IFNA(VLOOKUP(G872,Trait_Polarity!$A:$C,2,FALSE),0))</f>
        <v/>
      </c>
      <c r="S872">
        <f>IF(F872="",0,IFNA(VLOOKUP(F872,Trait_Polarity!$A:$C,3,FALSE),0))+IF(G872="",0,IFNA(VLOOKUP(G872,Trait_Polarity!$A:$C,3,FALSE),0))</f>
        <v/>
      </c>
      <c r="T872">
        <f>IF(Q872="P",0,IFNA(VLOOKUP(IF(C872="","(none)",C872),Secondary_Versatility!$A:$B,2,FALSE),0))</f>
        <v/>
      </c>
      <c r="U872">
        <f>IF(H872="",0,LEN(H872)-LEN(SUBSTITUTE(H872,"|",""))+1)</f>
        <v/>
      </c>
      <c r="V872">
        <f>IF(Q872="P",(N872+O872+P872)/3,0.3*I872+0.3*J872+0.2*K872+0.1*L872+0.1*M872)</f>
        <v/>
      </c>
      <c r="W872">
        <f>IF(Q872="P",IF(F872="",0,IFNA(VLOOKUP(F872,Pitcher_Trait_Coef!$A:$B,2,FALSE),0))+IF(G872="",0,IFNA(VLOOKUP(G872,Pitcher_Trait_Coef!$A:$B,2,FALSE),0)),IF(F872="",0,IFNA(VLOOKUP(F872,Hitter_Trait_Coef!$A:$B,2,FALSE),0))+IF(G872="",0,IFNA(VLOOKUP(G872,Hitter_Trait_Coef!$A:$B,2,FALSE),0)))</f>
        <v/>
      </c>
      <c r="X872">
        <f>IF(Q872="P",IFNA(VLOOKUP(B872,Pitcher_Primary_Coef!$A:$B,2,FALSE),0),IFNA(VLOOKUP(B872,Hitter_Primary_Coef!$A:$B,2,FALSE),0))</f>
        <v/>
      </c>
      <c r="Y872">
        <f>IF(Q872="P",0,IFNA(VLOOKUP(IF(C872="","(none)",C872),Hitter_Secondary_Coef!$A:$B,2,FALSE),0))</f>
        <v/>
      </c>
      <c r="Z872">
        <f>IF(Q872="P",IF(ISNUMBER(SEARCH("2F",H872)),IFNA(VLOOKUP("2F",Pitch_Coef!$A:$B,2,FALSE),0),0)+IF(ISNUMBER(SEARCH("4F",H872)),IFNA(VLOOKUP("4F",Pitch_Coef!$A:$B,2,FALSE),0),0)+IF(ISNUMBER(SEARCH("CB",H872)),IFNA(VLOOKUP("CB",Pitch_Coef!$A:$B,2,FALSE),0),0)+IF(ISNUMBER(SEARCH("CF",H872)),IFNA(VLOOKUP("CF",Pitch_Coef!$A:$B,2,FALSE),0),0)+IF(ISNUMBER(SEARCH("CH",H872)),IFNA(VLOOKUP("CH",Pitch_Coef!$A:$B,2,FALSE),0),0)+IF(ISNUMBER(SEARCH("FK",H872)),IFNA(VLOOKUP("FK",Pitch_Coef!$A:$B,2,FALSE),0),0)+IF(ISNUMBER(SEARCH("SB",H872)),IFNA(VLOOKUP("SB",Pitch_Coef!$A:$B,2,FALSE),0),0)+IF(ISNUMBER(SEARCH("SL",H872)),IFNA(VLOOKUP("SL",Pitch_Coef!$A:$B,2,FALSE),0),0),0)</f>
        <v/>
      </c>
      <c r="AA872">
        <f>IF(Q872="P",16.5944849573+0.2529999141*N872+0.2665900378*O872+0.2632687105*P872+0.0427586837*I872+0.0534777057*J872+0.009015832*K872+0.0204898106*(O872*P872/100)+1.0091022427*U872+1.0968542297*IF(D872="L",1,0)+0.3771555045*IF(D872="S",1,0)-0.2226159177*IF(E872="L",1,0)+1.21385024*R872-1.1652812274*S872+W872+X872+Z872,10.5965166711+0.2825983581*I872+0.2806503532*J872+0.2027213083*K872+0.1147824982*L872+0.0915305332*M872-0.0088454122*(I872*J872/100)-0.0336045706*(K872*L872/100)+2.8497389733*IF(D872="L",1,0)+4.5116226727*IF(D872="S",1,0)-0.6571546448*IF(E872="L",1,0)+0.0850728147*T872+0.0129488446*(T872*T872)+0.1909373936*IF(OR(F872="Utility",G872="Utility"),T872,0)+0.9656824071*R872-1.7517683256*S872+W872+X872+Y872)</f>
        <v/>
      </c>
      <c r="AB872">
        <f>LOOKUP(AA872,Grade_Scale!$A$2:$A$18,Grade_Scale!$B$2:$B$18)</f>
        <v/>
      </c>
      <c r="AC872">
        <f>LOOKUP(AA872,Grade_Scale!$A$2:$A$18,Grade_Scale!$C$2:$C$18)</f>
        <v/>
      </c>
      <c r="AE872">
        <f>IF(AD872="","",AB872-VLOOKUP(AD872,Grade_Scale!$C$2:$E$18,3,FALSE))</f>
        <v/>
      </c>
    </row>
    <row r="873">
      <c r="Q873">
        <f>IF(OR(B873="SP",B873="RP",B873="CP",B873="SP/RP"),"P","H")</f>
        <v/>
      </c>
      <c r="R873">
        <f>IF(F873="",0,IFNA(VLOOKUP(F873,Trait_Polarity!$A:$C,2,FALSE),0))+IF(G873="",0,IFNA(VLOOKUP(G873,Trait_Polarity!$A:$C,2,FALSE),0))</f>
        <v/>
      </c>
      <c r="S873">
        <f>IF(F873="",0,IFNA(VLOOKUP(F873,Trait_Polarity!$A:$C,3,FALSE),0))+IF(G873="",0,IFNA(VLOOKUP(G873,Trait_Polarity!$A:$C,3,FALSE),0))</f>
        <v/>
      </c>
      <c r="T873">
        <f>IF(Q873="P",0,IFNA(VLOOKUP(IF(C873="","(none)",C873),Secondary_Versatility!$A:$B,2,FALSE),0))</f>
        <v/>
      </c>
      <c r="U873">
        <f>IF(H873="",0,LEN(H873)-LEN(SUBSTITUTE(H873,"|",""))+1)</f>
        <v/>
      </c>
      <c r="V873">
        <f>IF(Q873="P",(N873+O873+P873)/3,0.3*I873+0.3*J873+0.2*K873+0.1*L873+0.1*M873)</f>
        <v/>
      </c>
      <c r="W873">
        <f>IF(Q873="P",IF(F873="",0,IFNA(VLOOKUP(F873,Pitcher_Trait_Coef!$A:$B,2,FALSE),0))+IF(G873="",0,IFNA(VLOOKUP(G873,Pitcher_Trait_Coef!$A:$B,2,FALSE),0)),IF(F873="",0,IFNA(VLOOKUP(F873,Hitter_Trait_Coef!$A:$B,2,FALSE),0))+IF(G873="",0,IFNA(VLOOKUP(G873,Hitter_Trait_Coef!$A:$B,2,FALSE),0)))</f>
        <v/>
      </c>
      <c r="X873">
        <f>IF(Q873="P",IFNA(VLOOKUP(B873,Pitcher_Primary_Coef!$A:$B,2,FALSE),0),IFNA(VLOOKUP(B873,Hitter_Primary_Coef!$A:$B,2,FALSE),0))</f>
        <v/>
      </c>
      <c r="Y873">
        <f>IF(Q873="P",0,IFNA(VLOOKUP(IF(C873="","(none)",C873),Hitter_Secondary_Coef!$A:$B,2,FALSE),0))</f>
        <v/>
      </c>
      <c r="Z873">
        <f>IF(Q873="P",IF(ISNUMBER(SEARCH("2F",H873)),IFNA(VLOOKUP("2F",Pitch_Coef!$A:$B,2,FALSE),0),0)+IF(ISNUMBER(SEARCH("4F",H873)),IFNA(VLOOKUP("4F",Pitch_Coef!$A:$B,2,FALSE),0),0)+IF(ISNUMBER(SEARCH("CB",H873)),IFNA(VLOOKUP("CB",Pitch_Coef!$A:$B,2,FALSE),0),0)+IF(ISNUMBER(SEARCH("CF",H873)),IFNA(VLOOKUP("CF",Pitch_Coef!$A:$B,2,FALSE),0),0)+IF(ISNUMBER(SEARCH("CH",H873)),IFNA(VLOOKUP("CH",Pitch_Coef!$A:$B,2,FALSE),0),0)+IF(ISNUMBER(SEARCH("FK",H873)),IFNA(VLOOKUP("FK",Pitch_Coef!$A:$B,2,FALSE),0),0)+IF(ISNUMBER(SEARCH("SB",H873)),IFNA(VLOOKUP("SB",Pitch_Coef!$A:$B,2,FALSE),0),0)+IF(ISNUMBER(SEARCH("SL",H873)),IFNA(VLOOKUP("SL",Pitch_Coef!$A:$B,2,FALSE),0),0),0)</f>
        <v/>
      </c>
      <c r="AA873">
        <f>IF(Q873="P",16.5944849573+0.2529999141*N873+0.2665900378*O873+0.2632687105*P873+0.0427586837*I873+0.0534777057*J873+0.009015832*K873+0.0204898106*(O873*P873/100)+1.0091022427*U873+1.0968542297*IF(D873="L",1,0)+0.3771555045*IF(D873="S",1,0)-0.2226159177*IF(E873="L",1,0)+1.21385024*R873-1.1652812274*S873+W873+X873+Z873,10.5965166711+0.2825983581*I873+0.2806503532*J873+0.2027213083*K873+0.1147824982*L873+0.0915305332*M873-0.0088454122*(I873*J873/100)-0.0336045706*(K873*L873/100)+2.8497389733*IF(D873="L",1,0)+4.5116226727*IF(D873="S",1,0)-0.6571546448*IF(E873="L",1,0)+0.0850728147*T873+0.0129488446*(T873*T873)+0.1909373936*IF(OR(F873="Utility",G873="Utility"),T873,0)+0.9656824071*R873-1.7517683256*S873+W873+X873+Y873)</f>
        <v/>
      </c>
      <c r="AB873">
        <f>LOOKUP(AA873,Grade_Scale!$A$2:$A$18,Grade_Scale!$B$2:$B$18)</f>
        <v/>
      </c>
      <c r="AC873">
        <f>LOOKUP(AA873,Grade_Scale!$A$2:$A$18,Grade_Scale!$C$2:$C$18)</f>
        <v/>
      </c>
      <c r="AE873">
        <f>IF(AD873="","",AB873-VLOOKUP(AD873,Grade_Scale!$C$2:$E$18,3,FALSE))</f>
        <v/>
      </c>
    </row>
    <row r="874">
      <c r="Q874">
        <f>IF(OR(B874="SP",B874="RP",B874="CP",B874="SP/RP"),"P","H")</f>
        <v/>
      </c>
      <c r="R874">
        <f>IF(F874="",0,IFNA(VLOOKUP(F874,Trait_Polarity!$A:$C,2,FALSE),0))+IF(G874="",0,IFNA(VLOOKUP(G874,Trait_Polarity!$A:$C,2,FALSE),0))</f>
        <v/>
      </c>
      <c r="S874">
        <f>IF(F874="",0,IFNA(VLOOKUP(F874,Trait_Polarity!$A:$C,3,FALSE),0))+IF(G874="",0,IFNA(VLOOKUP(G874,Trait_Polarity!$A:$C,3,FALSE),0))</f>
        <v/>
      </c>
      <c r="T874">
        <f>IF(Q874="P",0,IFNA(VLOOKUP(IF(C874="","(none)",C874),Secondary_Versatility!$A:$B,2,FALSE),0))</f>
        <v/>
      </c>
      <c r="U874">
        <f>IF(H874="",0,LEN(H874)-LEN(SUBSTITUTE(H874,"|",""))+1)</f>
        <v/>
      </c>
      <c r="V874">
        <f>IF(Q874="P",(N874+O874+P874)/3,0.3*I874+0.3*J874+0.2*K874+0.1*L874+0.1*M874)</f>
        <v/>
      </c>
      <c r="W874">
        <f>IF(Q874="P",IF(F874="",0,IFNA(VLOOKUP(F874,Pitcher_Trait_Coef!$A:$B,2,FALSE),0))+IF(G874="",0,IFNA(VLOOKUP(G874,Pitcher_Trait_Coef!$A:$B,2,FALSE),0)),IF(F874="",0,IFNA(VLOOKUP(F874,Hitter_Trait_Coef!$A:$B,2,FALSE),0))+IF(G874="",0,IFNA(VLOOKUP(G874,Hitter_Trait_Coef!$A:$B,2,FALSE),0)))</f>
        <v/>
      </c>
      <c r="X874">
        <f>IF(Q874="P",IFNA(VLOOKUP(B874,Pitcher_Primary_Coef!$A:$B,2,FALSE),0),IFNA(VLOOKUP(B874,Hitter_Primary_Coef!$A:$B,2,FALSE),0))</f>
        <v/>
      </c>
      <c r="Y874">
        <f>IF(Q874="P",0,IFNA(VLOOKUP(IF(C874="","(none)",C874),Hitter_Secondary_Coef!$A:$B,2,FALSE),0))</f>
        <v/>
      </c>
      <c r="Z874">
        <f>IF(Q874="P",IF(ISNUMBER(SEARCH("2F",H874)),IFNA(VLOOKUP("2F",Pitch_Coef!$A:$B,2,FALSE),0),0)+IF(ISNUMBER(SEARCH("4F",H874)),IFNA(VLOOKUP("4F",Pitch_Coef!$A:$B,2,FALSE),0),0)+IF(ISNUMBER(SEARCH("CB",H874)),IFNA(VLOOKUP("CB",Pitch_Coef!$A:$B,2,FALSE),0),0)+IF(ISNUMBER(SEARCH("CF",H874)),IFNA(VLOOKUP("CF",Pitch_Coef!$A:$B,2,FALSE),0),0)+IF(ISNUMBER(SEARCH("CH",H874)),IFNA(VLOOKUP("CH",Pitch_Coef!$A:$B,2,FALSE),0),0)+IF(ISNUMBER(SEARCH("FK",H874)),IFNA(VLOOKUP("FK",Pitch_Coef!$A:$B,2,FALSE),0),0)+IF(ISNUMBER(SEARCH("SB",H874)),IFNA(VLOOKUP("SB",Pitch_Coef!$A:$B,2,FALSE),0),0)+IF(ISNUMBER(SEARCH("SL",H874)),IFNA(VLOOKUP("SL",Pitch_Coef!$A:$B,2,FALSE),0),0),0)</f>
        <v/>
      </c>
      <c r="AA874">
        <f>IF(Q874="P",16.5944849573+0.2529999141*N874+0.2665900378*O874+0.2632687105*P874+0.0427586837*I874+0.0534777057*J874+0.009015832*K874+0.0204898106*(O874*P874/100)+1.0091022427*U874+1.0968542297*IF(D874="L",1,0)+0.3771555045*IF(D874="S",1,0)-0.2226159177*IF(E874="L",1,0)+1.21385024*R874-1.1652812274*S874+W874+X874+Z874,10.5965166711+0.2825983581*I874+0.2806503532*J874+0.2027213083*K874+0.1147824982*L874+0.0915305332*M874-0.0088454122*(I874*J874/100)-0.0336045706*(K874*L874/100)+2.8497389733*IF(D874="L",1,0)+4.5116226727*IF(D874="S",1,0)-0.6571546448*IF(E874="L",1,0)+0.0850728147*T874+0.0129488446*(T874*T874)+0.1909373936*IF(OR(F874="Utility",G874="Utility"),T874,0)+0.9656824071*R874-1.7517683256*S874+W874+X874+Y874)</f>
        <v/>
      </c>
      <c r="AB874">
        <f>LOOKUP(AA874,Grade_Scale!$A$2:$A$18,Grade_Scale!$B$2:$B$18)</f>
        <v/>
      </c>
      <c r="AC874">
        <f>LOOKUP(AA874,Grade_Scale!$A$2:$A$18,Grade_Scale!$C$2:$C$18)</f>
        <v/>
      </c>
      <c r="AE874">
        <f>IF(AD874="","",AB874-VLOOKUP(AD874,Grade_Scale!$C$2:$E$18,3,FALSE))</f>
        <v/>
      </c>
    </row>
    <row r="875">
      <c r="Q875">
        <f>IF(OR(B875="SP",B875="RP",B875="CP",B875="SP/RP"),"P","H")</f>
        <v/>
      </c>
      <c r="R875">
        <f>IF(F875="",0,IFNA(VLOOKUP(F875,Trait_Polarity!$A:$C,2,FALSE),0))+IF(G875="",0,IFNA(VLOOKUP(G875,Trait_Polarity!$A:$C,2,FALSE),0))</f>
        <v/>
      </c>
      <c r="S875">
        <f>IF(F875="",0,IFNA(VLOOKUP(F875,Trait_Polarity!$A:$C,3,FALSE),0))+IF(G875="",0,IFNA(VLOOKUP(G875,Trait_Polarity!$A:$C,3,FALSE),0))</f>
        <v/>
      </c>
      <c r="T875">
        <f>IF(Q875="P",0,IFNA(VLOOKUP(IF(C875="","(none)",C875),Secondary_Versatility!$A:$B,2,FALSE),0))</f>
        <v/>
      </c>
      <c r="U875">
        <f>IF(H875="",0,LEN(H875)-LEN(SUBSTITUTE(H875,"|",""))+1)</f>
        <v/>
      </c>
      <c r="V875">
        <f>IF(Q875="P",(N875+O875+P875)/3,0.3*I875+0.3*J875+0.2*K875+0.1*L875+0.1*M875)</f>
        <v/>
      </c>
      <c r="W875">
        <f>IF(Q875="P",IF(F875="",0,IFNA(VLOOKUP(F875,Pitcher_Trait_Coef!$A:$B,2,FALSE),0))+IF(G875="",0,IFNA(VLOOKUP(G875,Pitcher_Trait_Coef!$A:$B,2,FALSE),0)),IF(F875="",0,IFNA(VLOOKUP(F875,Hitter_Trait_Coef!$A:$B,2,FALSE),0))+IF(G875="",0,IFNA(VLOOKUP(G875,Hitter_Trait_Coef!$A:$B,2,FALSE),0)))</f>
        <v/>
      </c>
      <c r="X875">
        <f>IF(Q875="P",IFNA(VLOOKUP(B875,Pitcher_Primary_Coef!$A:$B,2,FALSE),0),IFNA(VLOOKUP(B875,Hitter_Primary_Coef!$A:$B,2,FALSE),0))</f>
        <v/>
      </c>
      <c r="Y875">
        <f>IF(Q875="P",0,IFNA(VLOOKUP(IF(C875="","(none)",C875),Hitter_Secondary_Coef!$A:$B,2,FALSE),0))</f>
        <v/>
      </c>
      <c r="Z875">
        <f>IF(Q875="P",IF(ISNUMBER(SEARCH("2F",H875)),IFNA(VLOOKUP("2F",Pitch_Coef!$A:$B,2,FALSE),0),0)+IF(ISNUMBER(SEARCH("4F",H875)),IFNA(VLOOKUP("4F",Pitch_Coef!$A:$B,2,FALSE),0),0)+IF(ISNUMBER(SEARCH("CB",H875)),IFNA(VLOOKUP("CB",Pitch_Coef!$A:$B,2,FALSE),0),0)+IF(ISNUMBER(SEARCH("CF",H875)),IFNA(VLOOKUP("CF",Pitch_Coef!$A:$B,2,FALSE),0),0)+IF(ISNUMBER(SEARCH("CH",H875)),IFNA(VLOOKUP("CH",Pitch_Coef!$A:$B,2,FALSE),0),0)+IF(ISNUMBER(SEARCH("FK",H875)),IFNA(VLOOKUP("FK",Pitch_Coef!$A:$B,2,FALSE),0),0)+IF(ISNUMBER(SEARCH("SB",H875)),IFNA(VLOOKUP("SB",Pitch_Coef!$A:$B,2,FALSE),0),0)+IF(ISNUMBER(SEARCH("SL",H875)),IFNA(VLOOKUP("SL",Pitch_Coef!$A:$B,2,FALSE),0),0),0)</f>
        <v/>
      </c>
      <c r="AA875">
        <f>IF(Q875="P",16.5944849573+0.2529999141*N875+0.2665900378*O875+0.2632687105*P875+0.0427586837*I875+0.0534777057*J875+0.009015832*K875+0.0204898106*(O875*P875/100)+1.0091022427*U875+1.0968542297*IF(D875="L",1,0)+0.3771555045*IF(D875="S",1,0)-0.2226159177*IF(E875="L",1,0)+1.21385024*R875-1.1652812274*S875+W875+X875+Z875,10.5965166711+0.2825983581*I875+0.2806503532*J875+0.2027213083*K875+0.1147824982*L875+0.0915305332*M875-0.0088454122*(I875*J875/100)-0.0336045706*(K875*L875/100)+2.8497389733*IF(D875="L",1,0)+4.5116226727*IF(D875="S",1,0)-0.6571546448*IF(E875="L",1,0)+0.0850728147*T875+0.0129488446*(T875*T875)+0.1909373936*IF(OR(F875="Utility",G875="Utility"),T875,0)+0.9656824071*R875-1.7517683256*S875+W875+X875+Y875)</f>
        <v/>
      </c>
      <c r="AB875">
        <f>LOOKUP(AA875,Grade_Scale!$A$2:$A$18,Grade_Scale!$B$2:$B$18)</f>
        <v/>
      </c>
      <c r="AC875">
        <f>LOOKUP(AA875,Grade_Scale!$A$2:$A$18,Grade_Scale!$C$2:$C$18)</f>
        <v/>
      </c>
      <c r="AE875">
        <f>IF(AD875="","",AB875-VLOOKUP(AD875,Grade_Scale!$C$2:$E$18,3,FALSE))</f>
        <v/>
      </c>
    </row>
    <row r="876">
      <c r="Q876">
        <f>IF(OR(B876="SP",B876="RP",B876="CP",B876="SP/RP"),"P","H")</f>
        <v/>
      </c>
      <c r="R876">
        <f>IF(F876="",0,IFNA(VLOOKUP(F876,Trait_Polarity!$A:$C,2,FALSE),0))+IF(G876="",0,IFNA(VLOOKUP(G876,Trait_Polarity!$A:$C,2,FALSE),0))</f>
        <v/>
      </c>
      <c r="S876">
        <f>IF(F876="",0,IFNA(VLOOKUP(F876,Trait_Polarity!$A:$C,3,FALSE),0))+IF(G876="",0,IFNA(VLOOKUP(G876,Trait_Polarity!$A:$C,3,FALSE),0))</f>
        <v/>
      </c>
      <c r="T876">
        <f>IF(Q876="P",0,IFNA(VLOOKUP(IF(C876="","(none)",C876),Secondary_Versatility!$A:$B,2,FALSE),0))</f>
        <v/>
      </c>
      <c r="U876">
        <f>IF(H876="",0,LEN(H876)-LEN(SUBSTITUTE(H876,"|",""))+1)</f>
        <v/>
      </c>
      <c r="V876">
        <f>IF(Q876="P",(N876+O876+P876)/3,0.3*I876+0.3*J876+0.2*K876+0.1*L876+0.1*M876)</f>
        <v/>
      </c>
      <c r="W876">
        <f>IF(Q876="P",IF(F876="",0,IFNA(VLOOKUP(F876,Pitcher_Trait_Coef!$A:$B,2,FALSE),0))+IF(G876="",0,IFNA(VLOOKUP(G876,Pitcher_Trait_Coef!$A:$B,2,FALSE),0)),IF(F876="",0,IFNA(VLOOKUP(F876,Hitter_Trait_Coef!$A:$B,2,FALSE),0))+IF(G876="",0,IFNA(VLOOKUP(G876,Hitter_Trait_Coef!$A:$B,2,FALSE),0)))</f>
        <v/>
      </c>
      <c r="X876">
        <f>IF(Q876="P",IFNA(VLOOKUP(B876,Pitcher_Primary_Coef!$A:$B,2,FALSE),0),IFNA(VLOOKUP(B876,Hitter_Primary_Coef!$A:$B,2,FALSE),0))</f>
        <v/>
      </c>
      <c r="Y876">
        <f>IF(Q876="P",0,IFNA(VLOOKUP(IF(C876="","(none)",C876),Hitter_Secondary_Coef!$A:$B,2,FALSE),0))</f>
        <v/>
      </c>
      <c r="Z876">
        <f>IF(Q876="P",IF(ISNUMBER(SEARCH("2F",H876)),IFNA(VLOOKUP("2F",Pitch_Coef!$A:$B,2,FALSE),0),0)+IF(ISNUMBER(SEARCH("4F",H876)),IFNA(VLOOKUP("4F",Pitch_Coef!$A:$B,2,FALSE),0),0)+IF(ISNUMBER(SEARCH("CB",H876)),IFNA(VLOOKUP("CB",Pitch_Coef!$A:$B,2,FALSE),0),0)+IF(ISNUMBER(SEARCH("CF",H876)),IFNA(VLOOKUP("CF",Pitch_Coef!$A:$B,2,FALSE),0),0)+IF(ISNUMBER(SEARCH("CH",H876)),IFNA(VLOOKUP("CH",Pitch_Coef!$A:$B,2,FALSE),0),0)+IF(ISNUMBER(SEARCH("FK",H876)),IFNA(VLOOKUP("FK",Pitch_Coef!$A:$B,2,FALSE),0),0)+IF(ISNUMBER(SEARCH("SB",H876)),IFNA(VLOOKUP("SB",Pitch_Coef!$A:$B,2,FALSE),0),0)+IF(ISNUMBER(SEARCH("SL",H876)),IFNA(VLOOKUP("SL",Pitch_Coef!$A:$B,2,FALSE),0),0),0)</f>
        <v/>
      </c>
      <c r="AA876">
        <f>IF(Q876="P",16.5944849573+0.2529999141*N876+0.2665900378*O876+0.2632687105*P876+0.0427586837*I876+0.0534777057*J876+0.009015832*K876+0.0204898106*(O876*P876/100)+1.0091022427*U876+1.0968542297*IF(D876="L",1,0)+0.3771555045*IF(D876="S",1,0)-0.2226159177*IF(E876="L",1,0)+1.21385024*R876-1.1652812274*S876+W876+X876+Z876,10.5965166711+0.2825983581*I876+0.2806503532*J876+0.2027213083*K876+0.1147824982*L876+0.0915305332*M876-0.0088454122*(I876*J876/100)-0.0336045706*(K876*L876/100)+2.8497389733*IF(D876="L",1,0)+4.5116226727*IF(D876="S",1,0)-0.6571546448*IF(E876="L",1,0)+0.0850728147*T876+0.0129488446*(T876*T876)+0.1909373936*IF(OR(F876="Utility",G876="Utility"),T876,0)+0.9656824071*R876-1.7517683256*S876+W876+X876+Y876)</f>
        <v/>
      </c>
      <c r="AB876">
        <f>LOOKUP(AA876,Grade_Scale!$A$2:$A$18,Grade_Scale!$B$2:$B$18)</f>
        <v/>
      </c>
      <c r="AC876">
        <f>LOOKUP(AA876,Grade_Scale!$A$2:$A$18,Grade_Scale!$C$2:$C$18)</f>
        <v/>
      </c>
      <c r="AE876">
        <f>IF(AD876="","",AB876-VLOOKUP(AD876,Grade_Scale!$C$2:$E$18,3,FALSE))</f>
        <v/>
      </c>
    </row>
    <row r="877">
      <c r="Q877">
        <f>IF(OR(B877="SP",B877="RP",B877="CP",B877="SP/RP"),"P","H")</f>
        <v/>
      </c>
      <c r="R877">
        <f>IF(F877="",0,IFNA(VLOOKUP(F877,Trait_Polarity!$A:$C,2,FALSE),0))+IF(G877="",0,IFNA(VLOOKUP(G877,Trait_Polarity!$A:$C,2,FALSE),0))</f>
        <v/>
      </c>
      <c r="S877">
        <f>IF(F877="",0,IFNA(VLOOKUP(F877,Trait_Polarity!$A:$C,3,FALSE),0))+IF(G877="",0,IFNA(VLOOKUP(G877,Trait_Polarity!$A:$C,3,FALSE),0))</f>
        <v/>
      </c>
      <c r="T877">
        <f>IF(Q877="P",0,IFNA(VLOOKUP(IF(C877="","(none)",C877),Secondary_Versatility!$A:$B,2,FALSE),0))</f>
        <v/>
      </c>
      <c r="U877">
        <f>IF(H877="",0,LEN(H877)-LEN(SUBSTITUTE(H877,"|",""))+1)</f>
        <v/>
      </c>
      <c r="V877">
        <f>IF(Q877="P",(N877+O877+P877)/3,0.3*I877+0.3*J877+0.2*K877+0.1*L877+0.1*M877)</f>
        <v/>
      </c>
      <c r="W877">
        <f>IF(Q877="P",IF(F877="",0,IFNA(VLOOKUP(F877,Pitcher_Trait_Coef!$A:$B,2,FALSE),0))+IF(G877="",0,IFNA(VLOOKUP(G877,Pitcher_Trait_Coef!$A:$B,2,FALSE),0)),IF(F877="",0,IFNA(VLOOKUP(F877,Hitter_Trait_Coef!$A:$B,2,FALSE),0))+IF(G877="",0,IFNA(VLOOKUP(G877,Hitter_Trait_Coef!$A:$B,2,FALSE),0)))</f>
        <v/>
      </c>
      <c r="X877">
        <f>IF(Q877="P",IFNA(VLOOKUP(B877,Pitcher_Primary_Coef!$A:$B,2,FALSE),0),IFNA(VLOOKUP(B877,Hitter_Primary_Coef!$A:$B,2,FALSE),0))</f>
        <v/>
      </c>
      <c r="Y877">
        <f>IF(Q877="P",0,IFNA(VLOOKUP(IF(C877="","(none)",C877),Hitter_Secondary_Coef!$A:$B,2,FALSE),0))</f>
        <v/>
      </c>
      <c r="Z877">
        <f>IF(Q877="P",IF(ISNUMBER(SEARCH("2F",H877)),IFNA(VLOOKUP("2F",Pitch_Coef!$A:$B,2,FALSE),0),0)+IF(ISNUMBER(SEARCH("4F",H877)),IFNA(VLOOKUP("4F",Pitch_Coef!$A:$B,2,FALSE),0),0)+IF(ISNUMBER(SEARCH("CB",H877)),IFNA(VLOOKUP("CB",Pitch_Coef!$A:$B,2,FALSE),0),0)+IF(ISNUMBER(SEARCH("CF",H877)),IFNA(VLOOKUP("CF",Pitch_Coef!$A:$B,2,FALSE),0),0)+IF(ISNUMBER(SEARCH("CH",H877)),IFNA(VLOOKUP("CH",Pitch_Coef!$A:$B,2,FALSE),0),0)+IF(ISNUMBER(SEARCH("FK",H877)),IFNA(VLOOKUP("FK",Pitch_Coef!$A:$B,2,FALSE),0),0)+IF(ISNUMBER(SEARCH("SB",H877)),IFNA(VLOOKUP("SB",Pitch_Coef!$A:$B,2,FALSE),0),0)+IF(ISNUMBER(SEARCH("SL",H877)),IFNA(VLOOKUP("SL",Pitch_Coef!$A:$B,2,FALSE),0),0),0)</f>
        <v/>
      </c>
      <c r="AA877">
        <f>IF(Q877="P",16.5944849573+0.2529999141*N877+0.2665900378*O877+0.2632687105*P877+0.0427586837*I877+0.0534777057*J877+0.009015832*K877+0.0204898106*(O877*P877/100)+1.0091022427*U877+1.0968542297*IF(D877="L",1,0)+0.3771555045*IF(D877="S",1,0)-0.2226159177*IF(E877="L",1,0)+1.21385024*R877-1.1652812274*S877+W877+X877+Z877,10.5965166711+0.2825983581*I877+0.2806503532*J877+0.2027213083*K877+0.1147824982*L877+0.0915305332*M877-0.0088454122*(I877*J877/100)-0.0336045706*(K877*L877/100)+2.8497389733*IF(D877="L",1,0)+4.5116226727*IF(D877="S",1,0)-0.6571546448*IF(E877="L",1,0)+0.0850728147*T877+0.0129488446*(T877*T877)+0.1909373936*IF(OR(F877="Utility",G877="Utility"),T877,0)+0.9656824071*R877-1.7517683256*S877+W877+X877+Y877)</f>
        <v/>
      </c>
      <c r="AB877">
        <f>LOOKUP(AA877,Grade_Scale!$A$2:$A$18,Grade_Scale!$B$2:$B$18)</f>
        <v/>
      </c>
      <c r="AC877">
        <f>LOOKUP(AA877,Grade_Scale!$A$2:$A$18,Grade_Scale!$C$2:$C$18)</f>
        <v/>
      </c>
      <c r="AE877">
        <f>IF(AD877="","",AB877-VLOOKUP(AD877,Grade_Scale!$C$2:$E$18,3,FALSE))</f>
        <v/>
      </c>
    </row>
    <row r="878">
      <c r="Q878">
        <f>IF(OR(B878="SP",B878="RP",B878="CP",B878="SP/RP"),"P","H")</f>
        <v/>
      </c>
      <c r="R878">
        <f>IF(F878="",0,IFNA(VLOOKUP(F878,Trait_Polarity!$A:$C,2,FALSE),0))+IF(G878="",0,IFNA(VLOOKUP(G878,Trait_Polarity!$A:$C,2,FALSE),0))</f>
        <v/>
      </c>
      <c r="S878">
        <f>IF(F878="",0,IFNA(VLOOKUP(F878,Trait_Polarity!$A:$C,3,FALSE),0))+IF(G878="",0,IFNA(VLOOKUP(G878,Trait_Polarity!$A:$C,3,FALSE),0))</f>
        <v/>
      </c>
      <c r="T878">
        <f>IF(Q878="P",0,IFNA(VLOOKUP(IF(C878="","(none)",C878),Secondary_Versatility!$A:$B,2,FALSE),0))</f>
        <v/>
      </c>
      <c r="U878">
        <f>IF(H878="",0,LEN(H878)-LEN(SUBSTITUTE(H878,"|",""))+1)</f>
        <v/>
      </c>
      <c r="V878">
        <f>IF(Q878="P",(N878+O878+P878)/3,0.3*I878+0.3*J878+0.2*K878+0.1*L878+0.1*M878)</f>
        <v/>
      </c>
      <c r="W878">
        <f>IF(Q878="P",IF(F878="",0,IFNA(VLOOKUP(F878,Pitcher_Trait_Coef!$A:$B,2,FALSE),0))+IF(G878="",0,IFNA(VLOOKUP(G878,Pitcher_Trait_Coef!$A:$B,2,FALSE),0)),IF(F878="",0,IFNA(VLOOKUP(F878,Hitter_Trait_Coef!$A:$B,2,FALSE),0))+IF(G878="",0,IFNA(VLOOKUP(G878,Hitter_Trait_Coef!$A:$B,2,FALSE),0)))</f>
        <v/>
      </c>
      <c r="X878">
        <f>IF(Q878="P",IFNA(VLOOKUP(B878,Pitcher_Primary_Coef!$A:$B,2,FALSE),0),IFNA(VLOOKUP(B878,Hitter_Primary_Coef!$A:$B,2,FALSE),0))</f>
        <v/>
      </c>
      <c r="Y878">
        <f>IF(Q878="P",0,IFNA(VLOOKUP(IF(C878="","(none)",C878),Hitter_Secondary_Coef!$A:$B,2,FALSE),0))</f>
        <v/>
      </c>
      <c r="Z878">
        <f>IF(Q878="P",IF(ISNUMBER(SEARCH("2F",H878)),IFNA(VLOOKUP("2F",Pitch_Coef!$A:$B,2,FALSE),0),0)+IF(ISNUMBER(SEARCH("4F",H878)),IFNA(VLOOKUP("4F",Pitch_Coef!$A:$B,2,FALSE),0),0)+IF(ISNUMBER(SEARCH("CB",H878)),IFNA(VLOOKUP("CB",Pitch_Coef!$A:$B,2,FALSE),0),0)+IF(ISNUMBER(SEARCH("CF",H878)),IFNA(VLOOKUP("CF",Pitch_Coef!$A:$B,2,FALSE),0),0)+IF(ISNUMBER(SEARCH("CH",H878)),IFNA(VLOOKUP("CH",Pitch_Coef!$A:$B,2,FALSE),0),0)+IF(ISNUMBER(SEARCH("FK",H878)),IFNA(VLOOKUP("FK",Pitch_Coef!$A:$B,2,FALSE),0),0)+IF(ISNUMBER(SEARCH("SB",H878)),IFNA(VLOOKUP("SB",Pitch_Coef!$A:$B,2,FALSE),0),0)+IF(ISNUMBER(SEARCH("SL",H878)),IFNA(VLOOKUP("SL",Pitch_Coef!$A:$B,2,FALSE),0),0),0)</f>
        <v/>
      </c>
      <c r="AA878">
        <f>IF(Q878="P",16.5944849573+0.2529999141*N878+0.2665900378*O878+0.2632687105*P878+0.0427586837*I878+0.0534777057*J878+0.009015832*K878+0.0204898106*(O878*P878/100)+1.0091022427*U878+1.0968542297*IF(D878="L",1,0)+0.3771555045*IF(D878="S",1,0)-0.2226159177*IF(E878="L",1,0)+1.21385024*R878-1.1652812274*S878+W878+X878+Z878,10.5965166711+0.2825983581*I878+0.2806503532*J878+0.2027213083*K878+0.1147824982*L878+0.0915305332*M878-0.0088454122*(I878*J878/100)-0.0336045706*(K878*L878/100)+2.8497389733*IF(D878="L",1,0)+4.5116226727*IF(D878="S",1,0)-0.6571546448*IF(E878="L",1,0)+0.0850728147*T878+0.0129488446*(T878*T878)+0.1909373936*IF(OR(F878="Utility",G878="Utility"),T878,0)+0.9656824071*R878-1.7517683256*S878+W878+X878+Y878)</f>
        <v/>
      </c>
      <c r="AB878">
        <f>LOOKUP(AA878,Grade_Scale!$A$2:$A$18,Grade_Scale!$B$2:$B$18)</f>
        <v/>
      </c>
      <c r="AC878">
        <f>LOOKUP(AA878,Grade_Scale!$A$2:$A$18,Grade_Scale!$C$2:$C$18)</f>
        <v/>
      </c>
      <c r="AE878">
        <f>IF(AD878="","",AB878-VLOOKUP(AD878,Grade_Scale!$C$2:$E$18,3,FALSE))</f>
        <v/>
      </c>
    </row>
    <row r="879">
      <c r="Q879">
        <f>IF(OR(B879="SP",B879="RP",B879="CP",B879="SP/RP"),"P","H")</f>
        <v/>
      </c>
      <c r="R879">
        <f>IF(F879="",0,IFNA(VLOOKUP(F879,Trait_Polarity!$A:$C,2,FALSE),0))+IF(G879="",0,IFNA(VLOOKUP(G879,Trait_Polarity!$A:$C,2,FALSE),0))</f>
        <v/>
      </c>
      <c r="S879">
        <f>IF(F879="",0,IFNA(VLOOKUP(F879,Trait_Polarity!$A:$C,3,FALSE),0))+IF(G879="",0,IFNA(VLOOKUP(G879,Trait_Polarity!$A:$C,3,FALSE),0))</f>
        <v/>
      </c>
      <c r="T879">
        <f>IF(Q879="P",0,IFNA(VLOOKUP(IF(C879="","(none)",C879),Secondary_Versatility!$A:$B,2,FALSE),0))</f>
        <v/>
      </c>
      <c r="U879">
        <f>IF(H879="",0,LEN(H879)-LEN(SUBSTITUTE(H879,"|",""))+1)</f>
        <v/>
      </c>
      <c r="V879">
        <f>IF(Q879="P",(N879+O879+P879)/3,0.3*I879+0.3*J879+0.2*K879+0.1*L879+0.1*M879)</f>
        <v/>
      </c>
      <c r="W879">
        <f>IF(Q879="P",IF(F879="",0,IFNA(VLOOKUP(F879,Pitcher_Trait_Coef!$A:$B,2,FALSE),0))+IF(G879="",0,IFNA(VLOOKUP(G879,Pitcher_Trait_Coef!$A:$B,2,FALSE),0)),IF(F879="",0,IFNA(VLOOKUP(F879,Hitter_Trait_Coef!$A:$B,2,FALSE),0))+IF(G879="",0,IFNA(VLOOKUP(G879,Hitter_Trait_Coef!$A:$B,2,FALSE),0)))</f>
        <v/>
      </c>
      <c r="X879">
        <f>IF(Q879="P",IFNA(VLOOKUP(B879,Pitcher_Primary_Coef!$A:$B,2,FALSE),0),IFNA(VLOOKUP(B879,Hitter_Primary_Coef!$A:$B,2,FALSE),0))</f>
        <v/>
      </c>
      <c r="Y879">
        <f>IF(Q879="P",0,IFNA(VLOOKUP(IF(C879="","(none)",C879),Hitter_Secondary_Coef!$A:$B,2,FALSE),0))</f>
        <v/>
      </c>
      <c r="Z879">
        <f>IF(Q879="P",IF(ISNUMBER(SEARCH("2F",H879)),IFNA(VLOOKUP("2F",Pitch_Coef!$A:$B,2,FALSE),0),0)+IF(ISNUMBER(SEARCH("4F",H879)),IFNA(VLOOKUP("4F",Pitch_Coef!$A:$B,2,FALSE),0),0)+IF(ISNUMBER(SEARCH("CB",H879)),IFNA(VLOOKUP("CB",Pitch_Coef!$A:$B,2,FALSE),0),0)+IF(ISNUMBER(SEARCH("CF",H879)),IFNA(VLOOKUP("CF",Pitch_Coef!$A:$B,2,FALSE),0),0)+IF(ISNUMBER(SEARCH("CH",H879)),IFNA(VLOOKUP("CH",Pitch_Coef!$A:$B,2,FALSE),0),0)+IF(ISNUMBER(SEARCH("FK",H879)),IFNA(VLOOKUP("FK",Pitch_Coef!$A:$B,2,FALSE),0),0)+IF(ISNUMBER(SEARCH("SB",H879)),IFNA(VLOOKUP("SB",Pitch_Coef!$A:$B,2,FALSE),0),0)+IF(ISNUMBER(SEARCH("SL",H879)),IFNA(VLOOKUP("SL",Pitch_Coef!$A:$B,2,FALSE),0),0),0)</f>
        <v/>
      </c>
      <c r="AA879">
        <f>IF(Q879="P",16.5944849573+0.2529999141*N879+0.2665900378*O879+0.2632687105*P879+0.0427586837*I879+0.0534777057*J879+0.009015832*K879+0.0204898106*(O879*P879/100)+1.0091022427*U879+1.0968542297*IF(D879="L",1,0)+0.3771555045*IF(D879="S",1,0)-0.2226159177*IF(E879="L",1,0)+1.21385024*R879-1.1652812274*S879+W879+X879+Z879,10.5965166711+0.2825983581*I879+0.2806503532*J879+0.2027213083*K879+0.1147824982*L879+0.0915305332*M879-0.0088454122*(I879*J879/100)-0.0336045706*(K879*L879/100)+2.8497389733*IF(D879="L",1,0)+4.5116226727*IF(D879="S",1,0)-0.6571546448*IF(E879="L",1,0)+0.0850728147*T879+0.0129488446*(T879*T879)+0.1909373936*IF(OR(F879="Utility",G879="Utility"),T879,0)+0.9656824071*R879-1.7517683256*S879+W879+X879+Y879)</f>
        <v/>
      </c>
      <c r="AB879">
        <f>LOOKUP(AA879,Grade_Scale!$A$2:$A$18,Grade_Scale!$B$2:$B$18)</f>
        <v/>
      </c>
      <c r="AC879">
        <f>LOOKUP(AA879,Grade_Scale!$A$2:$A$18,Grade_Scale!$C$2:$C$18)</f>
        <v/>
      </c>
      <c r="AE879">
        <f>IF(AD879="","",AB879-VLOOKUP(AD879,Grade_Scale!$C$2:$E$18,3,FALSE))</f>
        <v/>
      </c>
    </row>
    <row r="880">
      <c r="Q880">
        <f>IF(OR(B880="SP",B880="RP",B880="CP",B880="SP/RP"),"P","H")</f>
        <v/>
      </c>
      <c r="R880">
        <f>IF(F880="",0,IFNA(VLOOKUP(F880,Trait_Polarity!$A:$C,2,FALSE),0))+IF(G880="",0,IFNA(VLOOKUP(G880,Trait_Polarity!$A:$C,2,FALSE),0))</f>
        <v/>
      </c>
      <c r="S880">
        <f>IF(F880="",0,IFNA(VLOOKUP(F880,Trait_Polarity!$A:$C,3,FALSE),0))+IF(G880="",0,IFNA(VLOOKUP(G880,Trait_Polarity!$A:$C,3,FALSE),0))</f>
        <v/>
      </c>
      <c r="T880">
        <f>IF(Q880="P",0,IFNA(VLOOKUP(IF(C880="","(none)",C880),Secondary_Versatility!$A:$B,2,FALSE),0))</f>
        <v/>
      </c>
      <c r="U880">
        <f>IF(H880="",0,LEN(H880)-LEN(SUBSTITUTE(H880,"|",""))+1)</f>
        <v/>
      </c>
      <c r="V880">
        <f>IF(Q880="P",(N880+O880+P880)/3,0.3*I880+0.3*J880+0.2*K880+0.1*L880+0.1*M880)</f>
        <v/>
      </c>
      <c r="W880">
        <f>IF(Q880="P",IF(F880="",0,IFNA(VLOOKUP(F880,Pitcher_Trait_Coef!$A:$B,2,FALSE),0))+IF(G880="",0,IFNA(VLOOKUP(G880,Pitcher_Trait_Coef!$A:$B,2,FALSE),0)),IF(F880="",0,IFNA(VLOOKUP(F880,Hitter_Trait_Coef!$A:$B,2,FALSE),0))+IF(G880="",0,IFNA(VLOOKUP(G880,Hitter_Trait_Coef!$A:$B,2,FALSE),0)))</f>
        <v/>
      </c>
      <c r="X880">
        <f>IF(Q880="P",IFNA(VLOOKUP(B880,Pitcher_Primary_Coef!$A:$B,2,FALSE),0),IFNA(VLOOKUP(B880,Hitter_Primary_Coef!$A:$B,2,FALSE),0))</f>
        <v/>
      </c>
      <c r="Y880">
        <f>IF(Q880="P",0,IFNA(VLOOKUP(IF(C880="","(none)",C880),Hitter_Secondary_Coef!$A:$B,2,FALSE),0))</f>
        <v/>
      </c>
      <c r="Z880">
        <f>IF(Q880="P",IF(ISNUMBER(SEARCH("2F",H880)),IFNA(VLOOKUP("2F",Pitch_Coef!$A:$B,2,FALSE),0),0)+IF(ISNUMBER(SEARCH("4F",H880)),IFNA(VLOOKUP("4F",Pitch_Coef!$A:$B,2,FALSE),0),0)+IF(ISNUMBER(SEARCH("CB",H880)),IFNA(VLOOKUP("CB",Pitch_Coef!$A:$B,2,FALSE),0),0)+IF(ISNUMBER(SEARCH("CF",H880)),IFNA(VLOOKUP("CF",Pitch_Coef!$A:$B,2,FALSE),0),0)+IF(ISNUMBER(SEARCH("CH",H880)),IFNA(VLOOKUP("CH",Pitch_Coef!$A:$B,2,FALSE),0),0)+IF(ISNUMBER(SEARCH("FK",H880)),IFNA(VLOOKUP("FK",Pitch_Coef!$A:$B,2,FALSE),0),0)+IF(ISNUMBER(SEARCH("SB",H880)),IFNA(VLOOKUP("SB",Pitch_Coef!$A:$B,2,FALSE),0),0)+IF(ISNUMBER(SEARCH("SL",H880)),IFNA(VLOOKUP("SL",Pitch_Coef!$A:$B,2,FALSE),0),0),0)</f>
        <v/>
      </c>
      <c r="AA880">
        <f>IF(Q880="P",16.5944849573+0.2529999141*N880+0.2665900378*O880+0.2632687105*P880+0.0427586837*I880+0.0534777057*J880+0.009015832*K880+0.0204898106*(O880*P880/100)+1.0091022427*U880+1.0968542297*IF(D880="L",1,0)+0.3771555045*IF(D880="S",1,0)-0.2226159177*IF(E880="L",1,0)+1.21385024*R880-1.1652812274*S880+W880+X880+Z880,10.5965166711+0.2825983581*I880+0.2806503532*J880+0.2027213083*K880+0.1147824982*L880+0.0915305332*M880-0.0088454122*(I880*J880/100)-0.0336045706*(K880*L880/100)+2.8497389733*IF(D880="L",1,0)+4.5116226727*IF(D880="S",1,0)-0.6571546448*IF(E880="L",1,0)+0.0850728147*T880+0.0129488446*(T880*T880)+0.1909373936*IF(OR(F880="Utility",G880="Utility"),T880,0)+0.9656824071*R880-1.7517683256*S880+W880+X880+Y880)</f>
        <v/>
      </c>
      <c r="AB880">
        <f>LOOKUP(AA880,Grade_Scale!$A$2:$A$18,Grade_Scale!$B$2:$B$18)</f>
        <v/>
      </c>
      <c r="AC880">
        <f>LOOKUP(AA880,Grade_Scale!$A$2:$A$18,Grade_Scale!$C$2:$C$18)</f>
        <v/>
      </c>
      <c r="AE880">
        <f>IF(AD880="","",AB880-VLOOKUP(AD880,Grade_Scale!$C$2:$E$18,3,FALSE))</f>
        <v/>
      </c>
    </row>
    <row r="881">
      <c r="Q881">
        <f>IF(OR(B881="SP",B881="RP",B881="CP",B881="SP/RP"),"P","H")</f>
        <v/>
      </c>
      <c r="R881">
        <f>IF(F881="",0,IFNA(VLOOKUP(F881,Trait_Polarity!$A:$C,2,FALSE),0))+IF(G881="",0,IFNA(VLOOKUP(G881,Trait_Polarity!$A:$C,2,FALSE),0))</f>
        <v/>
      </c>
      <c r="S881">
        <f>IF(F881="",0,IFNA(VLOOKUP(F881,Trait_Polarity!$A:$C,3,FALSE),0))+IF(G881="",0,IFNA(VLOOKUP(G881,Trait_Polarity!$A:$C,3,FALSE),0))</f>
        <v/>
      </c>
      <c r="T881">
        <f>IF(Q881="P",0,IFNA(VLOOKUP(IF(C881="","(none)",C881),Secondary_Versatility!$A:$B,2,FALSE),0))</f>
        <v/>
      </c>
      <c r="U881">
        <f>IF(H881="",0,LEN(H881)-LEN(SUBSTITUTE(H881,"|",""))+1)</f>
        <v/>
      </c>
      <c r="V881">
        <f>IF(Q881="P",(N881+O881+P881)/3,0.3*I881+0.3*J881+0.2*K881+0.1*L881+0.1*M881)</f>
        <v/>
      </c>
      <c r="W881">
        <f>IF(Q881="P",IF(F881="",0,IFNA(VLOOKUP(F881,Pitcher_Trait_Coef!$A:$B,2,FALSE),0))+IF(G881="",0,IFNA(VLOOKUP(G881,Pitcher_Trait_Coef!$A:$B,2,FALSE),0)),IF(F881="",0,IFNA(VLOOKUP(F881,Hitter_Trait_Coef!$A:$B,2,FALSE),0))+IF(G881="",0,IFNA(VLOOKUP(G881,Hitter_Trait_Coef!$A:$B,2,FALSE),0)))</f>
        <v/>
      </c>
      <c r="X881">
        <f>IF(Q881="P",IFNA(VLOOKUP(B881,Pitcher_Primary_Coef!$A:$B,2,FALSE),0),IFNA(VLOOKUP(B881,Hitter_Primary_Coef!$A:$B,2,FALSE),0))</f>
        <v/>
      </c>
      <c r="Y881">
        <f>IF(Q881="P",0,IFNA(VLOOKUP(IF(C881="","(none)",C881),Hitter_Secondary_Coef!$A:$B,2,FALSE),0))</f>
        <v/>
      </c>
      <c r="Z881">
        <f>IF(Q881="P",IF(ISNUMBER(SEARCH("2F",H881)),IFNA(VLOOKUP("2F",Pitch_Coef!$A:$B,2,FALSE),0),0)+IF(ISNUMBER(SEARCH("4F",H881)),IFNA(VLOOKUP("4F",Pitch_Coef!$A:$B,2,FALSE),0),0)+IF(ISNUMBER(SEARCH("CB",H881)),IFNA(VLOOKUP("CB",Pitch_Coef!$A:$B,2,FALSE),0),0)+IF(ISNUMBER(SEARCH("CF",H881)),IFNA(VLOOKUP("CF",Pitch_Coef!$A:$B,2,FALSE),0),0)+IF(ISNUMBER(SEARCH("CH",H881)),IFNA(VLOOKUP("CH",Pitch_Coef!$A:$B,2,FALSE),0),0)+IF(ISNUMBER(SEARCH("FK",H881)),IFNA(VLOOKUP("FK",Pitch_Coef!$A:$B,2,FALSE),0),0)+IF(ISNUMBER(SEARCH("SB",H881)),IFNA(VLOOKUP("SB",Pitch_Coef!$A:$B,2,FALSE),0),0)+IF(ISNUMBER(SEARCH("SL",H881)),IFNA(VLOOKUP("SL",Pitch_Coef!$A:$B,2,FALSE),0),0),0)</f>
        <v/>
      </c>
      <c r="AA881">
        <f>IF(Q881="P",16.5944849573+0.2529999141*N881+0.2665900378*O881+0.2632687105*P881+0.0427586837*I881+0.0534777057*J881+0.009015832*K881+0.0204898106*(O881*P881/100)+1.0091022427*U881+1.0968542297*IF(D881="L",1,0)+0.3771555045*IF(D881="S",1,0)-0.2226159177*IF(E881="L",1,0)+1.21385024*R881-1.1652812274*S881+W881+X881+Z881,10.5965166711+0.2825983581*I881+0.2806503532*J881+0.2027213083*K881+0.1147824982*L881+0.0915305332*M881-0.0088454122*(I881*J881/100)-0.0336045706*(K881*L881/100)+2.8497389733*IF(D881="L",1,0)+4.5116226727*IF(D881="S",1,0)-0.6571546448*IF(E881="L",1,0)+0.0850728147*T881+0.0129488446*(T881*T881)+0.1909373936*IF(OR(F881="Utility",G881="Utility"),T881,0)+0.9656824071*R881-1.7517683256*S881+W881+X881+Y881)</f>
        <v/>
      </c>
      <c r="AB881">
        <f>LOOKUP(AA881,Grade_Scale!$A$2:$A$18,Grade_Scale!$B$2:$B$18)</f>
        <v/>
      </c>
      <c r="AC881">
        <f>LOOKUP(AA881,Grade_Scale!$A$2:$A$18,Grade_Scale!$C$2:$C$18)</f>
        <v/>
      </c>
      <c r="AE881">
        <f>IF(AD881="","",AB881-VLOOKUP(AD881,Grade_Scale!$C$2:$E$18,3,FALSE))</f>
        <v/>
      </c>
    </row>
    <row r="882">
      <c r="Q882">
        <f>IF(OR(B882="SP",B882="RP",B882="CP",B882="SP/RP"),"P","H")</f>
        <v/>
      </c>
      <c r="R882">
        <f>IF(F882="",0,IFNA(VLOOKUP(F882,Trait_Polarity!$A:$C,2,FALSE),0))+IF(G882="",0,IFNA(VLOOKUP(G882,Trait_Polarity!$A:$C,2,FALSE),0))</f>
        <v/>
      </c>
      <c r="S882">
        <f>IF(F882="",0,IFNA(VLOOKUP(F882,Trait_Polarity!$A:$C,3,FALSE),0))+IF(G882="",0,IFNA(VLOOKUP(G882,Trait_Polarity!$A:$C,3,FALSE),0))</f>
        <v/>
      </c>
      <c r="T882">
        <f>IF(Q882="P",0,IFNA(VLOOKUP(IF(C882="","(none)",C882),Secondary_Versatility!$A:$B,2,FALSE),0))</f>
        <v/>
      </c>
      <c r="U882">
        <f>IF(H882="",0,LEN(H882)-LEN(SUBSTITUTE(H882,"|",""))+1)</f>
        <v/>
      </c>
      <c r="V882">
        <f>IF(Q882="P",(N882+O882+P882)/3,0.3*I882+0.3*J882+0.2*K882+0.1*L882+0.1*M882)</f>
        <v/>
      </c>
      <c r="W882">
        <f>IF(Q882="P",IF(F882="",0,IFNA(VLOOKUP(F882,Pitcher_Trait_Coef!$A:$B,2,FALSE),0))+IF(G882="",0,IFNA(VLOOKUP(G882,Pitcher_Trait_Coef!$A:$B,2,FALSE),0)),IF(F882="",0,IFNA(VLOOKUP(F882,Hitter_Trait_Coef!$A:$B,2,FALSE),0))+IF(G882="",0,IFNA(VLOOKUP(G882,Hitter_Trait_Coef!$A:$B,2,FALSE),0)))</f>
        <v/>
      </c>
      <c r="X882">
        <f>IF(Q882="P",IFNA(VLOOKUP(B882,Pitcher_Primary_Coef!$A:$B,2,FALSE),0),IFNA(VLOOKUP(B882,Hitter_Primary_Coef!$A:$B,2,FALSE),0))</f>
        <v/>
      </c>
      <c r="Y882">
        <f>IF(Q882="P",0,IFNA(VLOOKUP(IF(C882="","(none)",C882),Hitter_Secondary_Coef!$A:$B,2,FALSE),0))</f>
        <v/>
      </c>
      <c r="Z882">
        <f>IF(Q882="P",IF(ISNUMBER(SEARCH("2F",H882)),IFNA(VLOOKUP("2F",Pitch_Coef!$A:$B,2,FALSE),0),0)+IF(ISNUMBER(SEARCH("4F",H882)),IFNA(VLOOKUP("4F",Pitch_Coef!$A:$B,2,FALSE),0),0)+IF(ISNUMBER(SEARCH("CB",H882)),IFNA(VLOOKUP("CB",Pitch_Coef!$A:$B,2,FALSE),0),0)+IF(ISNUMBER(SEARCH("CF",H882)),IFNA(VLOOKUP("CF",Pitch_Coef!$A:$B,2,FALSE),0),0)+IF(ISNUMBER(SEARCH("CH",H882)),IFNA(VLOOKUP("CH",Pitch_Coef!$A:$B,2,FALSE),0),0)+IF(ISNUMBER(SEARCH("FK",H882)),IFNA(VLOOKUP("FK",Pitch_Coef!$A:$B,2,FALSE),0),0)+IF(ISNUMBER(SEARCH("SB",H882)),IFNA(VLOOKUP("SB",Pitch_Coef!$A:$B,2,FALSE),0),0)+IF(ISNUMBER(SEARCH("SL",H882)),IFNA(VLOOKUP("SL",Pitch_Coef!$A:$B,2,FALSE),0),0),0)</f>
        <v/>
      </c>
      <c r="AA882">
        <f>IF(Q882="P",16.5944849573+0.2529999141*N882+0.2665900378*O882+0.2632687105*P882+0.0427586837*I882+0.0534777057*J882+0.009015832*K882+0.0204898106*(O882*P882/100)+1.0091022427*U882+1.0968542297*IF(D882="L",1,0)+0.3771555045*IF(D882="S",1,0)-0.2226159177*IF(E882="L",1,0)+1.21385024*R882-1.1652812274*S882+W882+X882+Z882,10.5965166711+0.2825983581*I882+0.2806503532*J882+0.2027213083*K882+0.1147824982*L882+0.0915305332*M882-0.0088454122*(I882*J882/100)-0.0336045706*(K882*L882/100)+2.8497389733*IF(D882="L",1,0)+4.5116226727*IF(D882="S",1,0)-0.6571546448*IF(E882="L",1,0)+0.0850728147*T882+0.0129488446*(T882*T882)+0.1909373936*IF(OR(F882="Utility",G882="Utility"),T882,0)+0.9656824071*R882-1.7517683256*S882+W882+X882+Y882)</f>
        <v/>
      </c>
      <c r="AB882">
        <f>LOOKUP(AA882,Grade_Scale!$A$2:$A$18,Grade_Scale!$B$2:$B$18)</f>
        <v/>
      </c>
      <c r="AC882">
        <f>LOOKUP(AA882,Grade_Scale!$A$2:$A$18,Grade_Scale!$C$2:$C$18)</f>
        <v/>
      </c>
      <c r="AE882">
        <f>IF(AD882="","",AB882-VLOOKUP(AD882,Grade_Scale!$C$2:$E$18,3,FALSE))</f>
        <v/>
      </c>
    </row>
    <row r="883">
      <c r="Q883">
        <f>IF(OR(B883="SP",B883="RP",B883="CP",B883="SP/RP"),"P","H")</f>
        <v/>
      </c>
      <c r="R883">
        <f>IF(F883="",0,IFNA(VLOOKUP(F883,Trait_Polarity!$A:$C,2,FALSE),0))+IF(G883="",0,IFNA(VLOOKUP(G883,Trait_Polarity!$A:$C,2,FALSE),0))</f>
        <v/>
      </c>
      <c r="S883">
        <f>IF(F883="",0,IFNA(VLOOKUP(F883,Trait_Polarity!$A:$C,3,FALSE),0))+IF(G883="",0,IFNA(VLOOKUP(G883,Trait_Polarity!$A:$C,3,FALSE),0))</f>
        <v/>
      </c>
      <c r="T883">
        <f>IF(Q883="P",0,IFNA(VLOOKUP(IF(C883="","(none)",C883),Secondary_Versatility!$A:$B,2,FALSE),0))</f>
        <v/>
      </c>
      <c r="U883">
        <f>IF(H883="",0,LEN(H883)-LEN(SUBSTITUTE(H883,"|",""))+1)</f>
        <v/>
      </c>
      <c r="V883">
        <f>IF(Q883="P",(N883+O883+P883)/3,0.3*I883+0.3*J883+0.2*K883+0.1*L883+0.1*M883)</f>
        <v/>
      </c>
      <c r="W883">
        <f>IF(Q883="P",IF(F883="",0,IFNA(VLOOKUP(F883,Pitcher_Trait_Coef!$A:$B,2,FALSE),0))+IF(G883="",0,IFNA(VLOOKUP(G883,Pitcher_Trait_Coef!$A:$B,2,FALSE),0)),IF(F883="",0,IFNA(VLOOKUP(F883,Hitter_Trait_Coef!$A:$B,2,FALSE),0))+IF(G883="",0,IFNA(VLOOKUP(G883,Hitter_Trait_Coef!$A:$B,2,FALSE),0)))</f>
        <v/>
      </c>
      <c r="X883">
        <f>IF(Q883="P",IFNA(VLOOKUP(B883,Pitcher_Primary_Coef!$A:$B,2,FALSE),0),IFNA(VLOOKUP(B883,Hitter_Primary_Coef!$A:$B,2,FALSE),0))</f>
        <v/>
      </c>
      <c r="Y883">
        <f>IF(Q883="P",0,IFNA(VLOOKUP(IF(C883="","(none)",C883),Hitter_Secondary_Coef!$A:$B,2,FALSE),0))</f>
        <v/>
      </c>
      <c r="Z883">
        <f>IF(Q883="P",IF(ISNUMBER(SEARCH("2F",H883)),IFNA(VLOOKUP("2F",Pitch_Coef!$A:$B,2,FALSE),0),0)+IF(ISNUMBER(SEARCH("4F",H883)),IFNA(VLOOKUP("4F",Pitch_Coef!$A:$B,2,FALSE),0),0)+IF(ISNUMBER(SEARCH("CB",H883)),IFNA(VLOOKUP("CB",Pitch_Coef!$A:$B,2,FALSE),0),0)+IF(ISNUMBER(SEARCH("CF",H883)),IFNA(VLOOKUP("CF",Pitch_Coef!$A:$B,2,FALSE),0),0)+IF(ISNUMBER(SEARCH("CH",H883)),IFNA(VLOOKUP("CH",Pitch_Coef!$A:$B,2,FALSE),0),0)+IF(ISNUMBER(SEARCH("FK",H883)),IFNA(VLOOKUP("FK",Pitch_Coef!$A:$B,2,FALSE),0),0)+IF(ISNUMBER(SEARCH("SB",H883)),IFNA(VLOOKUP("SB",Pitch_Coef!$A:$B,2,FALSE),0),0)+IF(ISNUMBER(SEARCH("SL",H883)),IFNA(VLOOKUP("SL",Pitch_Coef!$A:$B,2,FALSE),0),0),0)</f>
        <v/>
      </c>
      <c r="AA883">
        <f>IF(Q883="P",16.5944849573+0.2529999141*N883+0.2665900378*O883+0.2632687105*P883+0.0427586837*I883+0.0534777057*J883+0.009015832*K883+0.0204898106*(O883*P883/100)+1.0091022427*U883+1.0968542297*IF(D883="L",1,0)+0.3771555045*IF(D883="S",1,0)-0.2226159177*IF(E883="L",1,0)+1.21385024*R883-1.1652812274*S883+W883+X883+Z883,10.5965166711+0.2825983581*I883+0.2806503532*J883+0.2027213083*K883+0.1147824982*L883+0.0915305332*M883-0.0088454122*(I883*J883/100)-0.0336045706*(K883*L883/100)+2.8497389733*IF(D883="L",1,0)+4.5116226727*IF(D883="S",1,0)-0.6571546448*IF(E883="L",1,0)+0.0850728147*T883+0.0129488446*(T883*T883)+0.1909373936*IF(OR(F883="Utility",G883="Utility"),T883,0)+0.9656824071*R883-1.7517683256*S883+W883+X883+Y883)</f>
        <v/>
      </c>
      <c r="AB883">
        <f>LOOKUP(AA883,Grade_Scale!$A$2:$A$18,Grade_Scale!$B$2:$B$18)</f>
        <v/>
      </c>
      <c r="AC883">
        <f>LOOKUP(AA883,Grade_Scale!$A$2:$A$18,Grade_Scale!$C$2:$C$18)</f>
        <v/>
      </c>
      <c r="AE883">
        <f>IF(AD883="","",AB883-VLOOKUP(AD883,Grade_Scale!$C$2:$E$18,3,FALSE))</f>
        <v/>
      </c>
    </row>
    <row r="884">
      <c r="Q884">
        <f>IF(OR(B884="SP",B884="RP",B884="CP",B884="SP/RP"),"P","H")</f>
        <v/>
      </c>
      <c r="R884">
        <f>IF(F884="",0,IFNA(VLOOKUP(F884,Trait_Polarity!$A:$C,2,FALSE),0))+IF(G884="",0,IFNA(VLOOKUP(G884,Trait_Polarity!$A:$C,2,FALSE),0))</f>
        <v/>
      </c>
      <c r="S884">
        <f>IF(F884="",0,IFNA(VLOOKUP(F884,Trait_Polarity!$A:$C,3,FALSE),0))+IF(G884="",0,IFNA(VLOOKUP(G884,Trait_Polarity!$A:$C,3,FALSE),0))</f>
        <v/>
      </c>
      <c r="T884">
        <f>IF(Q884="P",0,IFNA(VLOOKUP(IF(C884="","(none)",C884),Secondary_Versatility!$A:$B,2,FALSE),0))</f>
        <v/>
      </c>
      <c r="U884">
        <f>IF(H884="",0,LEN(H884)-LEN(SUBSTITUTE(H884,"|",""))+1)</f>
        <v/>
      </c>
      <c r="V884">
        <f>IF(Q884="P",(N884+O884+P884)/3,0.3*I884+0.3*J884+0.2*K884+0.1*L884+0.1*M884)</f>
        <v/>
      </c>
      <c r="W884">
        <f>IF(Q884="P",IF(F884="",0,IFNA(VLOOKUP(F884,Pitcher_Trait_Coef!$A:$B,2,FALSE),0))+IF(G884="",0,IFNA(VLOOKUP(G884,Pitcher_Trait_Coef!$A:$B,2,FALSE),0)),IF(F884="",0,IFNA(VLOOKUP(F884,Hitter_Trait_Coef!$A:$B,2,FALSE),0))+IF(G884="",0,IFNA(VLOOKUP(G884,Hitter_Trait_Coef!$A:$B,2,FALSE),0)))</f>
        <v/>
      </c>
      <c r="X884">
        <f>IF(Q884="P",IFNA(VLOOKUP(B884,Pitcher_Primary_Coef!$A:$B,2,FALSE),0),IFNA(VLOOKUP(B884,Hitter_Primary_Coef!$A:$B,2,FALSE),0))</f>
        <v/>
      </c>
      <c r="Y884">
        <f>IF(Q884="P",0,IFNA(VLOOKUP(IF(C884="","(none)",C884),Hitter_Secondary_Coef!$A:$B,2,FALSE),0))</f>
        <v/>
      </c>
      <c r="Z884">
        <f>IF(Q884="P",IF(ISNUMBER(SEARCH("2F",H884)),IFNA(VLOOKUP("2F",Pitch_Coef!$A:$B,2,FALSE),0),0)+IF(ISNUMBER(SEARCH("4F",H884)),IFNA(VLOOKUP("4F",Pitch_Coef!$A:$B,2,FALSE),0),0)+IF(ISNUMBER(SEARCH("CB",H884)),IFNA(VLOOKUP("CB",Pitch_Coef!$A:$B,2,FALSE),0),0)+IF(ISNUMBER(SEARCH("CF",H884)),IFNA(VLOOKUP("CF",Pitch_Coef!$A:$B,2,FALSE),0),0)+IF(ISNUMBER(SEARCH("CH",H884)),IFNA(VLOOKUP("CH",Pitch_Coef!$A:$B,2,FALSE),0),0)+IF(ISNUMBER(SEARCH("FK",H884)),IFNA(VLOOKUP("FK",Pitch_Coef!$A:$B,2,FALSE),0),0)+IF(ISNUMBER(SEARCH("SB",H884)),IFNA(VLOOKUP("SB",Pitch_Coef!$A:$B,2,FALSE),0),0)+IF(ISNUMBER(SEARCH("SL",H884)),IFNA(VLOOKUP("SL",Pitch_Coef!$A:$B,2,FALSE),0),0),0)</f>
        <v/>
      </c>
      <c r="AA884">
        <f>IF(Q884="P",16.5944849573+0.2529999141*N884+0.2665900378*O884+0.2632687105*P884+0.0427586837*I884+0.0534777057*J884+0.009015832*K884+0.0204898106*(O884*P884/100)+1.0091022427*U884+1.0968542297*IF(D884="L",1,0)+0.3771555045*IF(D884="S",1,0)-0.2226159177*IF(E884="L",1,0)+1.21385024*R884-1.1652812274*S884+W884+X884+Z884,10.5965166711+0.2825983581*I884+0.2806503532*J884+0.2027213083*K884+0.1147824982*L884+0.0915305332*M884-0.0088454122*(I884*J884/100)-0.0336045706*(K884*L884/100)+2.8497389733*IF(D884="L",1,0)+4.5116226727*IF(D884="S",1,0)-0.6571546448*IF(E884="L",1,0)+0.0850728147*T884+0.0129488446*(T884*T884)+0.1909373936*IF(OR(F884="Utility",G884="Utility"),T884,0)+0.9656824071*R884-1.7517683256*S884+W884+X884+Y884)</f>
        <v/>
      </c>
      <c r="AB884">
        <f>LOOKUP(AA884,Grade_Scale!$A$2:$A$18,Grade_Scale!$B$2:$B$18)</f>
        <v/>
      </c>
      <c r="AC884">
        <f>LOOKUP(AA884,Grade_Scale!$A$2:$A$18,Grade_Scale!$C$2:$C$18)</f>
        <v/>
      </c>
      <c r="AE884">
        <f>IF(AD884="","",AB884-VLOOKUP(AD884,Grade_Scale!$C$2:$E$18,3,FALSE))</f>
        <v/>
      </c>
    </row>
    <row r="885">
      <c r="Q885">
        <f>IF(OR(B885="SP",B885="RP",B885="CP",B885="SP/RP"),"P","H")</f>
        <v/>
      </c>
      <c r="R885">
        <f>IF(F885="",0,IFNA(VLOOKUP(F885,Trait_Polarity!$A:$C,2,FALSE),0))+IF(G885="",0,IFNA(VLOOKUP(G885,Trait_Polarity!$A:$C,2,FALSE),0))</f>
        <v/>
      </c>
      <c r="S885">
        <f>IF(F885="",0,IFNA(VLOOKUP(F885,Trait_Polarity!$A:$C,3,FALSE),0))+IF(G885="",0,IFNA(VLOOKUP(G885,Trait_Polarity!$A:$C,3,FALSE),0))</f>
        <v/>
      </c>
      <c r="T885">
        <f>IF(Q885="P",0,IFNA(VLOOKUP(IF(C885="","(none)",C885),Secondary_Versatility!$A:$B,2,FALSE),0))</f>
        <v/>
      </c>
      <c r="U885">
        <f>IF(H885="",0,LEN(H885)-LEN(SUBSTITUTE(H885,"|",""))+1)</f>
        <v/>
      </c>
      <c r="V885">
        <f>IF(Q885="P",(N885+O885+P885)/3,0.3*I885+0.3*J885+0.2*K885+0.1*L885+0.1*M885)</f>
        <v/>
      </c>
      <c r="W885">
        <f>IF(Q885="P",IF(F885="",0,IFNA(VLOOKUP(F885,Pitcher_Trait_Coef!$A:$B,2,FALSE),0))+IF(G885="",0,IFNA(VLOOKUP(G885,Pitcher_Trait_Coef!$A:$B,2,FALSE),0)),IF(F885="",0,IFNA(VLOOKUP(F885,Hitter_Trait_Coef!$A:$B,2,FALSE),0))+IF(G885="",0,IFNA(VLOOKUP(G885,Hitter_Trait_Coef!$A:$B,2,FALSE),0)))</f>
        <v/>
      </c>
      <c r="X885">
        <f>IF(Q885="P",IFNA(VLOOKUP(B885,Pitcher_Primary_Coef!$A:$B,2,FALSE),0),IFNA(VLOOKUP(B885,Hitter_Primary_Coef!$A:$B,2,FALSE),0))</f>
        <v/>
      </c>
      <c r="Y885">
        <f>IF(Q885="P",0,IFNA(VLOOKUP(IF(C885="","(none)",C885),Hitter_Secondary_Coef!$A:$B,2,FALSE),0))</f>
        <v/>
      </c>
      <c r="Z885">
        <f>IF(Q885="P",IF(ISNUMBER(SEARCH("2F",H885)),IFNA(VLOOKUP("2F",Pitch_Coef!$A:$B,2,FALSE),0),0)+IF(ISNUMBER(SEARCH("4F",H885)),IFNA(VLOOKUP("4F",Pitch_Coef!$A:$B,2,FALSE),0),0)+IF(ISNUMBER(SEARCH("CB",H885)),IFNA(VLOOKUP("CB",Pitch_Coef!$A:$B,2,FALSE),0),0)+IF(ISNUMBER(SEARCH("CF",H885)),IFNA(VLOOKUP("CF",Pitch_Coef!$A:$B,2,FALSE),0),0)+IF(ISNUMBER(SEARCH("CH",H885)),IFNA(VLOOKUP("CH",Pitch_Coef!$A:$B,2,FALSE),0),0)+IF(ISNUMBER(SEARCH("FK",H885)),IFNA(VLOOKUP("FK",Pitch_Coef!$A:$B,2,FALSE),0),0)+IF(ISNUMBER(SEARCH("SB",H885)),IFNA(VLOOKUP("SB",Pitch_Coef!$A:$B,2,FALSE),0),0)+IF(ISNUMBER(SEARCH("SL",H885)),IFNA(VLOOKUP("SL",Pitch_Coef!$A:$B,2,FALSE),0),0),0)</f>
        <v/>
      </c>
      <c r="AA885">
        <f>IF(Q885="P",16.5944849573+0.2529999141*N885+0.2665900378*O885+0.2632687105*P885+0.0427586837*I885+0.0534777057*J885+0.009015832*K885+0.0204898106*(O885*P885/100)+1.0091022427*U885+1.0968542297*IF(D885="L",1,0)+0.3771555045*IF(D885="S",1,0)-0.2226159177*IF(E885="L",1,0)+1.21385024*R885-1.1652812274*S885+W885+X885+Z885,10.5965166711+0.2825983581*I885+0.2806503532*J885+0.2027213083*K885+0.1147824982*L885+0.0915305332*M885-0.0088454122*(I885*J885/100)-0.0336045706*(K885*L885/100)+2.8497389733*IF(D885="L",1,0)+4.5116226727*IF(D885="S",1,0)-0.6571546448*IF(E885="L",1,0)+0.0850728147*T885+0.0129488446*(T885*T885)+0.1909373936*IF(OR(F885="Utility",G885="Utility"),T885,0)+0.9656824071*R885-1.7517683256*S885+W885+X885+Y885)</f>
        <v/>
      </c>
      <c r="AB885">
        <f>LOOKUP(AA885,Grade_Scale!$A$2:$A$18,Grade_Scale!$B$2:$B$18)</f>
        <v/>
      </c>
      <c r="AC885">
        <f>LOOKUP(AA885,Grade_Scale!$A$2:$A$18,Grade_Scale!$C$2:$C$18)</f>
        <v/>
      </c>
      <c r="AE885">
        <f>IF(AD885="","",AB885-VLOOKUP(AD885,Grade_Scale!$C$2:$E$18,3,FALSE))</f>
        <v/>
      </c>
    </row>
    <row r="886">
      <c r="Q886">
        <f>IF(OR(B886="SP",B886="RP",B886="CP",B886="SP/RP"),"P","H")</f>
        <v/>
      </c>
      <c r="R886">
        <f>IF(F886="",0,IFNA(VLOOKUP(F886,Trait_Polarity!$A:$C,2,FALSE),0))+IF(G886="",0,IFNA(VLOOKUP(G886,Trait_Polarity!$A:$C,2,FALSE),0))</f>
        <v/>
      </c>
      <c r="S886">
        <f>IF(F886="",0,IFNA(VLOOKUP(F886,Trait_Polarity!$A:$C,3,FALSE),0))+IF(G886="",0,IFNA(VLOOKUP(G886,Trait_Polarity!$A:$C,3,FALSE),0))</f>
        <v/>
      </c>
      <c r="T886">
        <f>IF(Q886="P",0,IFNA(VLOOKUP(IF(C886="","(none)",C886),Secondary_Versatility!$A:$B,2,FALSE),0))</f>
        <v/>
      </c>
      <c r="U886">
        <f>IF(H886="",0,LEN(H886)-LEN(SUBSTITUTE(H886,"|",""))+1)</f>
        <v/>
      </c>
      <c r="V886">
        <f>IF(Q886="P",(N886+O886+P886)/3,0.3*I886+0.3*J886+0.2*K886+0.1*L886+0.1*M886)</f>
        <v/>
      </c>
      <c r="W886">
        <f>IF(Q886="P",IF(F886="",0,IFNA(VLOOKUP(F886,Pitcher_Trait_Coef!$A:$B,2,FALSE),0))+IF(G886="",0,IFNA(VLOOKUP(G886,Pitcher_Trait_Coef!$A:$B,2,FALSE),0)),IF(F886="",0,IFNA(VLOOKUP(F886,Hitter_Trait_Coef!$A:$B,2,FALSE),0))+IF(G886="",0,IFNA(VLOOKUP(G886,Hitter_Trait_Coef!$A:$B,2,FALSE),0)))</f>
        <v/>
      </c>
      <c r="X886">
        <f>IF(Q886="P",IFNA(VLOOKUP(B886,Pitcher_Primary_Coef!$A:$B,2,FALSE),0),IFNA(VLOOKUP(B886,Hitter_Primary_Coef!$A:$B,2,FALSE),0))</f>
        <v/>
      </c>
      <c r="Y886">
        <f>IF(Q886="P",0,IFNA(VLOOKUP(IF(C886="","(none)",C886),Hitter_Secondary_Coef!$A:$B,2,FALSE),0))</f>
        <v/>
      </c>
      <c r="Z886">
        <f>IF(Q886="P",IF(ISNUMBER(SEARCH("2F",H886)),IFNA(VLOOKUP("2F",Pitch_Coef!$A:$B,2,FALSE),0),0)+IF(ISNUMBER(SEARCH("4F",H886)),IFNA(VLOOKUP("4F",Pitch_Coef!$A:$B,2,FALSE),0),0)+IF(ISNUMBER(SEARCH("CB",H886)),IFNA(VLOOKUP("CB",Pitch_Coef!$A:$B,2,FALSE),0),0)+IF(ISNUMBER(SEARCH("CF",H886)),IFNA(VLOOKUP("CF",Pitch_Coef!$A:$B,2,FALSE),0),0)+IF(ISNUMBER(SEARCH("CH",H886)),IFNA(VLOOKUP("CH",Pitch_Coef!$A:$B,2,FALSE),0),0)+IF(ISNUMBER(SEARCH("FK",H886)),IFNA(VLOOKUP("FK",Pitch_Coef!$A:$B,2,FALSE),0),0)+IF(ISNUMBER(SEARCH("SB",H886)),IFNA(VLOOKUP("SB",Pitch_Coef!$A:$B,2,FALSE),0),0)+IF(ISNUMBER(SEARCH("SL",H886)),IFNA(VLOOKUP("SL",Pitch_Coef!$A:$B,2,FALSE),0),0),0)</f>
        <v/>
      </c>
      <c r="AA886">
        <f>IF(Q886="P",16.5944849573+0.2529999141*N886+0.2665900378*O886+0.2632687105*P886+0.0427586837*I886+0.0534777057*J886+0.009015832*K886+0.0204898106*(O886*P886/100)+1.0091022427*U886+1.0968542297*IF(D886="L",1,0)+0.3771555045*IF(D886="S",1,0)-0.2226159177*IF(E886="L",1,0)+1.21385024*R886-1.1652812274*S886+W886+X886+Z886,10.5965166711+0.2825983581*I886+0.2806503532*J886+0.2027213083*K886+0.1147824982*L886+0.0915305332*M886-0.0088454122*(I886*J886/100)-0.0336045706*(K886*L886/100)+2.8497389733*IF(D886="L",1,0)+4.5116226727*IF(D886="S",1,0)-0.6571546448*IF(E886="L",1,0)+0.0850728147*T886+0.0129488446*(T886*T886)+0.1909373936*IF(OR(F886="Utility",G886="Utility"),T886,0)+0.9656824071*R886-1.7517683256*S886+W886+X886+Y886)</f>
        <v/>
      </c>
      <c r="AB886">
        <f>LOOKUP(AA886,Grade_Scale!$A$2:$A$18,Grade_Scale!$B$2:$B$18)</f>
        <v/>
      </c>
      <c r="AC886">
        <f>LOOKUP(AA886,Grade_Scale!$A$2:$A$18,Grade_Scale!$C$2:$C$18)</f>
        <v/>
      </c>
      <c r="AE886">
        <f>IF(AD886="","",AB886-VLOOKUP(AD886,Grade_Scale!$C$2:$E$18,3,FALSE))</f>
        <v/>
      </c>
    </row>
    <row r="887">
      <c r="Q887">
        <f>IF(OR(B887="SP",B887="RP",B887="CP",B887="SP/RP"),"P","H")</f>
        <v/>
      </c>
      <c r="R887">
        <f>IF(F887="",0,IFNA(VLOOKUP(F887,Trait_Polarity!$A:$C,2,FALSE),0))+IF(G887="",0,IFNA(VLOOKUP(G887,Trait_Polarity!$A:$C,2,FALSE),0))</f>
        <v/>
      </c>
      <c r="S887">
        <f>IF(F887="",0,IFNA(VLOOKUP(F887,Trait_Polarity!$A:$C,3,FALSE),0))+IF(G887="",0,IFNA(VLOOKUP(G887,Trait_Polarity!$A:$C,3,FALSE),0))</f>
        <v/>
      </c>
      <c r="T887">
        <f>IF(Q887="P",0,IFNA(VLOOKUP(IF(C887="","(none)",C887),Secondary_Versatility!$A:$B,2,FALSE),0))</f>
        <v/>
      </c>
      <c r="U887">
        <f>IF(H887="",0,LEN(H887)-LEN(SUBSTITUTE(H887,"|",""))+1)</f>
        <v/>
      </c>
      <c r="V887">
        <f>IF(Q887="P",(N887+O887+P887)/3,0.3*I887+0.3*J887+0.2*K887+0.1*L887+0.1*M887)</f>
        <v/>
      </c>
      <c r="W887">
        <f>IF(Q887="P",IF(F887="",0,IFNA(VLOOKUP(F887,Pitcher_Trait_Coef!$A:$B,2,FALSE),0))+IF(G887="",0,IFNA(VLOOKUP(G887,Pitcher_Trait_Coef!$A:$B,2,FALSE),0)),IF(F887="",0,IFNA(VLOOKUP(F887,Hitter_Trait_Coef!$A:$B,2,FALSE),0))+IF(G887="",0,IFNA(VLOOKUP(G887,Hitter_Trait_Coef!$A:$B,2,FALSE),0)))</f>
        <v/>
      </c>
      <c r="X887">
        <f>IF(Q887="P",IFNA(VLOOKUP(B887,Pitcher_Primary_Coef!$A:$B,2,FALSE),0),IFNA(VLOOKUP(B887,Hitter_Primary_Coef!$A:$B,2,FALSE),0))</f>
        <v/>
      </c>
      <c r="Y887">
        <f>IF(Q887="P",0,IFNA(VLOOKUP(IF(C887="","(none)",C887),Hitter_Secondary_Coef!$A:$B,2,FALSE),0))</f>
        <v/>
      </c>
      <c r="Z887">
        <f>IF(Q887="P",IF(ISNUMBER(SEARCH("2F",H887)),IFNA(VLOOKUP("2F",Pitch_Coef!$A:$B,2,FALSE),0),0)+IF(ISNUMBER(SEARCH("4F",H887)),IFNA(VLOOKUP("4F",Pitch_Coef!$A:$B,2,FALSE),0),0)+IF(ISNUMBER(SEARCH("CB",H887)),IFNA(VLOOKUP("CB",Pitch_Coef!$A:$B,2,FALSE),0),0)+IF(ISNUMBER(SEARCH("CF",H887)),IFNA(VLOOKUP("CF",Pitch_Coef!$A:$B,2,FALSE),0),0)+IF(ISNUMBER(SEARCH("CH",H887)),IFNA(VLOOKUP("CH",Pitch_Coef!$A:$B,2,FALSE),0),0)+IF(ISNUMBER(SEARCH("FK",H887)),IFNA(VLOOKUP("FK",Pitch_Coef!$A:$B,2,FALSE),0),0)+IF(ISNUMBER(SEARCH("SB",H887)),IFNA(VLOOKUP("SB",Pitch_Coef!$A:$B,2,FALSE),0),0)+IF(ISNUMBER(SEARCH("SL",H887)),IFNA(VLOOKUP("SL",Pitch_Coef!$A:$B,2,FALSE),0),0),0)</f>
        <v/>
      </c>
      <c r="AA887">
        <f>IF(Q887="P",16.5944849573+0.2529999141*N887+0.2665900378*O887+0.2632687105*P887+0.0427586837*I887+0.0534777057*J887+0.009015832*K887+0.0204898106*(O887*P887/100)+1.0091022427*U887+1.0968542297*IF(D887="L",1,0)+0.3771555045*IF(D887="S",1,0)-0.2226159177*IF(E887="L",1,0)+1.21385024*R887-1.1652812274*S887+W887+X887+Z887,10.5965166711+0.2825983581*I887+0.2806503532*J887+0.2027213083*K887+0.1147824982*L887+0.0915305332*M887-0.0088454122*(I887*J887/100)-0.0336045706*(K887*L887/100)+2.8497389733*IF(D887="L",1,0)+4.5116226727*IF(D887="S",1,0)-0.6571546448*IF(E887="L",1,0)+0.0850728147*T887+0.0129488446*(T887*T887)+0.1909373936*IF(OR(F887="Utility",G887="Utility"),T887,0)+0.9656824071*R887-1.7517683256*S887+W887+X887+Y887)</f>
        <v/>
      </c>
      <c r="AB887">
        <f>LOOKUP(AA887,Grade_Scale!$A$2:$A$18,Grade_Scale!$B$2:$B$18)</f>
        <v/>
      </c>
      <c r="AC887">
        <f>LOOKUP(AA887,Grade_Scale!$A$2:$A$18,Grade_Scale!$C$2:$C$18)</f>
        <v/>
      </c>
      <c r="AE887">
        <f>IF(AD887="","",AB887-VLOOKUP(AD887,Grade_Scale!$C$2:$E$18,3,FALSE))</f>
        <v/>
      </c>
    </row>
    <row r="888">
      <c r="Q888">
        <f>IF(OR(B888="SP",B888="RP",B888="CP",B888="SP/RP"),"P","H")</f>
        <v/>
      </c>
      <c r="R888">
        <f>IF(F888="",0,IFNA(VLOOKUP(F888,Trait_Polarity!$A:$C,2,FALSE),0))+IF(G888="",0,IFNA(VLOOKUP(G888,Trait_Polarity!$A:$C,2,FALSE),0))</f>
        <v/>
      </c>
      <c r="S888">
        <f>IF(F888="",0,IFNA(VLOOKUP(F888,Trait_Polarity!$A:$C,3,FALSE),0))+IF(G888="",0,IFNA(VLOOKUP(G888,Trait_Polarity!$A:$C,3,FALSE),0))</f>
        <v/>
      </c>
      <c r="T888">
        <f>IF(Q888="P",0,IFNA(VLOOKUP(IF(C888="","(none)",C888),Secondary_Versatility!$A:$B,2,FALSE),0))</f>
        <v/>
      </c>
      <c r="U888">
        <f>IF(H888="",0,LEN(H888)-LEN(SUBSTITUTE(H888,"|",""))+1)</f>
        <v/>
      </c>
      <c r="V888">
        <f>IF(Q888="P",(N888+O888+P888)/3,0.3*I888+0.3*J888+0.2*K888+0.1*L888+0.1*M888)</f>
        <v/>
      </c>
      <c r="W888">
        <f>IF(Q888="P",IF(F888="",0,IFNA(VLOOKUP(F888,Pitcher_Trait_Coef!$A:$B,2,FALSE),0))+IF(G888="",0,IFNA(VLOOKUP(G888,Pitcher_Trait_Coef!$A:$B,2,FALSE),0)),IF(F888="",0,IFNA(VLOOKUP(F888,Hitter_Trait_Coef!$A:$B,2,FALSE),0))+IF(G888="",0,IFNA(VLOOKUP(G888,Hitter_Trait_Coef!$A:$B,2,FALSE),0)))</f>
        <v/>
      </c>
      <c r="X888">
        <f>IF(Q888="P",IFNA(VLOOKUP(B888,Pitcher_Primary_Coef!$A:$B,2,FALSE),0),IFNA(VLOOKUP(B888,Hitter_Primary_Coef!$A:$B,2,FALSE),0))</f>
        <v/>
      </c>
      <c r="Y888">
        <f>IF(Q888="P",0,IFNA(VLOOKUP(IF(C888="","(none)",C888),Hitter_Secondary_Coef!$A:$B,2,FALSE),0))</f>
        <v/>
      </c>
      <c r="Z888">
        <f>IF(Q888="P",IF(ISNUMBER(SEARCH("2F",H888)),IFNA(VLOOKUP("2F",Pitch_Coef!$A:$B,2,FALSE),0),0)+IF(ISNUMBER(SEARCH("4F",H888)),IFNA(VLOOKUP("4F",Pitch_Coef!$A:$B,2,FALSE),0),0)+IF(ISNUMBER(SEARCH("CB",H888)),IFNA(VLOOKUP("CB",Pitch_Coef!$A:$B,2,FALSE),0),0)+IF(ISNUMBER(SEARCH("CF",H888)),IFNA(VLOOKUP("CF",Pitch_Coef!$A:$B,2,FALSE),0),0)+IF(ISNUMBER(SEARCH("CH",H888)),IFNA(VLOOKUP("CH",Pitch_Coef!$A:$B,2,FALSE),0),0)+IF(ISNUMBER(SEARCH("FK",H888)),IFNA(VLOOKUP("FK",Pitch_Coef!$A:$B,2,FALSE),0),0)+IF(ISNUMBER(SEARCH("SB",H888)),IFNA(VLOOKUP("SB",Pitch_Coef!$A:$B,2,FALSE),0),0)+IF(ISNUMBER(SEARCH("SL",H888)),IFNA(VLOOKUP("SL",Pitch_Coef!$A:$B,2,FALSE),0),0),0)</f>
        <v/>
      </c>
      <c r="AA888">
        <f>IF(Q888="P",16.5944849573+0.2529999141*N888+0.2665900378*O888+0.2632687105*P888+0.0427586837*I888+0.0534777057*J888+0.009015832*K888+0.0204898106*(O888*P888/100)+1.0091022427*U888+1.0968542297*IF(D888="L",1,0)+0.3771555045*IF(D888="S",1,0)-0.2226159177*IF(E888="L",1,0)+1.21385024*R888-1.1652812274*S888+W888+X888+Z888,10.5965166711+0.2825983581*I888+0.2806503532*J888+0.2027213083*K888+0.1147824982*L888+0.0915305332*M888-0.0088454122*(I888*J888/100)-0.0336045706*(K888*L888/100)+2.8497389733*IF(D888="L",1,0)+4.5116226727*IF(D888="S",1,0)-0.6571546448*IF(E888="L",1,0)+0.0850728147*T888+0.0129488446*(T888*T888)+0.1909373936*IF(OR(F888="Utility",G888="Utility"),T888,0)+0.9656824071*R888-1.7517683256*S888+W888+X888+Y888)</f>
        <v/>
      </c>
      <c r="AB888">
        <f>LOOKUP(AA888,Grade_Scale!$A$2:$A$18,Grade_Scale!$B$2:$B$18)</f>
        <v/>
      </c>
      <c r="AC888">
        <f>LOOKUP(AA888,Grade_Scale!$A$2:$A$18,Grade_Scale!$C$2:$C$18)</f>
        <v/>
      </c>
      <c r="AE888">
        <f>IF(AD888="","",AB888-VLOOKUP(AD888,Grade_Scale!$C$2:$E$18,3,FALSE))</f>
        <v/>
      </c>
    </row>
    <row r="889">
      <c r="Q889">
        <f>IF(OR(B889="SP",B889="RP",B889="CP",B889="SP/RP"),"P","H")</f>
        <v/>
      </c>
      <c r="R889">
        <f>IF(F889="",0,IFNA(VLOOKUP(F889,Trait_Polarity!$A:$C,2,FALSE),0))+IF(G889="",0,IFNA(VLOOKUP(G889,Trait_Polarity!$A:$C,2,FALSE),0))</f>
        <v/>
      </c>
      <c r="S889">
        <f>IF(F889="",0,IFNA(VLOOKUP(F889,Trait_Polarity!$A:$C,3,FALSE),0))+IF(G889="",0,IFNA(VLOOKUP(G889,Trait_Polarity!$A:$C,3,FALSE),0))</f>
        <v/>
      </c>
      <c r="T889">
        <f>IF(Q889="P",0,IFNA(VLOOKUP(IF(C889="","(none)",C889),Secondary_Versatility!$A:$B,2,FALSE),0))</f>
        <v/>
      </c>
      <c r="U889">
        <f>IF(H889="",0,LEN(H889)-LEN(SUBSTITUTE(H889,"|",""))+1)</f>
        <v/>
      </c>
      <c r="V889">
        <f>IF(Q889="P",(N889+O889+P889)/3,0.3*I889+0.3*J889+0.2*K889+0.1*L889+0.1*M889)</f>
        <v/>
      </c>
      <c r="W889">
        <f>IF(Q889="P",IF(F889="",0,IFNA(VLOOKUP(F889,Pitcher_Trait_Coef!$A:$B,2,FALSE),0))+IF(G889="",0,IFNA(VLOOKUP(G889,Pitcher_Trait_Coef!$A:$B,2,FALSE),0)),IF(F889="",0,IFNA(VLOOKUP(F889,Hitter_Trait_Coef!$A:$B,2,FALSE),0))+IF(G889="",0,IFNA(VLOOKUP(G889,Hitter_Trait_Coef!$A:$B,2,FALSE),0)))</f>
        <v/>
      </c>
      <c r="X889">
        <f>IF(Q889="P",IFNA(VLOOKUP(B889,Pitcher_Primary_Coef!$A:$B,2,FALSE),0),IFNA(VLOOKUP(B889,Hitter_Primary_Coef!$A:$B,2,FALSE),0))</f>
        <v/>
      </c>
      <c r="Y889">
        <f>IF(Q889="P",0,IFNA(VLOOKUP(IF(C889="","(none)",C889),Hitter_Secondary_Coef!$A:$B,2,FALSE),0))</f>
        <v/>
      </c>
      <c r="Z889">
        <f>IF(Q889="P",IF(ISNUMBER(SEARCH("2F",H889)),IFNA(VLOOKUP("2F",Pitch_Coef!$A:$B,2,FALSE),0),0)+IF(ISNUMBER(SEARCH("4F",H889)),IFNA(VLOOKUP("4F",Pitch_Coef!$A:$B,2,FALSE),0),0)+IF(ISNUMBER(SEARCH("CB",H889)),IFNA(VLOOKUP("CB",Pitch_Coef!$A:$B,2,FALSE),0),0)+IF(ISNUMBER(SEARCH("CF",H889)),IFNA(VLOOKUP("CF",Pitch_Coef!$A:$B,2,FALSE),0),0)+IF(ISNUMBER(SEARCH("CH",H889)),IFNA(VLOOKUP("CH",Pitch_Coef!$A:$B,2,FALSE),0),0)+IF(ISNUMBER(SEARCH("FK",H889)),IFNA(VLOOKUP("FK",Pitch_Coef!$A:$B,2,FALSE),0),0)+IF(ISNUMBER(SEARCH("SB",H889)),IFNA(VLOOKUP("SB",Pitch_Coef!$A:$B,2,FALSE),0),0)+IF(ISNUMBER(SEARCH("SL",H889)),IFNA(VLOOKUP("SL",Pitch_Coef!$A:$B,2,FALSE),0),0),0)</f>
        <v/>
      </c>
      <c r="AA889">
        <f>IF(Q889="P",16.5944849573+0.2529999141*N889+0.2665900378*O889+0.2632687105*P889+0.0427586837*I889+0.0534777057*J889+0.009015832*K889+0.0204898106*(O889*P889/100)+1.0091022427*U889+1.0968542297*IF(D889="L",1,0)+0.3771555045*IF(D889="S",1,0)-0.2226159177*IF(E889="L",1,0)+1.21385024*R889-1.1652812274*S889+W889+X889+Z889,10.5965166711+0.2825983581*I889+0.2806503532*J889+0.2027213083*K889+0.1147824982*L889+0.0915305332*M889-0.0088454122*(I889*J889/100)-0.0336045706*(K889*L889/100)+2.8497389733*IF(D889="L",1,0)+4.5116226727*IF(D889="S",1,0)-0.6571546448*IF(E889="L",1,0)+0.0850728147*T889+0.0129488446*(T889*T889)+0.1909373936*IF(OR(F889="Utility",G889="Utility"),T889,0)+0.9656824071*R889-1.7517683256*S889+W889+X889+Y889)</f>
        <v/>
      </c>
      <c r="AB889">
        <f>LOOKUP(AA889,Grade_Scale!$A$2:$A$18,Grade_Scale!$B$2:$B$18)</f>
        <v/>
      </c>
      <c r="AC889">
        <f>LOOKUP(AA889,Grade_Scale!$A$2:$A$18,Grade_Scale!$C$2:$C$18)</f>
        <v/>
      </c>
      <c r="AE889">
        <f>IF(AD889="","",AB889-VLOOKUP(AD889,Grade_Scale!$C$2:$E$18,3,FALSE))</f>
        <v/>
      </c>
    </row>
    <row r="890">
      <c r="Q890">
        <f>IF(OR(B890="SP",B890="RP",B890="CP",B890="SP/RP"),"P","H")</f>
        <v/>
      </c>
      <c r="R890">
        <f>IF(F890="",0,IFNA(VLOOKUP(F890,Trait_Polarity!$A:$C,2,FALSE),0))+IF(G890="",0,IFNA(VLOOKUP(G890,Trait_Polarity!$A:$C,2,FALSE),0))</f>
        <v/>
      </c>
      <c r="S890">
        <f>IF(F890="",0,IFNA(VLOOKUP(F890,Trait_Polarity!$A:$C,3,FALSE),0))+IF(G890="",0,IFNA(VLOOKUP(G890,Trait_Polarity!$A:$C,3,FALSE),0))</f>
        <v/>
      </c>
      <c r="T890">
        <f>IF(Q890="P",0,IFNA(VLOOKUP(IF(C890="","(none)",C890),Secondary_Versatility!$A:$B,2,FALSE),0))</f>
        <v/>
      </c>
      <c r="U890">
        <f>IF(H890="",0,LEN(H890)-LEN(SUBSTITUTE(H890,"|",""))+1)</f>
        <v/>
      </c>
      <c r="V890">
        <f>IF(Q890="P",(N890+O890+P890)/3,0.3*I890+0.3*J890+0.2*K890+0.1*L890+0.1*M890)</f>
        <v/>
      </c>
      <c r="W890">
        <f>IF(Q890="P",IF(F890="",0,IFNA(VLOOKUP(F890,Pitcher_Trait_Coef!$A:$B,2,FALSE),0))+IF(G890="",0,IFNA(VLOOKUP(G890,Pitcher_Trait_Coef!$A:$B,2,FALSE),0)),IF(F890="",0,IFNA(VLOOKUP(F890,Hitter_Trait_Coef!$A:$B,2,FALSE),0))+IF(G890="",0,IFNA(VLOOKUP(G890,Hitter_Trait_Coef!$A:$B,2,FALSE),0)))</f>
        <v/>
      </c>
      <c r="X890">
        <f>IF(Q890="P",IFNA(VLOOKUP(B890,Pitcher_Primary_Coef!$A:$B,2,FALSE),0),IFNA(VLOOKUP(B890,Hitter_Primary_Coef!$A:$B,2,FALSE),0))</f>
        <v/>
      </c>
      <c r="Y890">
        <f>IF(Q890="P",0,IFNA(VLOOKUP(IF(C890="","(none)",C890),Hitter_Secondary_Coef!$A:$B,2,FALSE),0))</f>
        <v/>
      </c>
      <c r="Z890">
        <f>IF(Q890="P",IF(ISNUMBER(SEARCH("2F",H890)),IFNA(VLOOKUP("2F",Pitch_Coef!$A:$B,2,FALSE),0),0)+IF(ISNUMBER(SEARCH("4F",H890)),IFNA(VLOOKUP("4F",Pitch_Coef!$A:$B,2,FALSE),0),0)+IF(ISNUMBER(SEARCH("CB",H890)),IFNA(VLOOKUP("CB",Pitch_Coef!$A:$B,2,FALSE),0),0)+IF(ISNUMBER(SEARCH("CF",H890)),IFNA(VLOOKUP("CF",Pitch_Coef!$A:$B,2,FALSE),0),0)+IF(ISNUMBER(SEARCH("CH",H890)),IFNA(VLOOKUP("CH",Pitch_Coef!$A:$B,2,FALSE),0),0)+IF(ISNUMBER(SEARCH("FK",H890)),IFNA(VLOOKUP("FK",Pitch_Coef!$A:$B,2,FALSE),0),0)+IF(ISNUMBER(SEARCH("SB",H890)),IFNA(VLOOKUP("SB",Pitch_Coef!$A:$B,2,FALSE),0),0)+IF(ISNUMBER(SEARCH("SL",H890)),IFNA(VLOOKUP("SL",Pitch_Coef!$A:$B,2,FALSE),0),0),0)</f>
        <v/>
      </c>
      <c r="AA890">
        <f>IF(Q890="P",16.5944849573+0.2529999141*N890+0.2665900378*O890+0.2632687105*P890+0.0427586837*I890+0.0534777057*J890+0.009015832*K890+0.0204898106*(O890*P890/100)+1.0091022427*U890+1.0968542297*IF(D890="L",1,0)+0.3771555045*IF(D890="S",1,0)-0.2226159177*IF(E890="L",1,0)+1.21385024*R890-1.1652812274*S890+W890+X890+Z890,10.5965166711+0.2825983581*I890+0.2806503532*J890+0.2027213083*K890+0.1147824982*L890+0.0915305332*M890-0.0088454122*(I890*J890/100)-0.0336045706*(K890*L890/100)+2.8497389733*IF(D890="L",1,0)+4.5116226727*IF(D890="S",1,0)-0.6571546448*IF(E890="L",1,0)+0.0850728147*T890+0.0129488446*(T890*T890)+0.1909373936*IF(OR(F890="Utility",G890="Utility"),T890,0)+0.9656824071*R890-1.7517683256*S890+W890+X890+Y890)</f>
        <v/>
      </c>
      <c r="AB890">
        <f>LOOKUP(AA890,Grade_Scale!$A$2:$A$18,Grade_Scale!$B$2:$B$18)</f>
        <v/>
      </c>
      <c r="AC890">
        <f>LOOKUP(AA890,Grade_Scale!$A$2:$A$18,Grade_Scale!$C$2:$C$18)</f>
        <v/>
      </c>
      <c r="AE890">
        <f>IF(AD890="","",AB890-VLOOKUP(AD890,Grade_Scale!$C$2:$E$18,3,FALSE))</f>
        <v/>
      </c>
    </row>
    <row r="891">
      <c r="Q891">
        <f>IF(OR(B891="SP",B891="RP",B891="CP",B891="SP/RP"),"P","H")</f>
        <v/>
      </c>
      <c r="R891">
        <f>IF(F891="",0,IFNA(VLOOKUP(F891,Trait_Polarity!$A:$C,2,FALSE),0))+IF(G891="",0,IFNA(VLOOKUP(G891,Trait_Polarity!$A:$C,2,FALSE),0))</f>
        <v/>
      </c>
      <c r="S891">
        <f>IF(F891="",0,IFNA(VLOOKUP(F891,Trait_Polarity!$A:$C,3,FALSE),0))+IF(G891="",0,IFNA(VLOOKUP(G891,Trait_Polarity!$A:$C,3,FALSE),0))</f>
        <v/>
      </c>
      <c r="T891">
        <f>IF(Q891="P",0,IFNA(VLOOKUP(IF(C891="","(none)",C891),Secondary_Versatility!$A:$B,2,FALSE),0))</f>
        <v/>
      </c>
      <c r="U891">
        <f>IF(H891="",0,LEN(H891)-LEN(SUBSTITUTE(H891,"|",""))+1)</f>
        <v/>
      </c>
      <c r="V891">
        <f>IF(Q891="P",(N891+O891+P891)/3,0.3*I891+0.3*J891+0.2*K891+0.1*L891+0.1*M891)</f>
        <v/>
      </c>
      <c r="W891">
        <f>IF(Q891="P",IF(F891="",0,IFNA(VLOOKUP(F891,Pitcher_Trait_Coef!$A:$B,2,FALSE),0))+IF(G891="",0,IFNA(VLOOKUP(G891,Pitcher_Trait_Coef!$A:$B,2,FALSE),0)),IF(F891="",0,IFNA(VLOOKUP(F891,Hitter_Trait_Coef!$A:$B,2,FALSE),0))+IF(G891="",0,IFNA(VLOOKUP(G891,Hitter_Trait_Coef!$A:$B,2,FALSE),0)))</f>
        <v/>
      </c>
      <c r="X891">
        <f>IF(Q891="P",IFNA(VLOOKUP(B891,Pitcher_Primary_Coef!$A:$B,2,FALSE),0),IFNA(VLOOKUP(B891,Hitter_Primary_Coef!$A:$B,2,FALSE),0))</f>
        <v/>
      </c>
      <c r="Y891">
        <f>IF(Q891="P",0,IFNA(VLOOKUP(IF(C891="","(none)",C891),Hitter_Secondary_Coef!$A:$B,2,FALSE),0))</f>
        <v/>
      </c>
      <c r="Z891">
        <f>IF(Q891="P",IF(ISNUMBER(SEARCH("2F",H891)),IFNA(VLOOKUP("2F",Pitch_Coef!$A:$B,2,FALSE),0),0)+IF(ISNUMBER(SEARCH("4F",H891)),IFNA(VLOOKUP("4F",Pitch_Coef!$A:$B,2,FALSE),0),0)+IF(ISNUMBER(SEARCH("CB",H891)),IFNA(VLOOKUP("CB",Pitch_Coef!$A:$B,2,FALSE),0),0)+IF(ISNUMBER(SEARCH("CF",H891)),IFNA(VLOOKUP("CF",Pitch_Coef!$A:$B,2,FALSE),0),0)+IF(ISNUMBER(SEARCH("CH",H891)),IFNA(VLOOKUP("CH",Pitch_Coef!$A:$B,2,FALSE),0),0)+IF(ISNUMBER(SEARCH("FK",H891)),IFNA(VLOOKUP("FK",Pitch_Coef!$A:$B,2,FALSE),0),0)+IF(ISNUMBER(SEARCH("SB",H891)),IFNA(VLOOKUP("SB",Pitch_Coef!$A:$B,2,FALSE),0),0)+IF(ISNUMBER(SEARCH("SL",H891)),IFNA(VLOOKUP("SL",Pitch_Coef!$A:$B,2,FALSE),0),0),0)</f>
        <v/>
      </c>
      <c r="AA891">
        <f>IF(Q891="P",16.5944849573+0.2529999141*N891+0.2665900378*O891+0.2632687105*P891+0.0427586837*I891+0.0534777057*J891+0.009015832*K891+0.0204898106*(O891*P891/100)+1.0091022427*U891+1.0968542297*IF(D891="L",1,0)+0.3771555045*IF(D891="S",1,0)-0.2226159177*IF(E891="L",1,0)+1.21385024*R891-1.1652812274*S891+W891+X891+Z891,10.5965166711+0.2825983581*I891+0.2806503532*J891+0.2027213083*K891+0.1147824982*L891+0.0915305332*M891-0.0088454122*(I891*J891/100)-0.0336045706*(K891*L891/100)+2.8497389733*IF(D891="L",1,0)+4.5116226727*IF(D891="S",1,0)-0.6571546448*IF(E891="L",1,0)+0.0850728147*T891+0.0129488446*(T891*T891)+0.1909373936*IF(OR(F891="Utility",G891="Utility"),T891,0)+0.9656824071*R891-1.7517683256*S891+W891+X891+Y891)</f>
        <v/>
      </c>
      <c r="AB891">
        <f>LOOKUP(AA891,Grade_Scale!$A$2:$A$18,Grade_Scale!$B$2:$B$18)</f>
        <v/>
      </c>
      <c r="AC891">
        <f>LOOKUP(AA891,Grade_Scale!$A$2:$A$18,Grade_Scale!$C$2:$C$18)</f>
        <v/>
      </c>
      <c r="AE891">
        <f>IF(AD891="","",AB891-VLOOKUP(AD891,Grade_Scale!$C$2:$E$18,3,FALSE))</f>
        <v/>
      </c>
    </row>
    <row r="892">
      <c r="Q892">
        <f>IF(OR(B892="SP",B892="RP",B892="CP",B892="SP/RP"),"P","H")</f>
        <v/>
      </c>
      <c r="R892">
        <f>IF(F892="",0,IFNA(VLOOKUP(F892,Trait_Polarity!$A:$C,2,FALSE),0))+IF(G892="",0,IFNA(VLOOKUP(G892,Trait_Polarity!$A:$C,2,FALSE),0))</f>
        <v/>
      </c>
      <c r="S892">
        <f>IF(F892="",0,IFNA(VLOOKUP(F892,Trait_Polarity!$A:$C,3,FALSE),0))+IF(G892="",0,IFNA(VLOOKUP(G892,Trait_Polarity!$A:$C,3,FALSE),0))</f>
        <v/>
      </c>
      <c r="T892">
        <f>IF(Q892="P",0,IFNA(VLOOKUP(IF(C892="","(none)",C892),Secondary_Versatility!$A:$B,2,FALSE),0))</f>
        <v/>
      </c>
      <c r="U892">
        <f>IF(H892="",0,LEN(H892)-LEN(SUBSTITUTE(H892,"|",""))+1)</f>
        <v/>
      </c>
      <c r="V892">
        <f>IF(Q892="P",(N892+O892+P892)/3,0.3*I892+0.3*J892+0.2*K892+0.1*L892+0.1*M892)</f>
        <v/>
      </c>
      <c r="W892">
        <f>IF(Q892="P",IF(F892="",0,IFNA(VLOOKUP(F892,Pitcher_Trait_Coef!$A:$B,2,FALSE),0))+IF(G892="",0,IFNA(VLOOKUP(G892,Pitcher_Trait_Coef!$A:$B,2,FALSE),0)),IF(F892="",0,IFNA(VLOOKUP(F892,Hitter_Trait_Coef!$A:$B,2,FALSE),0))+IF(G892="",0,IFNA(VLOOKUP(G892,Hitter_Trait_Coef!$A:$B,2,FALSE),0)))</f>
        <v/>
      </c>
      <c r="X892">
        <f>IF(Q892="P",IFNA(VLOOKUP(B892,Pitcher_Primary_Coef!$A:$B,2,FALSE),0),IFNA(VLOOKUP(B892,Hitter_Primary_Coef!$A:$B,2,FALSE),0))</f>
        <v/>
      </c>
      <c r="Y892">
        <f>IF(Q892="P",0,IFNA(VLOOKUP(IF(C892="","(none)",C892),Hitter_Secondary_Coef!$A:$B,2,FALSE),0))</f>
        <v/>
      </c>
      <c r="Z892">
        <f>IF(Q892="P",IF(ISNUMBER(SEARCH("2F",H892)),IFNA(VLOOKUP("2F",Pitch_Coef!$A:$B,2,FALSE),0),0)+IF(ISNUMBER(SEARCH("4F",H892)),IFNA(VLOOKUP("4F",Pitch_Coef!$A:$B,2,FALSE),0),0)+IF(ISNUMBER(SEARCH("CB",H892)),IFNA(VLOOKUP("CB",Pitch_Coef!$A:$B,2,FALSE),0),0)+IF(ISNUMBER(SEARCH("CF",H892)),IFNA(VLOOKUP("CF",Pitch_Coef!$A:$B,2,FALSE),0),0)+IF(ISNUMBER(SEARCH("CH",H892)),IFNA(VLOOKUP("CH",Pitch_Coef!$A:$B,2,FALSE),0),0)+IF(ISNUMBER(SEARCH("FK",H892)),IFNA(VLOOKUP("FK",Pitch_Coef!$A:$B,2,FALSE),0),0)+IF(ISNUMBER(SEARCH("SB",H892)),IFNA(VLOOKUP("SB",Pitch_Coef!$A:$B,2,FALSE),0),0)+IF(ISNUMBER(SEARCH("SL",H892)),IFNA(VLOOKUP("SL",Pitch_Coef!$A:$B,2,FALSE),0),0),0)</f>
        <v/>
      </c>
      <c r="AA892">
        <f>IF(Q892="P",16.5944849573+0.2529999141*N892+0.2665900378*O892+0.2632687105*P892+0.0427586837*I892+0.0534777057*J892+0.009015832*K892+0.0204898106*(O892*P892/100)+1.0091022427*U892+1.0968542297*IF(D892="L",1,0)+0.3771555045*IF(D892="S",1,0)-0.2226159177*IF(E892="L",1,0)+1.21385024*R892-1.1652812274*S892+W892+X892+Z892,10.5965166711+0.2825983581*I892+0.2806503532*J892+0.2027213083*K892+0.1147824982*L892+0.0915305332*M892-0.0088454122*(I892*J892/100)-0.0336045706*(K892*L892/100)+2.8497389733*IF(D892="L",1,0)+4.5116226727*IF(D892="S",1,0)-0.6571546448*IF(E892="L",1,0)+0.0850728147*T892+0.0129488446*(T892*T892)+0.1909373936*IF(OR(F892="Utility",G892="Utility"),T892,0)+0.9656824071*R892-1.7517683256*S892+W892+X892+Y892)</f>
        <v/>
      </c>
      <c r="AB892">
        <f>LOOKUP(AA892,Grade_Scale!$A$2:$A$18,Grade_Scale!$B$2:$B$18)</f>
        <v/>
      </c>
      <c r="AC892">
        <f>LOOKUP(AA892,Grade_Scale!$A$2:$A$18,Grade_Scale!$C$2:$C$18)</f>
        <v/>
      </c>
      <c r="AE892">
        <f>IF(AD892="","",AB892-VLOOKUP(AD892,Grade_Scale!$C$2:$E$18,3,FALSE))</f>
        <v/>
      </c>
    </row>
    <row r="893">
      <c r="Q893">
        <f>IF(OR(B893="SP",B893="RP",B893="CP",B893="SP/RP"),"P","H")</f>
        <v/>
      </c>
      <c r="R893">
        <f>IF(F893="",0,IFNA(VLOOKUP(F893,Trait_Polarity!$A:$C,2,FALSE),0))+IF(G893="",0,IFNA(VLOOKUP(G893,Trait_Polarity!$A:$C,2,FALSE),0))</f>
        <v/>
      </c>
      <c r="S893">
        <f>IF(F893="",0,IFNA(VLOOKUP(F893,Trait_Polarity!$A:$C,3,FALSE),0))+IF(G893="",0,IFNA(VLOOKUP(G893,Trait_Polarity!$A:$C,3,FALSE),0))</f>
        <v/>
      </c>
      <c r="T893">
        <f>IF(Q893="P",0,IFNA(VLOOKUP(IF(C893="","(none)",C893),Secondary_Versatility!$A:$B,2,FALSE),0))</f>
        <v/>
      </c>
      <c r="U893">
        <f>IF(H893="",0,LEN(H893)-LEN(SUBSTITUTE(H893,"|",""))+1)</f>
        <v/>
      </c>
      <c r="V893">
        <f>IF(Q893="P",(N893+O893+P893)/3,0.3*I893+0.3*J893+0.2*K893+0.1*L893+0.1*M893)</f>
        <v/>
      </c>
      <c r="W893">
        <f>IF(Q893="P",IF(F893="",0,IFNA(VLOOKUP(F893,Pitcher_Trait_Coef!$A:$B,2,FALSE),0))+IF(G893="",0,IFNA(VLOOKUP(G893,Pitcher_Trait_Coef!$A:$B,2,FALSE),0)),IF(F893="",0,IFNA(VLOOKUP(F893,Hitter_Trait_Coef!$A:$B,2,FALSE),0))+IF(G893="",0,IFNA(VLOOKUP(G893,Hitter_Trait_Coef!$A:$B,2,FALSE),0)))</f>
        <v/>
      </c>
      <c r="X893">
        <f>IF(Q893="P",IFNA(VLOOKUP(B893,Pitcher_Primary_Coef!$A:$B,2,FALSE),0),IFNA(VLOOKUP(B893,Hitter_Primary_Coef!$A:$B,2,FALSE),0))</f>
        <v/>
      </c>
      <c r="Y893">
        <f>IF(Q893="P",0,IFNA(VLOOKUP(IF(C893="","(none)",C893),Hitter_Secondary_Coef!$A:$B,2,FALSE),0))</f>
        <v/>
      </c>
      <c r="Z893">
        <f>IF(Q893="P",IF(ISNUMBER(SEARCH("2F",H893)),IFNA(VLOOKUP("2F",Pitch_Coef!$A:$B,2,FALSE),0),0)+IF(ISNUMBER(SEARCH("4F",H893)),IFNA(VLOOKUP("4F",Pitch_Coef!$A:$B,2,FALSE),0),0)+IF(ISNUMBER(SEARCH("CB",H893)),IFNA(VLOOKUP("CB",Pitch_Coef!$A:$B,2,FALSE),0),0)+IF(ISNUMBER(SEARCH("CF",H893)),IFNA(VLOOKUP("CF",Pitch_Coef!$A:$B,2,FALSE),0),0)+IF(ISNUMBER(SEARCH("CH",H893)),IFNA(VLOOKUP("CH",Pitch_Coef!$A:$B,2,FALSE),0),0)+IF(ISNUMBER(SEARCH("FK",H893)),IFNA(VLOOKUP("FK",Pitch_Coef!$A:$B,2,FALSE),0),0)+IF(ISNUMBER(SEARCH("SB",H893)),IFNA(VLOOKUP("SB",Pitch_Coef!$A:$B,2,FALSE),0),0)+IF(ISNUMBER(SEARCH("SL",H893)),IFNA(VLOOKUP("SL",Pitch_Coef!$A:$B,2,FALSE),0),0),0)</f>
        <v/>
      </c>
      <c r="AA893">
        <f>IF(Q893="P",16.5944849573+0.2529999141*N893+0.2665900378*O893+0.2632687105*P893+0.0427586837*I893+0.0534777057*J893+0.009015832*K893+0.0204898106*(O893*P893/100)+1.0091022427*U893+1.0968542297*IF(D893="L",1,0)+0.3771555045*IF(D893="S",1,0)-0.2226159177*IF(E893="L",1,0)+1.21385024*R893-1.1652812274*S893+W893+X893+Z893,10.5965166711+0.2825983581*I893+0.2806503532*J893+0.2027213083*K893+0.1147824982*L893+0.0915305332*M893-0.0088454122*(I893*J893/100)-0.0336045706*(K893*L893/100)+2.8497389733*IF(D893="L",1,0)+4.5116226727*IF(D893="S",1,0)-0.6571546448*IF(E893="L",1,0)+0.0850728147*T893+0.0129488446*(T893*T893)+0.1909373936*IF(OR(F893="Utility",G893="Utility"),T893,0)+0.9656824071*R893-1.7517683256*S893+W893+X893+Y893)</f>
        <v/>
      </c>
      <c r="AB893">
        <f>LOOKUP(AA893,Grade_Scale!$A$2:$A$18,Grade_Scale!$B$2:$B$18)</f>
        <v/>
      </c>
      <c r="AC893">
        <f>LOOKUP(AA893,Grade_Scale!$A$2:$A$18,Grade_Scale!$C$2:$C$18)</f>
        <v/>
      </c>
      <c r="AE893">
        <f>IF(AD893="","",AB893-VLOOKUP(AD893,Grade_Scale!$C$2:$E$18,3,FALSE))</f>
        <v/>
      </c>
    </row>
    <row r="894">
      <c r="Q894">
        <f>IF(OR(B894="SP",B894="RP",B894="CP",B894="SP/RP"),"P","H")</f>
        <v/>
      </c>
      <c r="R894">
        <f>IF(F894="",0,IFNA(VLOOKUP(F894,Trait_Polarity!$A:$C,2,FALSE),0))+IF(G894="",0,IFNA(VLOOKUP(G894,Trait_Polarity!$A:$C,2,FALSE),0))</f>
        <v/>
      </c>
      <c r="S894">
        <f>IF(F894="",0,IFNA(VLOOKUP(F894,Trait_Polarity!$A:$C,3,FALSE),0))+IF(G894="",0,IFNA(VLOOKUP(G894,Trait_Polarity!$A:$C,3,FALSE),0))</f>
        <v/>
      </c>
      <c r="T894">
        <f>IF(Q894="P",0,IFNA(VLOOKUP(IF(C894="","(none)",C894),Secondary_Versatility!$A:$B,2,FALSE),0))</f>
        <v/>
      </c>
      <c r="U894">
        <f>IF(H894="",0,LEN(H894)-LEN(SUBSTITUTE(H894,"|",""))+1)</f>
        <v/>
      </c>
      <c r="V894">
        <f>IF(Q894="P",(N894+O894+P894)/3,0.3*I894+0.3*J894+0.2*K894+0.1*L894+0.1*M894)</f>
        <v/>
      </c>
      <c r="W894">
        <f>IF(Q894="P",IF(F894="",0,IFNA(VLOOKUP(F894,Pitcher_Trait_Coef!$A:$B,2,FALSE),0))+IF(G894="",0,IFNA(VLOOKUP(G894,Pitcher_Trait_Coef!$A:$B,2,FALSE),0)),IF(F894="",0,IFNA(VLOOKUP(F894,Hitter_Trait_Coef!$A:$B,2,FALSE),0))+IF(G894="",0,IFNA(VLOOKUP(G894,Hitter_Trait_Coef!$A:$B,2,FALSE),0)))</f>
        <v/>
      </c>
      <c r="X894">
        <f>IF(Q894="P",IFNA(VLOOKUP(B894,Pitcher_Primary_Coef!$A:$B,2,FALSE),0),IFNA(VLOOKUP(B894,Hitter_Primary_Coef!$A:$B,2,FALSE),0))</f>
        <v/>
      </c>
      <c r="Y894">
        <f>IF(Q894="P",0,IFNA(VLOOKUP(IF(C894="","(none)",C894),Hitter_Secondary_Coef!$A:$B,2,FALSE),0))</f>
        <v/>
      </c>
      <c r="Z894">
        <f>IF(Q894="P",IF(ISNUMBER(SEARCH("2F",H894)),IFNA(VLOOKUP("2F",Pitch_Coef!$A:$B,2,FALSE),0),0)+IF(ISNUMBER(SEARCH("4F",H894)),IFNA(VLOOKUP("4F",Pitch_Coef!$A:$B,2,FALSE),0),0)+IF(ISNUMBER(SEARCH("CB",H894)),IFNA(VLOOKUP("CB",Pitch_Coef!$A:$B,2,FALSE),0),0)+IF(ISNUMBER(SEARCH("CF",H894)),IFNA(VLOOKUP("CF",Pitch_Coef!$A:$B,2,FALSE),0),0)+IF(ISNUMBER(SEARCH("CH",H894)),IFNA(VLOOKUP("CH",Pitch_Coef!$A:$B,2,FALSE),0),0)+IF(ISNUMBER(SEARCH("FK",H894)),IFNA(VLOOKUP("FK",Pitch_Coef!$A:$B,2,FALSE),0),0)+IF(ISNUMBER(SEARCH("SB",H894)),IFNA(VLOOKUP("SB",Pitch_Coef!$A:$B,2,FALSE),0),0)+IF(ISNUMBER(SEARCH("SL",H894)),IFNA(VLOOKUP("SL",Pitch_Coef!$A:$B,2,FALSE),0),0),0)</f>
        <v/>
      </c>
      <c r="AA894">
        <f>IF(Q894="P",16.5944849573+0.2529999141*N894+0.2665900378*O894+0.2632687105*P894+0.0427586837*I894+0.0534777057*J894+0.009015832*K894+0.0204898106*(O894*P894/100)+1.0091022427*U894+1.0968542297*IF(D894="L",1,0)+0.3771555045*IF(D894="S",1,0)-0.2226159177*IF(E894="L",1,0)+1.21385024*R894-1.1652812274*S894+W894+X894+Z894,10.5965166711+0.2825983581*I894+0.2806503532*J894+0.2027213083*K894+0.1147824982*L894+0.0915305332*M894-0.0088454122*(I894*J894/100)-0.0336045706*(K894*L894/100)+2.8497389733*IF(D894="L",1,0)+4.5116226727*IF(D894="S",1,0)-0.6571546448*IF(E894="L",1,0)+0.0850728147*T894+0.0129488446*(T894*T894)+0.1909373936*IF(OR(F894="Utility",G894="Utility"),T894,0)+0.9656824071*R894-1.7517683256*S894+W894+X894+Y894)</f>
        <v/>
      </c>
      <c r="AB894">
        <f>LOOKUP(AA894,Grade_Scale!$A$2:$A$18,Grade_Scale!$B$2:$B$18)</f>
        <v/>
      </c>
      <c r="AC894">
        <f>LOOKUP(AA894,Grade_Scale!$A$2:$A$18,Grade_Scale!$C$2:$C$18)</f>
        <v/>
      </c>
      <c r="AE894">
        <f>IF(AD894="","",AB894-VLOOKUP(AD894,Grade_Scale!$C$2:$E$18,3,FALSE))</f>
        <v/>
      </c>
    </row>
    <row r="895">
      <c r="Q895">
        <f>IF(OR(B895="SP",B895="RP",B895="CP",B895="SP/RP"),"P","H")</f>
        <v/>
      </c>
      <c r="R895">
        <f>IF(F895="",0,IFNA(VLOOKUP(F895,Trait_Polarity!$A:$C,2,FALSE),0))+IF(G895="",0,IFNA(VLOOKUP(G895,Trait_Polarity!$A:$C,2,FALSE),0))</f>
        <v/>
      </c>
      <c r="S895">
        <f>IF(F895="",0,IFNA(VLOOKUP(F895,Trait_Polarity!$A:$C,3,FALSE),0))+IF(G895="",0,IFNA(VLOOKUP(G895,Trait_Polarity!$A:$C,3,FALSE),0))</f>
        <v/>
      </c>
      <c r="T895">
        <f>IF(Q895="P",0,IFNA(VLOOKUP(IF(C895="","(none)",C895),Secondary_Versatility!$A:$B,2,FALSE),0))</f>
        <v/>
      </c>
      <c r="U895">
        <f>IF(H895="",0,LEN(H895)-LEN(SUBSTITUTE(H895,"|",""))+1)</f>
        <v/>
      </c>
      <c r="V895">
        <f>IF(Q895="P",(N895+O895+P895)/3,0.3*I895+0.3*J895+0.2*K895+0.1*L895+0.1*M895)</f>
        <v/>
      </c>
      <c r="W895">
        <f>IF(Q895="P",IF(F895="",0,IFNA(VLOOKUP(F895,Pitcher_Trait_Coef!$A:$B,2,FALSE),0))+IF(G895="",0,IFNA(VLOOKUP(G895,Pitcher_Trait_Coef!$A:$B,2,FALSE),0)),IF(F895="",0,IFNA(VLOOKUP(F895,Hitter_Trait_Coef!$A:$B,2,FALSE),0))+IF(G895="",0,IFNA(VLOOKUP(G895,Hitter_Trait_Coef!$A:$B,2,FALSE),0)))</f>
        <v/>
      </c>
      <c r="X895">
        <f>IF(Q895="P",IFNA(VLOOKUP(B895,Pitcher_Primary_Coef!$A:$B,2,FALSE),0),IFNA(VLOOKUP(B895,Hitter_Primary_Coef!$A:$B,2,FALSE),0))</f>
        <v/>
      </c>
      <c r="Y895">
        <f>IF(Q895="P",0,IFNA(VLOOKUP(IF(C895="","(none)",C895),Hitter_Secondary_Coef!$A:$B,2,FALSE),0))</f>
        <v/>
      </c>
      <c r="Z895">
        <f>IF(Q895="P",IF(ISNUMBER(SEARCH("2F",H895)),IFNA(VLOOKUP("2F",Pitch_Coef!$A:$B,2,FALSE),0),0)+IF(ISNUMBER(SEARCH("4F",H895)),IFNA(VLOOKUP("4F",Pitch_Coef!$A:$B,2,FALSE),0),0)+IF(ISNUMBER(SEARCH("CB",H895)),IFNA(VLOOKUP("CB",Pitch_Coef!$A:$B,2,FALSE),0),0)+IF(ISNUMBER(SEARCH("CF",H895)),IFNA(VLOOKUP("CF",Pitch_Coef!$A:$B,2,FALSE),0),0)+IF(ISNUMBER(SEARCH("CH",H895)),IFNA(VLOOKUP("CH",Pitch_Coef!$A:$B,2,FALSE),0),0)+IF(ISNUMBER(SEARCH("FK",H895)),IFNA(VLOOKUP("FK",Pitch_Coef!$A:$B,2,FALSE),0),0)+IF(ISNUMBER(SEARCH("SB",H895)),IFNA(VLOOKUP("SB",Pitch_Coef!$A:$B,2,FALSE),0),0)+IF(ISNUMBER(SEARCH("SL",H895)),IFNA(VLOOKUP("SL",Pitch_Coef!$A:$B,2,FALSE),0),0),0)</f>
        <v/>
      </c>
      <c r="AA895">
        <f>IF(Q895="P",16.5944849573+0.2529999141*N895+0.2665900378*O895+0.2632687105*P895+0.0427586837*I895+0.0534777057*J895+0.009015832*K895+0.0204898106*(O895*P895/100)+1.0091022427*U895+1.0968542297*IF(D895="L",1,0)+0.3771555045*IF(D895="S",1,0)-0.2226159177*IF(E895="L",1,0)+1.21385024*R895-1.1652812274*S895+W895+X895+Z895,10.5965166711+0.2825983581*I895+0.2806503532*J895+0.2027213083*K895+0.1147824982*L895+0.0915305332*M895-0.0088454122*(I895*J895/100)-0.0336045706*(K895*L895/100)+2.8497389733*IF(D895="L",1,0)+4.5116226727*IF(D895="S",1,0)-0.6571546448*IF(E895="L",1,0)+0.0850728147*T895+0.0129488446*(T895*T895)+0.1909373936*IF(OR(F895="Utility",G895="Utility"),T895,0)+0.9656824071*R895-1.7517683256*S895+W895+X895+Y895)</f>
        <v/>
      </c>
      <c r="AB895">
        <f>LOOKUP(AA895,Grade_Scale!$A$2:$A$18,Grade_Scale!$B$2:$B$18)</f>
        <v/>
      </c>
      <c r="AC895">
        <f>LOOKUP(AA895,Grade_Scale!$A$2:$A$18,Grade_Scale!$C$2:$C$18)</f>
        <v/>
      </c>
      <c r="AE895">
        <f>IF(AD895="","",AB895-VLOOKUP(AD895,Grade_Scale!$C$2:$E$18,3,FALSE))</f>
        <v/>
      </c>
    </row>
    <row r="896">
      <c r="Q896">
        <f>IF(OR(B896="SP",B896="RP",B896="CP",B896="SP/RP"),"P","H")</f>
        <v/>
      </c>
      <c r="R896">
        <f>IF(F896="",0,IFNA(VLOOKUP(F896,Trait_Polarity!$A:$C,2,FALSE),0))+IF(G896="",0,IFNA(VLOOKUP(G896,Trait_Polarity!$A:$C,2,FALSE),0))</f>
        <v/>
      </c>
      <c r="S896">
        <f>IF(F896="",0,IFNA(VLOOKUP(F896,Trait_Polarity!$A:$C,3,FALSE),0))+IF(G896="",0,IFNA(VLOOKUP(G896,Trait_Polarity!$A:$C,3,FALSE),0))</f>
        <v/>
      </c>
      <c r="T896">
        <f>IF(Q896="P",0,IFNA(VLOOKUP(IF(C896="","(none)",C896),Secondary_Versatility!$A:$B,2,FALSE),0))</f>
        <v/>
      </c>
      <c r="U896">
        <f>IF(H896="",0,LEN(H896)-LEN(SUBSTITUTE(H896,"|",""))+1)</f>
        <v/>
      </c>
      <c r="V896">
        <f>IF(Q896="P",(N896+O896+P896)/3,0.3*I896+0.3*J896+0.2*K896+0.1*L896+0.1*M896)</f>
        <v/>
      </c>
      <c r="W896">
        <f>IF(Q896="P",IF(F896="",0,IFNA(VLOOKUP(F896,Pitcher_Trait_Coef!$A:$B,2,FALSE),0))+IF(G896="",0,IFNA(VLOOKUP(G896,Pitcher_Trait_Coef!$A:$B,2,FALSE),0)),IF(F896="",0,IFNA(VLOOKUP(F896,Hitter_Trait_Coef!$A:$B,2,FALSE),0))+IF(G896="",0,IFNA(VLOOKUP(G896,Hitter_Trait_Coef!$A:$B,2,FALSE),0)))</f>
        <v/>
      </c>
      <c r="X896">
        <f>IF(Q896="P",IFNA(VLOOKUP(B896,Pitcher_Primary_Coef!$A:$B,2,FALSE),0),IFNA(VLOOKUP(B896,Hitter_Primary_Coef!$A:$B,2,FALSE),0))</f>
        <v/>
      </c>
      <c r="Y896">
        <f>IF(Q896="P",0,IFNA(VLOOKUP(IF(C896="","(none)",C896),Hitter_Secondary_Coef!$A:$B,2,FALSE),0))</f>
        <v/>
      </c>
      <c r="Z896">
        <f>IF(Q896="P",IF(ISNUMBER(SEARCH("2F",H896)),IFNA(VLOOKUP("2F",Pitch_Coef!$A:$B,2,FALSE),0),0)+IF(ISNUMBER(SEARCH("4F",H896)),IFNA(VLOOKUP("4F",Pitch_Coef!$A:$B,2,FALSE),0),0)+IF(ISNUMBER(SEARCH("CB",H896)),IFNA(VLOOKUP("CB",Pitch_Coef!$A:$B,2,FALSE),0),0)+IF(ISNUMBER(SEARCH("CF",H896)),IFNA(VLOOKUP("CF",Pitch_Coef!$A:$B,2,FALSE),0),0)+IF(ISNUMBER(SEARCH("CH",H896)),IFNA(VLOOKUP("CH",Pitch_Coef!$A:$B,2,FALSE),0),0)+IF(ISNUMBER(SEARCH("FK",H896)),IFNA(VLOOKUP("FK",Pitch_Coef!$A:$B,2,FALSE),0),0)+IF(ISNUMBER(SEARCH("SB",H896)),IFNA(VLOOKUP("SB",Pitch_Coef!$A:$B,2,FALSE),0),0)+IF(ISNUMBER(SEARCH("SL",H896)),IFNA(VLOOKUP("SL",Pitch_Coef!$A:$B,2,FALSE),0),0),0)</f>
        <v/>
      </c>
      <c r="AA896">
        <f>IF(Q896="P",16.5944849573+0.2529999141*N896+0.2665900378*O896+0.2632687105*P896+0.0427586837*I896+0.0534777057*J896+0.009015832*K896+0.0204898106*(O896*P896/100)+1.0091022427*U896+1.0968542297*IF(D896="L",1,0)+0.3771555045*IF(D896="S",1,0)-0.2226159177*IF(E896="L",1,0)+1.21385024*R896-1.1652812274*S896+W896+X896+Z896,10.5965166711+0.2825983581*I896+0.2806503532*J896+0.2027213083*K896+0.1147824982*L896+0.0915305332*M896-0.0088454122*(I896*J896/100)-0.0336045706*(K896*L896/100)+2.8497389733*IF(D896="L",1,0)+4.5116226727*IF(D896="S",1,0)-0.6571546448*IF(E896="L",1,0)+0.0850728147*T896+0.0129488446*(T896*T896)+0.1909373936*IF(OR(F896="Utility",G896="Utility"),T896,0)+0.9656824071*R896-1.7517683256*S896+W896+X896+Y896)</f>
        <v/>
      </c>
      <c r="AB896">
        <f>LOOKUP(AA896,Grade_Scale!$A$2:$A$18,Grade_Scale!$B$2:$B$18)</f>
        <v/>
      </c>
      <c r="AC896">
        <f>LOOKUP(AA896,Grade_Scale!$A$2:$A$18,Grade_Scale!$C$2:$C$18)</f>
        <v/>
      </c>
      <c r="AE896">
        <f>IF(AD896="","",AB896-VLOOKUP(AD896,Grade_Scale!$C$2:$E$18,3,FALSE))</f>
        <v/>
      </c>
    </row>
    <row r="897">
      <c r="Q897">
        <f>IF(OR(B897="SP",B897="RP",B897="CP",B897="SP/RP"),"P","H")</f>
        <v/>
      </c>
      <c r="R897">
        <f>IF(F897="",0,IFNA(VLOOKUP(F897,Trait_Polarity!$A:$C,2,FALSE),0))+IF(G897="",0,IFNA(VLOOKUP(G897,Trait_Polarity!$A:$C,2,FALSE),0))</f>
        <v/>
      </c>
      <c r="S897">
        <f>IF(F897="",0,IFNA(VLOOKUP(F897,Trait_Polarity!$A:$C,3,FALSE),0))+IF(G897="",0,IFNA(VLOOKUP(G897,Trait_Polarity!$A:$C,3,FALSE),0))</f>
        <v/>
      </c>
      <c r="T897">
        <f>IF(Q897="P",0,IFNA(VLOOKUP(IF(C897="","(none)",C897),Secondary_Versatility!$A:$B,2,FALSE),0))</f>
        <v/>
      </c>
      <c r="U897">
        <f>IF(H897="",0,LEN(H897)-LEN(SUBSTITUTE(H897,"|",""))+1)</f>
        <v/>
      </c>
      <c r="V897">
        <f>IF(Q897="P",(N897+O897+P897)/3,0.3*I897+0.3*J897+0.2*K897+0.1*L897+0.1*M897)</f>
        <v/>
      </c>
      <c r="W897">
        <f>IF(Q897="P",IF(F897="",0,IFNA(VLOOKUP(F897,Pitcher_Trait_Coef!$A:$B,2,FALSE),0))+IF(G897="",0,IFNA(VLOOKUP(G897,Pitcher_Trait_Coef!$A:$B,2,FALSE),0)),IF(F897="",0,IFNA(VLOOKUP(F897,Hitter_Trait_Coef!$A:$B,2,FALSE),0))+IF(G897="",0,IFNA(VLOOKUP(G897,Hitter_Trait_Coef!$A:$B,2,FALSE),0)))</f>
        <v/>
      </c>
      <c r="X897">
        <f>IF(Q897="P",IFNA(VLOOKUP(B897,Pitcher_Primary_Coef!$A:$B,2,FALSE),0),IFNA(VLOOKUP(B897,Hitter_Primary_Coef!$A:$B,2,FALSE),0))</f>
        <v/>
      </c>
      <c r="Y897">
        <f>IF(Q897="P",0,IFNA(VLOOKUP(IF(C897="","(none)",C897),Hitter_Secondary_Coef!$A:$B,2,FALSE),0))</f>
        <v/>
      </c>
      <c r="Z897">
        <f>IF(Q897="P",IF(ISNUMBER(SEARCH("2F",H897)),IFNA(VLOOKUP("2F",Pitch_Coef!$A:$B,2,FALSE),0),0)+IF(ISNUMBER(SEARCH("4F",H897)),IFNA(VLOOKUP("4F",Pitch_Coef!$A:$B,2,FALSE),0),0)+IF(ISNUMBER(SEARCH("CB",H897)),IFNA(VLOOKUP("CB",Pitch_Coef!$A:$B,2,FALSE),0),0)+IF(ISNUMBER(SEARCH("CF",H897)),IFNA(VLOOKUP("CF",Pitch_Coef!$A:$B,2,FALSE),0),0)+IF(ISNUMBER(SEARCH("CH",H897)),IFNA(VLOOKUP("CH",Pitch_Coef!$A:$B,2,FALSE),0),0)+IF(ISNUMBER(SEARCH("FK",H897)),IFNA(VLOOKUP("FK",Pitch_Coef!$A:$B,2,FALSE),0),0)+IF(ISNUMBER(SEARCH("SB",H897)),IFNA(VLOOKUP("SB",Pitch_Coef!$A:$B,2,FALSE),0),0)+IF(ISNUMBER(SEARCH("SL",H897)),IFNA(VLOOKUP("SL",Pitch_Coef!$A:$B,2,FALSE),0),0),0)</f>
        <v/>
      </c>
      <c r="AA897">
        <f>IF(Q897="P",16.5944849573+0.2529999141*N897+0.2665900378*O897+0.2632687105*P897+0.0427586837*I897+0.0534777057*J897+0.009015832*K897+0.0204898106*(O897*P897/100)+1.0091022427*U897+1.0968542297*IF(D897="L",1,0)+0.3771555045*IF(D897="S",1,0)-0.2226159177*IF(E897="L",1,0)+1.21385024*R897-1.1652812274*S897+W897+X897+Z897,10.5965166711+0.2825983581*I897+0.2806503532*J897+0.2027213083*K897+0.1147824982*L897+0.0915305332*M897-0.0088454122*(I897*J897/100)-0.0336045706*(K897*L897/100)+2.8497389733*IF(D897="L",1,0)+4.5116226727*IF(D897="S",1,0)-0.6571546448*IF(E897="L",1,0)+0.0850728147*T897+0.0129488446*(T897*T897)+0.1909373936*IF(OR(F897="Utility",G897="Utility"),T897,0)+0.9656824071*R897-1.7517683256*S897+W897+X897+Y897)</f>
        <v/>
      </c>
      <c r="AB897">
        <f>LOOKUP(AA897,Grade_Scale!$A$2:$A$18,Grade_Scale!$B$2:$B$18)</f>
        <v/>
      </c>
      <c r="AC897">
        <f>LOOKUP(AA897,Grade_Scale!$A$2:$A$18,Grade_Scale!$C$2:$C$18)</f>
        <v/>
      </c>
      <c r="AE897">
        <f>IF(AD897="","",AB897-VLOOKUP(AD897,Grade_Scale!$C$2:$E$18,3,FALSE))</f>
        <v/>
      </c>
    </row>
    <row r="898">
      <c r="Q898">
        <f>IF(OR(B898="SP",B898="RP",B898="CP",B898="SP/RP"),"P","H")</f>
        <v/>
      </c>
      <c r="R898">
        <f>IF(F898="",0,IFNA(VLOOKUP(F898,Trait_Polarity!$A:$C,2,FALSE),0))+IF(G898="",0,IFNA(VLOOKUP(G898,Trait_Polarity!$A:$C,2,FALSE),0))</f>
        <v/>
      </c>
      <c r="S898">
        <f>IF(F898="",0,IFNA(VLOOKUP(F898,Trait_Polarity!$A:$C,3,FALSE),0))+IF(G898="",0,IFNA(VLOOKUP(G898,Trait_Polarity!$A:$C,3,FALSE),0))</f>
        <v/>
      </c>
      <c r="T898">
        <f>IF(Q898="P",0,IFNA(VLOOKUP(IF(C898="","(none)",C898),Secondary_Versatility!$A:$B,2,FALSE),0))</f>
        <v/>
      </c>
      <c r="U898">
        <f>IF(H898="",0,LEN(H898)-LEN(SUBSTITUTE(H898,"|",""))+1)</f>
        <v/>
      </c>
      <c r="V898">
        <f>IF(Q898="P",(N898+O898+P898)/3,0.3*I898+0.3*J898+0.2*K898+0.1*L898+0.1*M898)</f>
        <v/>
      </c>
      <c r="W898">
        <f>IF(Q898="P",IF(F898="",0,IFNA(VLOOKUP(F898,Pitcher_Trait_Coef!$A:$B,2,FALSE),0))+IF(G898="",0,IFNA(VLOOKUP(G898,Pitcher_Trait_Coef!$A:$B,2,FALSE),0)),IF(F898="",0,IFNA(VLOOKUP(F898,Hitter_Trait_Coef!$A:$B,2,FALSE),0))+IF(G898="",0,IFNA(VLOOKUP(G898,Hitter_Trait_Coef!$A:$B,2,FALSE),0)))</f>
        <v/>
      </c>
      <c r="X898">
        <f>IF(Q898="P",IFNA(VLOOKUP(B898,Pitcher_Primary_Coef!$A:$B,2,FALSE),0),IFNA(VLOOKUP(B898,Hitter_Primary_Coef!$A:$B,2,FALSE),0))</f>
        <v/>
      </c>
      <c r="Y898">
        <f>IF(Q898="P",0,IFNA(VLOOKUP(IF(C898="","(none)",C898),Hitter_Secondary_Coef!$A:$B,2,FALSE),0))</f>
        <v/>
      </c>
      <c r="Z898">
        <f>IF(Q898="P",IF(ISNUMBER(SEARCH("2F",H898)),IFNA(VLOOKUP("2F",Pitch_Coef!$A:$B,2,FALSE),0),0)+IF(ISNUMBER(SEARCH("4F",H898)),IFNA(VLOOKUP("4F",Pitch_Coef!$A:$B,2,FALSE),0),0)+IF(ISNUMBER(SEARCH("CB",H898)),IFNA(VLOOKUP("CB",Pitch_Coef!$A:$B,2,FALSE),0),0)+IF(ISNUMBER(SEARCH("CF",H898)),IFNA(VLOOKUP("CF",Pitch_Coef!$A:$B,2,FALSE),0),0)+IF(ISNUMBER(SEARCH("CH",H898)),IFNA(VLOOKUP("CH",Pitch_Coef!$A:$B,2,FALSE),0),0)+IF(ISNUMBER(SEARCH("FK",H898)),IFNA(VLOOKUP("FK",Pitch_Coef!$A:$B,2,FALSE),0),0)+IF(ISNUMBER(SEARCH("SB",H898)),IFNA(VLOOKUP("SB",Pitch_Coef!$A:$B,2,FALSE),0),0)+IF(ISNUMBER(SEARCH("SL",H898)),IFNA(VLOOKUP("SL",Pitch_Coef!$A:$B,2,FALSE),0),0),0)</f>
        <v/>
      </c>
      <c r="AA898">
        <f>IF(Q898="P",16.5944849573+0.2529999141*N898+0.2665900378*O898+0.2632687105*P898+0.0427586837*I898+0.0534777057*J898+0.009015832*K898+0.0204898106*(O898*P898/100)+1.0091022427*U898+1.0968542297*IF(D898="L",1,0)+0.3771555045*IF(D898="S",1,0)-0.2226159177*IF(E898="L",1,0)+1.21385024*R898-1.1652812274*S898+W898+X898+Z898,10.5965166711+0.2825983581*I898+0.2806503532*J898+0.2027213083*K898+0.1147824982*L898+0.0915305332*M898-0.0088454122*(I898*J898/100)-0.0336045706*(K898*L898/100)+2.8497389733*IF(D898="L",1,0)+4.5116226727*IF(D898="S",1,0)-0.6571546448*IF(E898="L",1,0)+0.0850728147*T898+0.0129488446*(T898*T898)+0.1909373936*IF(OR(F898="Utility",G898="Utility"),T898,0)+0.9656824071*R898-1.7517683256*S898+W898+X898+Y898)</f>
        <v/>
      </c>
      <c r="AB898">
        <f>LOOKUP(AA898,Grade_Scale!$A$2:$A$18,Grade_Scale!$B$2:$B$18)</f>
        <v/>
      </c>
      <c r="AC898">
        <f>LOOKUP(AA898,Grade_Scale!$A$2:$A$18,Grade_Scale!$C$2:$C$18)</f>
        <v/>
      </c>
      <c r="AE898">
        <f>IF(AD898="","",AB898-VLOOKUP(AD898,Grade_Scale!$C$2:$E$18,3,FALSE))</f>
        <v/>
      </c>
    </row>
    <row r="899">
      <c r="Q899">
        <f>IF(OR(B899="SP",B899="RP",B899="CP",B899="SP/RP"),"P","H")</f>
        <v/>
      </c>
      <c r="R899">
        <f>IF(F899="",0,IFNA(VLOOKUP(F899,Trait_Polarity!$A:$C,2,FALSE),0))+IF(G899="",0,IFNA(VLOOKUP(G899,Trait_Polarity!$A:$C,2,FALSE),0))</f>
        <v/>
      </c>
      <c r="S899">
        <f>IF(F899="",0,IFNA(VLOOKUP(F899,Trait_Polarity!$A:$C,3,FALSE),0))+IF(G899="",0,IFNA(VLOOKUP(G899,Trait_Polarity!$A:$C,3,FALSE),0))</f>
        <v/>
      </c>
      <c r="T899">
        <f>IF(Q899="P",0,IFNA(VLOOKUP(IF(C899="","(none)",C899),Secondary_Versatility!$A:$B,2,FALSE),0))</f>
        <v/>
      </c>
      <c r="U899">
        <f>IF(H899="",0,LEN(H899)-LEN(SUBSTITUTE(H899,"|",""))+1)</f>
        <v/>
      </c>
      <c r="V899">
        <f>IF(Q899="P",(N899+O899+P899)/3,0.3*I899+0.3*J899+0.2*K899+0.1*L899+0.1*M899)</f>
        <v/>
      </c>
      <c r="W899">
        <f>IF(Q899="P",IF(F899="",0,IFNA(VLOOKUP(F899,Pitcher_Trait_Coef!$A:$B,2,FALSE),0))+IF(G899="",0,IFNA(VLOOKUP(G899,Pitcher_Trait_Coef!$A:$B,2,FALSE),0)),IF(F899="",0,IFNA(VLOOKUP(F899,Hitter_Trait_Coef!$A:$B,2,FALSE),0))+IF(G899="",0,IFNA(VLOOKUP(G899,Hitter_Trait_Coef!$A:$B,2,FALSE),0)))</f>
        <v/>
      </c>
      <c r="X899">
        <f>IF(Q899="P",IFNA(VLOOKUP(B899,Pitcher_Primary_Coef!$A:$B,2,FALSE),0),IFNA(VLOOKUP(B899,Hitter_Primary_Coef!$A:$B,2,FALSE),0))</f>
        <v/>
      </c>
      <c r="Y899">
        <f>IF(Q899="P",0,IFNA(VLOOKUP(IF(C899="","(none)",C899),Hitter_Secondary_Coef!$A:$B,2,FALSE),0))</f>
        <v/>
      </c>
      <c r="Z899">
        <f>IF(Q899="P",IF(ISNUMBER(SEARCH("2F",H899)),IFNA(VLOOKUP("2F",Pitch_Coef!$A:$B,2,FALSE),0),0)+IF(ISNUMBER(SEARCH("4F",H899)),IFNA(VLOOKUP("4F",Pitch_Coef!$A:$B,2,FALSE),0),0)+IF(ISNUMBER(SEARCH("CB",H899)),IFNA(VLOOKUP("CB",Pitch_Coef!$A:$B,2,FALSE),0),0)+IF(ISNUMBER(SEARCH("CF",H899)),IFNA(VLOOKUP("CF",Pitch_Coef!$A:$B,2,FALSE),0),0)+IF(ISNUMBER(SEARCH("CH",H899)),IFNA(VLOOKUP("CH",Pitch_Coef!$A:$B,2,FALSE),0),0)+IF(ISNUMBER(SEARCH("FK",H899)),IFNA(VLOOKUP("FK",Pitch_Coef!$A:$B,2,FALSE),0),0)+IF(ISNUMBER(SEARCH("SB",H899)),IFNA(VLOOKUP("SB",Pitch_Coef!$A:$B,2,FALSE),0),0)+IF(ISNUMBER(SEARCH("SL",H899)),IFNA(VLOOKUP("SL",Pitch_Coef!$A:$B,2,FALSE),0),0),0)</f>
        <v/>
      </c>
      <c r="AA899">
        <f>IF(Q899="P",16.5944849573+0.2529999141*N899+0.2665900378*O899+0.2632687105*P899+0.0427586837*I899+0.0534777057*J899+0.009015832*K899+0.0204898106*(O899*P899/100)+1.0091022427*U899+1.0968542297*IF(D899="L",1,0)+0.3771555045*IF(D899="S",1,0)-0.2226159177*IF(E899="L",1,0)+1.21385024*R899-1.1652812274*S899+W899+X899+Z899,10.5965166711+0.2825983581*I899+0.2806503532*J899+0.2027213083*K899+0.1147824982*L899+0.0915305332*M899-0.0088454122*(I899*J899/100)-0.0336045706*(K899*L899/100)+2.8497389733*IF(D899="L",1,0)+4.5116226727*IF(D899="S",1,0)-0.6571546448*IF(E899="L",1,0)+0.0850728147*T899+0.0129488446*(T899*T899)+0.1909373936*IF(OR(F899="Utility",G899="Utility"),T899,0)+0.9656824071*R899-1.7517683256*S899+W899+X899+Y899)</f>
        <v/>
      </c>
      <c r="AB899">
        <f>LOOKUP(AA899,Grade_Scale!$A$2:$A$18,Grade_Scale!$B$2:$B$18)</f>
        <v/>
      </c>
      <c r="AC899">
        <f>LOOKUP(AA899,Grade_Scale!$A$2:$A$18,Grade_Scale!$C$2:$C$18)</f>
        <v/>
      </c>
      <c r="AE899">
        <f>IF(AD899="","",AB899-VLOOKUP(AD899,Grade_Scale!$C$2:$E$18,3,FALSE))</f>
        <v/>
      </c>
    </row>
    <row r="900">
      <c r="Q900">
        <f>IF(OR(B900="SP",B900="RP",B900="CP",B900="SP/RP"),"P","H")</f>
        <v/>
      </c>
      <c r="R900">
        <f>IF(F900="",0,IFNA(VLOOKUP(F900,Trait_Polarity!$A:$C,2,FALSE),0))+IF(G900="",0,IFNA(VLOOKUP(G900,Trait_Polarity!$A:$C,2,FALSE),0))</f>
        <v/>
      </c>
      <c r="S900">
        <f>IF(F900="",0,IFNA(VLOOKUP(F900,Trait_Polarity!$A:$C,3,FALSE),0))+IF(G900="",0,IFNA(VLOOKUP(G900,Trait_Polarity!$A:$C,3,FALSE),0))</f>
        <v/>
      </c>
      <c r="T900">
        <f>IF(Q900="P",0,IFNA(VLOOKUP(IF(C900="","(none)",C900),Secondary_Versatility!$A:$B,2,FALSE),0))</f>
        <v/>
      </c>
      <c r="U900">
        <f>IF(H900="",0,LEN(H900)-LEN(SUBSTITUTE(H900,"|",""))+1)</f>
        <v/>
      </c>
      <c r="V900">
        <f>IF(Q900="P",(N900+O900+P900)/3,0.3*I900+0.3*J900+0.2*K900+0.1*L900+0.1*M900)</f>
        <v/>
      </c>
      <c r="W900">
        <f>IF(Q900="P",IF(F900="",0,IFNA(VLOOKUP(F900,Pitcher_Trait_Coef!$A:$B,2,FALSE),0))+IF(G900="",0,IFNA(VLOOKUP(G900,Pitcher_Trait_Coef!$A:$B,2,FALSE),0)),IF(F900="",0,IFNA(VLOOKUP(F900,Hitter_Trait_Coef!$A:$B,2,FALSE),0))+IF(G900="",0,IFNA(VLOOKUP(G900,Hitter_Trait_Coef!$A:$B,2,FALSE),0)))</f>
        <v/>
      </c>
      <c r="X900">
        <f>IF(Q900="P",IFNA(VLOOKUP(B900,Pitcher_Primary_Coef!$A:$B,2,FALSE),0),IFNA(VLOOKUP(B900,Hitter_Primary_Coef!$A:$B,2,FALSE),0))</f>
        <v/>
      </c>
      <c r="Y900">
        <f>IF(Q900="P",0,IFNA(VLOOKUP(IF(C900="","(none)",C900),Hitter_Secondary_Coef!$A:$B,2,FALSE),0))</f>
        <v/>
      </c>
      <c r="Z900">
        <f>IF(Q900="P",IF(ISNUMBER(SEARCH("2F",H900)),IFNA(VLOOKUP("2F",Pitch_Coef!$A:$B,2,FALSE),0),0)+IF(ISNUMBER(SEARCH("4F",H900)),IFNA(VLOOKUP("4F",Pitch_Coef!$A:$B,2,FALSE),0),0)+IF(ISNUMBER(SEARCH("CB",H900)),IFNA(VLOOKUP("CB",Pitch_Coef!$A:$B,2,FALSE),0),0)+IF(ISNUMBER(SEARCH("CF",H900)),IFNA(VLOOKUP("CF",Pitch_Coef!$A:$B,2,FALSE),0),0)+IF(ISNUMBER(SEARCH("CH",H900)),IFNA(VLOOKUP("CH",Pitch_Coef!$A:$B,2,FALSE),0),0)+IF(ISNUMBER(SEARCH("FK",H900)),IFNA(VLOOKUP("FK",Pitch_Coef!$A:$B,2,FALSE),0),0)+IF(ISNUMBER(SEARCH("SB",H900)),IFNA(VLOOKUP("SB",Pitch_Coef!$A:$B,2,FALSE),0),0)+IF(ISNUMBER(SEARCH("SL",H900)),IFNA(VLOOKUP("SL",Pitch_Coef!$A:$B,2,FALSE),0),0),0)</f>
        <v/>
      </c>
      <c r="AA900">
        <f>IF(Q900="P",16.5944849573+0.2529999141*N900+0.2665900378*O900+0.2632687105*P900+0.0427586837*I900+0.0534777057*J900+0.009015832*K900+0.0204898106*(O900*P900/100)+1.0091022427*U900+1.0968542297*IF(D900="L",1,0)+0.3771555045*IF(D900="S",1,0)-0.2226159177*IF(E900="L",1,0)+1.21385024*R900-1.1652812274*S900+W900+X900+Z900,10.5965166711+0.2825983581*I900+0.2806503532*J900+0.2027213083*K900+0.1147824982*L900+0.0915305332*M900-0.0088454122*(I900*J900/100)-0.0336045706*(K900*L900/100)+2.8497389733*IF(D900="L",1,0)+4.5116226727*IF(D900="S",1,0)-0.6571546448*IF(E900="L",1,0)+0.0850728147*T900+0.0129488446*(T900*T900)+0.1909373936*IF(OR(F900="Utility",G900="Utility"),T900,0)+0.9656824071*R900-1.7517683256*S900+W900+X900+Y900)</f>
        <v/>
      </c>
      <c r="AB900">
        <f>LOOKUP(AA900,Grade_Scale!$A$2:$A$18,Grade_Scale!$B$2:$B$18)</f>
        <v/>
      </c>
      <c r="AC900">
        <f>LOOKUP(AA900,Grade_Scale!$A$2:$A$18,Grade_Scale!$C$2:$C$18)</f>
        <v/>
      </c>
      <c r="AE900">
        <f>IF(AD900="","",AB900-VLOOKUP(AD900,Grade_Scale!$C$2:$E$18,3,FALSE))</f>
        <v/>
      </c>
    </row>
    <row r="901">
      <c r="Q901">
        <f>IF(OR(B901="SP",B901="RP",B901="CP",B901="SP/RP"),"P","H")</f>
        <v/>
      </c>
      <c r="R901">
        <f>IF(F901="",0,IFNA(VLOOKUP(F901,Trait_Polarity!$A:$C,2,FALSE),0))+IF(G901="",0,IFNA(VLOOKUP(G901,Trait_Polarity!$A:$C,2,FALSE),0))</f>
        <v/>
      </c>
      <c r="S901">
        <f>IF(F901="",0,IFNA(VLOOKUP(F901,Trait_Polarity!$A:$C,3,FALSE),0))+IF(G901="",0,IFNA(VLOOKUP(G901,Trait_Polarity!$A:$C,3,FALSE),0))</f>
        <v/>
      </c>
      <c r="T901">
        <f>IF(Q901="P",0,IFNA(VLOOKUP(IF(C901="","(none)",C901),Secondary_Versatility!$A:$B,2,FALSE),0))</f>
        <v/>
      </c>
      <c r="U901">
        <f>IF(H901="",0,LEN(H901)-LEN(SUBSTITUTE(H901,"|",""))+1)</f>
        <v/>
      </c>
      <c r="V901">
        <f>IF(Q901="P",(N901+O901+P901)/3,0.3*I901+0.3*J901+0.2*K901+0.1*L901+0.1*M901)</f>
        <v/>
      </c>
      <c r="W901">
        <f>IF(Q901="P",IF(F901="",0,IFNA(VLOOKUP(F901,Pitcher_Trait_Coef!$A:$B,2,FALSE),0))+IF(G901="",0,IFNA(VLOOKUP(G901,Pitcher_Trait_Coef!$A:$B,2,FALSE),0)),IF(F901="",0,IFNA(VLOOKUP(F901,Hitter_Trait_Coef!$A:$B,2,FALSE),0))+IF(G901="",0,IFNA(VLOOKUP(G901,Hitter_Trait_Coef!$A:$B,2,FALSE),0)))</f>
        <v/>
      </c>
      <c r="X901">
        <f>IF(Q901="P",IFNA(VLOOKUP(B901,Pitcher_Primary_Coef!$A:$B,2,FALSE),0),IFNA(VLOOKUP(B901,Hitter_Primary_Coef!$A:$B,2,FALSE),0))</f>
        <v/>
      </c>
      <c r="Y901">
        <f>IF(Q901="P",0,IFNA(VLOOKUP(IF(C901="","(none)",C901),Hitter_Secondary_Coef!$A:$B,2,FALSE),0))</f>
        <v/>
      </c>
      <c r="Z901">
        <f>IF(Q901="P",IF(ISNUMBER(SEARCH("2F",H901)),IFNA(VLOOKUP("2F",Pitch_Coef!$A:$B,2,FALSE),0),0)+IF(ISNUMBER(SEARCH("4F",H901)),IFNA(VLOOKUP("4F",Pitch_Coef!$A:$B,2,FALSE),0),0)+IF(ISNUMBER(SEARCH("CB",H901)),IFNA(VLOOKUP("CB",Pitch_Coef!$A:$B,2,FALSE),0),0)+IF(ISNUMBER(SEARCH("CF",H901)),IFNA(VLOOKUP("CF",Pitch_Coef!$A:$B,2,FALSE),0),0)+IF(ISNUMBER(SEARCH("CH",H901)),IFNA(VLOOKUP("CH",Pitch_Coef!$A:$B,2,FALSE),0),0)+IF(ISNUMBER(SEARCH("FK",H901)),IFNA(VLOOKUP("FK",Pitch_Coef!$A:$B,2,FALSE),0),0)+IF(ISNUMBER(SEARCH("SB",H901)),IFNA(VLOOKUP("SB",Pitch_Coef!$A:$B,2,FALSE),0),0)+IF(ISNUMBER(SEARCH("SL",H901)),IFNA(VLOOKUP("SL",Pitch_Coef!$A:$B,2,FALSE),0),0),0)</f>
        <v/>
      </c>
      <c r="AA901">
        <f>IF(Q901="P",16.5944849573+0.2529999141*N901+0.2665900378*O901+0.2632687105*P901+0.0427586837*I901+0.0534777057*J901+0.009015832*K901+0.0204898106*(O901*P901/100)+1.0091022427*U901+1.0968542297*IF(D901="L",1,0)+0.3771555045*IF(D901="S",1,0)-0.2226159177*IF(E901="L",1,0)+1.21385024*R901-1.1652812274*S901+W901+X901+Z901,10.5965166711+0.2825983581*I901+0.2806503532*J901+0.2027213083*K901+0.1147824982*L901+0.0915305332*M901-0.0088454122*(I901*J901/100)-0.0336045706*(K901*L901/100)+2.8497389733*IF(D901="L",1,0)+4.5116226727*IF(D901="S",1,0)-0.6571546448*IF(E901="L",1,0)+0.0850728147*T901+0.0129488446*(T901*T901)+0.1909373936*IF(OR(F901="Utility",G901="Utility"),T901,0)+0.9656824071*R901-1.7517683256*S901+W901+X901+Y901)</f>
        <v/>
      </c>
      <c r="AB901">
        <f>LOOKUP(AA901,Grade_Scale!$A$2:$A$18,Grade_Scale!$B$2:$B$18)</f>
        <v/>
      </c>
      <c r="AC901">
        <f>LOOKUP(AA901,Grade_Scale!$A$2:$A$18,Grade_Scale!$C$2:$C$18)</f>
        <v/>
      </c>
      <c r="AE901">
        <f>IF(AD901="","",AB901-VLOOKUP(AD901,Grade_Scale!$C$2:$E$18,3,FALSE))</f>
        <v/>
      </c>
    </row>
    <row r="902">
      <c r="Q902">
        <f>IF(OR(B902="SP",B902="RP",B902="CP",B902="SP/RP"),"P","H")</f>
        <v/>
      </c>
      <c r="R902">
        <f>IF(F902="",0,IFNA(VLOOKUP(F902,Trait_Polarity!$A:$C,2,FALSE),0))+IF(G902="",0,IFNA(VLOOKUP(G902,Trait_Polarity!$A:$C,2,FALSE),0))</f>
        <v/>
      </c>
      <c r="S902">
        <f>IF(F902="",0,IFNA(VLOOKUP(F902,Trait_Polarity!$A:$C,3,FALSE),0))+IF(G902="",0,IFNA(VLOOKUP(G902,Trait_Polarity!$A:$C,3,FALSE),0))</f>
        <v/>
      </c>
      <c r="T902">
        <f>IF(Q902="P",0,IFNA(VLOOKUP(IF(C902="","(none)",C902),Secondary_Versatility!$A:$B,2,FALSE),0))</f>
        <v/>
      </c>
      <c r="U902">
        <f>IF(H902="",0,LEN(H902)-LEN(SUBSTITUTE(H902,"|",""))+1)</f>
        <v/>
      </c>
      <c r="V902">
        <f>IF(Q902="P",(N902+O902+P902)/3,0.3*I902+0.3*J902+0.2*K902+0.1*L902+0.1*M902)</f>
        <v/>
      </c>
      <c r="W902">
        <f>IF(Q902="P",IF(F902="",0,IFNA(VLOOKUP(F902,Pitcher_Trait_Coef!$A:$B,2,FALSE),0))+IF(G902="",0,IFNA(VLOOKUP(G902,Pitcher_Trait_Coef!$A:$B,2,FALSE),0)),IF(F902="",0,IFNA(VLOOKUP(F902,Hitter_Trait_Coef!$A:$B,2,FALSE),0))+IF(G902="",0,IFNA(VLOOKUP(G902,Hitter_Trait_Coef!$A:$B,2,FALSE),0)))</f>
        <v/>
      </c>
      <c r="X902">
        <f>IF(Q902="P",IFNA(VLOOKUP(B902,Pitcher_Primary_Coef!$A:$B,2,FALSE),0),IFNA(VLOOKUP(B902,Hitter_Primary_Coef!$A:$B,2,FALSE),0))</f>
        <v/>
      </c>
      <c r="Y902">
        <f>IF(Q902="P",0,IFNA(VLOOKUP(IF(C902="","(none)",C902),Hitter_Secondary_Coef!$A:$B,2,FALSE),0))</f>
        <v/>
      </c>
      <c r="Z902">
        <f>IF(Q902="P",IF(ISNUMBER(SEARCH("2F",H902)),IFNA(VLOOKUP("2F",Pitch_Coef!$A:$B,2,FALSE),0),0)+IF(ISNUMBER(SEARCH("4F",H902)),IFNA(VLOOKUP("4F",Pitch_Coef!$A:$B,2,FALSE),0),0)+IF(ISNUMBER(SEARCH("CB",H902)),IFNA(VLOOKUP("CB",Pitch_Coef!$A:$B,2,FALSE),0),0)+IF(ISNUMBER(SEARCH("CF",H902)),IFNA(VLOOKUP("CF",Pitch_Coef!$A:$B,2,FALSE),0),0)+IF(ISNUMBER(SEARCH("CH",H902)),IFNA(VLOOKUP("CH",Pitch_Coef!$A:$B,2,FALSE),0),0)+IF(ISNUMBER(SEARCH("FK",H902)),IFNA(VLOOKUP("FK",Pitch_Coef!$A:$B,2,FALSE),0),0)+IF(ISNUMBER(SEARCH("SB",H902)),IFNA(VLOOKUP("SB",Pitch_Coef!$A:$B,2,FALSE),0),0)+IF(ISNUMBER(SEARCH("SL",H902)),IFNA(VLOOKUP("SL",Pitch_Coef!$A:$B,2,FALSE),0),0),0)</f>
        <v/>
      </c>
      <c r="AA902">
        <f>IF(Q902="P",16.5944849573+0.2529999141*N902+0.2665900378*O902+0.2632687105*P902+0.0427586837*I902+0.0534777057*J902+0.009015832*K902+0.0204898106*(O902*P902/100)+1.0091022427*U902+1.0968542297*IF(D902="L",1,0)+0.3771555045*IF(D902="S",1,0)-0.2226159177*IF(E902="L",1,0)+1.21385024*R902-1.1652812274*S902+W902+X902+Z902,10.5965166711+0.2825983581*I902+0.2806503532*J902+0.2027213083*K902+0.1147824982*L902+0.0915305332*M902-0.0088454122*(I902*J902/100)-0.0336045706*(K902*L902/100)+2.8497389733*IF(D902="L",1,0)+4.5116226727*IF(D902="S",1,0)-0.6571546448*IF(E902="L",1,0)+0.0850728147*T902+0.0129488446*(T902*T902)+0.1909373936*IF(OR(F902="Utility",G902="Utility"),T902,0)+0.9656824071*R902-1.7517683256*S902+W902+X902+Y902)</f>
        <v/>
      </c>
      <c r="AB902">
        <f>LOOKUP(AA902,Grade_Scale!$A$2:$A$18,Grade_Scale!$B$2:$B$18)</f>
        <v/>
      </c>
      <c r="AC902">
        <f>LOOKUP(AA902,Grade_Scale!$A$2:$A$18,Grade_Scale!$C$2:$C$18)</f>
        <v/>
      </c>
      <c r="AE902">
        <f>IF(AD902="","",AB902-VLOOKUP(AD902,Grade_Scale!$C$2:$E$18,3,FALSE))</f>
        <v/>
      </c>
    </row>
    <row r="903">
      <c r="Q903">
        <f>IF(OR(B903="SP",B903="RP",B903="CP",B903="SP/RP"),"P","H")</f>
        <v/>
      </c>
      <c r="R903">
        <f>IF(F903="",0,IFNA(VLOOKUP(F903,Trait_Polarity!$A:$C,2,FALSE),0))+IF(G903="",0,IFNA(VLOOKUP(G903,Trait_Polarity!$A:$C,2,FALSE),0))</f>
        <v/>
      </c>
      <c r="S903">
        <f>IF(F903="",0,IFNA(VLOOKUP(F903,Trait_Polarity!$A:$C,3,FALSE),0))+IF(G903="",0,IFNA(VLOOKUP(G903,Trait_Polarity!$A:$C,3,FALSE),0))</f>
        <v/>
      </c>
      <c r="T903">
        <f>IF(Q903="P",0,IFNA(VLOOKUP(IF(C903="","(none)",C903),Secondary_Versatility!$A:$B,2,FALSE),0))</f>
        <v/>
      </c>
      <c r="U903">
        <f>IF(H903="",0,LEN(H903)-LEN(SUBSTITUTE(H903,"|",""))+1)</f>
        <v/>
      </c>
      <c r="V903">
        <f>IF(Q903="P",(N903+O903+P903)/3,0.3*I903+0.3*J903+0.2*K903+0.1*L903+0.1*M903)</f>
        <v/>
      </c>
      <c r="W903">
        <f>IF(Q903="P",IF(F903="",0,IFNA(VLOOKUP(F903,Pitcher_Trait_Coef!$A:$B,2,FALSE),0))+IF(G903="",0,IFNA(VLOOKUP(G903,Pitcher_Trait_Coef!$A:$B,2,FALSE),0)),IF(F903="",0,IFNA(VLOOKUP(F903,Hitter_Trait_Coef!$A:$B,2,FALSE),0))+IF(G903="",0,IFNA(VLOOKUP(G903,Hitter_Trait_Coef!$A:$B,2,FALSE),0)))</f>
        <v/>
      </c>
      <c r="X903">
        <f>IF(Q903="P",IFNA(VLOOKUP(B903,Pitcher_Primary_Coef!$A:$B,2,FALSE),0),IFNA(VLOOKUP(B903,Hitter_Primary_Coef!$A:$B,2,FALSE),0))</f>
        <v/>
      </c>
      <c r="Y903">
        <f>IF(Q903="P",0,IFNA(VLOOKUP(IF(C903="","(none)",C903),Hitter_Secondary_Coef!$A:$B,2,FALSE),0))</f>
        <v/>
      </c>
      <c r="Z903">
        <f>IF(Q903="P",IF(ISNUMBER(SEARCH("2F",H903)),IFNA(VLOOKUP("2F",Pitch_Coef!$A:$B,2,FALSE),0),0)+IF(ISNUMBER(SEARCH("4F",H903)),IFNA(VLOOKUP("4F",Pitch_Coef!$A:$B,2,FALSE),0),0)+IF(ISNUMBER(SEARCH("CB",H903)),IFNA(VLOOKUP("CB",Pitch_Coef!$A:$B,2,FALSE),0),0)+IF(ISNUMBER(SEARCH("CF",H903)),IFNA(VLOOKUP("CF",Pitch_Coef!$A:$B,2,FALSE),0),0)+IF(ISNUMBER(SEARCH("CH",H903)),IFNA(VLOOKUP("CH",Pitch_Coef!$A:$B,2,FALSE),0),0)+IF(ISNUMBER(SEARCH("FK",H903)),IFNA(VLOOKUP("FK",Pitch_Coef!$A:$B,2,FALSE),0),0)+IF(ISNUMBER(SEARCH("SB",H903)),IFNA(VLOOKUP("SB",Pitch_Coef!$A:$B,2,FALSE),0),0)+IF(ISNUMBER(SEARCH("SL",H903)),IFNA(VLOOKUP("SL",Pitch_Coef!$A:$B,2,FALSE),0),0),0)</f>
        <v/>
      </c>
      <c r="AA903">
        <f>IF(Q903="P",16.5944849573+0.2529999141*N903+0.2665900378*O903+0.2632687105*P903+0.0427586837*I903+0.0534777057*J903+0.009015832*K903+0.0204898106*(O903*P903/100)+1.0091022427*U903+1.0968542297*IF(D903="L",1,0)+0.3771555045*IF(D903="S",1,0)-0.2226159177*IF(E903="L",1,0)+1.21385024*R903-1.1652812274*S903+W903+X903+Z903,10.5965166711+0.2825983581*I903+0.2806503532*J903+0.2027213083*K903+0.1147824982*L903+0.0915305332*M903-0.0088454122*(I903*J903/100)-0.0336045706*(K903*L903/100)+2.8497389733*IF(D903="L",1,0)+4.5116226727*IF(D903="S",1,0)-0.6571546448*IF(E903="L",1,0)+0.0850728147*T903+0.0129488446*(T903*T903)+0.1909373936*IF(OR(F903="Utility",G903="Utility"),T903,0)+0.9656824071*R903-1.7517683256*S903+W903+X903+Y903)</f>
        <v/>
      </c>
      <c r="AB903">
        <f>LOOKUP(AA903,Grade_Scale!$A$2:$A$18,Grade_Scale!$B$2:$B$18)</f>
        <v/>
      </c>
      <c r="AC903">
        <f>LOOKUP(AA903,Grade_Scale!$A$2:$A$18,Grade_Scale!$C$2:$C$18)</f>
        <v/>
      </c>
      <c r="AE903">
        <f>IF(AD903="","",AB903-VLOOKUP(AD903,Grade_Scale!$C$2:$E$18,3,FALSE))</f>
        <v/>
      </c>
    </row>
    <row r="904">
      <c r="Q904">
        <f>IF(OR(B904="SP",B904="RP",B904="CP",B904="SP/RP"),"P","H")</f>
        <v/>
      </c>
      <c r="R904">
        <f>IF(F904="",0,IFNA(VLOOKUP(F904,Trait_Polarity!$A:$C,2,FALSE),0))+IF(G904="",0,IFNA(VLOOKUP(G904,Trait_Polarity!$A:$C,2,FALSE),0))</f>
        <v/>
      </c>
      <c r="S904">
        <f>IF(F904="",0,IFNA(VLOOKUP(F904,Trait_Polarity!$A:$C,3,FALSE),0))+IF(G904="",0,IFNA(VLOOKUP(G904,Trait_Polarity!$A:$C,3,FALSE),0))</f>
        <v/>
      </c>
      <c r="T904">
        <f>IF(Q904="P",0,IFNA(VLOOKUP(IF(C904="","(none)",C904),Secondary_Versatility!$A:$B,2,FALSE),0))</f>
        <v/>
      </c>
      <c r="U904">
        <f>IF(H904="",0,LEN(H904)-LEN(SUBSTITUTE(H904,"|",""))+1)</f>
        <v/>
      </c>
      <c r="V904">
        <f>IF(Q904="P",(N904+O904+P904)/3,0.3*I904+0.3*J904+0.2*K904+0.1*L904+0.1*M904)</f>
        <v/>
      </c>
      <c r="W904">
        <f>IF(Q904="P",IF(F904="",0,IFNA(VLOOKUP(F904,Pitcher_Trait_Coef!$A:$B,2,FALSE),0))+IF(G904="",0,IFNA(VLOOKUP(G904,Pitcher_Trait_Coef!$A:$B,2,FALSE),0)),IF(F904="",0,IFNA(VLOOKUP(F904,Hitter_Trait_Coef!$A:$B,2,FALSE),0))+IF(G904="",0,IFNA(VLOOKUP(G904,Hitter_Trait_Coef!$A:$B,2,FALSE),0)))</f>
        <v/>
      </c>
      <c r="X904">
        <f>IF(Q904="P",IFNA(VLOOKUP(B904,Pitcher_Primary_Coef!$A:$B,2,FALSE),0),IFNA(VLOOKUP(B904,Hitter_Primary_Coef!$A:$B,2,FALSE),0))</f>
        <v/>
      </c>
      <c r="Y904">
        <f>IF(Q904="P",0,IFNA(VLOOKUP(IF(C904="","(none)",C904),Hitter_Secondary_Coef!$A:$B,2,FALSE),0))</f>
        <v/>
      </c>
      <c r="Z904">
        <f>IF(Q904="P",IF(ISNUMBER(SEARCH("2F",H904)),IFNA(VLOOKUP("2F",Pitch_Coef!$A:$B,2,FALSE),0),0)+IF(ISNUMBER(SEARCH("4F",H904)),IFNA(VLOOKUP("4F",Pitch_Coef!$A:$B,2,FALSE),0),0)+IF(ISNUMBER(SEARCH("CB",H904)),IFNA(VLOOKUP("CB",Pitch_Coef!$A:$B,2,FALSE),0),0)+IF(ISNUMBER(SEARCH("CF",H904)),IFNA(VLOOKUP("CF",Pitch_Coef!$A:$B,2,FALSE),0),0)+IF(ISNUMBER(SEARCH("CH",H904)),IFNA(VLOOKUP("CH",Pitch_Coef!$A:$B,2,FALSE),0),0)+IF(ISNUMBER(SEARCH("FK",H904)),IFNA(VLOOKUP("FK",Pitch_Coef!$A:$B,2,FALSE),0),0)+IF(ISNUMBER(SEARCH("SB",H904)),IFNA(VLOOKUP("SB",Pitch_Coef!$A:$B,2,FALSE),0),0)+IF(ISNUMBER(SEARCH("SL",H904)),IFNA(VLOOKUP("SL",Pitch_Coef!$A:$B,2,FALSE),0),0),0)</f>
        <v/>
      </c>
      <c r="AA904">
        <f>IF(Q904="P",16.5944849573+0.2529999141*N904+0.2665900378*O904+0.2632687105*P904+0.0427586837*I904+0.0534777057*J904+0.009015832*K904+0.0204898106*(O904*P904/100)+1.0091022427*U904+1.0968542297*IF(D904="L",1,0)+0.3771555045*IF(D904="S",1,0)-0.2226159177*IF(E904="L",1,0)+1.21385024*R904-1.1652812274*S904+W904+X904+Z904,10.5965166711+0.2825983581*I904+0.2806503532*J904+0.2027213083*K904+0.1147824982*L904+0.0915305332*M904-0.0088454122*(I904*J904/100)-0.0336045706*(K904*L904/100)+2.8497389733*IF(D904="L",1,0)+4.5116226727*IF(D904="S",1,0)-0.6571546448*IF(E904="L",1,0)+0.0850728147*T904+0.0129488446*(T904*T904)+0.1909373936*IF(OR(F904="Utility",G904="Utility"),T904,0)+0.9656824071*R904-1.7517683256*S904+W904+X904+Y904)</f>
        <v/>
      </c>
      <c r="AB904">
        <f>LOOKUP(AA904,Grade_Scale!$A$2:$A$18,Grade_Scale!$B$2:$B$18)</f>
        <v/>
      </c>
      <c r="AC904">
        <f>LOOKUP(AA904,Grade_Scale!$A$2:$A$18,Grade_Scale!$C$2:$C$18)</f>
        <v/>
      </c>
      <c r="AE904">
        <f>IF(AD904="","",AB904-VLOOKUP(AD904,Grade_Scale!$C$2:$E$18,3,FALSE))</f>
        <v/>
      </c>
    </row>
    <row r="905">
      <c r="Q905">
        <f>IF(OR(B905="SP",B905="RP",B905="CP",B905="SP/RP"),"P","H")</f>
        <v/>
      </c>
      <c r="R905">
        <f>IF(F905="",0,IFNA(VLOOKUP(F905,Trait_Polarity!$A:$C,2,FALSE),0))+IF(G905="",0,IFNA(VLOOKUP(G905,Trait_Polarity!$A:$C,2,FALSE),0))</f>
        <v/>
      </c>
      <c r="S905">
        <f>IF(F905="",0,IFNA(VLOOKUP(F905,Trait_Polarity!$A:$C,3,FALSE),0))+IF(G905="",0,IFNA(VLOOKUP(G905,Trait_Polarity!$A:$C,3,FALSE),0))</f>
        <v/>
      </c>
      <c r="T905">
        <f>IF(Q905="P",0,IFNA(VLOOKUP(IF(C905="","(none)",C905),Secondary_Versatility!$A:$B,2,FALSE),0))</f>
        <v/>
      </c>
      <c r="U905">
        <f>IF(H905="",0,LEN(H905)-LEN(SUBSTITUTE(H905,"|",""))+1)</f>
        <v/>
      </c>
      <c r="V905">
        <f>IF(Q905="P",(N905+O905+P905)/3,0.3*I905+0.3*J905+0.2*K905+0.1*L905+0.1*M905)</f>
        <v/>
      </c>
      <c r="W905">
        <f>IF(Q905="P",IF(F905="",0,IFNA(VLOOKUP(F905,Pitcher_Trait_Coef!$A:$B,2,FALSE),0))+IF(G905="",0,IFNA(VLOOKUP(G905,Pitcher_Trait_Coef!$A:$B,2,FALSE),0)),IF(F905="",0,IFNA(VLOOKUP(F905,Hitter_Trait_Coef!$A:$B,2,FALSE),0))+IF(G905="",0,IFNA(VLOOKUP(G905,Hitter_Trait_Coef!$A:$B,2,FALSE),0)))</f>
        <v/>
      </c>
      <c r="X905">
        <f>IF(Q905="P",IFNA(VLOOKUP(B905,Pitcher_Primary_Coef!$A:$B,2,FALSE),0),IFNA(VLOOKUP(B905,Hitter_Primary_Coef!$A:$B,2,FALSE),0))</f>
        <v/>
      </c>
      <c r="Y905">
        <f>IF(Q905="P",0,IFNA(VLOOKUP(IF(C905="","(none)",C905),Hitter_Secondary_Coef!$A:$B,2,FALSE),0))</f>
        <v/>
      </c>
      <c r="Z905">
        <f>IF(Q905="P",IF(ISNUMBER(SEARCH("2F",H905)),IFNA(VLOOKUP("2F",Pitch_Coef!$A:$B,2,FALSE),0),0)+IF(ISNUMBER(SEARCH("4F",H905)),IFNA(VLOOKUP("4F",Pitch_Coef!$A:$B,2,FALSE),0),0)+IF(ISNUMBER(SEARCH("CB",H905)),IFNA(VLOOKUP("CB",Pitch_Coef!$A:$B,2,FALSE),0),0)+IF(ISNUMBER(SEARCH("CF",H905)),IFNA(VLOOKUP("CF",Pitch_Coef!$A:$B,2,FALSE),0),0)+IF(ISNUMBER(SEARCH("CH",H905)),IFNA(VLOOKUP("CH",Pitch_Coef!$A:$B,2,FALSE),0),0)+IF(ISNUMBER(SEARCH("FK",H905)),IFNA(VLOOKUP("FK",Pitch_Coef!$A:$B,2,FALSE),0),0)+IF(ISNUMBER(SEARCH("SB",H905)),IFNA(VLOOKUP("SB",Pitch_Coef!$A:$B,2,FALSE),0),0)+IF(ISNUMBER(SEARCH("SL",H905)),IFNA(VLOOKUP("SL",Pitch_Coef!$A:$B,2,FALSE),0),0),0)</f>
        <v/>
      </c>
      <c r="AA905">
        <f>IF(Q905="P",16.5944849573+0.2529999141*N905+0.2665900378*O905+0.2632687105*P905+0.0427586837*I905+0.0534777057*J905+0.009015832*K905+0.0204898106*(O905*P905/100)+1.0091022427*U905+1.0968542297*IF(D905="L",1,0)+0.3771555045*IF(D905="S",1,0)-0.2226159177*IF(E905="L",1,0)+1.21385024*R905-1.1652812274*S905+W905+X905+Z905,10.5965166711+0.2825983581*I905+0.2806503532*J905+0.2027213083*K905+0.1147824982*L905+0.0915305332*M905-0.0088454122*(I905*J905/100)-0.0336045706*(K905*L905/100)+2.8497389733*IF(D905="L",1,0)+4.5116226727*IF(D905="S",1,0)-0.6571546448*IF(E905="L",1,0)+0.0850728147*T905+0.0129488446*(T905*T905)+0.1909373936*IF(OR(F905="Utility",G905="Utility"),T905,0)+0.9656824071*R905-1.7517683256*S905+W905+X905+Y905)</f>
        <v/>
      </c>
      <c r="AB905">
        <f>LOOKUP(AA905,Grade_Scale!$A$2:$A$18,Grade_Scale!$B$2:$B$18)</f>
        <v/>
      </c>
      <c r="AC905">
        <f>LOOKUP(AA905,Grade_Scale!$A$2:$A$18,Grade_Scale!$C$2:$C$18)</f>
        <v/>
      </c>
      <c r="AE905">
        <f>IF(AD905="","",AB905-VLOOKUP(AD905,Grade_Scale!$C$2:$E$18,3,FALSE))</f>
        <v/>
      </c>
    </row>
    <row r="906">
      <c r="Q906">
        <f>IF(OR(B906="SP",B906="RP",B906="CP",B906="SP/RP"),"P","H")</f>
        <v/>
      </c>
      <c r="R906">
        <f>IF(F906="",0,IFNA(VLOOKUP(F906,Trait_Polarity!$A:$C,2,FALSE),0))+IF(G906="",0,IFNA(VLOOKUP(G906,Trait_Polarity!$A:$C,2,FALSE),0))</f>
        <v/>
      </c>
      <c r="S906">
        <f>IF(F906="",0,IFNA(VLOOKUP(F906,Trait_Polarity!$A:$C,3,FALSE),0))+IF(G906="",0,IFNA(VLOOKUP(G906,Trait_Polarity!$A:$C,3,FALSE),0))</f>
        <v/>
      </c>
      <c r="T906">
        <f>IF(Q906="P",0,IFNA(VLOOKUP(IF(C906="","(none)",C906),Secondary_Versatility!$A:$B,2,FALSE),0))</f>
        <v/>
      </c>
      <c r="U906">
        <f>IF(H906="",0,LEN(H906)-LEN(SUBSTITUTE(H906,"|",""))+1)</f>
        <v/>
      </c>
      <c r="V906">
        <f>IF(Q906="P",(N906+O906+P906)/3,0.3*I906+0.3*J906+0.2*K906+0.1*L906+0.1*M906)</f>
        <v/>
      </c>
      <c r="W906">
        <f>IF(Q906="P",IF(F906="",0,IFNA(VLOOKUP(F906,Pitcher_Trait_Coef!$A:$B,2,FALSE),0))+IF(G906="",0,IFNA(VLOOKUP(G906,Pitcher_Trait_Coef!$A:$B,2,FALSE),0)),IF(F906="",0,IFNA(VLOOKUP(F906,Hitter_Trait_Coef!$A:$B,2,FALSE),0))+IF(G906="",0,IFNA(VLOOKUP(G906,Hitter_Trait_Coef!$A:$B,2,FALSE),0)))</f>
        <v/>
      </c>
      <c r="X906">
        <f>IF(Q906="P",IFNA(VLOOKUP(B906,Pitcher_Primary_Coef!$A:$B,2,FALSE),0),IFNA(VLOOKUP(B906,Hitter_Primary_Coef!$A:$B,2,FALSE),0))</f>
        <v/>
      </c>
      <c r="Y906">
        <f>IF(Q906="P",0,IFNA(VLOOKUP(IF(C906="","(none)",C906),Hitter_Secondary_Coef!$A:$B,2,FALSE),0))</f>
        <v/>
      </c>
      <c r="Z906">
        <f>IF(Q906="P",IF(ISNUMBER(SEARCH("2F",H906)),IFNA(VLOOKUP("2F",Pitch_Coef!$A:$B,2,FALSE),0),0)+IF(ISNUMBER(SEARCH("4F",H906)),IFNA(VLOOKUP("4F",Pitch_Coef!$A:$B,2,FALSE),0),0)+IF(ISNUMBER(SEARCH("CB",H906)),IFNA(VLOOKUP("CB",Pitch_Coef!$A:$B,2,FALSE),0),0)+IF(ISNUMBER(SEARCH("CF",H906)),IFNA(VLOOKUP("CF",Pitch_Coef!$A:$B,2,FALSE),0),0)+IF(ISNUMBER(SEARCH("CH",H906)),IFNA(VLOOKUP("CH",Pitch_Coef!$A:$B,2,FALSE),0),0)+IF(ISNUMBER(SEARCH("FK",H906)),IFNA(VLOOKUP("FK",Pitch_Coef!$A:$B,2,FALSE),0),0)+IF(ISNUMBER(SEARCH("SB",H906)),IFNA(VLOOKUP("SB",Pitch_Coef!$A:$B,2,FALSE),0),0)+IF(ISNUMBER(SEARCH("SL",H906)),IFNA(VLOOKUP("SL",Pitch_Coef!$A:$B,2,FALSE),0),0),0)</f>
        <v/>
      </c>
      <c r="AA906">
        <f>IF(Q906="P",16.5944849573+0.2529999141*N906+0.2665900378*O906+0.2632687105*P906+0.0427586837*I906+0.0534777057*J906+0.009015832*K906+0.0204898106*(O906*P906/100)+1.0091022427*U906+1.0968542297*IF(D906="L",1,0)+0.3771555045*IF(D906="S",1,0)-0.2226159177*IF(E906="L",1,0)+1.21385024*R906-1.1652812274*S906+W906+X906+Z906,10.5965166711+0.2825983581*I906+0.2806503532*J906+0.2027213083*K906+0.1147824982*L906+0.0915305332*M906-0.0088454122*(I906*J906/100)-0.0336045706*(K906*L906/100)+2.8497389733*IF(D906="L",1,0)+4.5116226727*IF(D906="S",1,0)-0.6571546448*IF(E906="L",1,0)+0.0850728147*T906+0.0129488446*(T906*T906)+0.1909373936*IF(OR(F906="Utility",G906="Utility"),T906,0)+0.9656824071*R906-1.7517683256*S906+W906+X906+Y906)</f>
        <v/>
      </c>
      <c r="AB906">
        <f>LOOKUP(AA906,Grade_Scale!$A$2:$A$18,Grade_Scale!$B$2:$B$18)</f>
        <v/>
      </c>
      <c r="AC906">
        <f>LOOKUP(AA906,Grade_Scale!$A$2:$A$18,Grade_Scale!$C$2:$C$18)</f>
        <v/>
      </c>
      <c r="AE906">
        <f>IF(AD906="","",AB906-VLOOKUP(AD906,Grade_Scale!$C$2:$E$18,3,FALSE))</f>
        <v/>
      </c>
    </row>
    <row r="907">
      <c r="Q907">
        <f>IF(OR(B907="SP",B907="RP",B907="CP",B907="SP/RP"),"P","H")</f>
        <v/>
      </c>
      <c r="R907">
        <f>IF(F907="",0,IFNA(VLOOKUP(F907,Trait_Polarity!$A:$C,2,FALSE),0))+IF(G907="",0,IFNA(VLOOKUP(G907,Trait_Polarity!$A:$C,2,FALSE),0))</f>
        <v/>
      </c>
      <c r="S907">
        <f>IF(F907="",0,IFNA(VLOOKUP(F907,Trait_Polarity!$A:$C,3,FALSE),0))+IF(G907="",0,IFNA(VLOOKUP(G907,Trait_Polarity!$A:$C,3,FALSE),0))</f>
        <v/>
      </c>
      <c r="T907">
        <f>IF(Q907="P",0,IFNA(VLOOKUP(IF(C907="","(none)",C907),Secondary_Versatility!$A:$B,2,FALSE),0))</f>
        <v/>
      </c>
      <c r="U907">
        <f>IF(H907="",0,LEN(H907)-LEN(SUBSTITUTE(H907,"|",""))+1)</f>
        <v/>
      </c>
      <c r="V907">
        <f>IF(Q907="P",(N907+O907+P907)/3,0.3*I907+0.3*J907+0.2*K907+0.1*L907+0.1*M907)</f>
        <v/>
      </c>
      <c r="W907">
        <f>IF(Q907="P",IF(F907="",0,IFNA(VLOOKUP(F907,Pitcher_Trait_Coef!$A:$B,2,FALSE),0))+IF(G907="",0,IFNA(VLOOKUP(G907,Pitcher_Trait_Coef!$A:$B,2,FALSE),0)),IF(F907="",0,IFNA(VLOOKUP(F907,Hitter_Trait_Coef!$A:$B,2,FALSE),0))+IF(G907="",0,IFNA(VLOOKUP(G907,Hitter_Trait_Coef!$A:$B,2,FALSE),0)))</f>
        <v/>
      </c>
      <c r="X907">
        <f>IF(Q907="P",IFNA(VLOOKUP(B907,Pitcher_Primary_Coef!$A:$B,2,FALSE),0),IFNA(VLOOKUP(B907,Hitter_Primary_Coef!$A:$B,2,FALSE),0))</f>
        <v/>
      </c>
      <c r="Y907">
        <f>IF(Q907="P",0,IFNA(VLOOKUP(IF(C907="","(none)",C907),Hitter_Secondary_Coef!$A:$B,2,FALSE),0))</f>
        <v/>
      </c>
      <c r="Z907">
        <f>IF(Q907="P",IF(ISNUMBER(SEARCH("2F",H907)),IFNA(VLOOKUP("2F",Pitch_Coef!$A:$B,2,FALSE),0),0)+IF(ISNUMBER(SEARCH("4F",H907)),IFNA(VLOOKUP("4F",Pitch_Coef!$A:$B,2,FALSE),0),0)+IF(ISNUMBER(SEARCH("CB",H907)),IFNA(VLOOKUP("CB",Pitch_Coef!$A:$B,2,FALSE),0),0)+IF(ISNUMBER(SEARCH("CF",H907)),IFNA(VLOOKUP("CF",Pitch_Coef!$A:$B,2,FALSE),0),0)+IF(ISNUMBER(SEARCH("CH",H907)),IFNA(VLOOKUP("CH",Pitch_Coef!$A:$B,2,FALSE),0),0)+IF(ISNUMBER(SEARCH("FK",H907)),IFNA(VLOOKUP("FK",Pitch_Coef!$A:$B,2,FALSE),0),0)+IF(ISNUMBER(SEARCH("SB",H907)),IFNA(VLOOKUP("SB",Pitch_Coef!$A:$B,2,FALSE),0),0)+IF(ISNUMBER(SEARCH("SL",H907)),IFNA(VLOOKUP("SL",Pitch_Coef!$A:$B,2,FALSE),0),0),0)</f>
        <v/>
      </c>
      <c r="AA907">
        <f>IF(Q907="P",16.5944849573+0.2529999141*N907+0.2665900378*O907+0.2632687105*P907+0.0427586837*I907+0.0534777057*J907+0.009015832*K907+0.0204898106*(O907*P907/100)+1.0091022427*U907+1.0968542297*IF(D907="L",1,0)+0.3771555045*IF(D907="S",1,0)-0.2226159177*IF(E907="L",1,0)+1.21385024*R907-1.1652812274*S907+W907+X907+Z907,10.5965166711+0.2825983581*I907+0.2806503532*J907+0.2027213083*K907+0.1147824982*L907+0.0915305332*M907-0.0088454122*(I907*J907/100)-0.0336045706*(K907*L907/100)+2.8497389733*IF(D907="L",1,0)+4.5116226727*IF(D907="S",1,0)-0.6571546448*IF(E907="L",1,0)+0.0850728147*T907+0.0129488446*(T907*T907)+0.1909373936*IF(OR(F907="Utility",G907="Utility"),T907,0)+0.9656824071*R907-1.7517683256*S907+W907+X907+Y907)</f>
        <v/>
      </c>
      <c r="AB907">
        <f>LOOKUP(AA907,Grade_Scale!$A$2:$A$18,Grade_Scale!$B$2:$B$18)</f>
        <v/>
      </c>
      <c r="AC907">
        <f>LOOKUP(AA907,Grade_Scale!$A$2:$A$18,Grade_Scale!$C$2:$C$18)</f>
        <v/>
      </c>
      <c r="AE907">
        <f>IF(AD907="","",AB907-VLOOKUP(AD907,Grade_Scale!$C$2:$E$18,3,FALSE))</f>
        <v/>
      </c>
    </row>
    <row r="908">
      <c r="Q908">
        <f>IF(OR(B908="SP",B908="RP",B908="CP",B908="SP/RP"),"P","H")</f>
        <v/>
      </c>
      <c r="R908">
        <f>IF(F908="",0,IFNA(VLOOKUP(F908,Trait_Polarity!$A:$C,2,FALSE),0))+IF(G908="",0,IFNA(VLOOKUP(G908,Trait_Polarity!$A:$C,2,FALSE),0))</f>
        <v/>
      </c>
      <c r="S908">
        <f>IF(F908="",0,IFNA(VLOOKUP(F908,Trait_Polarity!$A:$C,3,FALSE),0))+IF(G908="",0,IFNA(VLOOKUP(G908,Trait_Polarity!$A:$C,3,FALSE),0))</f>
        <v/>
      </c>
      <c r="T908">
        <f>IF(Q908="P",0,IFNA(VLOOKUP(IF(C908="","(none)",C908),Secondary_Versatility!$A:$B,2,FALSE),0))</f>
        <v/>
      </c>
      <c r="U908">
        <f>IF(H908="",0,LEN(H908)-LEN(SUBSTITUTE(H908,"|",""))+1)</f>
        <v/>
      </c>
      <c r="V908">
        <f>IF(Q908="P",(N908+O908+P908)/3,0.3*I908+0.3*J908+0.2*K908+0.1*L908+0.1*M908)</f>
        <v/>
      </c>
      <c r="W908">
        <f>IF(Q908="P",IF(F908="",0,IFNA(VLOOKUP(F908,Pitcher_Trait_Coef!$A:$B,2,FALSE),0))+IF(G908="",0,IFNA(VLOOKUP(G908,Pitcher_Trait_Coef!$A:$B,2,FALSE),0)),IF(F908="",0,IFNA(VLOOKUP(F908,Hitter_Trait_Coef!$A:$B,2,FALSE),0))+IF(G908="",0,IFNA(VLOOKUP(G908,Hitter_Trait_Coef!$A:$B,2,FALSE),0)))</f>
        <v/>
      </c>
      <c r="X908">
        <f>IF(Q908="P",IFNA(VLOOKUP(B908,Pitcher_Primary_Coef!$A:$B,2,FALSE),0),IFNA(VLOOKUP(B908,Hitter_Primary_Coef!$A:$B,2,FALSE),0))</f>
        <v/>
      </c>
      <c r="Y908">
        <f>IF(Q908="P",0,IFNA(VLOOKUP(IF(C908="","(none)",C908),Hitter_Secondary_Coef!$A:$B,2,FALSE),0))</f>
        <v/>
      </c>
      <c r="Z908">
        <f>IF(Q908="P",IF(ISNUMBER(SEARCH("2F",H908)),IFNA(VLOOKUP("2F",Pitch_Coef!$A:$B,2,FALSE),0),0)+IF(ISNUMBER(SEARCH("4F",H908)),IFNA(VLOOKUP("4F",Pitch_Coef!$A:$B,2,FALSE),0),0)+IF(ISNUMBER(SEARCH("CB",H908)),IFNA(VLOOKUP("CB",Pitch_Coef!$A:$B,2,FALSE),0),0)+IF(ISNUMBER(SEARCH("CF",H908)),IFNA(VLOOKUP("CF",Pitch_Coef!$A:$B,2,FALSE),0),0)+IF(ISNUMBER(SEARCH("CH",H908)),IFNA(VLOOKUP("CH",Pitch_Coef!$A:$B,2,FALSE),0),0)+IF(ISNUMBER(SEARCH("FK",H908)),IFNA(VLOOKUP("FK",Pitch_Coef!$A:$B,2,FALSE),0),0)+IF(ISNUMBER(SEARCH("SB",H908)),IFNA(VLOOKUP("SB",Pitch_Coef!$A:$B,2,FALSE),0),0)+IF(ISNUMBER(SEARCH("SL",H908)),IFNA(VLOOKUP("SL",Pitch_Coef!$A:$B,2,FALSE),0),0),0)</f>
        <v/>
      </c>
      <c r="AA908">
        <f>IF(Q908="P",16.5944849573+0.2529999141*N908+0.2665900378*O908+0.2632687105*P908+0.0427586837*I908+0.0534777057*J908+0.009015832*K908+0.0204898106*(O908*P908/100)+1.0091022427*U908+1.0968542297*IF(D908="L",1,0)+0.3771555045*IF(D908="S",1,0)-0.2226159177*IF(E908="L",1,0)+1.21385024*R908-1.1652812274*S908+W908+X908+Z908,10.5965166711+0.2825983581*I908+0.2806503532*J908+0.2027213083*K908+0.1147824982*L908+0.0915305332*M908-0.0088454122*(I908*J908/100)-0.0336045706*(K908*L908/100)+2.8497389733*IF(D908="L",1,0)+4.5116226727*IF(D908="S",1,0)-0.6571546448*IF(E908="L",1,0)+0.0850728147*T908+0.0129488446*(T908*T908)+0.1909373936*IF(OR(F908="Utility",G908="Utility"),T908,0)+0.9656824071*R908-1.7517683256*S908+W908+X908+Y908)</f>
        <v/>
      </c>
      <c r="AB908">
        <f>LOOKUP(AA908,Grade_Scale!$A$2:$A$18,Grade_Scale!$B$2:$B$18)</f>
        <v/>
      </c>
      <c r="AC908">
        <f>LOOKUP(AA908,Grade_Scale!$A$2:$A$18,Grade_Scale!$C$2:$C$18)</f>
        <v/>
      </c>
      <c r="AE908">
        <f>IF(AD908="","",AB908-VLOOKUP(AD908,Grade_Scale!$C$2:$E$18,3,FALSE))</f>
        <v/>
      </c>
    </row>
    <row r="909">
      <c r="Q909">
        <f>IF(OR(B909="SP",B909="RP",B909="CP",B909="SP/RP"),"P","H")</f>
        <v/>
      </c>
      <c r="R909">
        <f>IF(F909="",0,IFNA(VLOOKUP(F909,Trait_Polarity!$A:$C,2,FALSE),0))+IF(G909="",0,IFNA(VLOOKUP(G909,Trait_Polarity!$A:$C,2,FALSE),0))</f>
        <v/>
      </c>
      <c r="S909">
        <f>IF(F909="",0,IFNA(VLOOKUP(F909,Trait_Polarity!$A:$C,3,FALSE),0))+IF(G909="",0,IFNA(VLOOKUP(G909,Trait_Polarity!$A:$C,3,FALSE),0))</f>
        <v/>
      </c>
      <c r="T909">
        <f>IF(Q909="P",0,IFNA(VLOOKUP(IF(C909="","(none)",C909),Secondary_Versatility!$A:$B,2,FALSE),0))</f>
        <v/>
      </c>
      <c r="U909">
        <f>IF(H909="",0,LEN(H909)-LEN(SUBSTITUTE(H909,"|",""))+1)</f>
        <v/>
      </c>
      <c r="V909">
        <f>IF(Q909="P",(N909+O909+P909)/3,0.3*I909+0.3*J909+0.2*K909+0.1*L909+0.1*M909)</f>
        <v/>
      </c>
      <c r="W909">
        <f>IF(Q909="P",IF(F909="",0,IFNA(VLOOKUP(F909,Pitcher_Trait_Coef!$A:$B,2,FALSE),0))+IF(G909="",0,IFNA(VLOOKUP(G909,Pitcher_Trait_Coef!$A:$B,2,FALSE),0)),IF(F909="",0,IFNA(VLOOKUP(F909,Hitter_Trait_Coef!$A:$B,2,FALSE),0))+IF(G909="",0,IFNA(VLOOKUP(G909,Hitter_Trait_Coef!$A:$B,2,FALSE),0)))</f>
        <v/>
      </c>
      <c r="X909">
        <f>IF(Q909="P",IFNA(VLOOKUP(B909,Pitcher_Primary_Coef!$A:$B,2,FALSE),0),IFNA(VLOOKUP(B909,Hitter_Primary_Coef!$A:$B,2,FALSE),0))</f>
        <v/>
      </c>
      <c r="Y909">
        <f>IF(Q909="P",0,IFNA(VLOOKUP(IF(C909="","(none)",C909),Hitter_Secondary_Coef!$A:$B,2,FALSE),0))</f>
        <v/>
      </c>
      <c r="Z909">
        <f>IF(Q909="P",IF(ISNUMBER(SEARCH("2F",H909)),IFNA(VLOOKUP("2F",Pitch_Coef!$A:$B,2,FALSE),0),0)+IF(ISNUMBER(SEARCH("4F",H909)),IFNA(VLOOKUP("4F",Pitch_Coef!$A:$B,2,FALSE),0),0)+IF(ISNUMBER(SEARCH("CB",H909)),IFNA(VLOOKUP("CB",Pitch_Coef!$A:$B,2,FALSE),0),0)+IF(ISNUMBER(SEARCH("CF",H909)),IFNA(VLOOKUP("CF",Pitch_Coef!$A:$B,2,FALSE),0),0)+IF(ISNUMBER(SEARCH("CH",H909)),IFNA(VLOOKUP("CH",Pitch_Coef!$A:$B,2,FALSE),0),0)+IF(ISNUMBER(SEARCH("FK",H909)),IFNA(VLOOKUP("FK",Pitch_Coef!$A:$B,2,FALSE),0),0)+IF(ISNUMBER(SEARCH("SB",H909)),IFNA(VLOOKUP("SB",Pitch_Coef!$A:$B,2,FALSE),0),0)+IF(ISNUMBER(SEARCH("SL",H909)),IFNA(VLOOKUP("SL",Pitch_Coef!$A:$B,2,FALSE),0),0),0)</f>
        <v/>
      </c>
      <c r="AA909">
        <f>IF(Q909="P",16.5944849573+0.2529999141*N909+0.2665900378*O909+0.2632687105*P909+0.0427586837*I909+0.0534777057*J909+0.009015832*K909+0.0204898106*(O909*P909/100)+1.0091022427*U909+1.0968542297*IF(D909="L",1,0)+0.3771555045*IF(D909="S",1,0)-0.2226159177*IF(E909="L",1,0)+1.21385024*R909-1.1652812274*S909+W909+X909+Z909,10.5965166711+0.2825983581*I909+0.2806503532*J909+0.2027213083*K909+0.1147824982*L909+0.0915305332*M909-0.0088454122*(I909*J909/100)-0.0336045706*(K909*L909/100)+2.8497389733*IF(D909="L",1,0)+4.5116226727*IF(D909="S",1,0)-0.6571546448*IF(E909="L",1,0)+0.0850728147*T909+0.0129488446*(T909*T909)+0.1909373936*IF(OR(F909="Utility",G909="Utility"),T909,0)+0.9656824071*R909-1.7517683256*S909+W909+X909+Y909)</f>
        <v/>
      </c>
      <c r="AB909">
        <f>LOOKUP(AA909,Grade_Scale!$A$2:$A$18,Grade_Scale!$B$2:$B$18)</f>
        <v/>
      </c>
      <c r="AC909">
        <f>LOOKUP(AA909,Grade_Scale!$A$2:$A$18,Grade_Scale!$C$2:$C$18)</f>
        <v/>
      </c>
      <c r="AE909">
        <f>IF(AD909="","",AB909-VLOOKUP(AD909,Grade_Scale!$C$2:$E$18,3,FALSE))</f>
        <v/>
      </c>
    </row>
    <row r="910">
      <c r="Q910">
        <f>IF(OR(B910="SP",B910="RP",B910="CP",B910="SP/RP"),"P","H")</f>
        <v/>
      </c>
      <c r="R910">
        <f>IF(F910="",0,IFNA(VLOOKUP(F910,Trait_Polarity!$A:$C,2,FALSE),0))+IF(G910="",0,IFNA(VLOOKUP(G910,Trait_Polarity!$A:$C,2,FALSE),0))</f>
        <v/>
      </c>
      <c r="S910">
        <f>IF(F910="",0,IFNA(VLOOKUP(F910,Trait_Polarity!$A:$C,3,FALSE),0))+IF(G910="",0,IFNA(VLOOKUP(G910,Trait_Polarity!$A:$C,3,FALSE),0))</f>
        <v/>
      </c>
      <c r="T910">
        <f>IF(Q910="P",0,IFNA(VLOOKUP(IF(C910="","(none)",C910),Secondary_Versatility!$A:$B,2,FALSE),0))</f>
        <v/>
      </c>
      <c r="U910">
        <f>IF(H910="",0,LEN(H910)-LEN(SUBSTITUTE(H910,"|",""))+1)</f>
        <v/>
      </c>
      <c r="V910">
        <f>IF(Q910="P",(N910+O910+P910)/3,0.3*I910+0.3*J910+0.2*K910+0.1*L910+0.1*M910)</f>
        <v/>
      </c>
      <c r="W910">
        <f>IF(Q910="P",IF(F910="",0,IFNA(VLOOKUP(F910,Pitcher_Trait_Coef!$A:$B,2,FALSE),0))+IF(G910="",0,IFNA(VLOOKUP(G910,Pitcher_Trait_Coef!$A:$B,2,FALSE),0)),IF(F910="",0,IFNA(VLOOKUP(F910,Hitter_Trait_Coef!$A:$B,2,FALSE),0))+IF(G910="",0,IFNA(VLOOKUP(G910,Hitter_Trait_Coef!$A:$B,2,FALSE),0)))</f>
        <v/>
      </c>
      <c r="X910">
        <f>IF(Q910="P",IFNA(VLOOKUP(B910,Pitcher_Primary_Coef!$A:$B,2,FALSE),0),IFNA(VLOOKUP(B910,Hitter_Primary_Coef!$A:$B,2,FALSE),0))</f>
        <v/>
      </c>
      <c r="Y910">
        <f>IF(Q910="P",0,IFNA(VLOOKUP(IF(C910="","(none)",C910),Hitter_Secondary_Coef!$A:$B,2,FALSE),0))</f>
        <v/>
      </c>
      <c r="Z910">
        <f>IF(Q910="P",IF(ISNUMBER(SEARCH("2F",H910)),IFNA(VLOOKUP("2F",Pitch_Coef!$A:$B,2,FALSE),0),0)+IF(ISNUMBER(SEARCH("4F",H910)),IFNA(VLOOKUP("4F",Pitch_Coef!$A:$B,2,FALSE),0),0)+IF(ISNUMBER(SEARCH("CB",H910)),IFNA(VLOOKUP("CB",Pitch_Coef!$A:$B,2,FALSE),0),0)+IF(ISNUMBER(SEARCH("CF",H910)),IFNA(VLOOKUP("CF",Pitch_Coef!$A:$B,2,FALSE),0),0)+IF(ISNUMBER(SEARCH("CH",H910)),IFNA(VLOOKUP("CH",Pitch_Coef!$A:$B,2,FALSE),0),0)+IF(ISNUMBER(SEARCH("FK",H910)),IFNA(VLOOKUP("FK",Pitch_Coef!$A:$B,2,FALSE),0),0)+IF(ISNUMBER(SEARCH("SB",H910)),IFNA(VLOOKUP("SB",Pitch_Coef!$A:$B,2,FALSE),0),0)+IF(ISNUMBER(SEARCH("SL",H910)),IFNA(VLOOKUP("SL",Pitch_Coef!$A:$B,2,FALSE),0),0),0)</f>
        <v/>
      </c>
      <c r="AA910">
        <f>IF(Q910="P",16.5944849573+0.2529999141*N910+0.2665900378*O910+0.2632687105*P910+0.0427586837*I910+0.0534777057*J910+0.009015832*K910+0.0204898106*(O910*P910/100)+1.0091022427*U910+1.0968542297*IF(D910="L",1,0)+0.3771555045*IF(D910="S",1,0)-0.2226159177*IF(E910="L",1,0)+1.21385024*R910-1.1652812274*S910+W910+X910+Z910,10.5965166711+0.2825983581*I910+0.2806503532*J910+0.2027213083*K910+0.1147824982*L910+0.0915305332*M910-0.0088454122*(I910*J910/100)-0.0336045706*(K910*L910/100)+2.8497389733*IF(D910="L",1,0)+4.5116226727*IF(D910="S",1,0)-0.6571546448*IF(E910="L",1,0)+0.0850728147*T910+0.0129488446*(T910*T910)+0.1909373936*IF(OR(F910="Utility",G910="Utility"),T910,0)+0.9656824071*R910-1.7517683256*S910+W910+X910+Y910)</f>
        <v/>
      </c>
      <c r="AB910">
        <f>LOOKUP(AA910,Grade_Scale!$A$2:$A$18,Grade_Scale!$B$2:$B$18)</f>
        <v/>
      </c>
      <c r="AC910">
        <f>LOOKUP(AA910,Grade_Scale!$A$2:$A$18,Grade_Scale!$C$2:$C$18)</f>
        <v/>
      </c>
      <c r="AE910">
        <f>IF(AD910="","",AB910-VLOOKUP(AD910,Grade_Scale!$C$2:$E$18,3,FALSE))</f>
        <v/>
      </c>
    </row>
    <row r="911">
      <c r="Q911">
        <f>IF(OR(B911="SP",B911="RP",B911="CP",B911="SP/RP"),"P","H")</f>
        <v/>
      </c>
      <c r="R911">
        <f>IF(F911="",0,IFNA(VLOOKUP(F911,Trait_Polarity!$A:$C,2,FALSE),0))+IF(G911="",0,IFNA(VLOOKUP(G911,Trait_Polarity!$A:$C,2,FALSE),0))</f>
        <v/>
      </c>
      <c r="S911">
        <f>IF(F911="",0,IFNA(VLOOKUP(F911,Trait_Polarity!$A:$C,3,FALSE),0))+IF(G911="",0,IFNA(VLOOKUP(G911,Trait_Polarity!$A:$C,3,FALSE),0))</f>
        <v/>
      </c>
      <c r="T911">
        <f>IF(Q911="P",0,IFNA(VLOOKUP(IF(C911="","(none)",C911),Secondary_Versatility!$A:$B,2,FALSE),0))</f>
        <v/>
      </c>
      <c r="U911">
        <f>IF(H911="",0,LEN(H911)-LEN(SUBSTITUTE(H911,"|",""))+1)</f>
        <v/>
      </c>
      <c r="V911">
        <f>IF(Q911="P",(N911+O911+P911)/3,0.3*I911+0.3*J911+0.2*K911+0.1*L911+0.1*M911)</f>
        <v/>
      </c>
      <c r="W911">
        <f>IF(Q911="P",IF(F911="",0,IFNA(VLOOKUP(F911,Pitcher_Trait_Coef!$A:$B,2,FALSE),0))+IF(G911="",0,IFNA(VLOOKUP(G911,Pitcher_Trait_Coef!$A:$B,2,FALSE),0)),IF(F911="",0,IFNA(VLOOKUP(F911,Hitter_Trait_Coef!$A:$B,2,FALSE),0))+IF(G911="",0,IFNA(VLOOKUP(G911,Hitter_Trait_Coef!$A:$B,2,FALSE),0)))</f>
        <v/>
      </c>
      <c r="X911">
        <f>IF(Q911="P",IFNA(VLOOKUP(B911,Pitcher_Primary_Coef!$A:$B,2,FALSE),0),IFNA(VLOOKUP(B911,Hitter_Primary_Coef!$A:$B,2,FALSE),0))</f>
        <v/>
      </c>
      <c r="Y911">
        <f>IF(Q911="P",0,IFNA(VLOOKUP(IF(C911="","(none)",C911),Hitter_Secondary_Coef!$A:$B,2,FALSE),0))</f>
        <v/>
      </c>
      <c r="Z911">
        <f>IF(Q911="P",IF(ISNUMBER(SEARCH("2F",H911)),IFNA(VLOOKUP("2F",Pitch_Coef!$A:$B,2,FALSE),0),0)+IF(ISNUMBER(SEARCH("4F",H911)),IFNA(VLOOKUP("4F",Pitch_Coef!$A:$B,2,FALSE),0),0)+IF(ISNUMBER(SEARCH("CB",H911)),IFNA(VLOOKUP("CB",Pitch_Coef!$A:$B,2,FALSE),0),0)+IF(ISNUMBER(SEARCH("CF",H911)),IFNA(VLOOKUP("CF",Pitch_Coef!$A:$B,2,FALSE),0),0)+IF(ISNUMBER(SEARCH("CH",H911)),IFNA(VLOOKUP("CH",Pitch_Coef!$A:$B,2,FALSE),0),0)+IF(ISNUMBER(SEARCH("FK",H911)),IFNA(VLOOKUP("FK",Pitch_Coef!$A:$B,2,FALSE),0),0)+IF(ISNUMBER(SEARCH("SB",H911)),IFNA(VLOOKUP("SB",Pitch_Coef!$A:$B,2,FALSE),0),0)+IF(ISNUMBER(SEARCH("SL",H911)),IFNA(VLOOKUP("SL",Pitch_Coef!$A:$B,2,FALSE),0),0),0)</f>
        <v/>
      </c>
      <c r="AA911">
        <f>IF(Q911="P",16.5944849573+0.2529999141*N911+0.2665900378*O911+0.2632687105*P911+0.0427586837*I911+0.0534777057*J911+0.009015832*K911+0.0204898106*(O911*P911/100)+1.0091022427*U911+1.0968542297*IF(D911="L",1,0)+0.3771555045*IF(D911="S",1,0)-0.2226159177*IF(E911="L",1,0)+1.21385024*R911-1.1652812274*S911+W911+X911+Z911,10.5965166711+0.2825983581*I911+0.2806503532*J911+0.2027213083*K911+0.1147824982*L911+0.0915305332*M911-0.0088454122*(I911*J911/100)-0.0336045706*(K911*L911/100)+2.8497389733*IF(D911="L",1,0)+4.5116226727*IF(D911="S",1,0)-0.6571546448*IF(E911="L",1,0)+0.0850728147*T911+0.0129488446*(T911*T911)+0.1909373936*IF(OR(F911="Utility",G911="Utility"),T911,0)+0.9656824071*R911-1.7517683256*S911+W911+X911+Y911)</f>
        <v/>
      </c>
      <c r="AB911">
        <f>LOOKUP(AA911,Grade_Scale!$A$2:$A$18,Grade_Scale!$B$2:$B$18)</f>
        <v/>
      </c>
      <c r="AC911">
        <f>LOOKUP(AA911,Grade_Scale!$A$2:$A$18,Grade_Scale!$C$2:$C$18)</f>
        <v/>
      </c>
      <c r="AE911">
        <f>IF(AD911="","",AB911-VLOOKUP(AD911,Grade_Scale!$C$2:$E$18,3,FALSE))</f>
        <v/>
      </c>
    </row>
    <row r="912">
      <c r="Q912">
        <f>IF(OR(B912="SP",B912="RP",B912="CP",B912="SP/RP"),"P","H")</f>
        <v/>
      </c>
      <c r="R912">
        <f>IF(F912="",0,IFNA(VLOOKUP(F912,Trait_Polarity!$A:$C,2,FALSE),0))+IF(G912="",0,IFNA(VLOOKUP(G912,Trait_Polarity!$A:$C,2,FALSE),0))</f>
        <v/>
      </c>
      <c r="S912">
        <f>IF(F912="",0,IFNA(VLOOKUP(F912,Trait_Polarity!$A:$C,3,FALSE),0))+IF(G912="",0,IFNA(VLOOKUP(G912,Trait_Polarity!$A:$C,3,FALSE),0))</f>
        <v/>
      </c>
      <c r="T912">
        <f>IF(Q912="P",0,IFNA(VLOOKUP(IF(C912="","(none)",C912),Secondary_Versatility!$A:$B,2,FALSE),0))</f>
        <v/>
      </c>
      <c r="U912">
        <f>IF(H912="",0,LEN(H912)-LEN(SUBSTITUTE(H912,"|",""))+1)</f>
        <v/>
      </c>
      <c r="V912">
        <f>IF(Q912="P",(N912+O912+P912)/3,0.3*I912+0.3*J912+0.2*K912+0.1*L912+0.1*M912)</f>
        <v/>
      </c>
      <c r="W912">
        <f>IF(Q912="P",IF(F912="",0,IFNA(VLOOKUP(F912,Pitcher_Trait_Coef!$A:$B,2,FALSE),0))+IF(G912="",0,IFNA(VLOOKUP(G912,Pitcher_Trait_Coef!$A:$B,2,FALSE),0)),IF(F912="",0,IFNA(VLOOKUP(F912,Hitter_Trait_Coef!$A:$B,2,FALSE),0))+IF(G912="",0,IFNA(VLOOKUP(G912,Hitter_Trait_Coef!$A:$B,2,FALSE),0)))</f>
        <v/>
      </c>
      <c r="X912">
        <f>IF(Q912="P",IFNA(VLOOKUP(B912,Pitcher_Primary_Coef!$A:$B,2,FALSE),0),IFNA(VLOOKUP(B912,Hitter_Primary_Coef!$A:$B,2,FALSE),0))</f>
        <v/>
      </c>
      <c r="Y912">
        <f>IF(Q912="P",0,IFNA(VLOOKUP(IF(C912="","(none)",C912),Hitter_Secondary_Coef!$A:$B,2,FALSE),0))</f>
        <v/>
      </c>
      <c r="Z912">
        <f>IF(Q912="P",IF(ISNUMBER(SEARCH("2F",H912)),IFNA(VLOOKUP("2F",Pitch_Coef!$A:$B,2,FALSE),0),0)+IF(ISNUMBER(SEARCH("4F",H912)),IFNA(VLOOKUP("4F",Pitch_Coef!$A:$B,2,FALSE),0),0)+IF(ISNUMBER(SEARCH("CB",H912)),IFNA(VLOOKUP("CB",Pitch_Coef!$A:$B,2,FALSE),0),0)+IF(ISNUMBER(SEARCH("CF",H912)),IFNA(VLOOKUP("CF",Pitch_Coef!$A:$B,2,FALSE),0),0)+IF(ISNUMBER(SEARCH("CH",H912)),IFNA(VLOOKUP("CH",Pitch_Coef!$A:$B,2,FALSE),0),0)+IF(ISNUMBER(SEARCH("FK",H912)),IFNA(VLOOKUP("FK",Pitch_Coef!$A:$B,2,FALSE),0),0)+IF(ISNUMBER(SEARCH("SB",H912)),IFNA(VLOOKUP("SB",Pitch_Coef!$A:$B,2,FALSE),0),0)+IF(ISNUMBER(SEARCH("SL",H912)),IFNA(VLOOKUP("SL",Pitch_Coef!$A:$B,2,FALSE),0),0),0)</f>
        <v/>
      </c>
      <c r="AA912">
        <f>IF(Q912="P",16.5944849573+0.2529999141*N912+0.2665900378*O912+0.2632687105*P912+0.0427586837*I912+0.0534777057*J912+0.009015832*K912+0.0204898106*(O912*P912/100)+1.0091022427*U912+1.0968542297*IF(D912="L",1,0)+0.3771555045*IF(D912="S",1,0)-0.2226159177*IF(E912="L",1,0)+1.21385024*R912-1.1652812274*S912+W912+X912+Z912,10.5965166711+0.2825983581*I912+0.2806503532*J912+0.2027213083*K912+0.1147824982*L912+0.0915305332*M912-0.0088454122*(I912*J912/100)-0.0336045706*(K912*L912/100)+2.8497389733*IF(D912="L",1,0)+4.5116226727*IF(D912="S",1,0)-0.6571546448*IF(E912="L",1,0)+0.0850728147*T912+0.0129488446*(T912*T912)+0.1909373936*IF(OR(F912="Utility",G912="Utility"),T912,0)+0.9656824071*R912-1.7517683256*S912+W912+X912+Y912)</f>
        <v/>
      </c>
      <c r="AB912">
        <f>LOOKUP(AA912,Grade_Scale!$A$2:$A$18,Grade_Scale!$B$2:$B$18)</f>
        <v/>
      </c>
      <c r="AC912">
        <f>LOOKUP(AA912,Grade_Scale!$A$2:$A$18,Grade_Scale!$C$2:$C$18)</f>
        <v/>
      </c>
      <c r="AE912">
        <f>IF(AD912="","",AB912-VLOOKUP(AD912,Grade_Scale!$C$2:$E$18,3,FALSE))</f>
        <v/>
      </c>
    </row>
    <row r="913">
      <c r="Q913">
        <f>IF(OR(B913="SP",B913="RP",B913="CP",B913="SP/RP"),"P","H")</f>
        <v/>
      </c>
      <c r="R913">
        <f>IF(F913="",0,IFNA(VLOOKUP(F913,Trait_Polarity!$A:$C,2,FALSE),0))+IF(G913="",0,IFNA(VLOOKUP(G913,Trait_Polarity!$A:$C,2,FALSE),0))</f>
        <v/>
      </c>
      <c r="S913">
        <f>IF(F913="",0,IFNA(VLOOKUP(F913,Trait_Polarity!$A:$C,3,FALSE),0))+IF(G913="",0,IFNA(VLOOKUP(G913,Trait_Polarity!$A:$C,3,FALSE),0))</f>
        <v/>
      </c>
      <c r="T913">
        <f>IF(Q913="P",0,IFNA(VLOOKUP(IF(C913="","(none)",C913),Secondary_Versatility!$A:$B,2,FALSE),0))</f>
        <v/>
      </c>
      <c r="U913">
        <f>IF(H913="",0,LEN(H913)-LEN(SUBSTITUTE(H913,"|",""))+1)</f>
        <v/>
      </c>
      <c r="V913">
        <f>IF(Q913="P",(N913+O913+P913)/3,0.3*I913+0.3*J913+0.2*K913+0.1*L913+0.1*M913)</f>
        <v/>
      </c>
      <c r="W913">
        <f>IF(Q913="P",IF(F913="",0,IFNA(VLOOKUP(F913,Pitcher_Trait_Coef!$A:$B,2,FALSE),0))+IF(G913="",0,IFNA(VLOOKUP(G913,Pitcher_Trait_Coef!$A:$B,2,FALSE),0)),IF(F913="",0,IFNA(VLOOKUP(F913,Hitter_Trait_Coef!$A:$B,2,FALSE),0))+IF(G913="",0,IFNA(VLOOKUP(G913,Hitter_Trait_Coef!$A:$B,2,FALSE),0)))</f>
        <v/>
      </c>
      <c r="X913">
        <f>IF(Q913="P",IFNA(VLOOKUP(B913,Pitcher_Primary_Coef!$A:$B,2,FALSE),0),IFNA(VLOOKUP(B913,Hitter_Primary_Coef!$A:$B,2,FALSE),0))</f>
        <v/>
      </c>
      <c r="Y913">
        <f>IF(Q913="P",0,IFNA(VLOOKUP(IF(C913="","(none)",C913),Hitter_Secondary_Coef!$A:$B,2,FALSE),0))</f>
        <v/>
      </c>
      <c r="Z913">
        <f>IF(Q913="P",IF(ISNUMBER(SEARCH("2F",H913)),IFNA(VLOOKUP("2F",Pitch_Coef!$A:$B,2,FALSE),0),0)+IF(ISNUMBER(SEARCH("4F",H913)),IFNA(VLOOKUP("4F",Pitch_Coef!$A:$B,2,FALSE),0),0)+IF(ISNUMBER(SEARCH("CB",H913)),IFNA(VLOOKUP("CB",Pitch_Coef!$A:$B,2,FALSE),0),0)+IF(ISNUMBER(SEARCH("CF",H913)),IFNA(VLOOKUP("CF",Pitch_Coef!$A:$B,2,FALSE),0),0)+IF(ISNUMBER(SEARCH("CH",H913)),IFNA(VLOOKUP("CH",Pitch_Coef!$A:$B,2,FALSE),0),0)+IF(ISNUMBER(SEARCH("FK",H913)),IFNA(VLOOKUP("FK",Pitch_Coef!$A:$B,2,FALSE),0),0)+IF(ISNUMBER(SEARCH("SB",H913)),IFNA(VLOOKUP("SB",Pitch_Coef!$A:$B,2,FALSE),0),0)+IF(ISNUMBER(SEARCH("SL",H913)),IFNA(VLOOKUP("SL",Pitch_Coef!$A:$B,2,FALSE),0),0),0)</f>
        <v/>
      </c>
      <c r="AA913">
        <f>IF(Q913="P",16.5944849573+0.2529999141*N913+0.2665900378*O913+0.2632687105*P913+0.0427586837*I913+0.0534777057*J913+0.009015832*K913+0.0204898106*(O913*P913/100)+1.0091022427*U913+1.0968542297*IF(D913="L",1,0)+0.3771555045*IF(D913="S",1,0)-0.2226159177*IF(E913="L",1,0)+1.21385024*R913-1.1652812274*S913+W913+X913+Z913,10.5965166711+0.2825983581*I913+0.2806503532*J913+0.2027213083*K913+0.1147824982*L913+0.0915305332*M913-0.0088454122*(I913*J913/100)-0.0336045706*(K913*L913/100)+2.8497389733*IF(D913="L",1,0)+4.5116226727*IF(D913="S",1,0)-0.6571546448*IF(E913="L",1,0)+0.0850728147*T913+0.0129488446*(T913*T913)+0.1909373936*IF(OR(F913="Utility",G913="Utility"),T913,0)+0.9656824071*R913-1.7517683256*S913+W913+X913+Y913)</f>
        <v/>
      </c>
      <c r="AB913">
        <f>LOOKUP(AA913,Grade_Scale!$A$2:$A$18,Grade_Scale!$B$2:$B$18)</f>
        <v/>
      </c>
      <c r="AC913">
        <f>LOOKUP(AA913,Grade_Scale!$A$2:$A$18,Grade_Scale!$C$2:$C$18)</f>
        <v/>
      </c>
      <c r="AE913">
        <f>IF(AD913="","",AB913-VLOOKUP(AD913,Grade_Scale!$C$2:$E$18,3,FALSE))</f>
        <v/>
      </c>
    </row>
    <row r="914">
      <c r="Q914">
        <f>IF(OR(B914="SP",B914="RP",B914="CP",B914="SP/RP"),"P","H")</f>
        <v/>
      </c>
      <c r="R914">
        <f>IF(F914="",0,IFNA(VLOOKUP(F914,Trait_Polarity!$A:$C,2,FALSE),0))+IF(G914="",0,IFNA(VLOOKUP(G914,Trait_Polarity!$A:$C,2,FALSE),0))</f>
        <v/>
      </c>
      <c r="S914">
        <f>IF(F914="",0,IFNA(VLOOKUP(F914,Trait_Polarity!$A:$C,3,FALSE),0))+IF(G914="",0,IFNA(VLOOKUP(G914,Trait_Polarity!$A:$C,3,FALSE),0))</f>
        <v/>
      </c>
      <c r="T914">
        <f>IF(Q914="P",0,IFNA(VLOOKUP(IF(C914="","(none)",C914),Secondary_Versatility!$A:$B,2,FALSE),0))</f>
        <v/>
      </c>
      <c r="U914">
        <f>IF(H914="",0,LEN(H914)-LEN(SUBSTITUTE(H914,"|",""))+1)</f>
        <v/>
      </c>
      <c r="V914">
        <f>IF(Q914="P",(N914+O914+P914)/3,0.3*I914+0.3*J914+0.2*K914+0.1*L914+0.1*M914)</f>
        <v/>
      </c>
      <c r="W914">
        <f>IF(Q914="P",IF(F914="",0,IFNA(VLOOKUP(F914,Pitcher_Trait_Coef!$A:$B,2,FALSE),0))+IF(G914="",0,IFNA(VLOOKUP(G914,Pitcher_Trait_Coef!$A:$B,2,FALSE),0)),IF(F914="",0,IFNA(VLOOKUP(F914,Hitter_Trait_Coef!$A:$B,2,FALSE),0))+IF(G914="",0,IFNA(VLOOKUP(G914,Hitter_Trait_Coef!$A:$B,2,FALSE),0)))</f>
        <v/>
      </c>
      <c r="X914">
        <f>IF(Q914="P",IFNA(VLOOKUP(B914,Pitcher_Primary_Coef!$A:$B,2,FALSE),0),IFNA(VLOOKUP(B914,Hitter_Primary_Coef!$A:$B,2,FALSE),0))</f>
        <v/>
      </c>
      <c r="Y914">
        <f>IF(Q914="P",0,IFNA(VLOOKUP(IF(C914="","(none)",C914),Hitter_Secondary_Coef!$A:$B,2,FALSE),0))</f>
        <v/>
      </c>
      <c r="Z914">
        <f>IF(Q914="P",IF(ISNUMBER(SEARCH("2F",H914)),IFNA(VLOOKUP("2F",Pitch_Coef!$A:$B,2,FALSE),0),0)+IF(ISNUMBER(SEARCH("4F",H914)),IFNA(VLOOKUP("4F",Pitch_Coef!$A:$B,2,FALSE),0),0)+IF(ISNUMBER(SEARCH("CB",H914)),IFNA(VLOOKUP("CB",Pitch_Coef!$A:$B,2,FALSE),0),0)+IF(ISNUMBER(SEARCH("CF",H914)),IFNA(VLOOKUP("CF",Pitch_Coef!$A:$B,2,FALSE),0),0)+IF(ISNUMBER(SEARCH("CH",H914)),IFNA(VLOOKUP("CH",Pitch_Coef!$A:$B,2,FALSE),0),0)+IF(ISNUMBER(SEARCH("FK",H914)),IFNA(VLOOKUP("FK",Pitch_Coef!$A:$B,2,FALSE),0),0)+IF(ISNUMBER(SEARCH("SB",H914)),IFNA(VLOOKUP("SB",Pitch_Coef!$A:$B,2,FALSE),0),0)+IF(ISNUMBER(SEARCH("SL",H914)),IFNA(VLOOKUP("SL",Pitch_Coef!$A:$B,2,FALSE),0),0),0)</f>
        <v/>
      </c>
      <c r="AA914">
        <f>IF(Q914="P",16.5944849573+0.2529999141*N914+0.2665900378*O914+0.2632687105*P914+0.0427586837*I914+0.0534777057*J914+0.009015832*K914+0.0204898106*(O914*P914/100)+1.0091022427*U914+1.0968542297*IF(D914="L",1,0)+0.3771555045*IF(D914="S",1,0)-0.2226159177*IF(E914="L",1,0)+1.21385024*R914-1.1652812274*S914+W914+X914+Z914,10.5965166711+0.2825983581*I914+0.2806503532*J914+0.2027213083*K914+0.1147824982*L914+0.0915305332*M914-0.0088454122*(I914*J914/100)-0.0336045706*(K914*L914/100)+2.8497389733*IF(D914="L",1,0)+4.5116226727*IF(D914="S",1,0)-0.6571546448*IF(E914="L",1,0)+0.0850728147*T914+0.0129488446*(T914*T914)+0.1909373936*IF(OR(F914="Utility",G914="Utility"),T914,0)+0.9656824071*R914-1.7517683256*S914+W914+X914+Y914)</f>
        <v/>
      </c>
      <c r="AB914">
        <f>LOOKUP(AA914,Grade_Scale!$A$2:$A$18,Grade_Scale!$B$2:$B$18)</f>
        <v/>
      </c>
      <c r="AC914">
        <f>LOOKUP(AA914,Grade_Scale!$A$2:$A$18,Grade_Scale!$C$2:$C$18)</f>
        <v/>
      </c>
      <c r="AE914">
        <f>IF(AD914="","",AB914-VLOOKUP(AD914,Grade_Scale!$C$2:$E$18,3,FALSE))</f>
        <v/>
      </c>
    </row>
    <row r="915">
      <c r="Q915">
        <f>IF(OR(B915="SP",B915="RP",B915="CP",B915="SP/RP"),"P","H")</f>
        <v/>
      </c>
      <c r="R915">
        <f>IF(F915="",0,IFNA(VLOOKUP(F915,Trait_Polarity!$A:$C,2,FALSE),0))+IF(G915="",0,IFNA(VLOOKUP(G915,Trait_Polarity!$A:$C,2,FALSE),0))</f>
        <v/>
      </c>
      <c r="S915">
        <f>IF(F915="",0,IFNA(VLOOKUP(F915,Trait_Polarity!$A:$C,3,FALSE),0))+IF(G915="",0,IFNA(VLOOKUP(G915,Trait_Polarity!$A:$C,3,FALSE),0))</f>
        <v/>
      </c>
      <c r="T915">
        <f>IF(Q915="P",0,IFNA(VLOOKUP(IF(C915="","(none)",C915),Secondary_Versatility!$A:$B,2,FALSE),0))</f>
        <v/>
      </c>
      <c r="U915">
        <f>IF(H915="",0,LEN(H915)-LEN(SUBSTITUTE(H915,"|",""))+1)</f>
        <v/>
      </c>
      <c r="V915">
        <f>IF(Q915="P",(N915+O915+P915)/3,0.3*I915+0.3*J915+0.2*K915+0.1*L915+0.1*M915)</f>
        <v/>
      </c>
      <c r="W915">
        <f>IF(Q915="P",IF(F915="",0,IFNA(VLOOKUP(F915,Pitcher_Trait_Coef!$A:$B,2,FALSE),0))+IF(G915="",0,IFNA(VLOOKUP(G915,Pitcher_Trait_Coef!$A:$B,2,FALSE),0)),IF(F915="",0,IFNA(VLOOKUP(F915,Hitter_Trait_Coef!$A:$B,2,FALSE),0))+IF(G915="",0,IFNA(VLOOKUP(G915,Hitter_Trait_Coef!$A:$B,2,FALSE),0)))</f>
        <v/>
      </c>
      <c r="X915">
        <f>IF(Q915="P",IFNA(VLOOKUP(B915,Pitcher_Primary_Coef!$A:$B,2,FALSE),0),IFNA(VLOOKUP(B915,Hitter_Primary_Coef!$A:$B,2,FALSE),0))</f>
        <v/>
      </c>
      <c r="Y915">
        <f>IF(Q915="P",0,IFNA(VLOOKUP(IF(C915="","(none)",C915),Hitter_Secondary_Coef!$A:$B,2,FALSE),0))</f>
        <v/>
      </c>
      <c r="Z915">
        <f>IF(Q915="P",IF(ISNUMBER(SEARCH("2F",H915)),IFNA(VLOOKUP("2F",Pitch_Coef!$A:$B,2,FALSE),0),0)+IF(ISNUMBER(SEARCH("4F",H915)),IFNA(VLOOKUP("4F",Pitch_Coef!$A:$B,2,FALSE),0),0)+IF(ISNUMBER(SEARCH("CB",H915)),IFNA(VLOOKUP("CB",Pitch_Coef!$A:$B,2,FALSE),0),0)+IF(ISNUMBER(SEARCH("CF",H915)),IFNA(VLOOKUP("CF",Pitch_Coef!$A:$B,2,FALSE),0),0)+IF(ISNUMBER(SEARCH("CH",H915)),IFNA(VLOOKUP("CH",Pitch_Coef!$A:$B,2,FALSE),0),0)+IF(ISNUMBER(SEARCH("FK",H915)),IFNA(VLOOKUP("FK",Pitch_Coef!$A:$B,2,FALSE),0),0)+IF(ISNUMBER(SEARCH("SB",H915)),IFNA(VLOOKUP("SB",Pitch_Coef!$A:$B,2,FALSE),0),0)+IF(ISNUMBER(SEARCH("SL",H915)),IFNA(VLOOKUP("SL",Pitch_Coef!$A:$B,2,FALSE),0),0),0)</f>
        <v/>
      </c>
      <c r="AA915">
        <f>IF(Q915="P",16.5944849573+0.2529999141*N915+0.2665900378*O915+0.2632687105*P915+0.0427586837*I915+0.0534777057*J915+0.009015832*K915+0.0204898106*(O915*P915/100)+1.0091022427*U915+1.0968542297*IF(D915="L",1,0)+0.3771555045*IF(D915="S",1,0)-0.2226159177*IF(E915="L",1,0)+1.21385024*R915-1.1652812274*S915+W915+X915+Z915,10.5965166711+0.2825983581*I915+0.2806503532*J915+0.2027213083*K915+0.1147824982*L915+0.0915305332*M915-0.0088454122*(I915*J915/100)-0.0336045706*(K915*L915/100)+2.8497389733*IF(D915="L",1,0)+4.5116226727*IF(D915="S",1,0)-0.6571546448*IF(E915="L",1,0)+0.0850728147*T915+0.0129488446*(T915*T915)+0.1909373936*IF(OR(F915="Utility",G915="Utility"),T915,0)+0.9656824071*R915-1.7517683256*S915+W915+X915+Y915)</f>
        <v/>
      </c>
      <c r="AB915">
        <f>LOOKUP(AA915,Grade_Scale!$A$2:$A$18,Grade_Scale!$B$2:$B$18)</f>
        <v/>
      </c>
      <c r="AC915">
        <f>LOOKUP(AA915,Grade_Scale!$A$2:$A$18,Grade_Scale!$C$2:$C$18)</f>
        <v/>
      </c>
      <c r="AE915">
        <f>IF(AD915="","",AB915-VLOOKUP(AD915,Grade_Scale!$C$2:$E$18,3,FALSE))</f>
        <v/>
      </c>
    </row>
    <row r="916">
      <c r="Q916">
        <f>IF(OR(B916="SP",B916="RP",B916="CP",B916="SP/RP"),"P","H")</f>
        <v/>
      </c>
      <c r="R916">
        <f>IF(F916="",0,IFNA(VLOOKUP(F916,Trait_Polarity!$A:$C,2,FALSE),0))+IF(G916="",0,IFNA(VLOOKUP(G916,Trait_Polarity!$A:$C,2,FALSE),0))</f>
        <v/>
      </c>
      <c r="S916">
        <f>IF(F916="",0,IFNA(VLOOKUP(F916,Trait_Polarity!$A:$C,3,FALSE),0))+IF(G916="",0,IFNA(VLOOKUP(G916,Trait_Polarity!$A:$C,3,FALSE),0))</f>
        <v/>
      </c>
      <c r="T916">
        <f>IF(Q916="P",0,IFNA(VLOOKUP(IF(C916="","(none)",C916),Secondary_Versatility!$A:$B,2,FALSE),0))</f>
        <v/>
      </c>
      <c r="U916">
        <f>IF(H916="",0,LEN(H916)-LEN(SUBSTITUTE(H916,"|",""))+1)</f>
        <v/>
      </c>
      <c r="V916">
        <f>IF(Q916="P",(N916+O916+P916)/3,0.3*I916+0.3*J916+0.2*K916+0.1*L916+0.1*M916)</f>
        <v/>
      </c>
      <c r="W916">
        <f>IF(Q916="P",IF(F916="",0,IFNA(VLOOKUP(F916,Pitcher_Trait_Coef!$A:$B,2,FALSE),0))+IF(G916="",0,IFNA(VLOOKUP(G916,Pitcher_Trait_Coef!$A:$B,2,FALSE),0)),IF(F916="",0,IFNA(VLOOKUP(F916,Hitter_Trait_Coef!$A:$B,2,FALSE),0))+IF(G916="",0,IFNA(VLOOKUP(G916,Hitter_Trait_Coef!$A:$B,2,FALSE),0)))</f>
        <v/>
      </c>
      <c r="X916">
        <f>IF(Q916="P",IFNA(VLOOKUP(B916,Pitcher_Primary_Coef!$A:$B,2,FALSE),0),IFNA(VLOOKUP(B916,Hitter_Primary_Coef!$A:$B,2,FALSE),0))</f>
        <v/>
      </c>
      <c r="Y916">
        <f>IF(Q916="P",0,IFNA(VLOOKUP(IF(C916="","(none)",C916),Hitter_Secondary_Coef!$A:$B,2,FALSE),0))</f>
        <v/>
      </c>
      <c r="Z916">
        <f>IF(Q916="P",IF(ISNUMBER(SEARCH("2F",H916)),IFNA(VLOOKUP("2F",Pitch_Coef!$A:$B,2,FALSE),0),0)+IF(ISNUMBER(SEARCH("4F",H916)),IFNA(VLOOKUP("4F",Pitch_Coef!$A:$B,2,FALSE),0),0)+IF(ISNUMBER(SEARCH("CB",H916)),IFNA(VLOOKUP("CB",Pitch_Coef!$A:$B,2,FALSE),0),0)+IF(ISNUMBER(SEARCH("CF",H916)),IFNA(VLOOKUP("CF",Pitch_Coef!$A:$B,2,FALSE),0),0)+IF(ISNUMBER(SEARCH("CH",H916)),IFNA(VLOOKUP("CH",Pitch_Coef!$A:$B,2,FALSE),0),0)+IF(ISNUMBER(SEARCH("FK",H916)),IFNA(VLOOKUP("FK",Pitch_Coef!$A:$B,2,FALSE),0),0)+IF(ISNUMBER(SEARCH("SB",H916)),IFNA(VLOOKUP("SB",Pitch_Coef!$A:$B,2,FALSE),0),0)+IF(ISNUMBER(SEARCH("SL",H916)),IFNA(VLOOKUP("SL",Pitch_Coef!$A:$B,2,FALSE),0),0),0)</f>
        <v/>
      </c>
      <c r="AA916">
        <f>IF(Q916="P",16.5944849573+0.2529999141*N916+0.2665900378*O916+0.2632687105*P916+0.0427586837*I916+0.0534777057*J916+0.009015832*K916+0.0204898106*(O916*P916/100)+1.0091022427*U916+1.0968542297*IF(D916="L",1,0)+0.3771555045*IF(D916="S",1,0)-0.2226159177*IF(E916="L",1,0)+1.21385024*R916-1.1652812274*S916+W916+X916+Z916,10.5965166711+0.2825983581*I916+0.2806503532*J916+0.2027213083*K916+0.1147824982*L916+0.0915305332*M916-0.0088454122*(I916*J916/100)-0.0336045706*(K916*L916/100)+2.8497389733*IF(D916="L",1,0)+4.5116226727*IF(D916="S",1,0)-0.6571546448*IF(E916="L",1,0)+0.0850728147*T916+0.0129488446*(T916*T916)+0.1909373936*IF(OR(F916="Utility",G916="Utility"),T916,0)+0.9656824071*R916-1.7517683256*S916+W916+X916+Y916)</f>
        <v/>
      </c>
      <c r="AB916">
        <f>LOOKUP(AA916,Grade_Scale!$A$2:$A$18,Grade_Scale!$B$2:$B$18)</f>
        <v/>
      </c>
      <c r="AC916">
        <f>LOOKUP(AA916,Grade_Scale!$A$2:$A$18,Grade_Scale!$C$2:$C$18)</f>
        <v/>
      </c>
      <c r="AE916">
        <f>IF(AD916="","",AB916-VLOOKUP(AD916,Grade_Scale!$C$2:$E$18,3,FALSE))</f>
        <v/>
      </c>
    </row>
    <row r="917">
      <c r="Q917">
        <f>IF(OR(B917="SP",B917="RP",B917="CP",B917="SP/RP"),"P","H")</f>
        <v/>
      </c>
      <c r="R917">
        <f>IF(F917="",0,IFNA(VLOOKUP(F917,Trait_Polarity!$A:$C,2,FALSE),0))+IF(G917="",0,IFNA(VLOOKUP(G917,Trait_Polarity!$A:$C,2,FALSE),0))</f>
        <v/>
      </c>
      <c r="S917">
        <f>IF(F917="",0,IFNA(VLOOKUP(F917,Trait_Polarity!$A:$C,3,FALSE),0))+IF(G917="",0,IFNA(VLOOKUP(G917,Trait_Polarity!$A:$C,3,FALSE),0))</f>
        <v/>
      </c>
      <c r="T917">
        <f>IF(Q917="P",0,IFNA(VLOOKUP(IF(C917="","(none)",C917),Secondary_Versatility!$A:$B,2,FALSE),0))</f>
        <v/>
      </c>
      <c r="U917">
        <f>IF(H917="",0,LEN(H917)-LEN(SUBSTITUTE(H917,"|",""))+1)</f>
        <v/>
      </c>
      <c r="V917">
        <f>IF(Q917="P",(N917+O917+P917)/3,0.3*I917+0.3*J917+0.2*K917+0.1*L917+0.1*M917)</f>
        <v/>
      </c>
      <c r="W917">
        <f>IF(Q917="P",IF(F917="",0,IFNA(VLOOKUP(F917,Pitcher_Trait_Coef!$A:$B,2,FALSE),0))+IF(G917="",0,IFNA(VLOOKUP(G917,Pitcher_Trait_Coef!$A:$B,2,FALSE),0)),IF(F917="",0,IFNA(VLOOKUP(F917,Hitter_Trait_Coef!$A:$B,2,FALSE),0))+IF(G917="",0,IFNA(VLOOKUP(G917,Hitter_Trait_Coef!$A:$B,2,FALSE),0)))</f>
        <v/>
      </c>
      <c r="X917">
        <f>IF(Q917="P",IFNA(VLOOKUP(B917,Pitcher_Primary_Coef!$A:$B,2,FALSE),0),IFNA(VLOOKUP(B917,Hitter_Primary_Coef!$A:$B,2,FALSE),0))</f>
        <v/>
      </c>
      <c r="Y917">
        <f>IF(Q917="P",0,IFNA(VLOOKUP(IF(C917="","(none)",C917),Hitter_Secondary_Coef!$A:$B,2,FALSE),0))</f>
        <v/>
      </c>
      <c r="Z917">
        <f>IF(Q917="P",IF(ISNUMBER(SEARCH("2F",H917)),IFNA(VLOOKUP("2F",Pitch_Coef!$A:$B,2,FALSE),0),0)+IF(ISNUMBER(SEARCH("4F",H917)),IFNA(VLOOKUP("4F",Pitch_Coef!$A:$B,2,FALSE),0),0)+IF(ISNUMBER(SEARCH("CB",H917)),IFNA(VLOOKUP("CB",Pitch_Coef!$A:$B,2,FALSE),0),0)+IF(ISNUMBER(SEARCH("CF",H917)),IFNA(VLOOKUP("CF",Pitch_Coef!$A:$B,2,FALSE),0),0)+IF(ISNUMBER(SEARCH("CH",H917)),IFNA(VLOOKUP("CH",Pitch_Coef!$A:$B,2,FALSE),0),0)+IF(ISNUMBER(SEARCH("FK",H917)),IFNA(VLOOKUP("FK",Pitch_Coef!$A:$B,2,FALSE),0),0)+IF(ISNUMBER(SEARCH("SB",H917)),IFNA(VLOOKUP("SB",Pitch_Coef!$A:$B,2,FALSE),0),0)+IF(ISNUMBER(SEARCH("SL",H917)),IFNA(VLOOKUP("SL",Pitch_Coef!$A:$B,2,FALSE),0),0),0)</f>
        <v/>
      </c>
      <c r="AA917">
        <f>IF(Q917="P",16.5944849573+0.2529999141*N917+0.2665900378*O917+0.2632687105*P917+0.0427586837*I917+0.0534777057*J917+0.009015832*K917+0.0204898106*(O917*P917/100)+1.0091022427*U917+1.0968542297*IF(D917="L",1,0)+0.3771555045*IF(D917="S",1,0)-0.2226159177*IF(E917="L",1,0)+1.21385024*R917-1.1652812274*S917+W917+X917+Z917,10.5965166711+0.2825983581*I917+0.2806503532*J917+0.2027213083*K917+0.1147824982*L917+0.0915305332*M917-0.0088454122*(I917*J917/100)-0.0336045706*(K917*L917/100)+2.8497389733*IF(D917="L",1,0)+4.5116226727*IF(D917="S",1,0)-0.6571546448*IF(E917="L",1,0)+0.0850728147*T917+0.0129488446*(T917*T917)+0.1909373936*IF(OR(F917="Utility",G917="Utility"),T917,0)+0.9656824071*R917-1.7517683256*S917+W917+X917+Y917)</f>
        <v/>
      </c>
      <c r="AB917">
        <f>LOOKUP(AA917,Grade_Scale!$A$2:$A$18,Grade_Scale!$B$2:$B$18)</f>
        <v/>
      </c>
      <c r="AC917">
        <f>LOOKUP(AA917,Grade_Scale!$A$2:$A$18,Grade_Scale!$C$2:$C$18)</f>
        <v/>
      </c>
      <c r="AE917">
        <f>IF(AD917="","",AB917-VLOOKUP(AD917,Grade_Scale!$C$2:$E$18,3,FALSE))</f>
        <v/>
      </c>
    </row>
    <row r="918">
      <c r="Q918">
        <f>IF(OR(B918="SP",B918="RP",B918="CP",B918="SP/RP"),"P","H")</f>
        <v/>
      </c>
      <c r="R918">
        <f>IF(F918="",0,IFNA(VLOOKUP(F918,Trait_Polarity!$A:$C,2,FALSE),0))+IF(G918="",0,IFNA(VLOOKUP(G918,Trait_Polarity!$A:$C,2,FALSE),0))</f>
        <v/>
      </c>
      <c r="S918">
        <f>IF(F918="",0,IFNA(VLOOKUP(F918,Trait_Polarity!$A:$C,3,FALSE),0))+IF(G918="",0,IFNA(VLOOKUP(G918,Trait_Polarity!$A:$C,3,FALSE),0))</f>
        <v/>
      </c>
      <c r="T918">
        <f>IF(Q918="P",0,IFNA(VLOOKUP(IF(C918="","(none)",C918),Secondary_Versatility!$A:$B,2,FALSE),0))</f>
        <v/>
      </c>
      <c r="U918">
        <f>IF(H918="",0,LEN(H918)-LEN(SUBSTITUTE(H918,"|",""))+1)</f>
        <v/>
      </c>
      <c r="V918">
        <f>IF(Q918="P",(N918+O918+P918)/3,0.3*I918+0.3*J918+0.2*K918+0.1*L918+0.1*M918)</f>
        <v/>
      </c>
      <c r="W918">
        <f>IF(Q918="P",IF(F918="",0,IFNA(VLOOKUP(F918,Pitcher_Trait_Coef!$A:$B,2,FALSE),0))+IF(G918="",0,IFNA(VLOOKUP(G918,Pitcher_Trait_Coef!$A:$B,2,FALSE),0)),IF(F918="",0,IFNA(VLOOKUP(F918,Hitter_Trait_Coef!$A:$B,2,FALSE),0))+IF(G918="",0,IFNA(VLOOKUP(G918,Hitter_Trait_Coef!$A:$B,2,FALSE),0)))</f>
        <v/>
      </c>
      <c r="X918">
        <f>IF(Q918="P",IFNA(VLOOKUP(B918,Pitcher_Primary_Coef!$A:$B,2,FALSE),0),IFNA(VLOOKUP(B918,Hitter_Primary_Coef!$A:$B,2,FALSE),0))</f>
        <v/>
      </c>
      <c r="Y918">
        <f>IF(Q918="P",0,IFNA(VLOOKUP(IF(C918="","(none)",C918),Hitter_Secondary_Coef!$A:$B,2,FALSE),0))</f>
        <v/>
      </c>
      <c r="Z918">
        <f>IF(Q918="P",IF(ISNUMBER(SEARCH("2F",H918)),IFNA(VLOOKUP("2F",Pitch_Coef!$A:$B,2,FALSE),0),0)+IF(ISNUMBER(SEARCH("4F",H918)),IFNA(VLOOKUP("4F",Pitch_Coef!$A:$B,2,FALSE),0),0)+IF(ISNUMBER(SEARCH("CB",H918)),IFNA(VLOOKUP("CB",Pitch_Coef!$A:$B,2,FALSE),0),0)+IF(ISNUMBER(SEARCH("CF",H918)),IFNA(VLOOKUP("CF",Pitch_Coef!$A:$B,2,FALSE),0),0)+IF(ISNUMBER(SEARCH("CH",H918)),IFNA(VLOOKUP("CH",Pitch_Coef!$A:$B,2,FALSE),0),0)+IF(ISNUMBER(SEARCH("FK",H918)),IFNA(VLOOKUP("FK",Pitch_Coef!$A:$B,2,FALSE),0),0)+IF(ISNUMBER(SEARCH("SB",H918)),IFNA(VLOOKUP("SB",Pitch_Coef!$A:$B,2,FALSE),0),0)+IF(ISNUMBER(SEARCH("SL",H918)),IFNA(VLOOKUP("SL",Pitch_Coef!$A:$B,2,FALSE),0),0),0)</f>
        <v/>
      </c>
      <c r="AA918">
        <f>IF(Q918="P",16.5944849573+0.2529999141*N918+0.2665900378*O918+0.2632687105*P918+0.0427586837*I918+0.0534777057*J918+0.009015832*K918+0.0204898106*(O918*P918/100)+1.0091022427*U918+1.0968542297*IF(D918="L",1,0)+0.3771555045*IF(D918="S",1,0)-0.2226159177*IF(E918="L",1,0)+1.21385024*R918-1.1652812274*S918+W918+X918+Z918,10.5965166711+0.2825983581*I918+0.2806503532*J918+0.2027213083*K918+0.1147824982*L918+0.0915305332*M918-0.0088454122*(I918*J918/100)-0.0336045706*(K918*L918/100)+2.8497389733*IF(D918="L",1,0)+4.5116226727*IF(D918="S",1,0)-0.6571546448*IF(E918="L",1,0)+0.0850728147*T918+0.0129488446*(T918*T918)+0.1909373936*IF(OR(F918="Utility",G918="Utility"),T918,0)+0.9656824071*R918-1.7517683256*S918+W918+X918+Y918)</f>
        <v/>
      </c>
      <c r="AB918">
        <f>LOOKUP(AA918,Grade_Scale!$A$2:$A$18,Grade_Scale!$B$2:$B$18)</f>
        <v/>
      </c>
      <c r="AC918">
        <f>LOOKUP(AA918,Grade_Scale!$A$2:$A$18,Grade_Scale!$C$2:$C$18)</f>
        <v/>
      </c>
      <c r="AE918">
        <f>IF(AD918="","",AB918-VLOOKUP(AD918,Grade_Scale!$C$2:$E$18,3,FALSE))</f>
        <v/>
      </c>
    </row>
    <row r="919">
      <c r="Q919">
        <f>IF(OR(B919="SP",B919="RP",B919="CP",B919="SP/RP"),"P","H")</f>
        <v/>
      </c>
      <c r="R919">
        <f>IF(F919="",0,IFNA(VLOOKUP(F919,Trait_Polarity!$A:$C,2,FALSE),0))+IF(G919="",0,IFNA(VLOOKUP(G919,Trait_Polarity!$A:$C,2,FALSE),0))</f>
        <v/>
      </c>
      <c r="S919">
        <f>IF(F919="",0,IFNA(VLOOKUP(F919,Trait_Polarity!$A:$C,3,FALSE),0))+IF(G919="",0,IFNA(VLOOKUP(G919,Trait_Polarity!$A:$C,3,FALSE),0))</f>
        <v/>
      </c>
      <c r="T919">
        <f>IF(Q919="P",0,IFNA(VLOOKUP(IF(C919="","(none)",C919),Secondary_Versatility!$A:$B,2,FALSE),0))</f>
        <v/>
      </c>
      <c r="U919">
        <f>IF(H919="",0,LEN(H919)-LEN(SUBSTITUTE(H919,"|",""))+1)</f>
        <v/>
      </c>
      <c r="V919">
        <f>IF(Q919="P",(N919+O919+P919)/3,0.3*I919+0.3*J919+0.2*K919+0.1*L919+0.1*M919)</f>
        <v/>
      </c>
      <c r="W919">
        <f>IF(Q919="P",IF(F919="",0,IFNA(VLOOKUP(F919,Pitcher_Trait_Coef!$A:$B,2,FALSE),0))+IF(G919="",0,IFNA(VLOOKUP(G919,Pitcher_Trait_Coef!$A:$B,2,FALSE),0)),IF(F919="",0,IFNA(VLOOKUP(F919,Hitter_Trait_Coef!$A:$B,2,FALSE),0))+IF(G919="",0,IFNA(VLOOKUP(G919,Hitter_Trait_Coef!$A:$B,2,FALSE),0)))</f>
        <v/>
      </c>
      <c r="X919">
        <f>IF(Q919="P",IFNA(VLOOKUP(B919,Pitcher_Primary_Coef!$A:$B,2,FALSE),0),IFNA(VLOOKUP(B919,Hitter_Primary_Coef!$A:$B,2,FALSE),0))</f>
        <v/>
      </c>
      <c r="Y919">
        <f>IF(Q919="P",0,IFNA(VLOOKUP(IF(C919="","(none)",C919),Hitter_Secondary_Coef!$A:$B,2,FALSE),0))</f>
        <v/>
      </c>
      <c r="Z919">
        <f>IF(Q919="P",IF(ISNUMBER(SEARCH("2F",H919)),IFNA(VLOOKUP("2F",Pitch_Coef!$A:$B,2,FALSE),0),0)+IF(ISNUMBER(SEARCH("4F",H919)),IFNA(VLOOKUP("4F",Pitch_Coef!$A:$B,2,FALSE),0),0)+IF(ISNUMBER(SEARCH("CB",H919)),IFNA(VLOOKUP("CB",Pitch_Coef!$A:$B,2,FALSE),0),0)+IF(ISNUMBER(SEARCH("CF",H919)),IFNA(VLOOKUP("CF",Pitch_Coef!$A:$B,2,FALSE),0),0)+IF(ISNUMBER(SEARCH("CH",H919)),IFNA(VLOOKUP("CH",Pitch_Coef!$A:$B,2,FALSE),0),0)+IF(ISNUMBER(SEARCH("FK",H919)),IFNA(VLOOKUP("FK",Pitch_Coef!$A:$B,2,FALSE),0),0)+IF(ISNUMBER(SEARCH("SB",H919)),IFNA(VLOOKUP("SB",Pitch_Coef!$A:$B,2,FALSE),0),0)+IF(ISNUMBER(SEARCH("SL",H919)),IFNA(VLOOKUP("SL",Pitch_Coef!$A:$B,2,FALSE),0),0),0)</f>
        <v/>
      </c>
      <c r="AA919">
        <f>IF(Q919="P",16.5944849573+0.2529999141*N919+0.2665900378*O919+0.2632687105*P919+0.0427586837*I919+0.0534777057*J919+0.009015832*K919+0.0204898106*(O919*P919/100)+1.0091022427*U919+1.0968542297*IF(D919="L",1,0)+0.3771555045*IF(D919="S",1,0)-0.2226159177*IF(E919="L",1,0)+1.21385024*R919-1.1652812274*S919+W919+X919+Z919,10.5965166711+0.2825983581*I919+0.2806503532*J919+0.2027213083*K919+0.1147824982*L919+0.0915305332*M919-0.0088454122*(I919*J919/100)-0.0336045706*(K919*L919/100)+2.8497389733*IF(D919="L",1,0)+4.5116226727*IF(D919="S",1,0)-0.6571546448*IF(E919="L",1,0)+0.0850728147*T919+0.0129488446*(T919*T919)+0.1909373936*IF(OR(F919="Utility",G919="Utility"),T919,0)+0.9656824071*R919-1.7517683256*S919+W919+X919+Y919)</f>
        <v/>
      </c>
      <c r="AB919">
        <f>LOOKUP(AA919,Grade_Scale!$A$2:$A$18,Grade_Scale!$B$2:$B$18)</f>
        <v/>
      </c>
      <c r="AC919">
        <f>LOOKUP(AA919,Grade_Scale!$A$2:$A$18,Grade_Scale!$C$2:$C$18)</f>
        <v/>
      </c>
      <c r="AE919">
        <f>IF(AD919="","",AB919-VLOOKUP(AD919,Grade_Scale!$C$2:$E$18,3,FALSE))</f>
        <v/>
      </c>
    </row>
    <row r="920">
      <c r="Q920">
        <f>IF(OR(B920="SP",B920="RP",B920="CP",B920="SP/RP"),"P","H")</f>
        <v/>
      </c>
      <c r="R920">
        <f>IF(F920="",0,IFNA(VLOOKUP(F920,Trait_Polarity!$A:$C,2,FALSE),0))+IF(G920="",0,IFNA(VLOOKUP(G920,Trait_Polarity!$A:$C,2,FALSE),0))</f>
        <v/>
      </c>
      <c r="S920">
        <f>IF(F920="",0,IFNA(VLOOKUP(F920,Trait_Polarity!$A:$C,3,FALSE),0))+IF(G920="",0,IFNA(VLOOKUP(G920,Trait_Polarity!$A:$C,3,FALSE),0))</f>
        <v/>
      </c>
      <c r="T920">
        <f>IF(Q920="P",0,IFNA(VLOOKUP(IF(C920="","(none)",C920),Secondary_Versatility!$A:$B,2,FALSE),0))</f>
        <v/>
      </c>
      <c r="U920">
        <f>IF(H920="",0,LEN(H920)-LEN(SUBSTITUTE(H920,"|",""))+1)</f>
        <v/>
      </c>
      <c r="V920">
        <f>IF(Q920="P",(N920+O920+P920)/3,0.3*I920+0.3*J920+0.2*K920+0.1*L920+0.1*M920)</f>
        <v/>
      </c>
      <c r="W920">
        <f>IF(Q920="P",IF(F920="",0,IFNA(VLOOKUP(F920,Pitcher_Trait_Coef!$A:$B,2,FALSE),0))+IF(G920="",0,IFNA(VLOOKUP(G920,Pitcher_Trait_Coef!$A:$B,2,FALSE),0)),IF(F920="",0,IFNA(VLOOKUP(F920,Hitter_Trait_Coef!$A:$B,2,FALSE),0))+IF(G920="",0,IFNA(VLOOKUP(G920,Hitter_Trait_Coef!$A:$B,2,FALSE),0)))</f>
        <v/>
      </c>
      <c r="X920">
        <f>IF(Q920="P",IFNA(VLOOKUP(B920,Pitcher_Primary_Coef!$A:$B,2,FALSE),0),IFNA(VLOOKUP(B920,Hitter_Primary_Coef!$A:$B,2,FALSE),0))</f>
        <v/>
      </c>
      <c r="Y920">
        <f>IF(Q920="P",0,IFNA(VLOOKUP(IF(C920="","(none)",C920),Hitter_Secondary_Coef!$A:$B,2,FALSE),0))</f>
        <v/>
      </c>
      <c r="Z920">
        <f>IF(Q920="P",IF(ISNUMBER(SEARCH("2F",H920)),IFNA(VLOOKUP("2F",Pitch_Coef!$A:$B,2,FALSE),0),0)+IF(ISNUMBER(SEARCH("4F",H920)),IFNA(VLOOKUP("4F",Pitch_Coef!$A:$B,2,FALSE),0),0)+IF(ISNUMBER(SEARCH("CB",H920)),IFNA(VLOOKUP("CB",Pitch_Coef!$A:$B,2,FALSE),0),0)+IF(ISNUMBER(SEARCH("CF",H920)),IFNA(VLOOKUP("CF",Pitch_Coef!$A:$B,2,FALSE),0),0)+IF(ISNUMBER(SEARCH("CH",H920)),IFNA(VLOOKUP("CH",Pitch_Coef!$A:$B,2,FALSE),0),0)+IF(ISNUMBER(SEARCH("FK",H920)),IFNA(VLOOKUP("FK",Pitch_Coef!$A:$B,2,FALSE),0),0)+IF(ISNUMBER(SEARCH("SB",H920)),IFNA(VLOOKUP("SB",Pitch_Coef!$A:$B,2,FALSE),0),0)+IF(ISNUMBER(SEARCH("SL",H920)),IFNA(VLOOKUP("SL",Pitch_Coef!$A:$B,2,FALSE),0),0),0)</f>
        <v/>
      </c>
      <c r="AA920">
        <f>IF(Q920="P",16.5944849573+0.2529999141*N920+0.2665900378*O920+0.2632687105*P920+0.0427586837*I920+0.0534777057*J920+0.009015832*K920+0.0204898106*(O920*P920/100)+1.0091022427*U920+1.0968542297*IF(D920="L",1,0)+0.3771555045*IF(D920="S",1,0)-0.2226159177*IF(E920="L",1,0)+1.21385024*R920-1.1652812274*S920+W920+X920+Z920,10.5965166711+0.2825983581*I920+0.2806503532*J920+0.2027213083*K920+0.1147824982*L920+0.0915305332*M920-0.0088454122*(I920*J920/100)-0.0336045706*(K920*L920/100)+2.8497389733*IF(D920="L",1,0)+4.5116226727*IF(D920="S",1,0)-0.6571546448*IF(E920="L",1,0)+0.0850728147*T920+0.0129488446*(T920*T920)+0.1909373936*IF(OR(F920="Utility",G920="Utility"),T920,0)+0.9656824071*R920-1.7517683256*S920+W920+X920+Y920)</f>
        <v/>
      </c>
      <c r="AB920">
        <f>LOOKUP(AA920,Grade_Scale!$A$2:$A$18,Grade_Scale!$B$2:$B$18)</f>
        <v/>
      </c>
      <c r="AC920">
        <f>LOOKUP(AA920,Grade_Scale!$A$2:$A$18,Grade_Scale!$C$2:$C$18)</f>
        <v/>
      </c>
      <c r="AE920">
        <f>IF(AD920="","",AB920-VLOOKUP(AD920,Grade_Scale!$C$2:$E$18,3,FALSE))</f>
        <v/>
      </c>
    </row>
    <row r="921">
      <c r="Q921">
        <f>IF(OR(B921="SP",B921="RP",B921="CP",B921="SP/RP"),"P","H")</f>
        <v/>
      </c>
      <c r="R921">
        <f>IF(F921="",0,IFNA(VLOOKUP(F921,Trait_Polarity!$A:$C,2,FALSE),0))+IF(G921="",0,IFNA(VLOOKUP(G921,Trait_Polarity!$A:$C,2,FALSE),0))</f>
        <v/>
      </c>
      <c r="S921">
        <f>IF(F921="",0,IFNA(VLOOKUP(F921,Trait_Polarity!$A:$C,3,FALSE),0))+IF(G921="",0,IFNA(VLOOKUP(G921,Trait_Polarity!$A:$C,3,FALSE),0))</f>
        <v/>
      </c>
      <c r="T921">
        <f>IF(Q921="P",0,IFNA(VLOOKUP(IF(C921="","(none)",C921),Secondary_Versatility!$A:$B,2,FALSE),0))</f>
        <v/>
      </c>
      <c r="U921">
        <f>IF(H921="",0,LEN(H921)-LEN(SUBSTITUTE(H921,"|",""))+1)</f>
        <v/>
      </c>
      <c r="V921">
        <f>IF(Q921="P",(N921+O921+P921)/3,0.3*I921+0.3*J921+0.2*K921+0.1*L921+0.1*M921)</f>
        <v/>
      </c>
      <c r="W921">
        <f>IF(Q921="P",IF(F921="",0,IFNA(VLOOKUP(F921,Pitcher_Trait_Coef!$A:$B,2,FALSE),0))+IF(G921="",0,IFNA(VLOOKUP(G921,Pitcher_Trait_Coef!$A:$B,2,FALSE),0)),IF(F921="",0,IFNA(VLOOKUP(F921,Hitter_Trait_Coef!$A:$B,2,FALSE),0))+IF(G921="",0,IFNA(VLOOKUP(G921,Hitter_Trait_Coef!$A:$B,2,FALSE),0)))</f>
        <v/>
      </c>
      <c r="X921">
        <f>IF(Q921="P",IFNA(VLOOKUP(B921,Pitcher_Primary_Coef!$A:$B,2,FALSE),0),IFNA(VLOOKUP(B921,Hitter_Primary_Coef!$A:$B,2,FALSE),0))</f>
        <v/>
      </c>
      <c r="Y921">
        <f>IF(Q921="P",0,IFNA(VLOOKUP(IF(C921="","(none)",C921),Hitter_Secondary_Coef!$A:$B,2,FALSE),0))</f>
        <v/>
      </c>
      <c r="Z921">
        <f>IF(Q921="P",IF(ISNUMBER(SEARCH("2F",H921)),IFNA(VLOOKUP("2F",Pitch_Coef!$A:$B,2,FALSE),0),0)+IF(ISNUMBER(SEARCH("4F",H921)),IFNA(VLOOKUP("4F",Pitch_Coef!$A:$B,2,FALSE),0),0)+IF(ISNUMBER(SEARCH("CB",H921)),IFNA(VLOOKUP("CB",Pitch_Coef!$A:$B,2,FALSE),0),0)+IF(ISNUMBER(SEARCH("CF",H921)),IFNA(VLOOKUP("CF",Pitch_Coef!$A:$B,2,FALSE),0),0)+IF(ISNUMBER(SEARCH("CH",H921)),IFNA(VLOOKUP("CH",Pitch_Coef!$A:$B,2,FALSE),0),0)+IF(ISNUMBER(SEARCH("FK",H921)),IFNA(VLOOKUP("FK",Pitch_Coef!$A:$B,2,FALSE),0),0)+IF(ISNUMBER(SEARCH("SB",H921)),IFNA(VLOOKUP("SB",Pitch_Coef!$A:$B,2,FALSE),0),0)+IF(ISNUMBER(SEARCH("SL",H921)),IFNA(VLOOKUP("SL",Pitch_Coef!$A:$B,2,FALSE),0),0),0)</f>
        <v/>
      </c>
      <c r="AA921">
        <f>IF(Q921="P",16.5944849573+0.2529999141*N921+0.2665900378*O921+0.2632687105*P921+0.0427586837*I921+0.0534777057*J921+0.009015832*K921+0.0204898106*(O921*P921/100)+1.0091022427*U921+1.0968542297*IF(D921="L",1,0)+0.3771555045*IF(D921="S",1,0)-0.2226159177*IF(E921="L",1,0)+1.21385024*R921-1.1652812274*S921+W921+X921+Z921,10.5965166711+0.2825983581*I921+0.2806503532*J921+0.2027213083*K921+0.1147824982*L921+0.0915305332*M921-0.0088454122*(I921*J921/100)-0.0336045706*(K921*L921/100)+2.8497389733*IF(D921="L",1,0)+4.5116226727*IF(D921="S",1,0)-0.6571546448*IF(E921="L",1,0)+0.0850728147*T921+0.0129488446*(T921*T921)+0.1909373936*IF(OR(F921="Utility",G921="Utility"),T921,0)+0.9656824071*R921-1.7517683256*S921+W921+X921+Y921)</f>
        <v/>
      </c>
      <c r="AB921">
        <f>LOOKUP(AA921,Grade_Scale!$A$2:$A$18,Grade_Scale!$B$2:$B$18)</f>
        <v/>
      </c>
      <c r="AC921">
        <f>LOOKUP(AA921,Grade_Scale!$A$2:$A$18,Grade_Scale!$C$2:$C$18)</f>
        <v/>
      </c>
      <c r="AE921">
        <f>IF(AD921="","",AB921-VLOOKUP(AD921,Grade_Scale!$C$2:$E$18,3,FALSE))</f>
        <v/>
      </c>
    </row>
    <row r="922">
      <c r="Q922">
        <f>IF(OR(B922="SP",B922="RP",B922="CP",B922="SP/RP"),"P","H")</f>
        <v/>
      </c>
      <c r="R922">
        <f>IF(F922="",0,IFNA(VLOOKUP(F922,Trait_Polarity!$A:$C,2,FALSE),0))+IF(G922="",0,IFNA(VLOOKUP(G922,Trait_Polarity!$A:$C,2,FALSE),0))</f>
        <v/>
      </c>
      <c r="S922">
        <f>IF(F922="",0,IFNA(VLOOKUP(F922,Trait_Polarity!$A:$C,3,FALSE),0))+IF(G922="",0,IFNA(VLOOKUP(G922,Trait_Polarity!$A:$C,3,FALSE),0))</f>
        <v/>
      </c>
      <c r="T922">
        <f>IF(Q922="P",0,IFNA(VLOOKUP(IF(C922="","(none)",C922),Secondary_Versatility!$A:$B,2,FALSE),0))</f>
        <v/>
      </c>
      <c r="U922">
        <f>IF(H922="",0,LEN(H922)-LEN(SUBSTITUTE(H922,"|",""))+1)</f>
        <v/>
      </c>
      <c r="V922">
        <f>IF(Q922="P",(N922+O922+P922)/3,0.3*I922+0.3*J922+0.2*K922+0.1*L922+0.1*M922)</f>
        <v/>
      </c>
      <c r="W922">
        <f>IF(Q922="P",IF(F922="",0,IFNA(VLOOKUP(F922,Pitcher_Trait_Coef!$A:$B,2,FALSE),0))+IF(G922="",0,IFNA(VLOOKUP(G922,Pitcher_Trait_Coef!$A:$B,2,FALSE),0)),IF(F922="",0,IFNA(VLOOKUP(F922,Hitter_Trait_Coef!$A:$B,2,FALSE),0))+IF(G922="",0,IFNA(VLOOKUP(G922,Hitter_Trait_Coef!$A:$B,2,FALSE),0)))</f>
        <v/>
      </c>
      <c r="X922">
        <f>IF(Q922="P",IFNA(VLOOKUP(B922,Pitcher_Primary_Coef!$A:$B,2,FALSE),0),IFNA(VLOOKUP(B922,Hitter_Primary_Coef!$A:$B,2,FALSE),0))</f>
        <v/>
      </c>
      <c r="Y922">
        <f>IF(Q922="P",0,IFNA(VLOOKUP(IF(C922="","(none)",C922),Hitter_Secondary_Coef!$A:$B,2,FALSE),0))</f>
        <v/>
      </c>
      <c r="Z922">
        <f>IF(Q922="P",IF(ISNUMBER(SEARCH("2F",H922)),IFNA(VLOOKUP("2F",Pitch_Coef!$A:$B,2,FALSE),0),0)+IF(ISNUMBER(SEARCH("4F",H922)),IFNA(VLOOKUP("4F",Pitch_Coef!$A:$B,2,FALSE),0),0)+IF(ISNUMBER(SEARCH("CB",H922)),IFNA(VLOOKUP("CB",Pitch_Coef!$A:$B,2,FALSE),0),0)+IF(ISNUMBER(SEARCH("CF",H922)),IFNA(VLOOKUP("CF",Pitch_Coef!$A:$B,2,FALSE),0),0)+IF(ISNUMBER(SEARCH("CH",H922)),IFNA(VLOOKUP("CH",Pitch_Coef!$A:$B,2,FALSE),0),0)+IF(ISNUMBER(SEARCH("FK",H922)),IFNA(VLOOKUP("FK",Pitch_Coef!$A:$B,2,FALSE),0),0)+IF(ISNUMBER(SEARCH("SB",H922)),IFNA(VLOOKUP("SB",Pitch_Coef!$A:$B,2,FALSE),0),0)+IF(ISNUMBER(SEARCH("SL",H922)),IFNA(VLOOKUP("SL",Pitch_Coef!$A:$B,2,FALSE),0),0),0)</f>
        <v/>
      </c>
      <c r="AA922">
        <f>IF(Q922="P",16.5944849573+0.2529999141*N922+0.2665900378*O922+0.2632687105*P922+0.0427586837*I922+0.0534777057*J922+0.009015832*K922+0.0204898106*(O922*P922/100)+1.0091022427*U922+1.0968542297*IF(D922="L",1,0)+0.3771555045*IF(D922="S",1,0)-0.2226159177*IF(E922="L",1,0)+1.21385024*R922-1.1652812274*S922+W922+X922+Z922,10.5965166711+0.2825983581*I922+0.2806503532*J922+0.2027213083*K922+0.1147824982*L922+0.0915305332*M922-0.0088454122*(I922*J922/100)-0.0336045706*(K922*L922/100)+2.8497389733*IF(D922="L",1,0)+4.5116226727*IF(D922="S",1,0)-0.6571546448*IF(E922="L",1,0)+0.0850728147*T922+0.0129488446*(T922*T922)+0.1909373936*IF(OR(F922="Utility",G922="Utility"),T922,0)+0.9656824071*R922-1.7517683256*S922+W922+X922+Y922)</f>
        <v/>
      </c>
      <c r="AB922">
        <f>LOOKUP(AA922,Grade_Scale!$A$2:$A$18,Grade_Scale!$B$2:$B$18)</f>
        <v/>
      </c>
      <c r="AC922">
        <f>LOOKUP(AA922,Grade_Scale!$A$2:$A$18,Grade_Scale!$C$2:$C$18)</f>
        <v/>
      </c>
      <c r="AE922">
        <f>IF(AD922="","",AB922-VLOOKUP(AD922,Grade_Scale!$C$2:$E$18,3,FALSE))</f>
        <v/>
      </c>
    </row>
    <row r="923">
      <c r="Q923">
        <f>IF(OR(B923="SP",B923="RP",B923="CP",B923="SP/RP"),"P","H")</f>
        <v/>
      </c>
      <c r="R923">
        <f>IF(F923="",0,IFNA(VLOOKUP(F923,Trait_Polarity!$A:$C,2,FALSE),0))+IF(G923="",0,IFNA(VLOOKUP(G923,Trait_Polarity!$A:$C,2,FALSE),0))</f>
        <v/>
      </c>
      <c r="S923">
        <f>IF(F923="",0,IFNA(VLOOKUP(F923,Trait_Polarity!$A:$C,3,FALSE),0))+IF(G923="",0,IFNA(VLOOKUP(G923,Trait_Polarity!$A:$C,3,FALSE),0))</f>
        <v/>
      </c>
      <c r="T923">
        <f>IF(Q923="P",0,IFNA(VLOOKUP(IF(C923="","(none)",C923),Secondary_Versatility!$A:$B,2,FALSE),0))</f>
        <v/>
      </c>
      <c r="U923">
        <f>IF(H923="",0,LEN(H923)-LEN(SUBSTITUTE(H923,"|",""))+1)</f>
        <v/>
      </c>
      <c r="V923">
        <f>IF(Q923="P",(N923+O923+P923)/3,0.3*I923+0.3*J923+0.2*K923+0.1*L923+0.1*M923)</f>
        <v/>
      </c>
      <c r="W923">
        <f>IF(Q923="P",IF(F923="",0,IFNA(VLOOKUP(F923,Pitcher_Trait_Coef!$A:$B,2,FALSE),0))+IF(G923="",0,IFNA(VLOOKUP(G923,Pitcher_Trait_Coef!$A:$B,2,FALSE),0)),IF(F923="",0,IFNA(VLOOKUP(F923,Hitter_Trait_Coef!$A:$B,2,FALSE),0))+IF(G923="",0,IFNA(VLOOKUP(G923,Hitter_Trait_Coef!$A:$B,2,FALSE),0)))</f>
        <v/>
      </c>
      <c r="X923">
        <f>IF(Q923="P",IFNA(VLOOKUP(B923,Pitcher_Primary_Coef!$A:$B,2,FALSE),0),IFNA(VLOOKUP(B923,Hitter_Primary_Coef!$A:$B,2,FALSE),0))</f>
        <v/>
      </c>
      <c r="Y923">
        <f>IF(Q923="P",0,IFNA(VLOOKUP(IF(C923="","(none)",C923),Hitter_Secondary_Coef!$A:$B,2,FALSE),0))</f>
        <v/>
      </c>
      <c r="Z923">
        <f>IF(Q923="P",IF(ISNUMBER(SEARCH("2F",H923)),IFNA(VLOOKUP("2F",Pitch_Coef!$A:$B,2,FALSE),0),0)+IF(ISNUMBER(SEARCH("4F",H923)),IFNA(VLOOKUP("4F",Pitch_Coef!$A:$B,2,FALSE),0),0)+IF(ISNUMBER(SEARCH("CB",H923)),IFNA(VLOOKUP("CB",Pitch_Coef!$A:$B,2,FALSE),0),0)+IF(ISNUMBER(SEARCH("CF",H923)),IFNA(VLOOKUP("CF",Pitch_Coef!$A:$B,2,FALSE),0),0)+IF(ISNUMBER(SEARCH("CH",H923)),IFNA(VLOOKUP("CH",Pitch_Coef!$A:$B,2,FALSE),0),0)+IF(ISNUMBER(SEARCH("FK",H923)),IFNA(VLOOKUP("FK",Pitch_Coef!$A:$B,2,FALSE),0),0)+IF(ISNUMBER(SEARCH("SB",H923)),IFNA(VLOOKUP("SB",Pitch_Coef!$A:$B,2,FALSE),0),0)+IF(ISNUMBER(SEARCH("SL",H923)),IFNA(VLOOKUP("SL",Pitch_Coef!$A:$B,2,FALSE),0),0),0)</f>
        <v/>
      </c>
      <c r="AA923">
        <f>IF(Q923="P",16.5944849573+0.2529999141*N923+0.2665900378*O923+0.2632687105*P923+0.0427586837*I923+0.0534777057*J923+0.009015832*K923+0.0204898106*(O923*P923/100)+1.0091022427*U923+1.0968542297*IF(D923="L",1,0)+0.3771555045*IF(D923="S",1,0)-0.2226159177*IF(E923="L",1,0)+1.21385024*R923-1.1652812274*S923+W923+X923+Z923,10.5965166711+0.2825983581*I923+0.2806503532*J923+0.2027213083*K923+0.1147824982*L923+0.0915305332*M923-0.0088454122*(I923*J923/100)-0.0336045706*(K923*L923/100)+2.8497389733*IF(D923="L",1,0)+4.5116226727*IF(D923="S",1,0)-0.6571546448*IF(E923="L",1,0)+0.0850728147*T923+0.0129488446*(T923*T923)+0.1909373936*IF(OR(F923="Utility",G923="Utility"),T923,0)+0.9656824071*R923-1.7517683256*S923+W923+X923+Y923)</f>
        <v/>
      </c>
      <c r="AB923">
        <f>LOOKUP(AA923,Grade_Scale!$A$2:$A$18,Grade_Scale!$B$2:$B$18)</f>
        <v/>
      </c>
      <c r="AC923">
        <f>LOOKUP(AA923,Grade_Scale!$A$2:$A$18,Grade_Scale!$C$2:$C$18)</f>
        <v/>
      </c>
      <c r="AE923">
        <f>IF(AD923="","",AB923-VLOOKUP(AD923,Grade_Scale!$C$2:$E$18,3,FALSE))</f>
        <v/>
      </c>
    </row>
    <row r="924">
      <c r="Q924">
        <f>IF(OR(B924="SP",B924="RP",B924="CP",B924="SP/RP"),"P","H")</f>
        <v/>
      </c>
      <c r="R924">
        <f>IF(F924="",0,IFNA(VLOOKUP(F924,Trait_Polarity!$A:$C,2,FALSE),0))+IF(G924="",0,IFNA(VLOOKUP(G924,Trait_Polarity!$A:$C,2,FALSE),0))</f>
        <v/>
      </c>
      <c r="S924">
        <f>IF(F924="",0,IFNA(VLOOKUP(F924,Trait_Polarity!$A:$C,3,FALSE),0))+IF(G924="",0,IFNA(VLOOKUP(G924,Trait_Polarity!$A:$C,3,FALSE),0))</f>
        <v/>
      </c>
      <c r="T924">
        <f>IF(Q924="P",0,IFNA(VLOOKUP(IF(C924="","(none)",C924),Secondary_Versatility!$A:$B,2,FALSE),0))</f>
        <v/>
      </c>
      <c r="U924">
        <f>IF(H924="",0,LEN(H924)-LEN(SUBSTITUTE(H924,"|",""))+1)</f>
        <v/>
      </c>
      <c r="V924">
        <f>IF(Q924="P",(N924+O924+P924)/3,0.3*I924+0.3*J924+0.2*K924+0.1*L924+0.1*M924)</f>
        <v/>
      </c>
      <c r="W924">
        <f>IF(Q924="P",IF(F924="",0,IFNA(VLOOKUP(F924,Pitcher_Trait_Coef!$A:$B,2,FALSE),0))+IF(G924="",0,IFNA(VLOOKUP(G924,Pitcher_Trait_Coef!$A:$B,2,FALSE),0)),IF(F924="",0,IFNA(VLOOKUP(F924,Hitter_Trait_Coef!$A:$B,2,FALSE),0))+IF(G924="",0,IFNA(VLOOKUP(G924,Hitter_Trait_Coef!$A:$B,2,FALSE),0)))</f>
        <v/>
      </c>
      <c r="X924">
        <f>IF(Q924="P",IFNA(VLOOKUP(B924,Pitcher_Primary_Coef!$A:$B,2,FALSE),0),IFNA(VLOOKUP(B924,Hitter_Primary_Coef!$A:$B,2,FALSE),0))</f>
        <v/>
      </c>
      <c r="Y924">
        <f>IF(Q924="P",0,IFNA(VLOOKUP(IF(C924="","(none)",C924),Hitter_Secondary_Coef!$A:$B,2,FALSE),0))</f>
        <v/>
      </c>
      <c r="Z924">
        <f>IF(Q924="P",IF(ISNUMBER(SEARCH("2F",H924)),IFNA(VLOOKUP("2F",Pitch_Coef!$A:$B,2,FALSE),0),0)+IF(ISNUMBER(SEARCH("4F",H924)),IFNA(VLOOKUP("4F",Pitch_Coef!$A:$B,2,FALSE),0),0)+IF(ISNUMBER(SEARCH("CB",H924)),IFNA(VLOOKUP("CB",Pitch_Coef!$A:$B,2,FALSE),0),0)+IF(ISNUMBER(SEARCH("CF",H924)),IFNA(VLOOKUP("CF",Pitch_Coef!$A:$B,2,FALSE),0),0)+IF(ISNUMBER(SEARCH("CH",H924)),IFNA(VLOOKUP("CH",Pitch_Coef!$A:$B,2,FALSE),0),0)+IF(ISNUMBER(SEARCH("FK",H924)),IFNA(VLOOKUP("FK",Pitch_Coef!$A:$B,2,FALSE),0),0)+IF(ISNUMBER(SEARCH("SB",H924)),IFNA(VLOOKUP("SB",Pitch_Coef!$A:$B,2,FALSE),0),0)+IF(ISNUMBER(SEARCH("SL",H924)),IFNA(VLOOKUP("SL",Pitch_Coef!$A:$B,2,FALSE),0),0),0)</f>
        <v/>
      </c>
      <c r="AA924">
        <f>IF(Q924="P",16.5944849573+0.2529999141*N924+0.2665900378*O924+0.2632687105*P924+0.0427586837*I924+0.0534777057*J924+0.009015832*K924+0.0204898106*(O924*P924/100)+1.0091022427*U924+1.0968542297*IF(D924="L",1,0)+0.3771555045*IF(D924="S",1,0)-0.2226159177*IF(E924="L",1,0)+1.21385024*R924-1.1652812274*S924+W924+X924+Z924,10.5965166711+0.2825983581*I924+0.2806503532*J924+0.2027213083*K924+0.1147824982*L924+0.0915305332*M924-0.0088454122*(I924*J924/100)-0.0336045706*(K924*L924/100)+2.8497389733*IF(D924="L",1,0)+4.5116226727*IF(D924="S",1,0)-0.6571546448*IF(E924="L",1,0)+0.0850728147*T924+0.0129488446*(T924*T924)+0.1909373936*IF(OR(F924="Utility",G924="Utility"),T924,0)+0.9656824071*R924-1.7517683256*S924+W924+X924+Y924)</f>
        <v/>
      </c>
      <c r="AB924">
        <f>LOOKUP(AA924,Grade_Scale!$A$2:$A$18,Grade_Scale!$B$2:$B$18)</f>
        <v/>
      </c>
      <c r="AC924">
        <f>LOOKUP(AA924,Grade_Scale!$A$2:$A$18,Grade_Scale!$C$2:$C$18)</f>
        <v/>
      </c>
      <c r="AE924">
        <f>IF(AD924="","",AB924-VLOOKUP(AD924,Grade_Scale!$C$2:$E$18,3,FALSE))</f>
        <v/>
      </c>
    </row>
    <row r="925">
      <c r="Q925">
        <f>IF(OR(B925="SP",B925="RP",B925="CP",B925="SP/RP"),"P","H")</f>
        <v/>
      </c>
      <c r="R925">
        <f>IF(F925="",0,IFNA(VLOOKUP(F925,Trait_Polarity!$A:$C,2,FALSE),0))+IF(G925="",0,IFNA(VLOOKUP(G925,Trait_Polarity!$A:$C,2,FALSE),0))</f>
        <v/>
      </c>
      <c r="S925">
        <f>IF(F925="",0,IFNA(VLOOKUP(F925,Trait_Polarity!$A:$C,3,FALSE),0))+IF(G925="",0,IFNA(VLOOKUP(G925,Trait_Polarity!$A:$C,3,FALSE),0))</f>
        <v/>
      </c>
      <c r="T925">
        <f>IF(Q925="P",0,IFNA(VLOOKUP(IF(C925="","(none)",C925),Secondary_Versatility!$A:$B,2,FALSE),0))</f>
        <v/>
      </c>
      <c r="U925">
        <f>IF(H925="",0,LEN(H925)-LEN(SUBSTITUTE(H925,"|",""))+1)</f>
        <v/>
      </c>
      <c r="V925">
        <f>IF(Q925="P",(N925+O925+P925)/3,0.3*I925+0.3*J925+0.2*K925+0.1*L925+0.1*M925)</f>
        <v/>
      </c>
      <c r="W925">
        <f>IF(Q925="P",IF(F925="",0,IFNA(VLOOKUP(F925,Pitcher_Trait_Coef!$A:$B,2,FALSE),0))+IF(G925="",0,IFNA(VLOOKUP(G925,Pitcher_Trait_Coef!$A:$B,2,FALSE),0)),IF(F925="",0,IFNA(VLOOKUP(F925,Hitter_Trait_Coef!$A:$B,2,FALSE),0))+IF(G925="",0,IFNA(VLOOKUP(G925,Hitter_Trait_Coef!$A:$B,2,FALSE),0)))</f>
        <v/>
      </c>
      <c r="X925">
        <f>IF(Q925="P",IFNA(VLOOKUP(B925,Pitcher_Primary_Coef!$A:$B,2,FALSE),0),IFNA(VLOOKUP(B925,Hitter_Primary_Coef!$A:$B,2,FALSE),0))</f>
        <v/>
      </c>
      <c r="Y925">
        <f>IF(Q925="P",0,IFNA(VLOOKUP(IF(C925="","(none)",C925),Hitter_Secondary_Coef!$A:$B,2,FALSE),0))</f>
        <v/>
      </c>
      <c r="Z925">
        <f>IF(Q925="P",IF(ISNUMBER(SEARCH("2F",H925)),IFNA(VLOOKUP("2F",Pitch_Coef!$A:$B,2,FALSE),0),0)+IF(ISNUMBER(SEARCH("4F",H925)),IFNA(VLOOKUP("4F",Pitch_Coef!$A:$B,2,FALSE),0),0)+IF(ISNUMBER(SEARCH("CB",H925)),IFNA(VLOOKUP("CB",Pitch_Coef!$A:$B,2,FALSE),0),0)+IF(ISNUMBER(SEARCH("CF",H925)),IFNA(VLOOKUP("CF",Pitch_Coef!$A:$B,2,FALSE),0),0)+IF(ISNUMBER(SEARCH("CH",H925)),IFNA(VLOOKUP("CH",Pitch_Coef!$A:$B,2,FALSE),0),0)+IF(ISNUMBER(SEARCH("FK",H925)),IFNA(VLOOKUP("FK",Pitch_Coef!$A:$B,2,FALSE),0),0)+IF(ISNUMBER(SEARCH("SB",H925)),IFNA(VLOOKUP("SB",Pitch_Coef!$A:$B,2,FALSE),0),0)+IF(ISNUMBER(SEARCH("SL",H925)),IFNA(VLOOKUP("SL",Pitch_Coef!$A:$B,2,FALSE),0),0),0)</f>
        <v/>
      </c>
      <c r="AA925">
        <f>IF(Q925="P",16.5944849573+0.2529999141*N925+0.2665900378*O925+0.2632687105*P925+0.0427586837*I925+0.0534777057*J925+0.009015832*K925+0.0204898106*(O925*P925/100)+1.0091022427*U925+1.0968542297*IF(D925="L",1,0)+0.3771555045*IF(D925="S",1,0)-0.2226159177*IF(E925="L",1,0)+1.21385024*R925-1.1652812274*S925+W925+X925+Z925,10.5965166711+0.2825983581*I925+0.2806503532*J925+0.2027213083*K925+0.1147824982*L925+0.0915305332*M925-0.0088454122*(I925*J925/100)-0.0336045706*(K925*L925/100)+2.8497389733*IF(D925="L",1,0)+4.5116226727*IF(D925="S",1,0)-0.6571546448*IF(E925="L",1,0)+0.0850728147*T925+0.0129488446*(T925*T925)+0.1909373936*IF(OR(F925="Utility",G925="Utility"),T925,0)+0.9656824071*R925-1.7517683256*S925+W925+X925+Y925)</f>
        <v/>
      </c>
      <c r="AB925">
        <f>LOOKUP(AA925,Grade_Scale!$A$2:$A$18,Grade_Scale!$B$2:$B$18)</f>
        <v/>
      </c>
      <c r="AC925">
        <f>LOOKUP(AA925,Grade_Scale!$A$2:$A$18,Grade_Scale!$C$2:$C$18)</f>
        <v/>
      </c>
      <c r="AE925">
        <f>IF(AD925="","",AB925-VLOOKUP(AD925,Grade_Scale!$C$2:$E$18,3,FALSE))</f>
        <v/>
      </c>
    </row>
    <row r="926">
      <c r="Q926">
        <f>IF(OR(B926="SP",B926="RP",B926="CP",B926="SP/RP"),"P","H")</f>
        <v/>
      </c>
      <c r="R926">
        <f>IF(F926="",0,IFNA(VLOOKUP(F926,Trait_Polarity!$A:$C,2,FALSE),0))+IF(G926="",0,IFNA(VLOOKUP(G926,Trait_Polarity!$A:$C,2,FALSE),0))</f>
        <v/>
      </c>
      <c r="S926">
        <f>IF(F926="",0,IFNA(VLOOKUP(F926,Trait_Polarity!$A:$C,3,FALSE),0))+IF(G926="",0,IFNA(VLOOKUP(G926,Trait_Polarity!$A:$C,3,FALSE),0))</f>
        <v/>
      </c>
      <c r="T926">
        <f>IF(Q926="P",0,IFNA(VLOOKUP(IF(C926="","(none)",C926),Secondary_Versatility!$A:$B,2,FALSE),0))</f>
        <v/>
      </c>
      <c r="U926">
        <f>IF(H926="",0,LEN(H926)-LEN(SUBSTITUTE(H926,"|",""))+1)</f>
        <v/>
      </c>
      <c r="V926">
        <f>IF(Q926="P",(N926+O926+P926)/3,0.3*I926+0.3*J926+0.2*K926+0.1*L926+0.1*M926)</f>
        <v/>
      </c>
      <c r="W926">
        <f>IF(Q926="P",IF(F926="",0,IFNA(VLOOKUP(F926,Pitcher_Trait_Coef!$A:$B,2,FALSE),0))+IF(G926="",0,IFNA(VLOOKUP(G926,Pitcher_Trait_Coef!$A:$B,2,FALSE),0)),IF(F926="",0,IFNA(VLOOKUP(F926,Hitter_Trait_Coef!$A:$B,2,FALSE),0))+IF(G926="",0,IFNA(VLOOKUP(G926,Hitter_Trait_Coef!$A:$B,2,FALSE),0)))</f>
        <v/>
      </c>
      <c r="X926">
        <f>IF(Q926="P",IFNA(VLOOKUP(B926,Pitcher_Primary_Coef!$A:$B,2,FALSE),0),IFNA(VLOOKUP(B926,Hitter_Primary_Coef!$A:$B,2,FALSE),0))</f>
        <v/>
      </c>
      <c r="Y926">
        <f>IF(Q926="P",0,IFNA(VLOOKUP(IF(C926="","(none)",C926),Hitter_Secondary_Coef!$A:$B,2,FALSE),0))</f>
        <v/>
      </c>
      <c r="Z926">
        <f>IF(Q926="P",IF(ISNUMBER(SEARCH("2F",H926)),IFNA(VLOOKUP("2F",Pitch_Coef!$A:$B,2,FALSE),0),0)+IF(ISNUMBER(SEARCH("4F",H926)),IFNA(VLOOKUP("4F",Pitch_Coef!$A:$B,2,FALSE),0),0)+IF(ISNUMBER(SEARCH("CB",H926)),IFNA(VLOOKUP("CB",Pitch_Coef!$A:$B,2,FALSE),0),0)+IF(ISNUMBER(SEARCH("CF",H926)),IFNA(VLOOKUP("CF",Pitch_Coef!$A:$B,2,FALSE),0),0)+IF(ISNUMBER(SEARCH("CH",H926)),IFNA(VLOOKUP("CH",Pitch_Coef!$A:$B,2,FALSE),0),0)+IF(ISNUMBER(SEARCH("FK",H926)),IFNA(VLOOKUP("FK",Pitch_Coef!$A:$B,2,FALSE),0),0)+IF(ISNUMBER(SEARCH("SB",H926)),IFNA(VLOOKUP("SB",Pitch_Coef!$A:$B,2,FALSE),0),0)+IF(ISNUMBER(SEARCH("SL",H926)),IFNA(VLOOKUP("SL",Pitch_Coef!$A:$B,2,FALSE),0),0),0)</f>
        <v/>
      </c>
      <c r="AA926">
        <f>IF(Q926="P",16.5944849573+0.2529999141*N926+0.2665900378*O926+0.2632687105*P926+0.0427586837*I926+0.0534777057*J926+0.009015832*K926+0.0204898106*(O926*P926/100)+1.0091022427*U926+1.0968542297*IF(D926="L",1,0)+0.3771555045*IF(D926="S",1,0)-0.2226159177*IF(E926="L",1,0)+1.21385024*R926-1.1652812274*S926+W926+X926+Z926,10.5965166711+0.2825983581*I926+0.2806503532*J926+0.2027213083*K926+0.1147824982*L926+0.0915305332*M926-0.0088454122*(I926*J926/100)-0.0336045706*(K926*L926/100)+2.8497389733*IF(D926="L",1,0)+4.5116226727*IF(D926="S",1,0)-0.6571546448*IF(E926="L",1,0)+0.0850728147*T926+0.0129488446*(T926*T926)+0.1909373936*IF(OR(F926="Utility",G926="Utility"),T926,0)+0.9656824071*R926-1.7517683256*S926+W926+X926+Y926)</f>
        <v/>
      </c>
      <c r="AB926">
        <f>LOOKUP(AA926,Grade_Scale!$A$2:$A$18,Grade_Scale!$B$2:$B$18)</f>
        <v/>
      </c>
      <c r="AC926">
        <f>LOOKUP(AA926,Grade_Scale!$A$2:$A$18,Grade_Scale!$C$2:$C$18)</f>
        <v/>
      </c>
      <c r="AE926">
        <f>IF(AD926="","",AB926-VLOOKUP(AD926,Grade_Scale!$C$2:$E$18,3,FALSE))</f>
        <v/>
      </c>
    </row>
    <row r="927">
      <c r="Q927">
        <f>IF(OR(B927="SP",B927="RP",B927="CP",B927="SP/RP"),"P","H")</f>
        <v/>
      </c>
      <c r="R927">
        <f>IF(F927="",0,IFNA(VLOOKUP(F927,Trait_Polarity!$A:$C,2,FALSE),0))+IF(G927="",0,IFNA(VLOOKUP(G927,Trait_Polarity!$A:$C,2,FALSE),0))</f>
        <v/>
      </c>
      <c r="S927">
        <f>IF(F927="",0,IFNA(VLOOKUP(F927,Trait_Polarity!$A:$C,3,FALSE),0))+IF(G927="",0,IFNA(VLOOKUP(G927,Trait_Polarity!$A:$C,3,FALSE),0))</f>
        <v/>
      </c>
      <c r="T927">
        <f>IF(Q927="P",0,IFNA(VLOOKUP(IF(C927="","(none)",C927),Secondary_Versatility!$A:$B,2,FALSE),0))</f>
        <v/>
      </c>
      <c r="U927">
        <f>IF(H927="",0,LEN(H927)-LEN(SUBSTITUTE(H927,"|",""))+1)</f>
        <v/>
      </c>
      <c r="V927">
        <f>IF(Q927="P",(N927+O927+P927)/3,0.3*I927+0.3*J927+0.2*K927+0.1*L927+0.1*M927)</f>
        <v/>
      </c>
      <c r="W927">
        <f>IF(Q927="P",IF(F927="",0,IFNA(VLOOKUP(F927,Pitcher_Trait_Coef!$A:$B,2,FALSE),0))+IF(G927="",0,IFNA(VLOOKUP(G927,Pitcher_Trait_Coef!$A:$B,2,FALSE),0)),IF(F927="",0,IFNA(VLOOKUP(F927,Hitter_Trait_Coef!$A:$B,2,FALSE),0))+IF(G927="",0,IFNA(VLOOKUP(G927,Hitter_Trait_Coef!$A:$B,2,FALSE),0)))</f>
        <v/>
      </c>
      <c r="X927">
        <f>IF(Q927="P",IFNA(VLOOKUP(B927,Pitcher_Primary_Coef!$A:$B,2,FALSE),0),IFNA(VLOOKUP(B927,Hitter_Primary_Coef!$A:$B,2,FALSE),0))</f>
        <v/>
      </c>
      <c r="Y927">
        <f>IF(Q927="P",0,IFNA(VLOOKUP(IF(C927="","(none)",C927),Hitter_Secondary_Coef!$A:$B,2,FALSE),0))</f>
        <v/>
      </c>
      <c r="Z927">
        <f>IF(Q927="P",IF(ISNUMBER(SEARCH("2F",H927)),IFNA(VLOOKUP("2F",Pitch_Coef!$A:$B,2,FALSE),0),0)+IF(ISNUMBER(SEARCH("4F",H927)),IFNA(VLOOKUP("4F",Pitch_Coef!$A:$B,2,FALSE),0),0)+IF(ISNUMBER(SEARCH("CB",H927)),IFNA(VLOOKUP("CB",Pitch_Coef!$A:$B,2,FALSE),0),0)+IF(ISNUMBER(SEARCH("CF",H927)),IFNA(VLOOKUP("CF",Pitch_Coef!$A:$B,2,FALSE),0),0)+IF(ISNUMBER(SEARCH("CH",H927)),IFNA(VLOOKUP("CH",Pitch_Coef!$A:$B,2,FALSE),0),0)+IF(ISNUMBER(SEARCH("FK",H927)),IFNA(VLOOKUP("FK",Pitch_Coef!$A:$B,2,FALSE),0),0)+IF(ISNUMBER(SEARCH("SB",H927)),IFNA(VLOOKUP("SB",Pitch_Coef!$A:$B,2,FALSE),0),0)+IF(ISNUMBER(SEARCH("SL",H927)),IFNA(VLOOKUP("SL",Pitch_Coef!$A:$B,2,FALSE),0),0),0)</f>
        <v/>
      </c>
      <c r="AA927">
        <f>IF(Q927="P",16.5944849573+0.2529999141*N927+0.2665900378*O927+0.2632687105*P927+0.0427586837*I927+0.0534777057*J927+0.009015832*K927+0.0204898106*(O927*P927/100)+1.0091022427*U927+1.0968542297*IF(D927="L",1,0)+0.3771555045*IF(D927="S",1,0)-0.2226159177*IF(E927="L",1,0)+1.21385024*R927-1.1652812274*S927+W927+X927+Z927,10.5965166711+0.2825983581*I927+0.2806503532*J927+0.2027213083*K927+0.1147824982*L927+0.0915305332*M927-0.0088454122*(I927*J927/100)-0.0336045706*(K927*L927/100)+2.8497389733*IF(D927="L",1,0)+4.5116226727*IF(D927="S",1,0)-0.6571546448*IF(E927="L",1,0)+0.0850728147*T927+0.0129488446*(T927*T927)+0.1909373936*IF(OR(F927="Utility",G927="Utility"),T927,0)+0.9656824071*R927-1.7517683256*S927+W927+X927+Y927)</f>
        <v/>
      </c>
      <c r="AB927">
        <f>LOOKUP(AA927,Grade_Scale!$A$2:$A$18,Grade_Scale!$B$2:$B$18)</f>
        <v/>
      </c>
      <c r="AC927">
        <f>LOOKUP(AA927,Grade_Scale!$A$2:$A$18,Grade_Scale!$C$2:$C$18)</f>
        <v/>
      </c>
      <c r="AE927">
        <f>IF(AD927="","",AB927-VLOOKUP(AD927,Grade_Scale!$C$2:$E$18,3,FALSE))</f>
        <v/>
      </c>
    </row>
    <row r="928">
      <c r="Q928">
        <f>IF(OR(B928="SP",B928="RP",B928="CP",B928="SP/RP"),"P","H")</f>
        <v/>
      </c>
      <c r="R928">
        <f>IF(F928="",0,IFNA(VLOOKUP(F928,Trait_Polarity!$A:$C,2,FALSE),0))+IF(G928="",0,IFNA(VLOOKUP(G928,Trait_Polarity!$A:$C,2,FALSE),0))</f>
        <v/>
      </c>
      <c r="S928">
        <f>IF(F928="",0,IFNA(VLOOKUP(F928,Trait_Polarity!$A:$C,3,FALSE),0))+IF(G928="",0,IFNA(VLOOKUP(G928,Trait_Polarity!$A:$C,3,FALSE),0))</f>
        <v/>
      </c>
      <c r="T928">
        <f>IF(Q928="P",0,IFNA(VLOOKUP(IF(C928="","(none)",C928),Secondary_Versatility!$A:$B,2,FALSE),0))</f>
        <v/>
      </c>
      <c r="U928">
        <f>IF(H928="",0,LEN(H928)-LEN(SUBSTITUTE(H928,"|",""))+1)</f>
        <v/>
      </c>
      <c r="V928">
        <f>IF(Q928="P",(N928+O928+P928)/3,0.3*I928+0.3*J928+0.2*K928+0.1*L928+0.1*M928)</f>
        <v/>
      </c>
      <c r="W928">
        <f>IF(Q928="P",IF(F928="",0,IFNA(VLOOKUP(F928,Pitcher_Trait_Coef!$A:$B,2,FALSE),0))+IF(G928="",0,IFNA(VLOOKUP(G928,Pitcher_Trait_Coef!$A:$B,2,FALSE),0)),IF(F928="",0,IFNA(VLOOKUP(F928,Hitter_Trait_Coef!$A:$B,2,FALSE),0))+IF(G928="",0,IFNA(VLOOKUP(G928,Hitter_Trait_Coef!$A:$B,2,FALSE),0)))</f>
        <v/>
      </c>
      <c r="X928">
        <f>IF(Q928="P",IFNA(VLOOKUP(B928,Pitcher_Primary_Coef!$A:$B,2,FALSE),0),IFNA(VLOOKUP(B928,Hitter_Primary_Coef!$A:$B,2,FALSE),0))</f>
        <v/>
      </c>
      <c r="Y928">
        <f>IF(Q928="P",0,IFNA(VLOOKUP(IF(C928="","(none)",C928),Hitter_Secondary_Coef!$A:$B,2,FALSE),0))</f>
        <v/>
      </c>
      <c r="Z928">
        <f>IF(Q928="P",IF(ISNUMBER(SEARCH("2F",H928)),IFNA(VLOOKUP("2F",Pitch_Coef!$A:$B,2,FALSE),0),0)+IF(ISNUMBER(SEARCH("4F",H928)),IFNA(VLOOKUP("4F",Pitch_Coef!$A:$B,2,FALSE),0),0)+IF(ISNUMBER(SEARCH("CB",H928)),IFNA(VLOOKUP("CB",Pitch_Coef!$A:$B,2,FALSE),0),0)+IF(ISNUMBER(SEARCH("CF",H928)),IFNA(VLOOKUP("CF",Pitch_Coef!$A:$B,2,FALSE),0),0)+IF(ISNUMBER(SEARCH("CH",H928)),IFNA(VLOOKUP("CH",Pitch_Coef!$A:$B,2,FALSE),0),0)+IF(ISNUMBER(SEARCH("FK",H928)),IFNA(VLOOKUP("FK",Pitch_Coef!$A:$B,2,FALSE),0),0)+IF(ISNUMBER(SEARCH("SB",H928)),IFNA(VLOOKUP("SB",Pitch_Coef!$A:$B,2,FALSE),0),0)+IF(ISNUMBER(SEARCH("SL",H928)),IFNA(VLOOKUP("SL",Pitch_Coef!$A:$B,2,FALSE),0),0),0)</f>
        <v/>
      </c>
      <c r="AA928">
        <f>IF(Q928="P",16.5944849573+0.2529999141*N928+0.2665900378*O928+0.2632687105*P928+0.0427586837*I928+0.0534777057*J928+0.009015832*K928+0.0204898106*(O928*P928/100)+1.0091022427*U928+1.0968542297*IF(D928="L",1,0)+0.3771555045*IF(D928="S",1,0)-0.2226159177*IF(E928="L",1,0)+1.21385024*R928-1.1652812274*S928+W928+X928+Z928,10.5965166711+0.2825983581*I928+0.2806503532*J928+0.2027213083*K928+0.1147824982*L928+0.0915305332*M928-0.0088454122*(I928*J928/100)-0.0336045706*(K928*L928/100)+2.8497389733*IF(D928="L",1,0)+4.5116226727*IF(D928="S",1,0)-0.6571546448*IF(E928="L",1,0)+0.0850728147*T928+0.0129488446*(T928*T928)+0.1909373936*IF(OR(F928="Utility",G928="Utility"),T928,0)+0.9656824071*R928-1.7517683256*S928+W928+X928+Y928)</f>
        <v/>
      </c>
      <c r="AB928">
        <f>LOOKUP(AA928,Grade_Scale!$A$2:$A$18,Grade_Scale!$B$2:$B$18)</f>
        <v/>
      </c>
      <c r="AC928">
        <f>LOOKUP(AA928,Grade_Scale!$A$2:$A$18,Grade_Scale!$C$2:$C$18)</f>
        <v/>
      </c>
      <c r="AE928">
        <f>IF(AD928="","",AB928-VLOOKUP(AD928,Grade_Scale!$C$2:$E$18,3,FALSE))</f>
        <v/>
      </c>
    </row>
    <row r="929">
      <c r="Q929">
        <f>IF(OR(B929="SP",B929="RP",B929="CP",B929="SP/RP"),"P","H")</f>
        <v/>
      </c>
      <c r="R929">
        <f>IF(F929="",0,IFNA(VLOOKUP(F929,Trait_Polarity!$A:$C,2,FALSE),0))+IF(G929="",0,IFNA(VLOOKUP(G929,Trait_Polarity!$A:$C,2,FALSE),0))</f>
        <v/>
      </c>
      <c r="S929">
        <f>IF(F929="",0,IFNA(VLOOKUP(F929,Trait_Polarity!$A:$C,3,FALSE),0))+IF(G929="",0,IFNA(VLOOKUP(G929,Trait_Polarity!$A:$C,3,FALSE),0))</f>
        <v/>
      </c>
      <c r="T929">
        <f>IF(Q929="P",0,IFNA(VLOOKUP(IF(C929="","(none)",C929),Secondary_Versatility!$A:$B,2,FALSE),0))</f>
        <v/>
      </c>
      <c r="U929">
        <f>IF(H929="",0,LEN(H929)-LEN(SUBSTITUTE(H929,"|",""))+1)</f>
        <v/>
      </c>
      <c r="V929">
        <f>IF(Q929="P",(N929+O929+P929)/3,0.3*I929+0.3*J929+0.2*K929+0.1*L929+0.1*M929)</f>
        <v/>
      </c>
      <c r="W929">
        <f>IF(Q929="P",IF(F929="",0,IFNA(VLOOKUP(F929,Pitcher_Trait_Coef!$A:$B,2,FALSE),0))+IF(G929="",0,IFNA(VLOOKUP(G929,Pitcher_Trait_Coef!$A:$B,2,FALSE),0)),IF(F929="",0,IFNA(VLOOKUP(F929,Hitter_Trait_Coef!$A:$B,2,FALSE),0))+IF(G929="",0,IFNA(VLOOKUP(G929,Hitter_Trait_Coef!$A:$B,2,FALSE),0)))</f>
        <v/>
      </c>
      <c r="X929">
        <f>IF(Q929="P",IFNA(VLOOKUP(B929,Pitcher_Primary_Coef!$A:$B,2,FALSE),0),IFNA(VLOOKUP(B929,Hitter_Primary_Coef!$A:$B,2,FALSE),0))</f>
        <v/>
      </c>
      <c r="Y929">
        <f>IF(Q929="P",0,IFNA(VLOOKUP(IF(C929="","(none)",C929),Hitter_Secondary_Coef!$A:$B,2,FALSE),0))</f>
        <v/>
      </c>
      <c r="Z929">
        <f>IF(Q929="P",IF(ISNUMBER(SEARCH("2F",H929)),IFNA(VLOOKUP("2F",Pitch_Coef!$A:$B,2,FALSE),0),0)+IF(ISNUMBER(SEARCH("4F",H929)),IFNA(VLOOKUP("4F",Pitch_Coef!$A:$B,2,FALSE),0),0)+IF(ISNUMBER(SEARCH("CB",H929)),IFNA(VLOOKUP("CB",Pitch_Coef!$A:$B,2,FALSE),0),0)+IF(ISNUMBER(SEARCH("CF",H929)),IFNA(VLOOKUP("CF",Pitch_Coef!$A:$B,2,FALSE),0),0)+IF(ISNUMBER(SEARCH("CH",H929)),IFNA(VLOOKUP("CH",Pitch_Coef!$A:$B,2,FALSE),0),0)+IF(ISNUMBER(SEARCH("FK",H929)),IFNA(VLOOKUP("FK",Pitch_Coef!$A:$B,2,FALSE),0),0)+IF(ISNUMBER(SEARCH("SB",H929)),IFNA(VLOOKUP("SB",Pitch_Coef!$A:$B,2,FALSE),0),0)+IF(ISNUMBER(SEARCH("SL",H929)),IFNA(VLOOKUP("SL",Pitch_Coef!$A:$B,2,FALSE),0),0),0)</f>
        <v/>
      </c>
      <c r="AA929">
        <f>IF(Q929="P",16.5944849573+0.2529999141*N929+0.2665900378*O929+0.2632687105*P929+0.0427586837*I929+0.0534777057*J929+0.009015832*K929+0.0204898106*(O929*P929/100)+1.0091022427*U929+1.0968542297*IF(D929="L",1,0)+0.3771555045*IF(D929="S",1,0)-0.2226159177*IF(E929="L",1,0)+1.21385024*R929-1.1652812274*S929+W929+X929+Z929,10.5965166711+0.2825983581*I929+0.2806503532*J929+0.2027213083*K929+0.1147824982*L929+0.0915305332*M929-0.0088454122*(I929*J929/100)-0.0336045706*(K929*L929/100)+2.8497389733*IF(D929="L",1,0)+4.5116226727*IF(D929="S",1,0)-0.6571546448*IF(E929="L",1,0)+0.0850728147*T929+0.0129488446*(T929*T929)+0.1909373936*IF(OR(F929="Utility",G929="Utility"),T929,0)+0.9656824071*R929-1.7517683256*S929+W929+X929+Y929)</f>
        <v/>
      </c>
      <c r="AB929">
        <f>LOOKUP(AA929,Grade_Scale!$A$2:$A$18,Grade_Scale!$B$2:$B$18)</f>
        <v/>
      </c>
      <c r="AC929">
        <f>LOOKUP(AA929,Grade_Scale!$A$2:$A$18,Grade_Scale!$C$2:$C$18)</f>
        <v/>
      </c>
      <c r="AE929">
        <f>IF(AD929="","",AB929-VLOOKUP(AD929,Grade_Scale!$C$2:$E$18,3,FALSE))</f>
        <v/>
      </c>
    </row>
    <row r="930">
      <c r="Q930">
        <f>IF(OR(B930="SP",B930="RP",B930="CP",B930="SP/RP"),"P","H")</f>
        <v/>
      </c>
      <c r="R930">
        <f>IF(F930="",0,IFNA(VLOOKUP(F930,Trait_Polarity!$A:$C,2,FALSE),0))+IF(G930="",0,IFNA(VLOOKUP(G930,Trait_Polarity!$A:$C,2,FALSE),0))</f>
        <v/>
      </c>
      <c r="S930">
        <f>IF(F930="",0,IFNA(VLOOKUP(F930,Trait_Polarity!$A:$C,3,FALSE),0))+IF(G930="",0,IFNA(VLOOKUP(G930,Trait_Polarity!$A:$C,3,FALSE),0))</f>
        <v/>
      </c>
      <c r="T930">
        <f>IF(Q930="P",0,IFNA(VLOOKUP(IF(C930="","(none)",C930),Secondary_Versatility!$A:$B,2,FALSE),0))</f>
        <v/>
      </c>
      <c r="U930">
        <f>IF(H930="",0,LEN(H930)-LEN(SUBSTITUTE(H930,"|",""))+1)</f>
        <v/>
      </c>
      <c r="V930">
        <f>IF(Q930="P",(N930+O930+P930)/3,0.3*I930+0.3*J930+0.2*K930+0.1*L930+0.1*M930)</f>
        <v/>
      </c>
      <c r="W930">
        <f>IF(Q930="P",IF(F930="",0,IFNA(VLOOKUP(F930,Pitcher_Trait_Coef!$A:$B,2,FALSE),0))+IF(G930="",0,IFNA(VLOOKUP(G930,Pitcher_Trait_Coef!$A:$B,2,FALSE),0)),IF(F930="",0,IFNA(VLOOKUP(F930,Hitter_Trait_Coef!$A:$B,2,FALSE),0))+IF(G930="",0,IFNA(VLOOKUP(G930,Hitter_Trait_Coef!$A:$B,2,FALSE),0)))</f>
        <v/>
      </c>
      <c r="X930">
        <f>IF(Q930="P",IFNA(VLOOKUP(B930,Pitcher_Primary_Coef!$A:$B,2,FALSE),0),IFNA(VLOOKUP(B930,Hitter_Primary_Coef!$A:$B,2,FALSE),0))</f>
        <v/>
      </c>
      <c r="Y930">
        <f>IF(Q930="P",0,IFNA(VLOOKUP(IF(C930="","(none)",C930),Hitter_Secondary_Coef!$A:$B,2,FALSE),0))</f>
        <v/>
      </c>
      <c r="Z930">
        <f>IF(Q930="P",IF(ISNUMBER(SEARCH("2F",H930)),IFNA(VLOOKUP("2F",Pitch_Coef!$A:$B,2,FALSE),0),0)+IF(ISNUMBER(SEARCH("4F",H930)),IFNA(VLOOKUP("4F",Pitch_Coef!$A:$B,2,FALSE),0),0)+IF(ISNUMBER(SEARCH("CB",H930)),IFNA(VLOOKUP("CB",Pitch_Coef!$A:$B,2,FALSE),0),0)+IF(ISNUMBER(SEARCH("CF",H930)),IFNA(VLOOKUP("CF",Pitch_Coef!$A:$B,2,FALSE),0),0)+IF(ISNUMBER(SEARCH("CH",H930)),IFNA(VLOOKUP("CH",Pitch_Coef!$A:$B,2,FALSE),0),0)+IF(ISNUMBER(SEARCH("FK",H930)),IFNA(VLOOKUP("FK",Pitch_Coef!$A:$B,2,FALSE),0),0)+IF(ISNUMBER(SEARCH("SB",H930)),IFNA(VLOOKUP("SB",Pitch_Coef!$A:$B,2,FALSE),0),0)+IF(ISNUMBER(SEARCH("SL",H930)),IFNA(VLOOKUP("SL",Pitch_Coef!$A:$B,2,FALSE),0),0),0)</f>
        <v/>
      </c>
      <c r="AA930">
        <f>IF(Q930="P",16.5944849573+0.2529999141*N930+0.2665900378*O930+0.2632687105*P930+0.0427586837*I930+0.0534777057*J930+0.009015832*K930+0.0204898106*(O930*P930/100)+1.0091022427*U930+1.0968542297*IF(D930="L",1,0)+0.3771555045*IF(D930="S",1,0)-0.2226159177*IF(E930="L",1,0)+1.21385024*R930-1.1652812274*S930+W930+X930+Z930,10.5965166711+0.2825983581*I930+0.2806503532*J930+0.2027213083*K930+0.1147824982*L930+0.0915305332*M930-0.0088454122*(I930*J930/100)-0.0336045706*(K930*L930/100)+2.8497389733*IF(D930="L",1,0)+4.5116226727*IF(D930="S",1,0)-0.6571546448*IF(E930="L",1,0)+0.0850728147*T930+0.0129488446*(T930*T930)+0.1909373936*IF(OR(F930="Utility",G930="Utility"),T930,0)+0.9656824071*R930-1.7517683256*S930+W930+X930+Y930)</f>
        <v/>
      </c>
      <c r="AB930">
        <f>LOOKUP(AA930,Grade_Scale!$A$2:$A$18,Grade_Scale!$B$2:$B$18)</f>
        <v/>
      </c>
      <c r="AC930">
        <f>LOOKUP(AA930,Grade_Scale!$A$2:$A$18,Grade_Scale!$C$2:$C$18)</f>
        <v/>
      </c>
      <c r="AE930">
        <f>IF(AD930="","",AB930-VLOOKUP(AD930,Grade_Scale!$C$2:$E$18,3,FALSE))</f>
        <v/>
      </c>
    </row>
    <row r="931">
      <c r="Q931">
        <f>IF(OR(B931="SP",B931="RP",B931="CP",B931="SP/RP"),"P","H")</f>
        <v/>
      </c>
      <c r="R931">
        <f>IF(F931="",0,IFNA(VLOOKUP(F931,Trait_Polarity!$A:$C,2,FALSE),0))+IF(G931="",0,IFNA(VLOOKUP(G931,Trait_Polarity!$A:$C,2,FALSE),0))</f>
        <v/>
      </c>
      <c r="S931">
        <f>IF(F931="",0,IFNA(VLOOKUP(F931,Trait_Polarity!$A:$C,3,FALSE),0))+IF(G931="",0,IFNA(VLOOKUP(G931,Trait_Polarity!$A:$C,3,FALSE),0))</f>
        <v/>
      </c>
      <c r="T931">
        <f>IF(Q931="P",0,IFNA(VLOOKUP(IF(C931="","(none)",C931),Secondary_Versatility!$A:$B,2,FALSE),0))</f>
        <v/>
      </c>
      <c r="U931">
        <f>IF(H931="",0,LEN(H931)-LEN(SUBSTITUTE(H931,"|",""))+1)</f>
        <v/>
      </c>
      <c r="V931">
        <f>IF(Q931="P",(N931+O931+P931)/3,0.3*I931+0.3*J931+0.2*K931+0.1*L931+0.1*M931)</f>
        <v/>
      </c>
      <c r="W931">
        <f>IF(Q931="P",IF(F931="",0,IFNA(VLOOKUP(F931,Pitcher_Trait_Coef!$A:$B,2,FALSE),0))+IF(G931="",0,IFNA(VLOOKUP(G931,Pitcher_Trait_Coef!$A:$B,2,FALSE),0)),IF(F931="",0,IFNA(VLOOKUP(F931,Hitter_Trait_Coef!$A:$B,2,FALSE),0))+IF(G931="",0,IFNA(VLOOKUP(G931,Hitter_Trait_Coef!$A:$B,2,FALSE),0)))</f>
        <v/>
      </c>
      <c r="X931">
        <f>IF(Q931="P",IFNA(VLOOKUP(B931,Pitcher_Primary_Coef!$A:$B,2,FALSE),0),IFNA(VLOOKUP(B931,Hitter_Primary_Coef!$A:$B,2,FALSE),0))</f>
        <v/>
      </c>
      <c r="Y931">
        <f>IF(Q931="P",0,IFNA(VLOOKUP(IF(C931="","(none)",C931),Hitter_Secondary_Coef!$A:$B,2,FALSE),0))</f>
        <v/>
      </c>
      <c r="Z931">
        <f>IF(Q931="P",IF(ISNUMBER(SEARCH("2F",H931)),IFNA(VLOOKUP("2F",Pitch_Coef!$A:$B,2,FALSE),0),0)+IF(ISNUMBER(SEARCH("4F",H931)),IFNA(VLOOKUP("4F",Pitch_Coef!$A:$B,2,FALSE),0),0)+IF(ISNUMBER(SEARCH("CB",H931)),IFNA(VLOOKUP("CB",Pitch_Coef!$A:$B,2,FALSE),0),0)+IF(ISNUMBER(SEARCH("CF",H931)),IFNA(VLOOKUP("CF",Pitch_Coef!$A:$B,2,FALSE),0),0)+IF(ISNUMBER(SEARCH("CH",H931)),IFNA(VLOOKUP("CH",Pitch_Coef!$A:$B,2,FALSE),0),0)+IF(ISNUMBER(SEARCH("FK",H931)),IFNA(VLOOKUP("FK",Pitch_Coef!$A:$B,2,FALSE),0),0)+IF(ISNUMBER(SEARCH("SB",H931)),IFNA(VLOOKUP("SB",Pitch_Coef!$A:$B,2,FALSE),0),0)+IF(ISNUMBER(SEARCH("SL",H931)),IFNA(VLOOKUP("SL",Pitch_Coef!$A:$B,2,FALSE),0),0),0)</f>
        <v/>
      </c>
      <c r="AA931">
        <f>IF(Q931="P",16.5944849573+0.2529999141*N931+0.2665900378*O931+0.2632687105*P931+0.0427586837*I931+0.0534777057*J931+0.009015832*K931+0.0204898106*(O931*P931/100)+1.0091022427*U931+1.0968542297*IF(D931="L",1,0)+0.3771555045*IF(D931="S",1,0)-0.2226159177*IF(E931="L",1,0)+1.21385024*R931-1.1652812274*S931+W931+X931+Z931,10.5965166711+0.2825983581*I931+0.2806503532*J931+0.2027213083*K931+0.1147824982*L931+0.0915305332*M931-0.0088454122*(I931*J931/100)-0.0336045706*(K931*L931/100)+2.8497389733*IF(D931="L",1,0)+4.5116226727*IF(D931="S",1,0)-0.6571546448*IF(E931="L",1,0)+0.0850728147*T931+0.0129488446*(T931*T931)+0.1909373936*IF(OR(F931="Utility",G931="Utility"),T931,0)+0.9656824071*R931-1.7517683256*S931+W931+X931+Y931)</f>
        <v/>
      </c>
      <c r="AB931">
        <f>LOOKUP(AA931,Grade_Scale!$A$2:$A$18,Grade_Scale!$B$2:$B$18)</f>
        <v/>
      </c>
      <c r="AC931">
        <f>LOOKUP(AA931,Grade_Scale!$A$2:$A$18,Grade_Scale!$C$2:$C$18)</f>
        <v/>
      </c>
      <c r="AE931">
        <f>IF(AD931="","",AB931-VLOOKUP(AD931,Grade_Scale!$C$2:$E$18,3,FALSE))</f>
        <v/>
      </c>
    </row>
    <row r="932">
      <c r="Q932">
        <f>IF(OR(B932="SP",B932="RP",B932="CP",B932="SP/RP"),"P","H")</f>
        <v/>
      </c>
      <c r="R932">
        <f>IF(F932="",0,IFNA(VLOOKUP(F932,Trait_Polarity!$A:$C,2,FALSE),0))+IF(G932="",0,IFNA(VLOOKUP(G932,Trait_Polarity!$A:$C,2,FALSE),0))</f>
        <v/>
      </c>
      <c r="S932">
        <f>IF(F932="",0,IFNA(VLOOKUP(F932,Trait_Polarity!$A:$C,3,FALSE),0))+IF(G932="",0,IFNA(VLOOKUP(G932,Trait_Polarity!$A:$C,3,FALSE),0))</f>
        <v/>
      </c>
      <c r="T932">
        <f>IF(Q932="P",0,IFNA(VLOOKUP(IF(C932="","(none)",C932),Secondary_Versatility!$A:$B,2,FALSE),0))</f>
        <v/>
      </c>
      <c r="U932">
        <f>IF(H932="",0,LEN(H932)-LEN(SUBSTITUTE(H932,"|",""))+1)</f>
        <v/>
      </c>
      <c r="V932">
        <f>IF(Q932="P",(N932+O932+P932)/3,0.3*I932+0.3*J932+0.2*K932+0.1*L932+0.1*M932)</f>
        <v/>
      </c>
      <c r="W932">
        <f>IF(Q932="P",IF(F932="",0,IFNA(VLOOKUP(F932,Pitcher_Trait_Coef!$A:$B,2,FALSE),0))+IF(G932="",0,IFNA(VLOOKUP(G932,Pitcher_Trait_Coef!$A:$B,2,FALSE),0)),IF(F932="",0,IFNA(VLOOKUP(F932,Hitter_Trait_Coef!$A:$B,2,FALSE),0))+IF(G932="",0,IFNA(VLOOKUP(G932,Hitter_Trait_Coef!$A:$B,2,FALSE),0)))</f>
        <v/>
      </c>
      <c r="X932">
        <f>IF(Q932="P",IFNA(VLOOKUP(B932,Pitcher_Primary_Coef!$A:$B,2,FALSE),0),IFNA(VLOOKUP(B932,Hitter_Primary_Coef!$A:$B,2,FALSE),0))</f>
        <v/>
      </c>
      <c r="Y932">
        <f>IF(Q932="P",0,IFNA(VLOOKUP(IF(C932="","(none)",C932),Hitter_Secondary_Coef!$A:$B,2,FALSE),0))</f>
        <v/>
      </c>
      <c r="Z932">
        <f>IF(Q932="P",IF(ISNUMBER(SEARCH("2F",H932)),IFNA(VLOOKUP("2F",Pitch_Coef!$A:$B,2,FALSE),0),0)+IF(ISNUMBER(SEARCH("4F",H932)),IFNA(VLOOKUP("4F",Pitch_Coef!$A:$B,2,FALSE),0),0)+IF(ISNUMBER(SEARCH("CB",H932)),IFNA(VLOOKUP("CB",Pitch_Coef!$A:$B,2,FALSE),0),0)+IF(ISNUMBER(SEARCH("CF",H932)),IFNA(VLOOKUP("CF",Pitch_Coef!$A:$B,2,FALSE),0),0)+IF(ISNUMBER(SEARCH("CH",H932)),IFNA(VLOOKUP("CH",Pitch_Coef!$A:$B,2,FALSE),0),0)+IF(ISNUMBER(SEARCH("FK",H932)),IFNA(VLOOKUP("FK",Pitch_Coef!$A:$B,2,FALSE),0),0)+IF(ISNUMBER(SEARCH("SB",H932)),IFNA(VLOOKUP("SB",Pitch_Coef!$A:$B,2,FALSE),0),0)+IF(ISNUMBER(SEARCH("SL",H932)),IFNA(VLOOKUP("SL",Pitch_Coef!$A:$B,2,FALSE),0),0),0)</f>
        <v/>
      </c>
      <c r="AA932">
        <f>IF(Q932="P",16.5944849573+0.2529999141*N932+0.2665900378*O932+0.2632687105*P932+0.0427586837*I932+0.0534777057*J932+0.009015832*K932+0.0204898106*(O932*P932/100)+1.0091022427*U932+1.0968542297*IF(D932="L",1,0)+0.3771555045*IF(D932="S",1,0)-0.2226159177*IF(E932="L",1,0)+1.21385024*R932-1.1652812274*S932+W932+X932+Z932,10.5965166711+0.2825983581*I932+0.2806503532*J932+0.2027213083*K932+0.1147824982*L932+0.0915305332*M932-0.0088454122*(I932*J932/100)-0.0336045706*(K932*L932/100)+2.8497389733*IF(D932="L",1,0)+4.5116226727*IF(D932="S",1,0)-0.6571546448*IF(E932="L",1,0)+0.0850728147*T932+0.0129488446*(T932*T932)+0.1909373936*IF(OR(F932="Utility",G932="Utility"),T932,0)+0.9656824071*R932-1.7517683256*S932+W932+X932+Y932)</f>
        <v/>
      </c>
      <c r="AB932">
        <f>LOOKUP(AA932,Grade_Scale!$A$2:$A$18,Grade_Scale!$B$2:$B$18)</f>
        <v/>
      </c>
      <c r="AC932">
        <f>LOOKUP(AA932,Grade_Scale!$A$2:$A$18,Grade_Scale!$C$2:$C$18)</f>
        <v/>
      </c>
      <c r="AE932">
        <f>IF(AD932="","",AB932-VLOOKUP(AD932,Grade_Scale!$C$2:$E$18,3,FALSE))</f>
        <v/>
      </c>
    </row>
    <row r="933">
      <c r="Q933">
        <f>IF(OR(B933="SP",B933="RP",B933="CP",B933="SP/RP"),"P","H")</f>
        <v/>
      </c>
      <c r="R933">
        <f>IF(F933="",0,IFNA(VLOOKUP(F933,Trait_Polarity!$A:$C,2,FALSE),0))+IF(G933="",0,IFNA(VLOOKUP(G933,Trait_Polarity!$A:$C,2,FALSE),0))</f>
        <v/>
      </c>
      <c r="S933">
        <f>IF(F933="",0,IFNA(VLOOKUP(F933,Trait_Polarity!$A:$C,3,FALSE),0))+IF(G933="",0,IFNA(VLOOKUP(G933,Trait_Polarity!$A:$C,3,FALSE),0))</f>
        <v/>
      </c>
      <c r="T933">
        <f>IF(Q933="P",0,IFNA(VLOOKUP(IF(C933="","(none)",C933),Secondary_Versatility!$A:$B,2,FALSE),0))</f>
        <v/>
      </c>
      <c r="U933">
        <f>IF(H933="",0,LEN(H933)-LEN(SUBSTITUTE(H933,"|",""))+1)</f>
        <v/>
      </c>
      <c r="V933">
        <f>IF(Q933="P",(N933+O933+P933)/3,0.3*I933+0.3*J933+0.2*K933+0.1*L933+0.1*M933)</f>
        <v/>
      </c>
      <c r="W933">
        <f>IF(Q933="P",IF(F933="",0,IFNA(VLOOKUP(F933,Pitcher_Trait_Coef!$A:$B,2,FALSE),0))+IF(G933="",0,IFNA(VLOOKUP(G933,Pitcher_Trait_Coef!$A:$B,2,FALSE),0)),IF(F933="",0,IFNA(VLOOKUP(F933,Hitter_Trait_Coef!$A:$B,2,FALSE),0))+IF(G933="",0,IFNA(VLOOKUP(G933,Hitter_Trait_Coef!$A:$B,2,FALSE),0)))</f>
        <v/>
      </c>
      <c r="X933">
        <f>IF(Q933="P",IFNA(VLOOKUP(B933,Pitcher_Primary_Coef!$A:$B,2,FALSE),0),IFNA(VLOOKUP(B933,Hitter_Primary_Coef!$A:$B,2,FALSE),0))</f>
        <v/>
      </c>
      <c r="Y933">
        <f>IF(Q933="P",0,IFNA(VLOOKUP(IF(C933="","(none)",C933),Hitter_Secondary_Coef!$A:$B,2,FALSE),0))</f>
        <v/>
      </c>
      <c r="Z933">
        <f>IF(Q933="P",IF(ISNUMBER(SEARCH("2F",H933)),IFNA(VLOOKUP("2F",Pitch_Coef!$A:$B,2,FALSE),0),0)+IF(ISNUMBER(SEARCH("4F",H933)),IFNA(VLOOKUP("4F",Pitch_Coef!$A:$B,2,FALSE),0),0)+IF(ISNUMBER(SEARCH("CB",H933)),IFNA(VLOOKUP("CB",Pitch_Coef!$A:$B,2,FALSE),0),0)+IF(ISNUMBER(SEARCH("CF",H933)),IFNA(VLOOKUP("CF",Pitch_Coef!$A:$B,2,FALSE),0),0)+IF(ISNUMBER(SEARCH("CH",H933)),IFNA(VLOOKUP("CH",Pitch_Coef!$A:$B,2,FALSE),0),0)+IF(ISNUMBER(SEARCH("FK",H933)),IFNA(VLOOKUP("FK",Pitch_Coef!$A:$B,2,FALSE),0),0)+IF(ISNUMBER(SEARCH("SB",H933)),IFNA(VLOOKUP("SB",Pitch_Coef!$A:$B,2,FALSE),0),0)+IF(ISNUMBER(SEARCH("SL",H933)),IFNA(VLOOKUP("SL",Pitch_Coef!$A:$B,2,FALSE),0),0),0)</f>
        <v/>
      </c>
      <c r="AA933">
        <f>IF(Q933="P",16.5944849573+0.2529999141*N933+0.2665900378*O933+0.2632687105*P933+0.0427586837*I933+0.0534777057*J933+0.009015832*K933+0.0204898106*(O933*P933/100)+1.0091022427*U933+1.0968542297*IF(D933="L",1,0)+0.3771555045*IF(D933="S",1,0)-0.2226159177*IF(E933="L",1,0)+1.21385024*R933-1.1652812274*S933+W933+X933+Z933,10.5965166711+0.2825983581*I933+0.2806503532*J933+0.2027213083*K933+0.1147824982*L933+0.0915305332*M933-0.0088454122*(I933*J933/100)-0.0336045706*(K933*L933/100)+2.8497389733*IF(D933="L",1,0)+4.5116226727*IF(D933="S",1,0)-0.6571546448*IF(E933="L",1,0)+0.0850728147*T933+0.0129488446*(T933*T933)+0.1909373936*IF(OR(F933="Utility",G933="Utility"),T933,0)+0.9656824071*R933-1.7517683256*S933+W933+X933+Y933)</f>
        <v/>
      </c>
      <c r="AB933">
        <f>LOOKUP(AA933,Grade_Scale!$A$2:$A$18,Grade_Scale!$B$2:$B$18)</f>
        <v/>
      </c>
      <c r="AC933">
        <f>LOOKUP(AA933,Grade_Scale!$A$2:$A$18,Grade_Scale!$C$2:$C$18)</f>
        <v/>
      </c>
      <c r="AE933">
        <f>IF(AD933="","",AB933-VLOOKUP(AD933,Grade_Scale!$C$2:$E$18,3,FALSE))</f>
        <v/>
      </c>
    </row>
    <row r="934">
      <c r="Q934">
        <f>IF(OR(B934="SP",B934="RP",B934="CP",B934="SP/RP"),"P","H")</f>
        <v/>
      </c>
      <c r="R934">
        <f>IF(F934="",0,IFNA(VLOOKUP(F934,Trait_Polarity!$A:$C,2,FALSE),0))+IF(G934="",0,IFNA(VLOOKUP(G934,Trait_Polarity!$A:$C,2,FALSE),0))</f>
        <v/>
      </c>
      <c r="S934">
        <f>IF(F934="",0,IFNA(VLOOKUP(F934,Trait_Polarity!$A:$C,3,FALSE),0))+IF(G934="",0,IFNA(VLOOKUP(G934,Trait_Polarity!$A:$C,3,FALSE),0))</f>
        <v/>
      </c>
      <c r="T934">
        <f>IF(Q934="P",0,IFNA(VLOOKUP(IF(C934="","(none)",C934),Secondary_Versatility!$A:$B,2,FALSE),0))</f>
        <v/>
      </c>
      <c r="U934">
        <f>IF(H934="",0,LEN(H934)-LEN(SUBSTITUTE(H934,"|",""))+1)</f>
        <v/>
      </c>
      <c r="V934">
        <f>IF(Q934="P",(N934+O934+P934)/3,0.3*I934+0.3*J934+0.2*K934+0.1*L934+0.1*M934)</f>
        <v/>
      </c>
      <c r="W934">
        <f>IF(Q934="P",IF(F934="",0,IFNA(VLOOKUP(F934,Pitcher_Trait_Coef!$A:$B,2,FALSE),0))+IF(G934="",0,IFNA(VLOOKUP(G934,Pitcher_Trait_Coef!$A:$B,2,FALSE),0)),IF(F934="",0,IFNA(VLOOKUP(F934,Hitter_Trait_Coef!$A:$B,2,FALSE),0))+IF(G934="",0,IFNA(VLOOKUP(G934,Hitter_Trait_Coef!$A:$B,2,FALSE),0)))</f>
        <v/>
      </c>
      <c r="X934">
        <f>IF(Q934="P",IFNA(VLOOKUP(B934,Pitcher_Primary_Coef!$A:$B,2,FALSE),0),IFNA(VLOOKUP(B934,Hitter_Primary_Coef!$A:$B,2,FALSE),0))</f>
        <v/>
      </c>
      <c r="Y934">
        <f>IF(Q934="P",0,IFNA(VLOOKUP(IF(C934="","(none)",C934),Hitter_Secondary_Coef!$A:$B,2,FALSE),0))</f>
        <v/>
      </c>
      <c r="Z934">
        <f>IF(Q934="P",IF(ISNUMBER(SEARCH("2F",H934)),IFNA(VLOOKUP("2F",Pitch_Coef!$A:$B,2,FALSE),0),0)+IF(ISNUMBER(SEARCH("4F",H934)),IFNA(VLOOKUP("4F",Pitch_Coef!$A:$B,2,FALSE),0),0)+IF(ISNUMBER(SEARCH("CB",H934)),IFNA(VLOOKUP("CB",Pitch_Coef!$A:$B,2,FALSE),0),0)+IF(ISNUMBER(SEARCH("CF",H934)),IFNA(VLOOKUP("CF",Pitch_Coef!$A:$B,2,FALSE),0),0)+IF(ISNUMBER(SEARCH("CH",H934)),IFNA(VLOOKUP("CH",Pitch_Coef!$A:$B,2,FALSE),0),0)+IF(ISNUMBER(SEARCH("FK",H934)),IFNA(VLOOKUP("FK",Pitch_Coef!$A:$B,2,FALSE),0),0)+IF(ISNUMBER(SEARCH("SB",H934)),IFNA(VLOOKUP("SB",Pitch_Coef!$A:$B,2,FALSE),0),0)+IF(ISNUMBER(SEARCH("SL",H934)),IFNA(VLOOKUP("SL",Pitch_Coef!$A:$B,2,FALSE),0),0),0)</f>
        <v/>
      </c>
      <c r="AA934">
        <f>IF(Q934="P",16.5944849573+0.2529999141*N934+0.2665900378*O934+0.2632687105*P934+0.0427586837*I934+0.0534777057*J934+0.009015832*K934+0.0204898106*(O934*P934/100)+1.0091022427*U934+1.0968542297*IF(D934="L",1,0)+0.3771555045*IF(D934="S",1,0)-0.2226159177*IF(E934="L",1,0)+1.21385024*R934-1.1652812274*S934+W934+X934+Z934,10.5965166711+0.2825983581*I934+0.2806503532*J934+0.2027213083*K934+0.1147824982*L934+0.0915305332*M934-0.0088454122*(I934*J934/100)-0.0336045706*(K934*L934/100)+2.8497389733*IF(D934="L",1,0)+4.5116226727*IF(D934="S",1,0)-0.6571546448*IF(E934="L",1,0)+0.0850728147*T934+0.0129488446*(T934*T934)+0.1909373936*IF(OR(F934="Utility",G934="Utility"),T934,0)+0.9656824071*R934-1.7517683256*S934+W934+X934+Y934)</f>
        <v/>
      </c>
      <c r="AB934">
        <f>LOOKUP(AA934,Grade_Scale!$A$2:$A$18,Grade_Scale!$B$2:$B$18)</f>
        <v/>
      </c>
      <c r="AC934">
        <f>LOOKUP(AA934,Grade_Scale!$A$2:$A$18,Grade_Scale!$C$2:$C$18)</f>
        <v/>
      </c>
      <c r="AE934">
        <f>IF(AD934="","",AB934-VLOOKUP(AD934,Grade_Scale!$C$2:$E$18,3,FALSE))</f>
        <v/>
      </c>
    </row>
    <row r="935">
      <c r="Q935">
        <f>IF(OR(B935="SP",B935="RP",B935="CP",B935="SP/RP"),"P","H")</f>
        <v/>
      </c>
      <c r="R935">
        <f>IF(F935="",0,IFNA(VLOOKUP(F935,Trait_Polarity!$A:$C,2,FALSE),0))+IF(G935="",0,IFNA(VLOOKUP(G935,Trait_Polarity!$A:$C,2,FALSE),0))</f>
        <v/>
      </c>
      <c r="S935">
        <f>IF(F935="",0,IFNA(VLOOKUP(F935,Trait_Polarity!$A:$C,3,FALSE),0))+IF(G935="",0,IFNA(VLOOKUP(G935,Trait_Polarity!$A:$C,3,FALSE),0))</f>
        <v/>
      </c>
      <c r="T935">
        <f>IF(Q935="P",0,IFNA(VLOOKUP(IF(C935="","(none)",C935),Secondary_Versatility!$A:$B,2,FALSE),0))</f>
        <v/>
      </c>
      <c r="U935">
        <f>IF(H935="",0,LEN(H935)-LEN(SUBSTITUTE(H935,"|",""))+1)</f>
        <v/>
      </c>
      <c r="V935">
        <f>IF(Q935="P",(N935+O935+P935)/3,0.3*I935+0.3*J935+0.2*K935+0.1*L935+0.1*M935)</f>
        <v/>
      </c>
      <c r="W935">
        <f>IF(Q935="P",IF(F935="",0,IFNA(VLOOKUP(F935,Pitcher_Trait_Coef!$A:$B,2,FALSE),0))+IF(G935="",0,IFNA(VLOOKUP(G935,Pitcher_Trait_Coef!$A:$B,2,FALSE),0)),IF(F935="",0,IFNA(VLOOKUP(F935,Hitter_Trait_Coef!$A:$B,2,FALSE),0))+IF(G935="",0,IFNA(VLOOKUP(G935,Hitter_Trait_Coef!$A:$B,2,FALSE),0)))</f>
        <v/>
      </c>
      <c r="X935">
        <f>IF(Q935="P",IFNA(VLOOKUP(B935,Pitcher_Primary_Coef!$A:$B,2,FALSE),0),IFNA(VLOOKUP(B935,Hitter_Primary_Coef!$A:$B,2,FALSE),0))</f>
        <v/>
      </c>
      <c r="Y935">
        <f>IF(Q935="P",0,IFNA(VLOOKUP(IF(C935="","(none)",C935),Hitter_Secondary_Coef!$A:$B,2,FALSE),0))</f>
        <v/>
      </c>
      <c r="Z935">
        <f>IF(Q935="P",IF(ISNUMBER(SEARCH("2F",H935)),IFNA(VLOOKUP("2F",Pitch_Coef!$A:$B,2,FALSE),0),0)+IF(ISNUMBER(SEARCH("4F",H935)),IFNA(VLOOKUP("4F",Pitch_Coef!$A:$B,2,FALSE),0),0)+IF(ISNUMBER(SEARCH("CB",H935)),IFNA(VLOOKUP("CB",Pitch_Coef!$A:$B,2,FALSE),0),0)+IF(ISNUMBER(SEARCH("CF",H935)),IFNA(VLOOKUP("CF",Pitch_Coef!$A:$B,2,FALSE),0),0)+IF(ISNUMBER(SEARCH("CH",H935)),IFNA(VLOOKUP("CH",Pitch_Coef!$A:$B,2,FALSE),0),0)+IF(ISNUMBER(SEARCH("FK",H935)),IFNA(VLOOKUP("FK",Pitch_Coef!$A:$B,2,FALSE),0),0)+IF(ISNUMBER(SEARCH("SB",H935)),IFNA(VLOOKUP("SB",Pitch_Coef!$A:$B,2,FALSE),0),0)+IF(ISNUMBER(SEARCH("SL",H935)),IFNA(VLOOKUP("SL",Pitch_Coef!$A:$B,2,FALSE),0),0),0)</f>
        <v/>
      </c>
      <c r="AA935">
        <f>IF(Q935="P",16.5944849573+0.2529999141*N935+0.2665900378*O935+0.2632687105*P935+0.0427586837*I935+0.0534777057*J935+0.009015832*K935+0.0204898106*(O935*P935/100)+1.0091022427*U935+1.0968542297*IF(D935="L",1,0)+0.3771555045*IF(D935="S",1,0)-0.2226159177*IF(E935="L",1,0)+1.21385024*R935-1.1652812274*S935+W935+X935+Z935,10.5965166711+0.2825983581*I935+0.2806503532*J935+0.2027213083*K935+0.1147824982*L935+0.0915305332*M935-0.0088454122*(I935*J935/100)-0.0336045706*(K935*L935/100)+2.8497389733*IF(D935="L",1,0)+4.5116226727*IF(D935="S",1,0)-0.6571546448*IF(E935="L",1,0)+0.0850728147*T935+0.0129488446*(T935*T935)+0.1909373936*IF(OR(F935="Utility",G935="Utility"),T935,0)+0.9656824071*R935-1.7517683256*S935+W935+X935+Y935)</f>
        <v/>
      </c>
      <c r="AB935">
        <f>LOOKUP(AA935,Grade_Scale!$A$2:$A$18,Grade_Scale!$B$2:$B$18)</f>
        <v/>
      </c>
      <c r="AC935">
        <f>LOOKUP(AA935,Grade_Scale!$A$2:$A$18,Grade_Scale!$C$2:$C$18)</f>
        <v/>
      </c>
      <c r="AE935">
        <f>IF(AD935="","",AB935-VLOOKUP(AD935,Grade_Scale!$C$2:$E$18,3,FALSE))</f>
        <v/>
      </c>
    </row>
    <row r="936">
      <c r="Q936">
        <f>IF(OR(B936="SP",B936="RP",B936="CP",B936="SP/RP"),"P","H")</f>
        <v/>
      </c>
      <c r="R936">
        <f>IF(F936="",0,IFNA(VLOOKUP(F936,Trait_Polarity!$A:$C,2,FALSE),0))+IF(G936="",0,IFNA(VLOOKUP(G936,Trait_Polarity!$A:$C,2,FALSE),0))</f>
        <v/>
      </c>
      <c r="S936">
        <f>IF(F936="",0,IFNA(VLOOKUP(F936,Trait_Polarity!$A:$C,3,FALSE),0))+IF(G936="",0,IFNA(VLOOKUP(G936,Trait_Polarity!$A:$C,3,FALSE),0))</f>
        <v/>
      </c>
      <c r="T936">
        <f>IF(Q936="P",0,IFNA(VLOOKUP(IF(C936="","(none)",C936),Secondary_Versatility!$A:$B,2,FALSE),0))</f>
        <v/>
      </c>
      <c r="U936">
        <f>IF(H936="",0,LEN(H936)-LEN(SUBSTITUTE(H936,"|",""))+1)</f>
        <v/>
      </c>
      <c r="V936">
        <f>IF(Q936="P",(N936+O936+P936)/3,0.3*I936+0.3*J936+0.2*K936+0.1*L936+0.1*M936)</f>
        <v/>
      </c>
      <c r="W936">
        <f>IF(Q936="P",IF(F936="",0,IFNA(VLOOKUP(F936,Pitcher_Trait_Coef!$A:$B,2,FALSE),0))+IF(G936="",0,IFNA(VLOOKUP(G936,Pitcher_Trait_Coef!$A:$B,2,FALSE),0)),IF(F936="",0,IFNA(VLOOKUP(F936,Hitter_Trait_Coef!$A:$B,2,FALSE),0))+IF(G936="",0,IFNA(VLOOKUP(G936,Hitter_Trait_Coef!$A:$B,2,FALSE),0)))</f>
        <v/>
      </c>
      <c r="X936">
        <f>IF(Q936="P",IFNA(VLOOKUP(B936,Pitcher_Primary_Coef!$A:$B,2,FALSE),0),IFNA(VLOOKUP(B936,Hitter_Primary_Coef!$A:$B,2,FALSE),0))</f>
        <v/>
      </c>
      <c r="Y936">
        <f>IF(Q936="P",0,IFNA(VLOOKUP(IF(C936="","(none)",C936),Hitter_Secondary_Coef!$A:$B,2,FALSE),0))</f>
        <v/>
      </c>
      <c r="Z936">
        <f>IF(Q936="P",IF(ISNUMBER(SEARCH("2F",H936)),IFNA(VLOOKUP("2F",Pitch_Coef!$A:$B,2,FALSE),0),0)+IF(ISNUMBER(SEARCH("4F",H936)),IFNA(VLOOKUP("4F",Pitch_Coef!$A:$B,2,FALSE),0),0)+IF(ISNUMBER(SEARCH("CB",H936)),IFNA(VLOOKUP("CB",Pitch_Coef!$A:$B,2,FALSE),0),0)+IF(ISNUMBER(SEARCH("CF",H936)),IFNA(VLOOKUP("CF",Pitch_Coef!$A:$B,2,FALSE),0),0)+IF(ISNUMBER(SEARCH("CH",H936)),IFNA(VLOOKUP("CH",Pitch_Coef!$A:$B,2,FALSE),0),0)+IF(ISNUMBER(SEARCH("FK",H936)),IFNA(VLOOKUP("FK",Pitch_Coef!$A:$B,2,FALSE),0),0)+IF(ISNUMBER(SEARCH("SB",H936)),IFNA(VLOOKUP("SB",Pitch_Coef!$A:$B,2,FALSE),0),0)+IF(ISNUMBER(SEARCH("SL",H936)),IFNA(VLOOKUP("SL",Pitch_Coef!$A:$B,2,FALSE),0),0),0)</f>
        <v/>
      </c>
      <c r="AA936">
        <f>IF(Q936="P",16.5944849573+0.2529999141*N936+0.2665900378*O936+0.2632687105*P936+0.0427586837*I936+0.0534777057*J936+0.009015832*K936+0.0204898106*(O936*P936/100)+1.0091022427*U936+1.0968542297*IF(D936="L",1,0)+0.3771555045*IF(D936="S",1,0)-0.2226159177*IF(E936="L",1,0)+1.21385024*R936-1.1652812274*S936+W936+X936+Z936,10.5965166711+0.2825983581*I936+0.2806503532*J936+0.2027213083*K936+0.1147824982*L936+0.0915305332*M936-0.0088454122*(I936*J936/100)-0.0336045706*(K936*L936/100)+2.8497389733*IF(D936="L",1,0)+4.5116226727*IF(D936="S",1,0)-0.6571546448*IF(E936="L",1,0)+0.0850728147*T936+0.0129488446*(T936*T936)+0.1909373936*IF(OR(F936="Utility",G936="Utility"),T936,0)+0.9656824071*R936-1.7517683256*S936+W936+X936+Y936)</f>
        <v/>
      </c>
      <c r="AB936">
        <f>LOOKUP(AA936,Grade_Scale!$A$2:$A$18,Grade_Scale!$B$2:$B$18)</f>
        <v/>
      </c>
      <c r="AC936">
        <f>LOOKUP(AA936,Grade_Scale!$A$2:$A$18,Grade_Scale!$C$2:$C$18)</f>
        <v/>
      </c>
      <c r="AE936">
        <f>IF(AD936="","",AB936-VLOOKUP(AD936,Grade_Scale!$C$2:$E$18,3,FALSE))</f>
        <v/>
      </c>
    </row>
    <row r="937">
      <c r="Q937">
        <f>IF(OR(B937="SP",B937="RP",B937="CP",B937="SP/RP"),"P","H")</f>
        <v/>
      </c>
      <c r="R937">
        <f>IF(F937="",0,IFNA(VLOOKUP(F937,Trait_Polarity!$A:$C,2,FALSE),0))+IF(G937="",0,IFNA(VLOOKUP(G937,Trait_Polarity!$A:$C,2,FALSE),0))</f>
        <v/>
      </c>
      <c r="S937">
        <f>IF(F937="",0,IFNA(VLOOKUP(F937,Trait_Polarity!$A:$C,3,FALSE),0))+IF(G937="",0,IFNA(VLOOKUP(G937,Trait_Polarity!$A:$C,3,FALSE),0))</f>
        <v/>
      </c>
      <c r="T937">
        <f>IF(Q937="P",0,IFNA(VLOOKUP(IF(C937="","(none)",C937),Secondary_Versatility!$A:$B,2,FALSE),0))</f>
        <v/>
      </c>
      <c r="U937">
        <f>IF(H937="",0,LEN(H937)-LEN(SUBSTITUTE(H937,"|",""))+1)</f>
        <v/>
      </c>
      <c r="V937">
        <f>IF(Q937="P",(N937+O937+P937)/3,0.3*I937+0.3*J937+0.2*K937+0.1*L937+0.1*M937)</f>
        <v/>
      </c>
      <c r="W937">
        <f>IF(Q937="P",IF(F937="",0,IFNA(VLOOKUP(F937,Pitcher_Trait_Coef!$A:$B,2,FALSE),0))+IF(G937="",0,IFNA(VLOOKUP(G937,Pitcher_Trait_Coef!$A:$B,2,FALSE),0)),IF(F937="",0,IFNA(VLOOKUP(F937,Hitter_Trait_Coef!$A:$B,2,FALSE),0))+IF(G937="",0,IFNA(VLOOKUP(G937,Hitter_Trait_Coef!$A:$B,2,FALSE),0)))</f>
        <v/>
      </c>
      <c r="X937">
        <f>IF(Q937="P",IFNA(VLOOKUP(B937,Pitcher_Primary_Coef!$A:$B,2,FALSE),0),IFNA(VLOOKUP(B937,Hitter_Primary_Coef!$A:$B,2,FALSE),0))</f>
        <v/>
      </c>
      <c r="Y937">
        <f>IF(Q937="P",0,IFNA(VLOOKUP(IF(C937="","(none)",C937),Hitter_Secondary_Coef!$A:$B,2,FALSE),0))</f>
        <v/>
      </c>
      <c r="Z937">
        <f>IF(Q937="P",IF(ISNUMBER(SEARCH("2F",H937)),IFNA(VLOOKUP("2F",Pitch_Coef!$A:$B,2,FALSE),0),0)+IF(ISNUMBER(SEARCH("4F",H937)),IFNA(VLOOKUP("4F",Pitch_Coef!$A:$B,2,FALSE),0),0)+IF(ISNUMBER(SEARCH("CB",H937)),IFNA(VLOOKUP("CB",Pitch_Coef!$A:$B,2,FALSE),0),0)+IF(ISNUMBER(SEARCH("CF",H937)),IFNA(VLOOKUP("CF",Pitch_Coef!$A:$B,2,FALSE),0),0)+IF(ISNUMBER(SEARCH("CH",H937)),IFNA(VLOOKUP("CH",Pitch_Coef!$A:$B,2,FALSE),0),0)+IF(ISNUMBER(SEARCH("FK",H937)),IFNA(VLOOKUP("FK",Pitch_Coef!$A:$B,2,FALSE),0),0)+IF(ISNUMBER(SEARCH("SB",H937)),IFNA(VLOOKUP("SB",Pitch_Coef!$A:$B,2,FALSE),0),0)+IF(ISNUMBER(SEARCH("SL",H937)),IFNA(VLOOKUP("SL",Pitch_Coef!$A:$B,2,FALSE),0),0),0)</f>
        <v/>
      </c>
      <c r="AA937">
        <f>IF(Q937="P",16.5944849573+0.2529999141*N937+0.2665900378*O937+0.2632687105*P937+0.0427586837*I937+0.0534777057*J937+0.009015832*K937+0.0204898106*(O937*P937/100)+1.0091022427*U937+1.0968542297*IF(D937="L",1,0)+0.3771555045*IF(D937="S",1,0)-0.2226159177*IF(E937="L",1,0)+1.21385024*R937-1.1652812274*S937+W937+X937+Z937,10.5965166711+0.2825983581*I937+0.2806503532*J937+0.2027213083*K937+0.1147824982*L937+0.0915305332*M937-0.0088454122*(I937*J937/100)-0.0336045706*(K937*L937/100)+2.8497389733*IF(D937="L",1,0)+4.5116226727*IF(D937="S",1,0)-0.6571546448*IF(E937="L",1,0)+0.0850728147*T937+0.0129488446*(T937*T937)+0.1909373936*IF(OR(F937="Utility",G937="Utility"),T937,0)+0.9656824071*R937-1.7517683256*S937+W937+X937+Y937)</f>
        <v/>
      </c>
      <c r="AB937">
        <f>LOOKUP(AA937,Grade_Scale!$A$2:$A$18,Grade_Scale!$B$2:$B$18)</f>
        <v/>
      </c>
      <c r="AC937">
        <f>LOOKUP(AA937,Grade_Scale!$A$2:$A$18,Grade_Scale!$C$2:$C$18)</f>
        <v/>
      </c>
      <c r="AE937">
        <f>IF(AD937="","",AB937-VLOOKUP(AD937,Grade_Scale!$C$2:$E$18,3,FALSE))</f>
        <v/>
      </c>
    </row>
    <row r="938">
      <c r="Q938">
        <f>IF(OR(B938="SP",B938="RP",B938="CP",B938="SP/RP"),"P","H")</f>
        <v/>
      </c>
      <c r="R938">
        <f>IF(F938="",0,IFNA(VLOOKUP(F938,Trait_Polarity!$A:$C,2,FALSE),0))+IF(G938="",0,IFNA(VLOOKUP(G938,Trait_Polarity!$A:$C,2,FALSE),0))</f>
        <v/>
      </c>
      <c r="S938">
        <f>IF(F938="",0,IFNA(VLOOKUP(F938,Trait_Polarity!$A:$C,3,FALSE),0))+IF(G938="",0,IFNA(VLOOKUP(G938,Trait_Polarity!$A:$C,3,FALSE),0))</f>
        <v/>
      </c>
      <c r="T938">
        <f>IF(Q938="P",0,IFNA(VLOOKUP(IF(C938="","(none)",C938),Secondary_Versatility!$A:$B,2,FALSE),0))</f>
        <v/>
      </c>
      <c r="U938">
        <f>IF(H938="",0,LEN(H938)-LEN(SUBSTITUTE(H938,"|",""))+1)</f>
        <v/>
      </c>
      <c r="V938">
        <f>IF(Q938="P",(N938+O938+P938)/3,0.3*I938+0.3*J938+0.2*K938+0.1*L938+0.1*M938)</f>
        <v/>
      </c>
      <c r="W938">
        <f>IF(Q938="P",IF(F938="",0,IFNA(VLOOKUP(F938,Pitcher_Trait_Coef!$A:$B,2,FALSE),0))+IF(G938="",0,IFNA(VLOOKUP(G938,Pitcher_Trait_Coef!$A:$B,2,FALSE),0)),IF(F938="",0,IFNA(VLOOKUP(F938,Hitter_Trait_Coef!$A:$B,2,FALSE),0))+IF(G938="",0,IFNA(VLOOKUP(G938,Hitter_Trait_Coef!$A:$B,2,FALSE),0)))</f>
        <v/>
      </c>
      <c r="X938">
        <f>IF(Q938="P",IFNA(VLOOKUP(B938,Pitcher_Primary_Coef!$A:$B,2,FALSE),0),IFNA(VLOOKUP(B938,Hitter_Primary_Coef!$A:$B,2,FALSE),0))</f>
        <v/>
      </c>
      <c r="Y938">
        <f>IF(Q938="P",0,IFNA(VLOOKUP(IF(C938="","(none)",C938),Hitter_Secondary_Coef!$A:$B,2,FALSE),0))</f>
        <v/>
      </c>
      <c r="Z938">
        <f>IF(Q938="P",IF(ISNUMBER(SEARCH("2F",H938)),IFNA(VLOOKUP("2F",Pitch_Coef!$A:$B,2,FALSE),0),0)+IF(ISNUMBER(SEARCH("4F",H938)),IFNA(VLOOKUP("4F",Pitch_Coef!$A:$B,2,FALSE),0),0)+IF(ISNUMBER(SEARCH("CB",H938)),IFNA(VLOOKUP("CB",Pitch_Coef!$A:$B,2,FALSE),0),0)+IF(ISNUMBER(SEARCH("CF",H938)),IFNA(VLOOKUP("CF",Pitch_Coef!$A:$B,2,FALSE),0),0)+IF(ISNUMBER(SEARCH("CH",H938)),IFNA(VLOOKUP("CH",Pitch_Coef!$A:$B,2,FALSE),0),0)+IF(ISNUMBER(SEARCH("FK",H938)),IFNA(VLOOKUP("FK",Pitch_Coef!$A:$B,2,FALSE),0),0)+IF(ISNUMBER(SEARCH("SB",H938)),IFNA(VLOOKUP("SB",Pitch_Coef!$A:$B,2,FALSE),0),0)+IF(ISNUMBER(SEARCH("SL",H938)),IFNA(VLOOKUP("SL",Pitch_Coef!$A:$B,2,FALSE),0),0),0)</f>
        <v/>
      </c>
      <c r="AA938">
        <f>IF(Q938="P",16.5944849573+0.2529999141*N938+0.2665900378*O938+0.2632687105*P938+0.0427586837*I938+0.0534777057*J938+0.009015832*K938+0.0204898106*(O938*P938/100)+1.0091022427*U938+1.0968542297*IF(D938="L",1,0)+0.3771555045*IF(D938="S",1,0)-0.2226159177*IF(E938="L",1,0)+1.21385024*R938-1.1652812274*S938+W938+X938+Z938,10.5965166711+0.2825983581*I938+0.2806503532*J938+0.2027213083*K938+0.1147824982*L938+0.0915305332*M938-0.0088454122*(I938*J938/100)-0.0336045706*(K938*L938/100)+2.8497389733*IF(D938="L",1,0)+4.5116226727*IF(D938="S",1,0)-0.6571546448*IF(E938="L",1,0)+0.0850728147*T938+0.0129488446*(T938*T938)+0.1909373936*IF(OR(F938="Utility",G938="Utility"),T938,0)+0.9656824071*R938-1.7517683256*S938+W938+X938+Y938)</f>
        <v/>
      </c>
      <c r="AB938">
        <f>LOOKUP(AA938,Grade_Scale!$A$2:$A$18,Grade_Scale!$B$2:$B$18)</f>
        <v/>
      </c>
      <c r="AC938">
        <f>LOOKUP(AA938,Grade_Scale!$A$2:$A$18,Grade_Scale!$C$2:$C$18)</f>
        <v/>
      </c>
      <c r="AE938">
        <f>IF(AD938="","",AB938-VLOOKUP(AD938,Grade_Scale!$C$2:$E$18,3,FALSE))</f>
        <v/>
      </c>
    </row>
    <row r="939">
      <c r="Q939">
        <f>IF(OR(B939="SP",B939="RP",B939="CP",B939="SP/RP"),"P","H")</f>
        <v/>
      </c>
      <c r="R939">
        <f>IF(F939="",0,IFNA(VLOOKUP(F939,Trait_Polarity!$A:$C,2,FALSE),0))+IF(G939="",0,IFNA(VLOOKUP(G939,Trait_Polarity!$A:$C,2,FALSE),0))</f>
        <v/>
      </c>
      <c r="S939">
        <f>IF(F939="",0,IFNA(VLOOKUP(F939,Trait_Polarity!$A:$C,3,FALSE),0))+IF(G939="",0,IFNA(VLOOKUP(G939,Trait_Polarity!$A:$C,3,FALSE),0))</f>
        <v/>
      </c>
      <c r="T939">
        <f>IF(Q939="P",0,IFNA(VLOOKUP(IF(C939="","(none)",C939),Secondary_Versatility!$A:$B,2,FALSE),0))</f>
        <v/>
      </c>
      <c r="U939">
        <f>IF(H939="",0,LEN(H939)-LEN(SUBSTITUTE(H939,"|",""))+1)</f>
        <v/>
      </c>
      <c r="V939">
        <f>IF(Q939="P",(N939+O939+P939)/3,0.3*I939+0.3*J939+0.2*K939+0.1*L939+0.1*M939)</f>
        <v/>
      </c>
      <c r="W939">
        <f>IF(Q939="P",IF(F939="",0,IFNA(VLOOKUP(F939,Pitcher_Trait_Coef!$A:$B,2,FALSE),0))+IF(G939="",0,IFNA(VLOOKUP(G939,Pitcher_Trait_Coef!$A:$B,2,FALSE),0)),IF(F939="",0,IFNA(VLOOKUP(F939,Hitter_Trait_Coef!$A:$B,2,FALSE),0))+IF(G939="",0,IFNA(VLOOKUP(G939,Hitter_Trait_Coef!$A:$B,2,FALSE),0)))</f>
        <v/>
      </c>
      <c r="X939">
        <f>IF(Q939="P",IFNA(VLOOKUP(B939,Pitcher_Primary_Coef!$A:$B,2,FALSE),0),IFNA(VLOOKUP(B939,Hitter_Primary_Coef!$A:$B,2,FALSE),0))</f>
        <v/>
      </c>
      <c r="Y939">
        <f>IF(Q939="P",0,IFNA(VLOOKUP(IF(C939="","(none)",C939),Hitter_Secondary_Coef!$A:$B,2,FALSE),0))</f>
        <v/>
      </c>
      <c r="Z939">
        <f>IF(Q939="P",IF(ISNUMBER(SEARCH("2F",H939)),IFNA(VLOOKUP("2F",Pitch_Coef!$A:$B,2,FALSE),0),0)+IF(ISNUMBER(SEARCH("4F",H939)),IFNA(VLOOKUP("4F",Pitch_Coef!$A:$B,2,FALSE),0),0)+IF(ISNUMBER(SEARCH("CB",H939)),IFNA(VLOOKUP("CB",Pitch_Coef!$A:$B,2,FALSE),0),0)+IF(ISNUMBER(SEARCH("CF",H939)),IFNA(VLOOKUP("CF",Pitch_Coef!$A:$B,2,FALSE),0),0)+IF(ISNUMBER(SEARCH("CH",H939)),IFNA(VLOOKUP("CH",Pitch_Coef!$A:$B,2,FALSE),0),0)+IF(ISNUMBER(SEARCH("FK",H939)),IFNA(VLOOKUP("FK",Pitch_Coef!$A:$B,2,FALSE),0),0)+IF(ISNUMBER(SEARCH("SB",H939)),IFNA(VLOOKUP("SB",Pitch_Coef!$A:$B,2,FALSE),0),0)+IF(ISNUMBER(SEARCH("SL",H939)),IFNA(VLOOKUP("SL",Pitch_Coef!$A:$B,2,FALSE),0),0),0)</f>
        <v/>
      </c>
      <c r="AA939">
        <f>IF(Q939="P",16.5944849573+0.2529999141*N939+0.2665900378*O939+0.2632687105*P939+0.0427586837*I939+0.0534777057*J939+0.009015832*K939+0.0204898106*(O939*P939/100)+1.0091022427*U939+1.0968542297*IF(D939="L",1,0)+0.3771555045*IF(D939="S",1,0)-0.2226159177*IF(E939="L",1,0)+1.21385024*R939-1.1652812274*S939+W939+X939+Z939,10.5965166711+0.2825983581*I939+0.2806503532*J939+0.2027213083*K939+0.1147824982*L939+0.0915305332*M939-0.0088454122*(I939*J939/100)-0.0336045706*(K939*L939/100)+2.8497389733*IF(D939="L",1,0)+4.5116226727*IF(D939="S",1,0)-0.6571546448*IF(E939="L",1,0)+0.0850728147*T939+0.0129488446*(T939*T939)+0.1909373936*IF(OR(F939="Utility",G939="Utility"),T939,0)+0.9656824071*R939-1.7517683256*S939+W939+X939+Y939)</f>
        <v/>
      </c>
      <c r="AB939">
        <f>LOOKUP(AA939,Grade_Scale!$A$2:$A$18,Grade_Scale!$B$2:$B$18)</f>
        <v/>
      </c>
      <c r="AC939">
        <f>LOOKUP(AA939,Grade_Scale!$A$2:$A$18,Grade_Scale!$C$2:$C$18)</f>
        <v/>
      </c>
      <c r="AE939">
        <f>IF(AD939="","",AB939-VLOOKUP(AD939,Grade_Scale!$C$2:$E$18,3,FALSE))</f>
        <v/>
      </c>
    </row>
    <row r="940">
      <c r="Q940">
        <f>IF(OR(B940="SP",B940="RP",B940="CP",B940="SP/RP"),"P","H")</f>
        <v/>
      </c>
      <c r="R940">
        <f>IF(F940="",0,IFNA(VLOOKUP(F940,Trait_Polarity!$A:$C,2,FALSE),0))+IF(G940="",0,IFNA(VLOOKUP(G940,Trait_Polarity!$A:$C,2,FALSE),0))</f>
        <v/>
      </c>
      <c r="S940">
        <f>IF(F940="",0,IFNA(VLOOKUP(F940,Trait_Polarity!$A:$C,3,FALSE),0))+IF(G940="",0,IFNA(VLOOKUP(G940,Trait_Polarity!$A:$C,3,FALSE),0))</f>
        <v/>
      </c>
      <c r="T940">
        <f>IF(Q940="P",0,IFNA(VLOOKUP(IF(C940="","(none)",C940),Secondary_Versatility!$A:$B,2,FALSE),0))</f>
        <v/>
      </c>
      <c r="U940">
        <f>IF(H940="",0,LEN(H940)-LEN(SUBSTITUTE(H940,"|",""))+1)</f>
        <v/>
      </c>
      <c r="V940">
        <f>IF(Q940="P",(N940+O940+P940)/3,0.3*I940+0.3*J940+0.2*K940+0.1*L940+0.1*M940)</f>
        <v/>
      </c>
      <c r="W940">
        <f>IF(Q940="P",IF(F940="",0,IFNA(VLOOKUP(F940,Pitcher_Trait_Coef!$A:$B,2,FALSE),0))+IF(G940="",0,IFNA(VLOOKUP(G940,Pitcher_Trait_Coef!$A:$B,2,FALSE),0)),IF(F940="",0,IFNA(VLOOKUP(F940,Hitter_Trait_Coef!$A:$B,2,FALSE),0))+IF(G940="",0,IFNA(VLOOKUP(G940,Hitter_Trait_Coef!$A:$B,2,FALSE),0)))</f>
        <v/>
      </c>
      <c r="X940">
        <f>IF(Q940="P",IFNA(VLOOKUP(B940,Pitcher_Primary_Coef!$A:$B,2,FALSE),0),IFNA(VLOOKUP(B940,Hitter_Primary_Coef!$A:$B,2,FALSE),0))</f>
        <v/>
      </c>
      <c r="Y940">
        <f>IF(Q940="P",0,IFNA(VLOOKUP(IF(C940="","(none)",C940),Hitter_Secondary_Coef!$A:$B,2,FALSE),0))</f>
        <v/>
      </c>
      <c r="Z940">
        <f>IF(Q940="P",IF(ISNUMBER(SEARCH("2F",H940)),IFNA(VLOOKUP("2F",Pitch_Coef!$A:$B,2,FALSE),0),0)+IF(ISNUMBER(SEARCH("4F",H940)),IFNA(VLOOKUP("4F",Pitch_Coef!$A:$B,2,FALSE),0),0)+IF(ISNUMBER(SEARCH("CB",H940)),IFNA(VLOOKUP("CB",Pitch_Coef!$A:$B,2,FALSE),0),0)+IF(ISNUMBER(SEARCH("CF",H940)),IFNA(VLOOKUP("CF",Pitch_Coef!$A:$B,2,FALSE),0),0)+IF(ISNUMBER(SEARCH("CH",H940)),IFNA(VLOOKUP("CH",Pitch_Coef!$A:$B,2,FALSE),0),0)+IF(ISNUMBER(SEARCH("FK",H940)),IFNA(VLOOKUP("FK",Pitch_Coef!$A:$B,2,FALSE),0),0)+IF(ISNUMBER(SEARCH("SB",H940)),IFNA(VLOOKUP("SB",Pitch_Coef!$A:$B,2,FALSE),0),0)+IF(ISNUMBER(SEARCH("SL",H940)),IFNA(VLOOKUP("SL",Pitch_Coef!$A:$B,2,FALSE),0),0),0)</f>
        <v/>
      </c>
      <c r="AA940">
        <f>IF(Q940="P",16.5944849573+0.2529999141*N940+0.2665900378*O940+0.2632687105*P940+0.0427586837*I940+0.0534777057*J940+0.009015832*K940+0.0204898106*(O940*P940/100)+1.0091022427*U940+1.0968542297*IF(D940="L",1,0)+0.3771555045*IF(D940="S",1,0)-0.2226159177*IF(E940="L",1,0)+1.21385024*R940-1.1652812274*S940+W940+X940+Z940,10.5965166711+0.2825983581*I940+0.2806503532*J940+0.2027213083*K940+0.1147824982*L940+0.0915305332*M940-0.0088454122*(I940*J940/100)-0.0336045706*(K940*L940/100)+2.8497389733*IF(D940="L",1,0)+4.5116226727*IF(D940="S",1,0)-0.6571546448*IF(E940="L",1,0)+0.0850728147*T940+0.0129488446*(T940*T940)+0.1909373936*IF(OR(F940="Utility",G940="Utility"),T940,0)+0.9656824071*R940-1.7517683256*S940+W940+X940+Y940)</f>
        <v/>
      </c>
      <c r="AB940">
        <f>LOOKUP(AA940,Grade_Scale!$A$2:$A$18,Grade_Scale!$B$2:$B$18)</f>
        <v/>
      </c>
      <c r="AC940">
        <f>LOOKUP(AA940,Grade_Scale!$A$2:$A$18,Grade_Scale!$C$2:$C$18)</f>
        <v/>
      </c>
      <c r="AE940">
        <f>IF(AD940="","",AB940-VLOOKUP(AD940,Grade_Scale!$C$2:$E$18,3,FALSE))</f>
        <v/>
      </c>
    </row>
    <row r="941">
      <c r="Q941">
        <f>IF(OR(B941="SP",B941="RP",B941="CP",B941="SP/RP"),"P","H")</f>
        <v/>
      </c>
      <c r="R941">
        <f>IF(F941="",0,IFNA(VLOOKUP(F941,Trait_Polarity!$A:$C,2,FALSE),0))+IF(G941="",0,IFNA(VLOOKUP(G941,Trait_Polarity!$A:$C,2,FALSE),0))</f>
        <v/>
      </c>
      <c r="S941">
        <f>IF(F941="",0,IFNA(VLOOKUP(F941,Trait_Polarity!$A:$C,3,FALSE),0))+IF(G941="",0,IFNA(VLOOKUP(G941,Trait_Polarity!$A:$C,3,FALSE),0))</f>
        <v/>
      </c>
      <c r="T941">
        <f>IF(Q941="P",0,IFNA(VLOOKUP(IF(C941="","(none)",C941),Secondary_Versatility!$A:$B,2,FALSE),0))</f>
        <v/>
      </c>
      <c r="U941">
        <f>IF(H941="",0,LEN(H941)-LEN(SUBSTITUTE(H941,"|",""))+1)</f>
        <v/>
      </c>
      <c r="V941">
        <f>IF(Q941="P",(N941+O941+P941)/3,0.3*I941+0.3*J941+0.2*K941+0.1*L941+0.1*M941)</f>
        <v/>
      </c>
      <c r="W941">
        <f>IF(Q941="P",IF(F941="",0,IFNA(VLOOKUP(F941,Pitcher_Trait_Coef!$A:$B,2,FALSE),0))+IF(G941="",0,IFNA(VLOOKUP(G941,Pitcher_Trait_Coef!$A:$B,2,FALSE),0)),IF(F941="",0,IFNA(VLOOKUP(F941,Hitter_Trait_Coef!$A:$B,2,FALSE),0))+IF(G941="",0,IFNA(VLOOKUP(G941,Hitter_Trait_Coef!$A:$B,2,FALSE),0)))</f>
        <v/>
      </c>
      <c r="X941">
        <f>IF(Q941="P",IFNA(VLOOKUP(B941,Pitcher_Primary_Coef!$A:$B,2,FALSE),0),IFNA(VLOOKUP(B941,Hitter_Primary_Coef!$A:$B,2,FALSE),0))</f>
        <v/>
      </c>
      <c r="Y941">
        <f>IF(Q941="P",0,IFNA(VLOOKUP(IF(C941="","(none)",C941),Hitter_Secondary_Coef!$A:$B,2,FALSE),0))</f>
        <v/>
      </c>
      <c r="Z941">
        <f>IF(Q941="P",IF(ISNUMBER(SEARCH("2F",H941)),IFNA(VLOOKUP("2F",Pitch_Coef!$A:$B,2,FALSE),0),0)+IF(ISNUMBER(SEARCH("4F",H941)),IFNA(VLOOKUP("4F",Pitch_Coef!$A:$B,2,FALSE),0),0)+IF(ISNUMBER(SEARCH("CB",H941)),IFNA(VLOOKUP("CB",Pitch_Coef!$A:$B,2,FALSE),0),0)+IF(ISNUMBER(SEARCH("CF",H941)),IFNA(VLOOKUP("CF",Pitch_Coef!$A:$B,2,FALSE),0),0)+IF(ISNUMBER(SEARCH("CH",H941)),IFNA(VLOOKUP("CH",Pitch_Coef!$A:$B,2,FALSE),0),0)+IF(ISNUMBER(SEARCH("FK",H941)),IFNA(VLOOKUP("FK",Pitch_Coef!$A:$B,2,FALSE),0),0)+IF(ISNUMBER(SEARCH("SB",H941)),IFNA(VLOOKUP("SB",Pitch_Coef!$A:$B,2,FALSE),0),0)+IF(ISNUMBER(SEARCH("SL",H941)),IFNA(VLOOKUP("SL",Pitch_Coef!$A:$B,2,FALSE),0),0),0)</f>
        <v/>
      </c>
      <c r="AA941">
        <f>IF(Q941="P",16.5944849573+0.2529999141*N941+0.2665900378*O941+0.2632687105*P941+0.0427586837*I941+0.0534777057*J941+0.009015832*K941+0.0204898106*(O941*P941/100)+1.0091022427*U941+1.0968542297*IF(D941="L",1,0)+0.3771555045*IF(D941="S",1,0)-0.2226159177*IF(E941="L",1,0)+1.21385024*R941-1.1652812274*S941+W941+X941+Z941,10.5965166711+0.2825983581*I941+0.2806503532*J941+0.2027213083*K941+0.1147824982*L941+0.0915305332*M941-0.0088454122*(I941*J941/100)-0.0336045706*(K941*L941/100)+2.8497389733*IF(D941="L",1,0)+4.5116226727*IF(D941="S",1,0)-0.6571546448*IF(E941="L",1,0)+0.0850728147*T941+0.0129488446*(T941*T941)+0.1909373936*IF(OR(F941="Utility",G941="Utility"),T941,0)+0.9656824071*R941-1.7517683256*S941+W941+X941+Y941)</f>
        <v/>
      </c>
      <c r="AB941">
        <f>LOOKUP(AA941,Grade_Scale!$A$2:$A$18,Grade_Scale!$B$2:$B$18)</f>
        <v/>
      </c>
      <c r="AC941">
        <f>LOOKUP(AA941,Grade_Scale!$A$2:$A$18,Grade_Scale!$C$2:$C$18)</f>
        <v/>
      </c>
      <c r="AE941">
        <f>IF(AD941="","",AB941-VLOOKUP(AD941,Grade_Scale!$C$2:$E$18,3,FALSE))</f>
        <v/>
      </c>
    </row>
    <row r="942">
      <c r="Q942">
        <f>IF(OR(B942="SP",B942="RP",B942="CP",B942="SP/RP"),"P","H")</f>
        <v/>
      </c>
      <c r="R942">
        <f>IF(F942="",0,IFNA(VLOOKUP(F942,Trait_Polarity!$A:$C,2,FALSE),0))+IF(G942="",0,IFNA(VLOOKUP(G942,Trait_Polarity!$A:$C,2,FALSE),0))</f>
        <v/>
      </c>
      <c r="S942">
        <f>IF(F942="",0,IFNA(VLOOKUP(F942,Trait_Polarity!$A:$C,3,FALSE),0))+IF(G942="",0,IFNA(VLOOKUP(G942,Trait_Polarity!$A:$C,3,FALSE),0))</f>
        <v/>
      </c>
      <c r="T942">
        <f>IF(Q942="P",0,IFNA(VLOOKUP(IF(C942="","(none)",C942),Secondary_Versatility!$A:$B,2,FALSE),0))</f>
        <v/>
      </c>
      <c r="U942">
        <f>IF(H942="",0,LEN(H942)-LEN(SUBSTITUTE(H942,"|",""))+1)</f>
        <v/>
      </c>
      <c r="V942">
        <f>IF(Q942="P",(N942+O942+P942)/3,0.3*I942+0.3*J942+0.2*K942+0.1*L942+0.1*M942)</f>
        <v/>
      </c>
      <c r="W942">
        <f>IF(Q942="P",IF(F942="",0,IFNA(VLOOKUP(F942,Pitcher_Trait_Coef!$A:$B,2,FALSE),0))+IF(G942="",0,IFNA(VLOOKUP(G942,Pitcher_Trait_Coef!$A:$B,2,FALSE),0)),IF(F942="",0,IFNA(VLOOKUP(F942,Hitter_Trait_Coef!$A:$B,2,FALSE),0))+IF(G942="",0,IFNA(VLOOKUP(G942,Hitter_Trait_Coef!$A:$B,2,FALSE),0)))</f>
        <v/>
      </c>
      <c r="X942">
        <f>IF(Q942="P",IFNA(VLOOKUP(B942,Pitcher_Primary_Coef!$A:$B,2,FALSE),0),IFNA(VLOOKUP(B942,Hitter_Primary_Coef!$A:$B,2,FALSE),0))</f>
        <v/>
      </c>
      <c r="Y942">
        <f>IF(Q942="P",0,IFNA(VLOOKUP(IF(C942="","(none)",C942),Hitter_Secondary_Coef!$A:$B,2,FALSE),0))</f>
        <v/>
      </c>
      <c r="Z942">
        <f>IF(Q942="P",IF(ISNUMBER(SEARCH("2F",H942)),IFNA(VLOOKUP("2F",Pitch_Coef!$A:$B,2,FALSE),0),0)+IF(ISNUMBER(SEARCH("4F",H942)),IFNA(VLOOKUP("4F",Pitch_Coef!$A:$B,2,FALSE),0),0)+IF(ISNUMBER(SEARCH("CB",H942)),IFNA(VLOOKUP("CB",Pitch_Coef!$A:$B,2,FALSE),0),0)+IF(ISNUMBER(SEARCH("CF",H942)),IFNA(VLOOKUP("CF",Pitch_Coef!$A:$B,2,FALSE),0),0)+IF(ISNUMBER(SEARCH("CH",H942)),IFNA(VLOOKUP("CH",Pitch_Coef!$A:$B,2,FALSE),0),0)+IF(ISNUMBER(SEARCH("FK",H942)),IFNA(VLOOKUP("FK",Pitch_Coef!$A:$B,2,FALSE),0),0)+IF(ISNUMBER(SEARCH("SB",H942)),IFNA(VLOOKUP("SB",Pitch_Coef!$A:$B,2,FALSE),0),0)+IF(ISNUMBER(SEARCH("SL",H942)),IFNA(VLOOKUP("SL",Pitch_Coef!$A:$B,2,FALSE),0),0),0)</f>
        <v/>
      </c>
      <c r="AA942">
        <f>IF(Q942="P",16.5944849573+0.2529999141*N942+0.2665900378*O942+0.2632687105*P942+0.0427586837*I942+0.0534777057*J942+0.009015832*K942+0.0204898106*(O942*P942/100)+1.0091022427*U942+1.0968542297*IF(D942="L",1,0)+0.3771555045*IF(D942="S",1,0)-0.2226159177*IF(E942="L",1,0)+1.21385024*R942-1.1652812274*S942+W942+X942+Z942,10.5965166711+0.2825983581*I942+0.2806503532*J942+0.2027213083*K942+0.1147824982*L942+0.0915305332*M942-0.0088454122*(I942*J942/100)-0.0336045706*(K942*L942/100)+2.8497389733*IF(D942="L",1,0)+4.5116226727*IF(D942="S",1,0)-0.6571546448*IF(E942="L",1,0)+0.0850728147*T942+0.0129488446*(T942*T942)+0.1909373936*IF(OR(F942="Utility",G942="Utility"),T942,0)+0.9656824071*R942-1.7517683256*S942+W942+X942+Y942)</f>
        <v/>
      </c>
      <c r="AB942">
        <f>LOOKUP(AA942,Grade_Scale!$A$2:$A$18,Grade_Scale!$B$2:$B$18)</f>
        <v/>
      </c>
      <c r="AC942">
        <f>LOOKUP(AA942,Grade_Scale!$A$2:$A$18,Grade_Scale!$C$2:$C$18)</f>
        <v/>
      </c>
      <c r="AE942">
        <f>IF(AD942="","",AB942-VLOOKUP(AD942,Grade_Scale!$C$2:$E$18,3,FALSE))</f>
        <v/>
      </c>
    </row>
    <row r="943">
      <c r="Q943">
        <f>IF(OR(B943="SP",B943="RP",B943="CP",B943="SP/RP"),"P","H")</f>
        <v/>
      </c>
      <c r="R943">
        <f>IF(F943="",0,IFNA(VLOOKUP(F943,Trait_Polarity!$A:$C,2,FALSE),0))+IF(G943="",0,IFNA(VLOOKUP(G943,Trait_Polarity!$A:$C,2,FALSE),0))</f>
        <v/>
      </c>
      <c r="S943">
        <f>IF(F943="",0,IFNA(VLOOKUP(F943,Trait_Polarity!$A:$C,3,FALSE),0))+IF(G943="",0,IFNA(VLOOKUP(G943,Trait_Polarity!$A:$C,3,FALSE),0))</f>
        <v/>
      </c>
      <c r="T943">
        <f>IF(Q943="P",0,IFNA(VLOOKUP(IF(C943="","(none)",C943),Secondary_Versatility!$A:$B,2,FALSE),0))</f>
        <v/>
      </c>
      <c r="U943">
        <f>IF(H943="",0,LEN(H943)-LEN(SUBSTITUTE(H943,"|",""))+1)</f>
        <v/>
      </c>
      <c r="V943">
        <f>IF(Q943="P",(N943+O943+P943)/3,0.3*I943+0.3*J943+0.2*K943+0.1*L943+0.1*M943)</f>
        <v/>
      </c>
      <c r="W943">
        <f>IF(Q943="P",IF(F943="",0,IFNA(VLOOKUP(F943,Pitcher_Trait_Coef!$A:$B,2,FALSE),0))+IF(G943="",0,IFNA(VLOOKUP(G943,Pitcher_Trait_Coef!$A:$B,2,FALSE),0)),IF(F943="",0,IFNA(VLOOKUP(F943,Hitter_Trait_Coef!$A:$B,2,FALSE),0))+IF(G943="",0,IFNA(VLOOKUP(G943,Hitter_Trait_Coef!$A:$B,2,FALSE),0)))</f>
        <v/>
      </c>
      <c r="X943">
        <f>IF(Q943="P",IFNA(VLOOKUP(B943,Pitcher_Primary_Coef!$A:$B,2,FALSE),0),IFNA(VLOOKUP(B943,Hitter_Primary_Coef!$A:$B,2,FALSE),0))</f>
        <v/>
      </c>
      <c r="Y943">
        <f>IF(Q943="P",0,IFNA(VLOOKUP(IF(C943="","(none)",C943),Hitter_Secondary_Coef!$A:$B,2,FALSE),0))</f>
        <v/>
      </c>
      <c r="Z943">
        <f>IF(Q943="P",IF(ISNUMBER(SEARCH("2F",H943)),IFNA(VLOOKUP("2F",Pitch_Coef!$A:$B,2,FALSE),0),0)+IF(ISNUMBER(SEARCH("4F",H943)),IFNA(VLOOKUP("4F",Pitch_Coef!$A:$B,2,FALSE),0),0)+IF(ISNUMBER(SEARCH("CB",H943)),IFNA(VLOOKUP("CB",Pitch_Coef!$A:$B,2,FALSE),0),0)+IF(ISNUMBER(SEARCH("CF",H943)),IFNA(VLOOKUP("CF",Pitch_Coef!$A:$B,2,FALSE),0),0)+IF(ISNUMBER(SEARCH("CH",H943)),IFNA(VLOOKUP("CH",Pitch_Coef!$A:$B,2,FALSE),0),0)+IF(ISNUMBER(SEARCH("FK",H943)),IFNA(VLOOKUP("FK",Pitch_Coef!$A:$B,2,FALSE),0),0)+IF(ISNUMBER(SEARCH("SB",H943)),IFNA(VLOOKUP("SB",Pitch_Coef!$A:$B,2,FALSE),0),0)+IF(ISNUMBER(SEARCH("SL",H943)),IFNA(VLOOKUP("SL",Pitch_Coef!$A:$B,2,FALSE),0),0),0)</f>
        <v/>
      </c>
      <c r="AA943">
        <f>IF(Q943="P",16.5944849573+0.2529999141*N943+0.2665900378*O943+0.2632687105*P943+0.0427586837*I943+0.0534777057*J943+0.009015832*K943+0.0204898106*(O943*P943/100)+1.0091022427*U943+1.0968542297*IF(D943="L",1,0)+0.3771555045*IF(D943="S",1,0)-0.2226159177*IF(E943="L",1,0)+1.21385024*R943-1.1652812274*S943+W943+X943+Z943,10.5965166711+0.2825983581*I943+0.2806503532*J943+0.2027213083*K943+0.1147824982*L943+0.0915305332*M943-0.0088454122*(I943*J943/100)-0.0336045706*(K943*L943/100)+2.8497389733*IF(D943="L",1,0)+4.5116226727*IF(D943="S",1,0)-0.6571546448*IF(E943="L",1,0)+0.0850728147*T943+0.0129488446*(T943*T943)+0.1909373936*IF(OR(F943="Utility",G943="Utility"),T943,0)+0.9656824071*R943-1.7517683256*S943+W943+X943+Y943)</f>
        <v/>
      </c>
      <c r="AB943">
        <f>LOOKUP(AA943,Grade_Scale!$A$2:$A$18,Grade_Scale!$B$2:$B$18)</f>
        <v/>
      </c>
      <c r="AC943">
        <f>LOOKUP(AA943,Grade_Scale!$A$2:$A$18,Grade_Scale!$C$2:$C$18)</f>
        <v/>
      </c>
      <c r="AE943">
        <f>IF(AD943="","",AB943-VLOOKUP(AD943,Grade_Scale!$C$2:$E$18,3,FALSE))</f>
        <v/>
      </c>
    </row>
    <row r="944">
      <c r="Q944">
        <f>IF(OR(B944="SP",B944="RP",B944="CP",B944="SP/RP"),"P","H")</f>
        <v/>
      </c>
      <c r="R944">
        <f>IF(F944="",0,IFNA(VLOOKUP(F944,Trait_Polarity!$A:$C,2,FALSE),0))+IF(G944="",0,IFNA(VLOOKUP(G944,Trait_Polarity!$A:$C,2,FALSE),0))</f>
        <v/>
      </c>
      <c r="S944">
        <f>IF(F944="",0,IFNA(VLOOKUP(F944,Trait_Polarity!$A:$C,3,FALSE),0))+IF(G944="",0,IFNA(VLOOKUP(G944,Trait_Polarity!$A:$C,3,FALSE),0))</f>
        <v/>
      </c>
      <c r="T944">
        <f>IF(Q944="P",0,IFNA(VLOOKUP(IF(C944="","(none)",C944),Secondary_Versatility!$A:$B,2,FALSE),0))</f>
        <v/>
      </c>
      <c r="U944">
        <f>IF(H944="",0,LEN(H944)-LEN(SUBSTITUTE(H944,"|",""))+1)</f>
        <v/>
      </c>
      <c r="V944">
        <f>IF(Q944="P",(N944+O944+P944)/3,0.3*I944+0.3*J944+0.2*K944+0.1*L944+0.1*M944)</f>
        <v/>
      </c>
      <c r="W944">
        <f>IF(Q944="P",IF(F944="",0,IFNA(VLOOKUP(F944,Pitcher_Trait_Coef!$A:$B,2,FALSE),0))+IF(G944="",0,IFNA(VLOOKUP(G944,Pitcher_Trait_Coef!$A:$B,2,FALSE),0)),IF(F944="",0,IFNA(VLOOKUP(F944,Hitter_Trait_Coef!$A:$B,2,FALSE),0))+IF(G944="",0,IFNA(VLOOKUP(G944,Hitter_Trait_Coef!$A:$B,2,FALSE),0)))</f>
        <v/>
      </c>
      <c r="X944">
        <f>IF(Q944="P",IFNA(VLOOKUP(B944,Pitcher_Primary_Coef!$A:$B,2,FALSE),0),IFNA(VLOOKUP(B944,Hitter_Primary_Coef!$A:$B,2,FALSE),0))</f>
        <v/>
      </c>
      <c r="Y944">
        <f>IF(Q944="P",0,IFNA(VLOOKUP(IF(C944="","(none)",C944),Hitter_Secondary_Coef!$A:$B,2,FALSE),0))</f>
        <v/>
      </c>
      <c r="Z944">
        <f>IF(Q944="P",IF(ISNUMBER(SEARCH("2F",H944)),IFNA(VLOOKUP("2F",Pitch_Coef!$A:$B,2,FALSE),0),0)+IF(ISNUMBER(SEARCH("4F",H944)),IFNA(VLOOKUP("4F",Pitch_Coef!$A:$B,2,FALSE),0),0)+IF(ISNUMBER(SEARCH("CB",H944)),IFNA(VLOOKUP("CB",Pitch_Coef!$A:$B,2,FALSE),0),0)+IF(ISNUMBER(SEARCH("CF",H944)),IFNA(VLOOKUP("CF",Pitch_Coef!$A:$B,2,FALSE),0),0)+IF(ISNUMBER(SEARCH("CH",H944)),IFNA(VLOOKUP("CH",Pitch_Coef!$A:$B,2,FALSE),0),0)+IF(ISNUMBER(SEARCH("FK",H944)),IFNA(VLOOKUP("FK",Pitch_Coef!$A:$B,2,FALSE),0),0)+IF(ISNUMBER(SEARCH("SB",H944)),IFNA(VLOOKUP("SB",Pitch_Coef!$A:$B,2,FALSE),0),0)+IF(ISNUMBER(SEARCH("SL",H944)),IFNA(VLOOKUP("SL",Pitch_Coef!$A:$B,2,FALSE),0),0),0)</f>
        <v/>
      </c>
      <c r="AA944">
        <f>IF(Q944="P",16.5944849573+0.2529999141*N944+0.2665900378*O944+0.2632687105*P944+0.0427586837*I944+0.0534777057*J944+0.009015832*K944+0.0204898106*(O944*P944/100)+1.0091022427*U944+1.0968542297*IF(D944="L",1,0)+0.3771555045*IF(D944="S",1,0)-0.2226159177*IF(E944="L",1,0)+1.21385024*R944-1.1652812274*S944+W944+X944+Z944,10.5965166711+0.2825983581*I944+0.2806503532*J944+0.2027213083*K944+0.1147824982*L944+0.0915305332*M944-0.0088454122*(I944*J944/100)-0.0336045706*(K944*L944/100)+2.8497389733*IF(D944="L",1,0)+4.5116226727*IF(D944="S",1,0)-0.6571546448*IF(E944="L",1,0)+0.0850728147*T944+0.0129488446*(T944*T944)+0.1909373936*IF(OR(F944="Utility",G944="Utility"),T944,0)+0.9656824071*R944-1.7517683256*S944+W944+X944+Y944)</f>
        <v/>
      </c>
      <c r="AB944">
        <f>LOOKUP(AA944,Grade_Scale!$A$2:$A$18,Grade_Scale!$B$2:$B$18)</f>
        <v/>
      </c>
      <c r="AC944">
        <f>LOOKUP(AA944,Grade_Scale!$A$2:$A$18,Grade_Scale!$C$2:$C$18)</f>
        <v/>
      </c>
      <c r="AE944">
        <f>IF(AD944="","",AB944-VLOOKUP(AD944,Grade_Scale!$C$2:$E$18,3,FALSE))</f>
        <v/>
      </c>
    </row>
    <row r="945">
      <c r="Q945">
        <f>IF(OR(B945="SP",B945="RP",B945="CP",B945="SP/RP"),"P","H")</f>
        <v/>
      </c>
      <c r="R945">
        <f>IF(F945="",0,IFNA(VLOOKUP(F945,Trait_Polarity!$A:$C,2,FALSE),0))+IF(G945="",0,IFNA(VLOOKUP(G945,Trait_Polarity!$A:$C,2,FALSE),0))</f>
        <v/>
      </c>
      <c r="S945">
        <f>IF(F945="",0,IFNA(VLOOKUP(F945,Trait_Polarity!$A:$C,3,FALSE),0))+IF(G945="",0,IFNA(VLOOKUP(G945,Trait_Polarity!$A:$C,3,FALSE),0))</f>
        <v/>
      </c>
      <c r="T945">
        <f>IF(Q945="P",0,IFNA(VLOOKUP(IF(C945="","(none)",C945),Secondary_Versatility!$A:$B,2,FALSE),0))</f>
        <v/>
      </c>
      <c r="U945">
        <f>IF(H945="",0,LEN(H945)-LEN(SUBSTITUTE(H945,"|",""))+1)</f>
        <v/>
      </c>
      <c r="V945">
        <f>IF(Q945="P",(N945+O945+P945)/3,0.3*I945+0.3*J945+0.2*K945+0.1*L945+0.1*M945)</f>
        <v/>
      </c>
      <c r="W945">
        <f>IF(Q945="P",IF(F945="",0,IFNA(VLOOKUP(F945,Pitcher_Trait_Coef!$A:$B,2,FALSE),0))+IF(G945="",0,IFNA(VLOOKUP(G945,Pitcher_Trait_Coef!$A:$B,2,FALSE),0)),IF(F945="",0,IFNA(VLOOKUP(F945,Hitter_Trait_Coef!$A:$B,2,FALSE),0))+IF(G945="",0,IFNA(VLOOKUP(G945,Hitter_Trait_Coef!$A:$B,2,FALSE),0)))</f>
        <v/>
      </c>
      <c r="X945">
        <f>IF(Q945="P",IFNA(VLOOKUP(B945,Pitcher_Primary_Coef!$A:$B,2,FALSE),0),IFNA(VLOOKUP(B945,Hitter_Primary_Coef!$A:$B,2,FALSE),0))</f>
        <v/>
      </c>
      <c r="Y945">
        <f>IF(Q945="P",0,IFNA(VLOOKUP(IF(C945="","(none)",C945),Hitter_Secondary_Coef!$A:$B,2,FALSE),0))</f>
        <v/>
      </c>
      <c r="Z945">
        <f>IF(Q945="P",IF(ISNUMBER(SEARCH("2F",H945)),IFNA(VLOOKUP("2F",Pitch_Coef!$A:$B,2,FALSE),0),0)+IF(ISNUMBER(SEARCH("4F",H945)),IFNA(VLOOKUP("4F",Pitch_Coef!$A:$B,2,FALSE),0),0)+IF(ISNUMBER(SEARCH("CB",H945)),IFNA(VLOOKUP("CB",Pitch_Coef!$A:$B,2,FALSE),0),0)+IF(ISNUMBER(SEARCH("CF",H945)),IFNA(VLOOKUP("CF",Pitch_Coef!$A:$B,2,FALSE),0),0)+IF(ISNUMBER(SEARCH("CH",H945)),IFNA(VLOOKUP("CH",Pitch_Coef!$A:$B,2,FALSE),0),0)+IF(ISNUMBER(SEARCH("FK",H945)),IFNA(VLOOKUP("FK",Pitch_Coef!$A:$B,2,FALSE),0),0)+IF(ISNUMBER(SEARCH("SB",H945)),IFNA(VLOOKUP("SB",Pitch_Coef!$A:$B,2,FALSE),0),0)+IF(ISNUMBER(SEARCH("SL",H945)),IFNA(VLOOKUP("SL",Pitch_Coef!$A:$B,2,FALSE),0),0),0)</f>
        <v/>
      </c>
      <c r="AA945">
        <f>IF(Q945="P",16.5944849573+0.2529999141*N945+0.2665900378*O945+0.2632687105*P945+0.0427586837*I945+0.0534777057*J945+0.009015832*K945+0.0204898106*(O945*P945/100)+1.0091022427*U945+1.0968542297*IF(D945="L",1,0)+0.3771555045*IF(D945="S",1,0)-0.2226159177*IF(E945="L",1,0)+1.21385024*R945-1.1652812274*S945+W945+X945+Z945,10.5965166711+0.2825983581*I945+0.2806503532*J945+0.2027213083*K945+0.1147824982*L945+0.0915305332*M945-0.0088454122*(I945*J945/100)-0.0336045706*(K945*L945/100)+2.8497389733*IF(D945="L",1,0)+4.5116226727*IF(D945="S",1,0)-0.6571546448*IF(E945="L",1,0)+0.0850728147*T945+0.0129488446*(T945*T945)+0.1909373936*IF(OR(F945="Utility",G945="Utility"),T945,0)+0.9656824071*R945-1.7517683256*S945+W945+X945+Y945)</f>
        <v/>
      </c>
      <c r="AB945">
        <f>LOOKUP(AA945,Grade_Scale!$A$2:$A$18,Grade_Scale!$B$2:$B$18)</f>
        <v/>
      </c>
      <c r="AC945">
        <f>LOOKUP(AA945,Grade_Scale!$A$2:$A$18,Grade_Scale!$C$2:$C$18)</f>
        <v/>
      </c>
      <c r="AE945">
        <f>IF(AD945="","",AB945-VLOOKUP(AD945,Grade_Scale!$C$2:$E$18,3,FALSE))</f>
        <v/>
      </c>
    </row>
    <row r="946">
      <c r="Q946">
        <f>IF(OR(B946="SP",B946="RP",B946="CP",B946="SP/RP"),"P","H")</f>
        <v/>
      </c>
      <c r="R946">
        <f>IF(F946="",0,IFNA(VLOOKUP(F946,Trait_Polarity!$A:$C,2,FALSE),0))+IF(G946="",0,IFNA(VLOOKUP(G946,Trait_Polarity!$A:$C,2,FALSE),0))</f>
        <v/>
      </c>
      <c r="S946">
        <f>IF(F946="",0,IFNA(VLOOKUP(F946,Trait_Polarity!$A:$C,3,FALSE),0))+IF(G946="",0,IFNA(VLOOKUP(G946,Trait_Polarity!$A:$C,3,FALSE),0))</f>
        <v/>
      </c>
      <c r="T946">
        <f>IF(Q946="P",0,IFNA(VLOOKUP(IF(C946="","(none)",C946),Secondary_Versatility!$A:$B,2,FALSE),0))</f>
        <v/>
      </c>
      <c r="U946">
        <f>IF(H946="",0,LEN(H946)-LEN(SUBSTITUTE(H946,"|",""))+1)</f>
        <v/>
      </c>
      <c r="V946">
        <f>IF(Q946="P",(N946+O946+P946)/3,0.3*I946+0.3*J946+0.2*K946+0.1*L946+0.1*M946)</f>
        <v/>
      </c>
      <c r="W946">
        <f>IF(Q946="P",IF(F946="",0,IFNA(VLOOKUP(F946,Pitcher_Trait_Coef!$A:$B,2,FALSE),0))+IF(G946="",0,IFNA(VLOOKUP(G946,Pitcher_Trait_Coef!$A:$B,2,FALSE),0)),IF(F946="",0,IFNA(VLOOKUP(F946,Hitter_Trait_Coef!$A:$B,2,FALSE),0))+IF(G946="",0,IFNA(VLOOKUP(G946,Hitter_Trait_Coef!$A:$B,2,FALSE),0)))</f>
        <v/>
      </c>
      <c r="X946">
        <f>IF(Q946="P",IFNA(VLOOKUP(B946,Pitcher_Primary_Coef!$A:$B,2,FALSE),0),IFNA(VLOOKUP(B946,Hitter_Primary_Coef!$A:$B,2,FALSE),0))</f>
        <v/>
      </c>
      <c r="Y946">
        <f>IF(Q946="P",0,IFNA(VLOOKUP(IF(C946="","(none)",C946),Hitter_Secondary_Coef!$A:$B,2,FALSE),0))</f>
        <v/>
      </c>
      <c r="Z946">
        <f>IF(Q946="P",IF(ISNUMBER(SEARCH("2F",H946)),IFNA(VLOOKUP("2F",Pitch_Coef!$A:$B,2,FALSE),0),0)+IF(ISNUMBER(SEARCH("4F",H946)),IFNA(VLOOKUP("4F",Pitch_Coef!$A:$B,2,FALSE),0),0)+IF(ISNUMBER(SEARCH("CB",H946)),IFNA(VLOOKUP("CB",Pitch_Coef!$A:$B,2,FALSE),0),0)+IF(ISNUMBER(SEARCH("CF",H946)),IFNA(VLOOKUP("CF",Pitch_Coef!$A:$B,2,FALSE),0),0)+IF(ISNUMBER(SEARCH("CH",H946)),IFNA(VLOOKUP("CH",Pitch_Coef!$A:$B,2,FALSE),0),0)+IF(ISNUMBER(SEARCH("FK",H946)),IFNA(VLOOKUP("FK",Pitch_Coef!$A:$B,2,FALSE),0),0)+IF(ISNUMBER(SEARCH("SB",H946)),IFNA(VLOOKUP("SB",Pitch_Coef!$A:$B,2,FALSE),0),0)+IF(ISNUMBER(SEARCH("SL",H946)),IFNA(VLOOKUP("SL",Pitch_Coef!$A:$B,2,FALSE),0),0),0)</f>
        <v/>
      </c>
      <c r="AA946">
        <f>IF(Q946="P",16.5944849573+0.2529999141*N946+0.2665900378*O946+0.2632687105*P946+0.0427586837*I946+0.0534777057*J946+0.009015832*K946+0.0204898106*(O946*P946/100)+1.0091022427*U946+1.0968542297*IF(D946="L",1,0)+0.3771555045*IF(D946="S",1,0)-0.2226159177*IF(E946="L",1,0)+1.21385024*R946-1.1652812274*S946+W946+X946+Z946,10.5965166711+0.2825983581*I946+0.2806503532*J946+0.2027213083*K946+0.1147824982*L946+0.0915305332*M946-0.0088454122*(I946*J946/100)-0.0336045706*(K946*L946/100)+2.8497389733*IF(D946="L",1,0)+4.5116226727*IF(D946="S",1,0)-0.6571546448*IF(E946="L",1,0)+0.0850728147*T946+0.0129488446*(T946*T946)+0.1909373936*IF(OR(F946="Utility",G946="Utility"),T946,0)+0.9656824071*R946-1.7517683256*S946+W946+X946+Y946)</f>
        <v/>
      </c>
      <c r="AB946">
        <f>LOOKUP(AA946,Grade_Scale!$A$2:$A$18,Grade_Scale!$B$2:$B$18)</f>
        <v/>
      </c>
      <c r="AC946">
        <f>LOOKUP(AA946,Grade_Scale!$A$2:$A$18,Grade_Scale!$C$2:$C$18)</f>
        <v/>
      </c>
      <c r="AE946">
        <f>IF(AD946="","",AB946-VLOOKUP(AD946,Grade_Scale!$C$2:$E$18,3,FALSE))</f>
        <v/>
      </c>
    </row>
    <row r="947">
      <c r="Q947">
        <f>IF(OR(B947="SP",B947="RP",B947="CP",B947="SP/RP"),"P","H")</f>
        <v/>
      </c>
      <c r="R947">
        <f>IF(F947="",0,IFNA(VLOOKUP(F947,Trait_Polarity!$A:$C,2,FALSE),0))+IF(G947="",0,IFNA(VLOOKUP(G947,Trait_Polarity!$A:$C,2,FALSE),0))</f>
        <v/>
      </c>
      <c r="S947">
        <f>IF(F947="",0,IFNA(VLOOKUP(F947,Trait_Polarity!$A:$C,3,FALSE),0))+IF(G947="",0,IFNA(VLOOKUP(G947,Trait_Polarity!$A:$C,3,FALSE),0))</f>
        <v/>
      </c>
      <c r="T947">
        <f>IF(Q947="P",0,IFNA(VLOOKUP(IF(C947="","(none)",C947),Secondary_Versatility!$A:$B,2,FALSE),0))</f>
        <v/>
      </c>
      <c r="U947">
        <f>IF(H947="",0,LEN(H947)-LEN(SUBSTITUTE(H947,"|",""))+1)</f>
        <v/>
      </c>
      <c r="V947">
        <f>IF(Q947="P",(N947+O947+P947)/3,0.3*I947+0.3*J947+0.2*K947+0.1*L947+0.1*M947)</f>
        <v/>
      </c>
      <c r="W947">
        <f>IF(Q947="P",IF(F947="",0,IFNA(VLOOKUP(F947,Pitcher_Trait_Coef!$A:$B,2,FALSE),0))+IF(G947="",0,IFNA(VLOOKUP(G947,Pitcher_Trait_Coef!$A:$B,2,FALSE),0)),IF(F947="",0,IFNA(VLOOKUP(F947,Hitter_Trait_Coef!$A:$B,2,FALSE),0))+IF(G947="",0,IFNA(VLOOKUP(G947,Hitter_Trait_Coef!$A:$B,2,FALSE),0)))</f>
        <v/>
      </c>
      <c r="X947">
        <f>IF(Q947="P",IFNA(VLOOKUP(B947,Pitcher_Primary_Coef!$A:$B,2,FALSE),0),IFNA(VLOOKUP(B947,Hitter_Primary_Coef!$A:$B,2,FALSE),0))</f>
        <v/>
      </c>
      <c r="Y947">
        <f>IF(Q947="P",0,IFNA(VLOOKUP(IF(C947="","(none)",C947),Hitter_Secondary_Coef!$A:$B,2,FALSE),0))</f>
        <v/>
      </c>
      <c r="Z947">
        <f>IF(Q947="P",IF(ISNUMBER(SEARCH("2F",H947)),IFNA(VLOOKUP("2F",Pitch_Coef!$A:$B,2,FALSE),0),0)+IF(ISNUMBER(SEARCH("4F",H947)),IFNA(VLOOKUP("4F",Pitch_Coef!$A:$B,2,FALSE),0),0)+IF(ISNUMBER(SEARCH("CB",H947)),IFNA(VLOOKUP("CB",Pitch_Coef!$A:$B,2,FALSE),0),0)+IF(ISNUMBER(SEARCH("CF",H947)),IFNA(VLOOKUP("CF",Pitch_Coef!$A:$B,2,FALSE),0),0)+IF(ISNUMBER(SEARCH("CH",H947)),IFNA(VLOOKUP("CH",Pitch_Coef!$A:$B,2,FALSE),0),0)+IF(ISNUMBER(SEARCH("FK",H947)),IFNA(VLOOKUP("FK",Pitch_Coef!$A:$B,2,FALSE),0),0)+IF(ISNUMBER(SEARCH("SB",H947)),IFNA(VLOOKUP("SB",Pitch_Coef!$A:$B,2,FALSE),0),0)+IF(ISNUMBER(SEARCH("SL",H947)),IFNA(VLOOKUP("SL",Pitch_Coef!$A:$B,2,FALSE),0),0),0)</f>
        <v/>
      </c>
      <c r="AA947">
        <f>IF(Q947="P",16.5944849573+0.2529999141*N947+0.2665900378*O947+0.2632687105*P947+0.0427586837*I947+0.0534777057*J947+0.009015832*K947+0.0204898106*(O947*P947/100)+1.0091022427*U947+1.0968542297*IF(D947="L",1,0)+0.3771555045*IF(D947="S",1,0)-0.2226159177*IF(E947="L",1,0)+1.21385024*R947-1.1652812274*S947+W947+X947+Z947,10.5965166711+0.2825983581*I947+0.2806503532*J947+0.2027213083*K947+0.1147824982*L947+0.0915305332*M947-0.0088454122*(I947*J947/100)-0.0336045706*(K947*L947/100)+2.8497389733*IF(D947="L",1,0)+4.5116226727*IF(D947="S",1,0)-0.6571546448*IF(E947="L",1,0)+0.0850728147*T947+0.0129488446*(T947*T947)+0.1909373936*IF(OR(F947="Utility",G947="Utility"),T947,0)+0.9656824071*R947-1.7517683256*S947+W947+X947+Y947)</f>
        <v/>
      </c>
      <c r="AB947">
        <f>LOOKUP(AA947,Grade_Scale!$A$2:$A$18,Grade_Scale!$B$2:$B$18)</f>
        <v/>
      </c>
      <c r="AC947">
        <f>LOOKUP(AA947,Grade_Scale!$A$2:$A$18,Grade_Scale!$C$2:$C$18)</f>
        <v/>
      </c>
      <c r="AE947">
        <f>IF(AD947="","",AB947-VLOOKUP(AD947,Grade_Scale!$C$2:$E$18,3,FALSE))</f>
        <v/>
      </c>
    </row>
    <row r="948">
      <c r="Q948">
        <f>IF(OR(B948="SP",B948="RP",B948="CP",B948="SP/RP"),"P","H")</f>
        <v/>
      </c>
      <c r="R948">
        <f>IF(F948="",0,IFNA(VLOOKUP(F948,Trait_Polarity!$A:$C,2,FALSE),0))+IF(G948="",0,IFNA(VLOOKUP(G948,Trait_Polarity!$A:$C,2,FALSE),0))</f>
        <v/>
      </c>
      <c r="S948">
        <f>IF(F948="",0,IFNA(VLOOKUP(F948,Trait_Polarity!$A:$C,3,FALSE),0))+IF(G948="",0,IFNA(VLOOKUP(G948,Trait_Polarity!$A:$C,3,FALSE),0))</f>
        <v/>
      </c>
      <c r="T948">
        <f>IF(Q948="P",0,IFNA(VLOOKUP(IF(C948="","(none)",C948),Secondary_Versatility!$A:$B,2,FALSE),0))</f>
        <v/>
      </c>
      <c r="U948">
        <f>IF(H948="",0,LEN(H948)-LEN(SUBSTITUTE(H948,"|",""))+1)</f>
        <v/>
      </c>
      <c r="V948">
        <f>IF(Q948="P",(N948+O948+P948)/3,0.3*I948+0.3*J948+0.2*K948+0.1*L948+0.1*M948)</f>
        <v/>
      </c>
      <c r="W948">
        <f>IF(Q948="P",IF(F948="",0,IFNA(VLOOKUP(F948,Pitcher_Trait_Coef!$A:$B,2,FALSE),0))+IF(G948="",0,IFNA(VLOOKUP(G948,Pitcher_Trait_Coef!$A:$B,2,FALSE),0)),IF(F948="",0,IFNA(VLOOKUP(F948,Hitter_Trait_Coef!$A:$B,2,FALSE),0))+IF(G948="",0,IFNA(VLOOKUP(G948,Hitter_Trait_Coef!$A:$B,2,FALSE),0)))</f>
        <v/>
      </c>
      <c r="X948">
        <f>IF(Q948="P",IFNA(VLOOKUP(B948,Pitcher_Primary_Coef!$A:$B,2,FALSE),0),IFNA(VLOOKUP(B948,Hitter_Primary_Coef!$A:$B,2,FALSE),0))</f>
        <v/>
      </c>
      <c r="Y948">
        <f>IF(Q948="P",0,IFNA(VLOOKUP(IF(C948="","(none)",C948),Hitter_Secondary_Coef!$A:$B,2,FALSE),0))</f>
        <v/>
      </c>
      <c r="Z948">
        <f>IF(Q948="P",IF(ISNUMBER(SEARCH("2F",H948)),IFNA(VLOOKUP("2F",Pitch_Coef!$A:$B,2,FALSE),0),0)+IF(ISNUMBER(SEARCH("4F",H948)),IFNA(VLOOKUP("4F",Pitch_Coef!$A:$B,2,FALSE),0),0)+IF(ISNUMBER(SEARCH("CB",H948)),IFNA(VLOOKUP("CB",Pitch_Coef!$A:$B,2,FALSE),0),0)+IF(ISNUMBER(SEARCH("CF",H948)),IFNA(VLOOKUP("CF",Pitch_Coef!$A:$B,2,FALSE),0),0)+IF(ISNUMBER(SEARCH("CH",H948)),IFNA(VLOOKUP("CH",Pitch_Coef!$A:$B,2,FALSE),0),0)+IF(ISNUMBER(SEARCH("FK",H948)),IFNA(VLOOKUP("FK",Pitch_Coef!$A:$B,2,FALSE),0),0)+IF(ISNUMBER(SEARCH("SB",H948)),IFNA(VLOOKUP("SB",Pitch_Coef!$A:$B,2,FALSE),0),0)+IF(ISNUMBER(SEARCH("SL",H948)),IFNA(VLOOKUP("SL",Pitch_Coef!$A:$B,2,FALSE),0),0),0)</f>
        <v/>
      </c>
      <c r="AA948">
        <f>IF(Q948="P",16.5944849573+0.2529999141*N948+0.2665900378*O948+0.2632687105*P948+0.0427586837*I948+0.0534777057*J948+0.009015832*K948+0.0204898106*(O948*P948/100)+1.0091022427*U948+1.0968542297*IF(D948="L",1,0)+0.3771555045*IF(D948="S",1,0)-0.2226159177*IF(E948="L",1,0)+1.21385024*R948-1.1652812274*S948+W948+X948+Z948,10.5965166711+0.2825983581*I948+0.2806503532*J948+0.2027213083*K948+0.1147824982*L948+0.0915305332*M948-0.0088454122*(I948*J948/100)-0.0336045706*(K948*L948/100)+2.8497389733*IF(D948="L",1,0)+4.5116226727*IF(D948="S",1,0)-0.6571546448*IF(E948="L",1,0)+0.0850728147*T948+0.0129488446*(T948*T948)+0.1909373936*IF(OR(F948="Utility",G948="Utility"),T948,0)+0.9656824071*R948-1.7517683256*S948+W948+X948+Y948)</f>
        <v/>
      </c>
      <c r="AB948">
        <f>LOOKUP(AA948,Grade_Scale!$A$2:$A$18,Grade_Scale!$B$2:$B$18)</f>
        <v/>
      </c>
      <c r="AC948">
        <f>LOOKUP(AA948,Grade_Scale!$A$2:$A$18,Grade_Scale!$C$2:$C$18)</f>
        <v/>
      </c>
      <c r="AE948">
        <f>IF(AD948="","",AB948-VLOOKUP(AD948,Grade_Scale!$C$2:$E$18,3,FALSE))</f>
        <v/>
      </c>
    </row>
    <row r="949">
      <c r="Q949">
        <f>IF(OR(B949="SP",B949="RP",B949="CP",B949="SP/RP"),"P","H")</f>
        <v/>
      </c>
      <c r="R949">
        <f>IF(F949="",0,IFNA(VLOOKUP(F949,Trait_Polarity!$A:$C,2,FALSE),0))+IF(G949="",0,IFNA(VLOOKUP(G949,Trait_Polarity!$A:$C,2,FALSE),0))</f>
        <v/>
      </c>
      <c r="S949">
        <f>IF(F949="",0,IFNA(VLOOKUP(F949,Trait_Polarity!$A:$C,3,FALSE),0))+IF(G949="",0,IFNA(VLOOKUP(G949,Trait_Polarity!$A:$C,3,FALSE),0))</f>
        <v/>
      </c>
      <c r="T949">
        <f>IF(Q949="P",0,IFNA(VLOOKUP(IF(C949="","(none)",C949),Secondary_Versatility!$A:$B,2,FALSE),0))</f>
        <v/>
      </c>
      <c r="U949">
        <f>IF(H949="",0,LEN(H949)-LEN(SUBSTITUTE(H949,"|",""))+1)</f>
        <v/>
      </c>
      <c r="V949">
        <f>IF(Q949="P",(N949+O949+P949)/3,0.3*I949+0.3*J949+0.2*K949+0.1*L949+0.1*M949)</f>
        <v/>
      </c>
      <c r="W949">
        <f>IF(Q949="P",IF(F949="",0,IFNA(VLOOKUP(F949,Pitcher_Trait_Coef!$A:$B,2,FALSE),0))+IF(G949="",0,IFNA(VLOOKUP(G949,Pitcher_Trait_Coef!$A:$B,2,FALSE),0)),IF(F949="",0,IFNA(VLOOKUP(F949,Hitter_Trait_Coef!$A:$B,2,FALSE),0))+IF(G949="",0,IFNA(VLOOKUP(G949,Hitter_Trait_Coef!$A:$B,2,FALSE),0)))</f>
        <v/>
      </c>
      <c r="X949">
        <f>IF(Q949="P",IFNA(VLOOKUP(B949,Pitcher_Primary_Coef!$A:$B,2,FALSE),0),IFNA(VLOOKUP(B949,Hitter_Primary_Coef!$A:$B,2,FALSE),0))</f>
        <v/>
      </c>
      <c r="Y949">
        <f>IF(Q949="P",0,IFNA(VLOOKUP(IF(C949="","(none)",C949),Hitter_Secondary_Coef!$A:$B,2,FALSE),0))</f>
        <v/>
      </c>
      <c r="Z949">
        <f>IF(Q949="P",IF(ISNUMBER(SEARCH("2F",H949)),IFNA(VLOOKUP("2F",Pitch_Coef!$A:$B,2,FALSE),0),0)+IF(ISNUMBER(SEARCH("4F",H949)),IFNA(VLOOKUP("4F",Pitch_Coef!$A:$B,2,FALSE),0),0)+IF(ISNUMBER(SEARCH("CB",H949)),IFNA(VLOOKUP("CB",Pitch_Coef!$A:$B,2,FALSE),0),0)+IF(ISNUMBER(SEARCH("CF",H949)),IFNA(VLOOKUP("CF",Pitch_Coef!$A:$B,2,FALSE),0),0)+IF(ISNUMBER(SEARCH("CH",H949)),IFNA(VLOOKUP("CH",Pitch_Coef!$A:$B,2,FALSE),0),0)+IF(ISNUMBER(SEARCH("FK",H949)),IFNA(VLOOKUP("FK",Pitch_Coef!$A:$B,2,FALSE),0),0)+IF(ISNUMBER(SEARCH("SB",H949)),IFNA(VLOOKUP("SB",Pitch_Coef!$A:$B,2,FALSE),0),0)+IF(ISNUMBER(SEARCH("SL",H949)),IFNA(VLOOKUP("SL",Pitch_Coef!$A:$B,2,FALSE),0),0),0)</f>
        <v/>
      </c>
      <c r="AA949">
        <f>IF(Q949="P",16.5944849573+0.2529999141*N949+0.2665900378*O949+0.2632687105*P949+0.0427586837*I949+0.0534777057*J949+0.009015832*K949+0.0204898106*(O949*P949/100)+1.0091022427*U949+1.0968542297*IF(D949="L",1,0)+0.3771555045*IF(D949="S",1,0)-0.2226159177*IF(E949="L",1,0)+1.21385024*R949-1.1652812274*S949+W949+X949+Z949,10.5965166711+0.2825983581*I949+0.2806503532*J949+0.2027213083*K949+0.1147824982*L949+0.0915305332*M949-0.0088454122*(I949*J949/100)-0.0336045706*(K949*L949/100)+2.8497389733*IF(D949="L",1,0)+4.5116226727*IF(D949="S",1,0)-0.6571546448*IF(E949="L",1,0)+0.0850728147*T949+0.0129488446*(T949*T949)+0.1909373936*IF(OR(F949="Utility",G949="Utility"),T949,0)+0.9656824071*R949-1.7517683256*S949+W949+X949+Y949)</f>
        <v/>
      </c>
      <c r="AB949">
        <f>LOOKUP(AA949,Grade_Scale!$A$2:$A$18,Grade_Scale!$B$2:$B$18)</f>
        <v/>
      </c>
      <c r="AC949">
        <f>LOOKUP(AA949,Grade_Scale!$A$2:$A$18,Grade_Scale!$C$2:$C$18)</f>
        <v/>
      </c>
      <c r="AE949">
        <f>IF(AD949="","",AB949-VLOOKUP(AD949,Grade_Scale!$C$2:$E$18,3,FALSE))</f>
        <v/>
      </c>
    </row>
    <row r="950">
      <c r="Q950">
        <f>IF(OR(B950="SP",B950="RP",B950="CP",B950="SP/RP"),"P","H")</f>
        <v/>
      </c>
      <c r="R950">
        <f>IF(F950="",0,IFNA(VLOOKUP(F950,Trait_Polarity!$A:$C,2,FALSE),0))+IF(G950="",0,IFNA(VLOOKUP(G950,Trait_Polarity!$A:$C,2,FALSE),0))</f>
        <v/>
      </c>
      <c r="S950">
        <f>IF(F950="",0,IFNA(VLOOKUP(F950,Trait_Polarity!$A:$C,3,FALSE),0))+IF(G950="",0,IFNA(VLOOKUP(G950,Trait_Polarity!$A:$C,3,FALSE),0))</f>
        <v/>
      </c>
      <c r="T950">
        <f>IF(Q950="P",0,IFNA(VLOOKUP(IF(C950="","(none)",C950),Secondary_Versatility!$A:$B,2,FALSE),0))</f>
        <v/>
      </c>
      <c r="U950">
        <f>IF(H950="",0,LEN(H950)-LEN(SUBSTITUTE(H950,"|",""))+1)</f>
        <v/>
      </c>
      <c r="V950">
        <f>IF(Q950="P",(N950+O950+P950)/3,0.3*I950+0.3*J950+0.2*K950+0.1*L950+0.1*M950)</f>
        <v/>
      </c>
      <c r="W950">
        <f>IF(Q950="P",IF(F950="",0,IFNA(VLOOKUP(F950,Pitcher_Trait_Coef!$A:$B,2,FALSE),0))+IF(G950="",0,IFNA(VLOOKUP(G950,Pitcher_Trait_Coef!$A:$B,2,FALSE),0)),IF(F950="",0,IFNA(VLOOKUP(F950,Hitter_Trait_Coef!$A:$B,2,FALSE),0))+IF(G950="",0,IFNA(VLOOKUP(G950,Hitter_Trait_Coef!$A:$B,2,FALSE),0)))</f>
        <v/>
      </c>
      <c r="X950">
        <f>IF(Q950="P",IFNA(VLOOKUP(B950,Pitcher_Primary_Coef!$A:$B,2,FALSE),0),IFNA(VLOOKUP(B950,Hitter_Primary_Coef!$A:$B,2,FALSE),0))</f>
        <v/>
      </c>
      <c r="Y950">
        <f>IF(Q950="P",0,IFNA(VLOOKUP(IF(C950="","(none)",C950),Hitter_Secondary_Coef!$A:$B,2,FALSE),0))</f>
        <v/>
      </c>
      <c r="Z950">
        <f>IF(Q950="P",IF(ISNUMBER(SEARCH("2F",H950)),IFNA(VLOOKUP("2F",Pitch_Coef!$A:$B,2,FALSE),0),0)+IF(ISNUMBER(SEARCH("4F",H950)),IFNA(VLOOKUP("4F",Pitch_Coef!$A:$B,2,FALSE),0),0)+IF(ISNUMBER(SEARCH("CB",H950)),IFNA(VLOOKUP("CB",Pitch_Coef!$A:$B,2,FALSE),0),0)+IF(ISNUMBER(SEARCH("CF",H950)),IFNA(VLOOKUP("CF",Pitch_Coef!$A:$B,2,FALSE),0),0)+IF(ISNUMBER(SEARCH("CH",H950)),IFNA(VLOOKUP("CH",Pitch_Coef!$A:$B,2,FALSE),0),0)+IF(ISNUMBER(SEARCH("FK",H950)),IFNA(VLOOKUP("FK",Pitch_Coef!$A:$B,2,FALSE),0),0)+IF(ISNUMBER(SEARCH("SB",H950)),IFNA(VLOOKUP("SB",Pitch_Coef!$A:$B,2,FALSE),0),0)+IF(ISNUMBER(SEARCH("SL",H950)),IFNA(VLOOKUP("SL",Pitch_Coef!$A:$B,2,FALSE),0),0),0)</f>
        <v/>
      </c>
      <c r="AA950">
        <f>IF(Q950="P",16.5944849573+0.2529999141*N950+0.2665900378*O950+0.2632687105*P950+0.0427586837*I950+0.0534777057*J950+0.009015832*K950+0.0204898106*(O950*P950/100)+1.0091022427*U950+1.0968542297*IF(D950="L",1,0)+0.3771555045*IF(D950="S",1,0)-0.2226159177*IF(E950="L",1,0)+1.21385024*R950-1.1652812274*S950+W950+X950+Z950,10.5965166711+0.2825983581*I950+0.2806503532*J950+0.2027213083*K950+0.1147824982*L950+0.0915305332*M950-0.0088454122*(I950*J950/100)-0.0336045706*(K950*L950/100)+2.8497389733*IF(D950="L",1,0)+4.5116226727*IF(D950="S",1,0)-0.6571546448*IF(E950="L",1,0)+0.0850728147*T950+0.0129488446*(T950*T950)+0.1909373936*IF(OR(F950="Utility",G950="Utility"),T950,0)+0.9656824071*R950-1.7517683256*S950+W950+X950+Y950)</f>
        <v/>
      </c>
      <c r="AB950">
        <f>LOOKUP(AA950,Grade_Scale!$A$2:$A$18,Grade_Scale!$B$2:$B$18)</f>
        <v/>
      </c>
      <c r="AC950">
        <f>LOOKUP(AA950,Grade_Scale!$A$2:$A$18,Grade_Scale!$C$2:$C$18)</f>
        <v/>
      </c>
      <c r="AE950">
        <f>IF(AD950="","",AB950-VLOOKUP(AD950,Grade_Scale!$C$2:$E$18,3,FALSE))</f>
        <v/>
      </c>
    </row>
    <row r="951">
      <c r="Q951">
        <f>IF(OR(B951="SP",B951="RP",B951="CP",B951="SP/RP"),"P","H")</f>
        <v/>
      </c>
      <c r="R951">
        <f>IF(F951="",0,IFNA(VLOOKUP(F951,Trait_Polarity!$A:$C,2,FALSE),0))+IF(G951="",0,IFNA(VLOOKUP(G951,Trait_Polarity!$A:$C,2,FALSE),0))</f>
        <v/>
      </c>
      <c r="S951">
        <f>IF(F951="",0,IFNA(VLOOKUP(F951,Trait_Polarity!$A:$C,3,FALSE),0))+IF(G951="",0,IFNA(VLOOKUP(G951,Trait_Polarity!$A:$C,3,FALSE),0))</f>
        <v/>
      </c>
      <c r="T951">
        <f>IF(Q951="P",0,IFNA(VLOOKUP(IF(C951="","(none)",C951),Secondary_Versatility!$A:$B,2,FALSE),0))</f>
        <v/>
      </c>
      <c r="U951">
        <f>IF(H951="",0,LEN(H951)-LEN(SUBSTITUTE(H951,"|",""))+1)</f>
        <v/>
      </c>
      <c r="V951">
        <f>IF(Q951="P",(N951+O951+P951)/3,0.3*I951+0.3*J951+0.2*K951+0.1*L951+0.1*M951)</f>
        <v/>
      </c>
      <c r="W951">
        <f>IF(Q951="P",IF(F951="",0,IFNA(VLOOKUP(F951,Pitcher_Trait_Coef!$A:$B,2,FALSE),0))+IF(G951="",0,IFNA(VLOOKUP(G951,Pitcher_Trait_Coef!$A:$B,2,FALSE),0)),IF(F951="",0,IFNA(VLOOKUP(F951,Hitter_Trait_Coef!$A:$B,2,FALSE),0))+IF(G951="",0,IFNA(VLOOKUP(G951,Hitter_Trait_Coef!$A:$B,2,FALSE),0)))</f>
        <v/>
      </c>
      <c r="X951">
        <f>IF(Q951="P",IFNA(VLOOKUP(B951,Pitcher_Primary_Coef!$A:$B,2,FALSE),0),IFNA(VLOOKUP(B951,Hitter_Primary_Coef!$A:$B,2,FALSE),0))</f>
        <v/>
      </c>
      <c r="Y951">
        <f>IF(Q951="P",0,IFNA(VLOOKUP(IF(C951="","(none)",C951),Hitter_Secondary_Coef!$A:$B,2,FALSE),0))</f>
        <v/>
      </c>
      <c r="Z951">
        <f>IF(Q951="P",IF(ISNUMBER(SEARCH("2F",H951)),IFNA(VLOOKUP("2F",Pitch_Coef!$A:$B,2,FALSE),0),0)+IF(ISNUMBER(SEARCH("4F",H951)),IFNA(VLOOKUP("4F",Pitch_Coef!$A:$B,2,FALSE),0),0)+IF(ISNUMBER(SEARCH("CB",H951)),IFNA(VLOOKUP("CB",Pitch_Coef!$A:$B,2,FALSE),0),0)+IF(ISNUMBER(SEARCH("CF",H951)),IFNA(VLOOKUP("CF",Pitch_Coef!$A:$B,2,FALSE),0),0)+IF(ISNUMBER(SEARCH("CH",H951)),IFNA(VLOOKUP("CH",Pitch_Coef!$A:$B,2,FALSE),0),0)+IF(ISNUMBER(SEARCH("FK",H951)),IFNA(VLOOKUP("FK",Pitch_Coef!$A:$B,2,FALSE),0),0)+IF(ISNUMBER(SEARCH("SB",H951)),IFNA(VLOOKUP("SB",Pitch_Coef!$A:$B,2,FALSE),0),0)+IF(ISNUMBER(SEARCH("SL",H951)),IFNA(VLOOKUP("SL",Pitch_Coef!$A:$B,2,FALSE),0),0),0)</f>
        <v/>
      </c>
      <c r="AA951">
        <f>IF(Q951="P",16.5944849573+0.2529999141*N951+0.2665900378*O951+0.2632687105*P951+0.0427586837*I951+0.0534777057*J951+0.009015832*K951+0.0204898106*(O951*P951/100)+1.0091022427*U951+1.0968542297*IF(D951="L",1,0)+0.3771555045*IF(D951="S",1,0)-0.2226159177*IF(E951="L",1,0)+1.21385024*R951-1.1652812274*S951+W951+X951+Z951,10.5965166711+0.2825983581*I951+0.2806503532*J951+0.2027213083*K951+0.1147824982*L951+0.0915305332*M951-0.0088454122*(I951*J951/100)-0.0336045706*(K951*L951/100)+2.8497389733*IF(D951="L",1,0)+4.5116226727*IF(D951="S",1,0)-0.6571546448*IF(E951="L",1,0)+0.0850728147*T951+0.0129488446*(T951*T951)+0.1909373936*IF(OR(F951="Utility",G951="Utility"),T951,0)+0.9656824071*R951-1.7517683256*S951+W951+X951+Y951)</f>
        <v/>
      </c>
      <c r="AB951">
        <f>LOOKUP(AA951,Grade_Scale!$A$2:$A$18,Grade_Scale!$B$2:$B$18)</f>
        <v/>
      </c>
      <c r="AC951">
        <f>LOOKUP(AA951,Grade_Scale!$A$2:$A$18,Grade_Scale!$C$2:$C$18)</f>
        <v/>
      </c>
      <c r="AE951">
        <f>IF(AD951="","",AB951-VLOOKUP(AD951,Grade_Scale!$C$2:$E$18,3,FALSE))</f>
        <v/>
      </c>
    </row>
    <row r="952">
      <c r="Q952">
        <f>IF(OR(B952="SP",B952="RP",B952="CP",B952="SP/RP"),"P","H")</f>
        <v/>
      </c>
      <c r="R952">
        <f>IF(F952="",0,IFNA(VLOOKUP(F952,Trait_Polarity!$A:$C,2,FALSE),0))+IF(G952="",0,IFNA(VLOOKUP(G952,Trait_Polarity!$A:$C,2,FALSE),0))</f>
        <v/>
      </c>
      <c r="S952">
        <f>IF(F952="",0,IFNA(VLOOKUP(F952,Trait_Polarity!$A:$C,3,FALSE),0))+IF(G952="",0,IFNA(VLOOKUP(G952,Trait_Polarity!$A:$C,3,FALSE),0))</f>
        <v/>
      </c>
      <c r="T952">
        <f>IF(Q952="P",0,IFNA(VLOOKUP(IF(C952="","(none)",C952),Secondary_Versatility!$A:$B,2,FALSE),0))</f>
        <v/>
      </c>
      <c r="U952">
        <f>IF(H952="",0,LEN(H952)-LEN(SUBSTITUTE(H952,"|",""))+1)</f>
        <v/>
      </c>
      <c r="V952">
        <f>IF(Q952="P",(N952+O952+P952)/3,0.3*I952+0.3*J952+0.2*K952+0.1*L952+0.1*M952)</f>
        <v/>
      </c>
      <c r="W952">
        <f>IF(Q952="P",IF(F952="",0,IFNA(VLOOKUP(F952,Pitcher_Trait_Coef!$A:$B,2,FALSE),0))+IF(G952="",0,IFNA(VLOOKUP(G952,Pitcher_Trait_Coef!$A:$B,2,FALSE),0)),IF(F952="",0,IFNA(VLOOKUP(F952,Hitter_Trait_Coef!$A:$B,2,FALSE),0))+IF(G952="",0,IFNA(VLOOKUP(G952,Hitter_Trait_Coef!$A:$B,2,FALSE),0)))</f>
        <v/>
      </c>
      <c r="X952">
        <f>IF(Q952="P",IFNA(VLOOKUP(B952,Pitcher_Primary_Coef!$A:$B,2,FALSE),0),IFNA(VLOOKUP(B952,Hitter_Primary_Coef!$A:$B,2,FALSE),0))</f>
        <v/>
      </c>
      <c r="Y952">
        <f>IF(Q952="P",0,IFNA(VLOOKUP(IF(C952="","(none)",C952),Hitter_Secondary_Coef!$A:$B,2,FALSE),0))</f>
        <v/>
      </c>
      <c r="Z952">
        <f>IF(Q952="P",IF(ISNUMBER(SEARCH("2F",H952)),IFNA(VLOOKUP("2F",Pitch_Coef!$A:$B,2,FALSE),0),0)+IF(ISNUMBER(SEARCH("4F",H952)),IFNA(VLOOKUP("4F",Pitch_Coef!$A:$B,2,FALSE),0),0)+IF(ISNUMBER(SEARCH("CB",H952)),IFNA(VLOOKUP("CB",Pitch_Coef!$A:$B,2,FALSE),0),0)+IF(ISNUMBER(SEARCH("CF",H952)),IFNA(VLOOKUP("CF",Pitch_Coef!$A:$B,2,FALSE),0),0)+IF(ISNUMBER(SEARCH("CH",H952)),IFNA(VLOOKUP("CH",Pitch_Coef!$A:$B,2,FALSE),0),0)+IF(ISNUMBER(SEARCH("FK",H952)),IFNA(VLOOKUP("FK",Pitch_Coef!$A:$B,2,FALSE),0),0)+IF(ISNUMBER(SEARCH("SB",H952)),IFNA(VLOOKUP("SB",Pitch_Coef!$A:$B,2,FALSE),0),0)+IF(ISNUMBER(SEARCH("SL",H952)),IFNA(VLOOKUP("SL",Pitch_Coef!$A:$B,2,FALSE),0),0),0)</f>
        <v/>
      </c>
      <c r="AA952">
        <f>IF(Q952="P",16.5944849573+0.2529999141*N952+0.2665900378*O952+0.2632687105*P952+0.0427586837*I952+0.0534777057*J952+0.009015832*K952+0.0204898106*(O952*P952/100)+1.0091022427*U952+1.0968542297*IF(D952="L",1,0)+0.3771555045*IF(D952="S",1,0)-0.2226159177*IF(E952="L",1,0)+1.21385024*R952-1.1652812274*S952+W952+X952+Z952,10.5965166711+0.2825983581*I952+0.2806503532*J952+0.2027213083*K952+0.1147824982*L952+0.0915305332*M952-0.0088454122*(I952*J952/100)-0.0336045706*(K952*L952/100)+2.8497389733*IF(D952="L",1,0)+4.5116226727*IF(D952="S",1,0)-0.6571546448*IF(E952="L",1,0)+0.0850728147*T952+0.0129488446*(T952*T952)+0.1909373936*IF(OR(F952="Utility",G952="Utility"),T952,0)+0.9656824071*R952-1.7517683256*S952+W952+X952+Y952)</f>
        <v/>
      </c>
      <c r="AB952">
        <f>LOOKUP(AA952,Grade_Scale!$A$2:$A$18,Grade_Scale!$B$2:$B$18)</f>
        <v/>
      </c>
      <c r="AC952">
        <f>LOOKUP(AA952,Grade_Scale!$A$2:$A$18,Grade_Scale!$C$2:$C$18)</f>
        <v/>
      </c>
      <c r="AE952">
        <f>IF(AD952="","",AB952-VLOOKUP(AD952,Grade_Scale!$C$2:$E$18,3,FALSE))</f>
        <v/>
      </c>
    </row>
    <row r="953">
      <c r="Q953">
        <f>IF(OR(B953="SP",B953="RP",B953="CP",B953="SP/RP"),"P","H")</f>
        <v/>
      </c>
      <c r="R953">
        <f>IF(F953="",0,IFNA(VLOOKUP(F953,Trait_Polarity!$A:$C,2,FALSE),0))+IF(G953="",0,IFNA(VLOOKUP(G953,Trait_Polarity!$A:$C,2,FALSE),0))</f>
        <v/>
      </c>
      <c r="S953">
        <f>IF(F953="",0,IFNA(VLOOKUP(F953,Trait_Polarity!$A:$C,3,FALSE),0))+IF(G953="",0,IFNA(VLOOKUP(G953,Trait_Polarity!$A:$C,3,FALSE),0))</f>
        <v/>
      </c>
      <c r="T953">
        <f>IF(Q953="P",0,IFNA(VLOOKUP(IF(C953="","(none)",C953),Secondary_Versatility!$A:$B,2,FALSE),0))</f>
        <v/>
      </c>
      <c r="U953">
        <f>IF(H953="",0,LEN(H953)-LEN(SUBSTITUTE(H953,"|",""))+1)</f>
        <v/>
      </c>
      <c r="V953">
        <f>IF(Q953="P",(N953+O953+P953)/3,0.3*I953+0.3*J953+0.2*K953+0.1*L953+0.1*M953)</f>
        <v/>
      </c>
      <c r="W953">
        <f>IF(Q953="P",IF(F953="",0,IFNA(VLOOKUP(F953,Pitcher_Trait_Coef!$A:$B,2,FALSE),0))+IF(G953="",0,IFNA(VLOOKUP(G953,Pitcher_Trait_Coef!$A:$B,2,FALSE),0)),IF(F953="",0,IFNA(VLOOKUP(F953,Hitter_Trait_Coef!$A:$B,2,FALSE),0))+IF(G953="",0,IFNA(VLOOKUP(G953,Hitter_Trait_Coef!$A:$B,2,FALSE),0)))</f>
        <v/>
      </c>
      <c r="X953">
        <f>IF(Q953="P",IFNA(VLOOKUP(B953,Pitcher_Primary_Coef!$A:$B,2,FALSE),0),IFNA(VLOOKUP(B953,Hitter_Primary_Coef!$A:$B,2,FALSE),0))</f>
        <v/>
      </c>
      <c r="Y953">
        <f>IF(Q953="P",0,IFNA(VLOOKUP(IF(C953="","(none)",C953),Hitter_Secondary_Coef!$A:$B,2,FALSE),0))</f>
        <v/>
      </c>
      <c r="Z953">
        <f>IF(Q953="P",IF(ISNUMBER(SEARCH("2F",H953)),IFNA(VLOOKUP("2F",Pitch_Coef!$A:$B,2,FALSE),0),0)+IF(ISNUMBER(SEARCH("4F",H953)),IFNA(VLOOKUP("4F",Pitch_Coef!$A:$B,2,FALSE),0),0)+IF(ISNUMBER(SEARCH("CB",H953)),IFNA(VLOOKUP("CB",Pitch_Coef!$A:$B,2,FALSE),0),0)+IF(ISNUMBER(SEARCH("CF",H953)),IFNA(VLOOKUP("CF",Pitch_Coef!$A:$B,2,FALSE),0),0)+IF(ISNUMBER(SEARCH("CH",H953)),IFNA(VLOOKUP("CH",Pitch_Coef!$A:$B,2,FALSE),0),0)+IF(ISNUMBER(SEARCH("FK",H953)),IFNA(VLOOKUP("FK",Pitch_Coef!$A:$B,2,FALSE),0),0)+IF(ISNUMBER(SEARCH("SB",H953)),IFNA(VLOOKUP("SB",Pitch_Coef!$A:$B,2,FALSE),0),0)+IF(ISNUMBER(SEARCH("SL",H953)),IFNA(VLOOKUP("SL",Pitch_Coef!$A:$B,2,FALSE),0),0),0)</f>
        <v/>
      </c>
      <c r="AA953">
        <f>IF(Q953="P",16.5944849573+0.2529999141*N953+0.2665900378*O953+0.2632687105*P953+0.0427586837*I953+0.0534777057*J953+0.009015832*K953+0.0204898106*(O953*P953/100)+1.0091022427*U953+1.0968542297*IF(D953="L",1,0)+0.3771555045*IF(D953="S",1,0)-0.2226159177*IF(E953="L",1,0)+1.21385024*R953-1.1652812274*S953+W953+X953+Z953,10.5965166711+0.2825983581*I953+0.2806503532*J953+0.2027213083*K953+0.1147824982*L953+0.0915305332*M953-0.0088454122*(I953*J953/100)-0.0336045706*(K953*L953/100)+2.8497389733*IF(D953="L",1,0)+4.5116226727*IF(D953="S",1,0)-0.6571546448*IF(E953="L",1,0)+0.0850728147*T953+0.0129488446*(T953*T953)+0.1909373936*IF(OR(F953="Utility",G953="Utility"),T953,0)+0.9656824071*R953-1.7517683256*S953+W953+X953+Y953)</f>
        <v/>
      </c>
      <c r="AB953">
        <f>LOOKUP(AA953,Grade_Scale!$A$2:$A$18,Grade_Scale!$B$2:$B$18)</f>
        <v/>
      </c>
      <c r="AC953">
        <f>LOOKUP(AA953,Grade_Scale!$A$2:$A$18,Grade_Scale!$C$2:$C$18)</f>
        <v/>
      </c>
      <c r="AE953">
        <f>IF(AD953="","",AB953-VLOOKUP(AD953,Grade_Scale!$C$2:$E$18,3,FALSE))</f>
        <v/>
      </c>
    </row>
    <row r="954">
      <c r="Q954">
        <f>IF(OR(B954="SP",B954="RP",B954="CP",B954="SP/RP"),"P","H")</f>
        <v/>
      </c>
      <c r="R954">
        <f>IF(F954="",0,IFNA(VLOOKUP(F954,Trait_Polarity!$A:$C,2,FALSE),0))+IF(G954="",0,IFNA(VLOOKUP(G954,Trait_Polarity!$A:$C,2,FALSE),0))</f>
        <v/>
      </c>
      <c r="S954">
        <f>IF(F954="",0,IFNA(VLOOKUP(F954,Trait_Polarity!$A:$C,3,FALSE),0))+IF(G954="",0,IFNA(VLOOKUP(G954,Trait_Polarity!$A:$C,3,FALSE),0))</f>
        <v/>
      </c>
      <c r="T954">
        <f>IF(Q954="P",0,IFNA(VLOOKUP(IF(C954="","(none)",C954),Secondary_Versatility!$A:$B,2,FALSE),0))</f>
        <v/>
      </c>
      <c r="U954">
        <f>IF(H954="",0,LEN(H954)-LEN(SUBSTITUTE(H954,"|",""))+1)</f>
        <v/>
      </c>
      <c r="V954">
        <f>IF(Q954="P",(N954+O954+P954)/3,0.3*I954+0.3*J954+0.2*K954+0.1*L954+0.1*M954)</f>
        <v/>
      </c>
      <c r="W954">
        <f>IF(Q954="P",IF(F954="",0,IFNA(VLOOKUP(F954,Pitcher_Trait_Coef!$A:$B,2,FALSE),0))+IF(G954="",0,IFNA(VLOOKUP(G954,Pitcher_Trait_Coef!$A:$B,2,FALSE),0)),IF(F954="",0,IFNA(VLOOKUP(F954,Hitter_Trait_Coef!$A:$B,2,FALSE),0))+IF(G954="",0,IFNA(VLOOKUP(G954,Hitter_Trait_Coef!$A:$B,2,FALSE),0)))</f>
        <v/>
      </c>
      <c r="X954">
        <f>IF(Q954="P",IFNA(VLOOKUP(B954,Pitcher_Primary_Coef!$A:$B,2,FALSE),0),IFNA(VLOOKUP(B954,Hitter_Primary_Coef!$A:$B,2,FALSE),0))</f>
        <v/>
      </c>
      <c r="Y954">
        <f>IF(Q954="P",0,IFNA(VLOOKUP(IF(C954="","(none)",C954),Hitter_Secondary_Coef!$A:$B,2,FALSE),0))</f>
        <v/>
      </c>
      <c r="Z954">
        <f>IF(Q954="P",IF(ISNUMBER(SEARCH("2F",H954)),IFNA(VLOOKUP("2F",Pitch_Coef!$A:$B,2,FALSE),0),0)+IF(ISNUMBER(SEARCH("4F",H954)),IFNA(VLOOKUP("4F",Pitch_Coef!$A:$B,2,FALSE),0),0)+IF(ISNUMBER(SEARCH("CB",H954)),IFNA(VLOOKUP("CB",Pitch_Coef!$A:$B,2,FALSE),0),0)+IF(ISNUMBER(SEARCH("CF",H954)),IFNA(VLOOKUP("CF",Pitch_Coef!$A:$B,2,FALSE),0),0)+IF(ISNUMBER(SEARCH("CH",H954)),IFNA(VLOOKUP("CH",Pitch_Coef!$A:$B,2,FALSE),0),0)+IF(ISNUMBER(SEARCH("FK",H954)),IFNA(VLOOKUP("FK",Pitch_Coef!$A:$B,2,FALSE),0),0)+IF(ISNUMBER(SEARCH("SB",H954)),IFNA(VLOOKUP("SB",Pitch_Coef!$A:$B,2,FALSE),0),0)+IF(ISNUMBER(SEARCH("SL",H954)),IFNA(VLOOKUP("SL",Pitch_Coef!$A:$B,2,FALSE),0),0),0)</f>
        <v/>
      </c>
      <c r="AA954">
        <f>IF(Q954="P",16.5944849573+0.2529999141*N954+0.2665900378*O954+0.2632687105*P954+0.0427586837*I954+0.0534777057*J954+0.009015832*K954+0.0204898106*(O954*P954/100)+1.0091022427*U954+1.0968542297*IF(D954="L",1,0)+0.3771555045*IF(D954="S",1,0)-0.2226159177*IF(E954="L",1,0)+1.21385024*R954-1.1652812274*S954+W954+X954+Z954,10.5965166711+0.2825983581*I954+0.2806503532*J954+0.2027213083*K954+0.1147824982*L954+0.0915305332*M954-0.0088454122*(I954*J954/100)-0.0336045706*(K954*L954/100)+2.8497389733*IF(D954="L",1,0)+4.5116226727*IF(D954="S",1,0)-0.6571546448*IF(E954="L",1,0)+0.0850728147*T954+0.0129488446*(T954*T954)+0.1909373936*IF(OR(F954="Utility",G954="Utility"),T954,0)+0.9656824071*R954-1.7517683256*S954+W954+X954+Y954)</f>
        <v/>
      </c>
      <c r="AB954">
        <f>LOOKUP(AA954,Grade_Scale!$A$2:$A$18,Grade_Scale!$B$2:$B$18)</f>
        <v/>
      </c>
      <c r="AC954">
        <f>LOOKUP(AA954,Grade_Scale!$A$2:$A$18,Grade_Scale!$C$2:$C$18)</f>
        <v/>
      </c>
      <c r="AE954">
        <f>IF(AD954="","",AB954-VLOOKUP(AD954,Grade_Scale!$C$2:$E$18,3,FALSE))</f>
        <v/>
      </c>
    </row>
    <row r="955">
      <c r="Q955">
        <f>IF(OR(B955="SP",B955="RP",B955="CP",B955="SP/RP"),"P","H")</f>
        <v/>
      </c>
      <c r="R955">
        <f>IF(F955="",0,IFNA(VLOOKUP(F955,Trait_Polarity!$A:$C,2,FALSE),0))+IF(G955="",0,IFNA(VLOOKUP(G955,Trait_Polarity!$A:$C,2,FALSE),0))</f>
        <v/>
      </c>
      <c r="S955">
        <f>IF(F955="",0,IFNA(VLOOKUP(F955,Trait_Polarity!$A:$C,3,FALSE),0))+IF(G955="",0,IFNA(VLOOKUP(G955,Trait_Polarity!$A:$C,3,FALSE),0))</f>
        <v/>
      </c>
      <c r="T955">
        <f>IF(Q955="P",0,IFNA(VLOOKUP(IF(C955="","(none)",C955),Secondary_Versatility!$A:$B,2,FALSE),0))</f>
        <v/>
      </c>
      <c r="U955">
        <f>IF(H955="",0,LEN(H955)-LEN(SUBSTITUTE(H955,"|",""))+1)</f>
        <v/>
      </c>
      <c r="V955">
        <f>IF(Q955="P",(N955+O955+P955)/3,0.3*I955+0.3*J955+0.2*K955+0.1*L955+0.1*M955)</f>
        <v/>
      </c>
      <c r="W955">
        <f>IF(Q955="P",IF(F955="",0,IFNA(VLOOKUP(F955,Pitcher_Trait_Coef!$A:$B,2,FALSE),0))+IF(G955="",0,IFNA(VLOOKUP(G955,Pitcher_Trait_Coef!$A:$B,2,FALSE),0)),IF(F955="",0,IFNA(VLOOKUP(F955,Hitter_Trait_Coef!$A:$B,2,FALSE),0))+IF(G955="",0,IFNA(VLOOKUP(G955,Hitter_Trait_Coef!$A:$B,2,FALSE),0)))</f>
        <v/>
      </c>
      <c r="X955">
        <f>IF(Q955="P",IFNA(VLOOKUP(B955,Pitcher_Primary_Coef!$A:$B,2,FALSE),0),IFNA(VLOOKUP(B955,Hitter_Primary_Coef!$A:$B,2,FALSE),0))</f>
        <v/>
      </c>
      <c r="Y955">
        <f>IF(Q955="P",0,IFNA(VLOOKUP(IF(C955="","(none)",C955),Hitter_Secondary_Coef!$A:$B,2,FALSE),0))</f>
        <v/>
      </c>
      <c r="Z955">
        <f>IF(Q955="P",IF(ISNUMBER(SEARCH("2F",H955)),IFNA(VLOOKUP("2F",Pitch_Coef!$A:$B,2,FALSE),0),0)+IF(ISNUMBER(SEARCH("4F",H955)),IFNA(VLOOKUP("4F",Pitch_Coef!$A:$B,2,FALSE),0),0)+IF(ISNUMBER(SEARCH("CB",H955)),IFNA(VLOOKUP("CB",Pitch_Coef!$A:$B,2,FALSE),0),0)+IF(ISNUMBER(SEARCH("CF",H955)),IFNA(VLOOKUP("CF",Pitch_Coef!$A:$B,2,FALSE),0),0)+IF(ISNUMBER(SEARCH("CH",H955)),IFNA(VLOOKUP("CH",Pitch_Coef!$A:$B,2,FALSE),0),0)+IF(ISNUMBER(SEARCH("FK",H955)),IFNA(VLOOKUP("FK",Pitch_Coef!$A:$B,2,FALSE),0),0)+IF(ISNUMBER(SEARCH("SB",H955)),IFNA(VLOOKUP("SB",Pitch_Coef!$A:$B,2,FALSE),0),0)+IF(ISNUMBER(SEARCH("SL",H955)),IFNA(VLOOKUP("SL",Pitch_Coef!$A:$B,2,FALSE),0),0),0)</f>
        <v/>
      </c>
      <c r="AA955">
        <f>IF(Q955="P",16.5944849573+0.2529999141*N955+0.2665900378*O955+0.2632687105*P955+0.0427586837*I955+0.0534777057*J955+0.009015832*K955+0.0204898106*(O955*P955/100)+1.0091022427*U955+1.0968542297*IF(D955="L",1,0)+0.3771555045*IF(D955="S",1,0)-0.2226159177*IF(E955="L",1,0)+1.21385024*R955-1.1652812274*S955+W955+X955+Z955,10.5965166711+0.2825983581*I955+0.2806503532*J955+0.2027213083*K955+0.1147824982*L955+0.0915305332*M955-0.0088454122*(I955*J955/100)-0.0336045706*(K955*L955/100)+2.8497389733*IF(D955="L",1,0)+4.5116226727*IF(D955="S",1,0)-0.6571546448*IF(E955="L",1,0)+0.0850728147*T955+0.0129488446*(T955*T955)+0.1909373936*IF(OR(F955="Utility",G955="Utility"),T955,0)+0.9656824071*R955-1.7517683256*S955+W955+X955+Y955)</f>
        <v/>
      </c>
      <c r="AB955">
        <f>LOOKUP(AA955,Grade_Scale!$A$2:$A$18,Grade_Scale!$B$2:$B$18)</f>
        <v/>
      </c>
      <c r="AC955">
        <f>LOOKUP(AA955,Grade_Scale!$A$2:$A$18,Grade_Scale!$C$2:$C$18)</f>
        <v/>
      </c>
      <c r="AE955">
        <f>IF(AD955="","",AB955-VLOOKUP(AD955,Grade_Scale!$C$2:$E$18,3,FALSE))</f>
        <v/>
      </c>
    </row>
    <row r="956">
      <c r="Q956">
        <f>IF(OR(B956="SP",B956="RP",B956="CP",B956="SP/RP"),"P","H")</f>
        <v/>
      </c>
      <c r="R956">
        <f>IF(F956="",0,IFNA(VLOOKUP(F956,Trait_Polarity!$A:$C,2,FALSE),0))+IF(G956="",0,IFNA(VLOOKUP(G956,Trait_Polarity!$A:$C,2,FALSE),0))</f>
        <v/>
      </c>
      <c r="S956">
        <f>IF(F956="",0,IFNA(VLOOKUP(F956,Trait_Polarity!$A:$C,3,FALSE),0))+IF(G956="",0,IFNA(VLOOKUP(G956,Trait_Polarity!$A:$C,3,FALSE),0))</f>
        <v/>
      </c>
      <c r="T956">
        <f>IF(Q956="P",0,IFNA(VLOOKUP(IF(C956="","(none)",C956),Secondary_Versatility!$A:$B,2,FALSE),0))</f>
        <v/>
      </c>
      <c r="U956">
        <f>IF(H956="",0,LEN(H956)-LEN(SUBSTITUTE(H956,"|",""))+1)</f>
        <v/>
      </c>
      <c r="V956">
        <f>IF(Q956="P",(N956+O956+P956)/3,0.3*I956+0.3*J956+0.2*K956+0.1*L956+0.1*M956)</f>
        <v/>
      </c>
      <c r="W956">
        <f>IF(Q956="P",IF(F956="",0,IFNA(VLOOKUP(F956,Pitcher_Trait_Coef!$A:$B,2,FALSE),0))+IF(G956="",0,IFNA(VLOOKUP(G956,Pitcher_Trait_Coef!$A:$B,2,FALSE),0)),IF(F956="",0,IFNA(VLOOKUP(F956,Hitter_Trait_Coef!$A:$B,2,FALSE),0))+IF(G956="",0,IFNA(VLOOKUP(G956,Hitter_Trait_Coef!$A:$B,2,FALSE),0)))</f>
        <v/>
      </c>
      <c r="X956">
        <f>IF(Q956="P",IFNA(VLOOKUP(B956,Pitcher_Primary_Coef!$A:$B,2,FALSE),0),IFNA(VLOOKUP(B956,Hitter_Primary_Coef!$A:$B,2,FALSE),0))</f>
        <v/>
      </c>
      <c r="Y956">
        <f>IF(Q956="P",0,IFNA(VLOOKUP(IF(C956="","(none)",C956),Hitter_Secondary_Coef!$A:$B,2,FALSE),0))</f>
        <v/>
      </c>
      <c r="Z956">
        <f>IF(Q956="P",IF(ISNUMBER(SEARCH("2F",H956)),IFNA(VLOOKUP("2F",Pitch_Coef!$A:$B,2,FALSE),0),0)+IF(ISNUMBER(SEARCH("4F",H956)),IFNA(VLOOKUP("4F",Pitch_Coef!$A:$B,2,FALSE),0),0)+IF(ISNUMBER(SEARCH("CB",H956)),IFNA(VLOOKUP("CB",Pitch_Coef!$A:$B,2,FALSE),0),0)+IF(ISNUMBER(SEARCH("CF",H956)),IFNA(VLOOKUP("CF",Pitch_Coef!$A:$B,2,FALSE),0),0)+IF(ISNUMBER(SEARCH("CH",H956)),IFNA(VLOOKUP("CH",Pitch_Coef!$A:$B,2,FALSE),0),0)+IF(ISNUMBER(SEARCH("FK",H956)),IFNA(VLOOKUP("FK",Pitch_Coef!$A:$B,2,FALSE),0),0)+IF(ISNUMBER(SEARCH("SB",H956)),IFNA(VLOOKUP("SB",Pitch_Coef!$A:$B,2,FALSE),0),0)+IF(ISNUMBER(SEARCH("SL",H956)),IFNA(VLOOKUP("SL",Pitch_Coef!$A:$B,2,FALSE),0),0),0)</f>
        <v/>
      </c>
      <c r="AA956">
        <f>IF(Q956="P",16.5944849573+0.2529999141*N956+0.2665900378*O956+0.2632687105*P956+0.0427586837*I956+0.0534777057*J956+0.009015832*K956+0.0204898106*(O956*P956/100)+1.0091022427*U956+1.0968542297*IF(D956="L",1,0)+0.3771555045*IF(D956="S",1,0)-0.2226159177*IF(E956="L",1,0)+1.21385024*R956-1.1652812274*S956+W956+X956+Z956,10.5965166711+0.2825983581*I956+0.2806503532*J956+0.2027213083*K956+0.1147824982*L956+0.0915305332*M956-0.0088454122*(I956*J956/100)-0.0336045706*(K956*L956/100)+2.8497389733*IF(D956="L",1,0)+4.5116226727*IF(D956="S",1,0)-0.6571546448*IF(E956="L",1,0)+0.0850728147*T956+0.0129488446*(T956*T956)+0.1909373936*IF(OR(F956="Utility",G956="Utility"),T956,0)+0.9656824071*R956-1.7517683256*S956+W956+X956+Y956)</f>
        <v/>
      </c>
      <c r="AB956">
        <f>LOOKUP(AA956,Grade_Scale!$A$2:$A$18,Grade_Scale!$B$2:$B$18)</f>
        <v/>
      </c>
      <c r="AC956">
        <f>LOOKUP(AA956,Grade_Scale!$A$2:$A$18,Grade_Scale!$C$2:$C$18)</f>
        <v/>
      </c>
      <c r="AE956">
        <f>IF(AD956="","",AB956-VLOOKUP(AD956,Grade_Scale!$C$2:$E$18,3,FALSE))</f>
        <v/>
      </c>
    </row>
    <row r="957">
      <c r="Q957">
        <f>IF(OR(B957="SP",B957="RP",B957="CP",B957="SP/RP"),"P","H")</f>
        <v/>
      </c>
      <c r="R957">
        <f>IF(F957="",0,IFNA(VLOOKUP(F957,Trait_Polarity!$A:$C,2,FALSE),0))+IF(G957="",0,IFNA(VLOOKUP(G957,Trait_Polarity!$A:$C,2,FALSE),0))</f>
        <v/>
      </c>
      <c r="S957">
        <f>IF(F957="",0,IFNA(VLOOKUP(F957,Trait_Polarity!$A:$C,3,FALSE),0))+IF(G957="",0,IFNA(VLOOKUP(G957,Trait_Polarity!$A:$C,3,FALSE),0))</f>
        <v/>
      </c>
      <c r="T957">
        <f>IF(Q957="P",0,IFNA(VLOOKUP(IF(C957="","(none)",C957),Secondary_Versatility!$A:$B,2,FALSE),0))</f>
        <v/>
      </c>
      <c r="U957">
        <f>IF(H957="",0,LEN(H957)-LEN(SUBSTITUTE(H957,"|",""))+1)</f>
        <v/>
      </c>
      <c r="V957">
        <f>IF(Q957="P",(N957+O957+P957)/3,0.3*I957+0.3*J957+0.2*K957+0.1*L957+0.1*M957)</f>
        <v/>
      </c>
      <c r="W957">
        <f>IF(Q957="P",IF(F957="",0,IFNA(VLOOKUP(F957,Pitcher_Trait_Coef!$A:$B,2,FALSE),0))+IF(G957="",0,IFNA(VLOOKUP(G957,Pitcher_Trait_Coef!$A:$B,2,FALSE),0)),IF(F957="",0,IFNA(VLOOKUP(F957,Hitter_Trait_Coef!$A:$B,2,FALSE),0))+IF(G957="",0,IFNA(VLOOKUP(G957,Hitter_Trait_Coef!$A:$B,2,FALSE),0)))</f>
        <v/>
      </c>
      <c r="X957">
        <f>IF(Q957="P",IFNA(VLOOKUP(B957,Pitcher_Primary_Coef!$A:$B,2,FALSE),0),IFNA(VLOOKUP(B957,Hitter_Primary_Coef!$A:$B,2,FALSE),0))</f>
        <v/>
      </c>
      <c r="Y957">
        <f>IF(Q957="P",0,IFNA(VLOOKUP(IF(C957="","(none)",C957),Hitter_Secondary_Coef!$A:$B,2,FALSE),0))</f>
        <v/>
      </c>
      <c r="Z957">
        <f>IF(Q957="P",IF(ISNUMBER(SEARCH("2F",H957)),IFNA(VLOOKUP("2F",Pitch_Coef!$A:$B,2,FALSE),0),0)+IF(ISNUMBER(SEARCH("4F",H957)),IFNA(VLOOKUP("4F",Pitch_Coef!$A:$B,2,FALSE),0),0)+IF(ISNUMBER(SEARCH("CB",H957)),IFNA(VLOOKUP("CB",Pitch_Coef!$A:$B,2,FALSE),0),0)+IF(ISNUMBER(SEARCH("CF",H957)),IFNA(VLOOKUP("CF",Pitch_Coef!$A:$B,2,FALSE),0),0)+IF(ISNUMBER(SEARCH("CH",H957)),IFNA(VLOOKUP("CH",Pitch_Coef!$A:$B,2,FALSE),0),0)+IF(ISNUMBER(SEARCH("FK",H957)),IFNA(VLOOKUP("FK",Pitch_Coef!$A:$B,2,FALSE),0),0)+IF(ISNUMBER(SEARCH("SB",H957)),IFNA(VLOOKUP("SB",Pitch_Coef!$A:$B,2,FALSE),0),0)+IF(ISNUMBER(SEARCH("SL",H957)),IFNA(VLOOKUP("SL",Pitch_Coef!$A:$B,2,FALSE),0),0),0)</f>
        <v/>
      </c>
      <c r="AA957">
        <f>IF(Q957="P",16.5944849573+0.2529999141*N957+0.2665900378*O957+0.2632687105*P957+0.0427586837*I957+0.0534777057*J957+0.009015832*K957+0.0204898106*(O957*P957/100)+1.0091022427*U957+1.0968542297*IF(D957="L",1,0)+0.3771555045*IF(D957="S",1,0)-0.2226159177*IF(E957="L",1,0)+1.21385024*R957-1.1652812274*S957+W957+X957+Z957,10.5965166711+0.2825983581*I957+0.2806503532*J957+0.2027213083*K957+0.1147824982*L957+0.0915305332*M957-0.0088454122*(I957*J957/100)-0.0336045706*(K957*L957/100)+2.8497389733*IF(D957="L",1,0)+4.5116226727*IF(D957="S",1,0)-0.6571546448*IF(E957="L",1,0)+0.0850728147*T957+0.0129488446*(T957*T957)+0.1909373936*IF(OR(F957="Utility",G957="Utility"),T957,0)+0.9656824071*R957-1.7517683256*S957+W957+X957+Y957)</f>
        <v/>
      </c>
      <c r="AB957">
        <f>LOOKUP(AA957,Grade_Scale!$A$2:$A$18,Grade_Scale!$B$2:$B$18)</f>
        <v/>
      </c>
      <c r="AC957">
        <f>LOOKUP(AA957,Grade_Scale!$A$2:$A$18,Grade_Scale!$C$2:$C$18)</f>
        <v/>
      </c>
      <c r="AE957">
        <f>IF(AD957="","",AB957-VLOOKUP(AD957,Grade_Scale!$C$2:$E$18,3,FALSE))</f>
        <v/>
      </c>
    </row>
    <row r="958">
      <c r="Q958">
        <f>IF(OR(B958="SP",B958="RP",B958="CP",B958="SP/RP"),"P","H")</f>
        <v/>
      </c>
      <c r="R958">
        <f>IF(F958="",0,IFNA(VLOOKUP(F958,Trait_Polarity!$A:$C,2,FALSE),0))+IF(G958="",0,IFNA(VLOOKUP(G958,Trait_Polarity!$A:$C,2,FALSE),0))</f>
        <v/>
      </c>
      <c r="S958">
        <f>IF(F958="",0,IFNA(VLOOKUP(F958,Trait_Polarity!$A:$C,3,FALSE),0))+IF(G958="",0,IFNA(VLOOKUP(G958,Trait_Polarity!$A:$C,3,FALSE),0))</f>
        <v/>
      </c>
      <c r="T958">
        <f>IF(Q958="P",0,IFNA(VLOOKUP(IF(C958="","(none)",C958),Secondary_Versatility!$A:$B,2,FALSE),0))</f>
        <v/>
      </c>
      <c r="U958">
        <f>IF(H958="",0,LEN(H958)-LEN(SUBSTITUTE(H958,"|",""))+1)</f>
        <v/>
      </c>
      <c r="V958">
        <f>IF(Q958="P",(N958+O958+P958)/3,0.3*I958+0.3*J958+0.2*K958+0.1*L958+0.1*M958)</f>
        <v/>
      </c>
      <c r="W958">
        <f>IF(Q958="P",IF(F958="",0,IFNA(VLOOKUP(F958,Pitcher_Trait_Coef!$A:$B,2,FALSE),0))+IF(G958="",0,IFNA(VLOOKUP(G958,Pitcher_Trait_Coef!$A:$B,2,FALSE),0)),IF(F958="",0,IFNA(VLOOKUP(F958,Hitter_Trait_Coef!$A:$B,2,FALSE),0))+IF(G958="",0,IFNA(VLOOKUP(G958,Hitter_Trait_Coef!$A:$B,2,FALSE),0)))</f>
        <v/>
      </c>
      <c r="X958">
        <f>IF(Q958="P",IFNA(VLOOKUP(B958,Pitcher_Primary_Coef!$A:$B,2,FALSE),0),IFNA(VLOOKUP(B958,Hitter_Primary_Coef!$A:$B,2,FALSE),0))</f>
        <v/>
      </c>
      <c r="Y958">
        <f>IF(Q958="P",0,IFNA(VLOOKUP(IF(C958="","(none)",C958),Hitter_Secondary_Coef!$A:$B,2,FALSE),0))</f>
        <v/>
      </c>
      <c r="Z958">
        <f>IF(Q958="P",IF(ISNUMBER(SEARCH("2F",H958)),IFNA(VLOOKUP("2F",Pitch_Coef!$A:$B,2,FALSE),0),0)+IF(ISNUMBER(SEARCH("4F",H958)),IFNA(VLOOKUP("4F",Pitch_Coef!$A:$B,2,FALSE),0),0)+IF(ISNUMBER(SEARCH("CB",H958)),IFNA(VLOOKUP("CB",Pitch_Coef!$A:$B,2,FALSE),0),0)+IF(ISNUMBER(SEARCH("CF",H958)),IFNA(VLOOKUP("CF",Pitch_Coef!$A:$B,2,FALSE),0),0)+IF(ISNUMBER(SEARCH("CH",H958)),IFNA(VLOOKUP("CH",Pitch_Coef!$A:$B,2,FALSE),0),0)+IF(ISNUMBER(SEARCH("FK",H958)),IFNA(VLOOKUP("FK",Pitch_Coef!$A:$B,2,FALSE),0),0)+IF(ISNUMBER(SEARCH("SB",H958)),IFNA(VLOOKUP("SB",Pitch_Coef!$A:$B,2,FALSE),0),0)+IF(ISNUMBER(SEARCH("SL",H958)),IFNA(VLOOKUP("SL",Pitch_Coef!$A:$B,2,FALSE),0),0),0)</f>
        <v/>
      </c>
      <c r="AA958">
        <f>IF(Q958="P",16.5944849573+0.2529999141*N958+0.2665900378*O958+0.2632687105*P958+0.0427586837*I958+0.0534777057*J958+0.009015832*K958+0.0204898106*(O958*P958/100)+1.0091022427*U958+1.0968542297*IF(D958="L",1,0)+0.3771555045*IF(D958="S",1,0)-0.2226159177*IF(E958="L",1,0)+1.21385024*R958-1.1652812274*S958+W958+X958+Z958,10.5965166711+0.2825983581*I958+0.2806503532*J958+0.2027213083*K958+0.1147824982*L958+0.0915305332*M958-0.0088454122*(I958*J958/100)-0.0336045706*(K958*L958/100)+2.8497389733*IF(D958="L",1,0)+4.5116226727*IF(D958="S",1,0)-0.6571546448*IF(E958="L",1,0)+0.0850728147*T958+0.0129488446*(T958*T958)+0.1909373936*IF(OR(F958="Utility",G958="Utility"),T958,0)+0.9656824071*R958-1.7517683256*S958+W958+X958+Y958)</f>
        <v/>
      </c>
      <c r="AB958">
        <f>LOOKUP(AA958,Grade_Scale!$A$2:$A$18,Grade_Scale!$B$2:$B$18)</f>
        <v/>
      </c>
      <c r="AC958">
        <f>LOOKUP(AA958,Grade_Scale!$A$2:$A$18,Grade_Scale!$C$2:$C$18)</f>
        <v/>
      </c>
      <c r="AE958">
        <f>IF(AD958="","",AB958-VLOOKUP(AD958,Grade_Scale!$C$2:$E$18,3,FALSE))</f>
        <v/>
      </c>
    </row>
    <row r="959">
      <c r="Q959">
        <f>IF(OR(B959="SP",B959="RP",B959="CP",B959="SP/RP"),"P","H")</f>
        <v/>
      </c>
      <c r="R959">
        <f>IF(F959="",0,IFNA(VLOOKUP(F959,Trait_Polarity!$A:$C,2,FALSE),0))+IF(G959="",0,IFNA(VLOOKUP(G959,Trait_Polarity!$A:$C,2,FALSE),0))</f>
        <v/>
      </c>
      <c r="S959">
        <f>IF(F959="",0,IFNA(VLOOKUP(F959,Trait_Polarity!$A:$C,3,FALSE),0))+IF(G959="",0,IFNA(VLOOKUP(G959,Trait_Polarity!$A:$C,3,FALSE),0))</f>
        <v/>
      </c>
      <c r="T959">
        <f>IF(Q959="P",0,IFNA(VLOOKUP(IF(C959="","(none)",C959),Secondary_Versatility!$A:$B,2,FALSE),0))</f>
        <v/>
      </c>
      <c r="U959">
        <f>IF(H959="",0,LEN(H959)-LEN(SUBSTITUTE(H959,"|",""))+1)</f>
        <v/>
      </c>
      <c r="V959">
        <f>IF(Q959="P",(N959+O959+P959)/3,0.3*I959+0.3*J959+0.2*K959+0.1*L959+0.1*M959)</f>
        <v/>
      </c>
      <c r="W959">
        <f>IF(Q959="P",IF(F959="",0,IFNA(VLOOKUP(F959,Pitcher_Trait_Coef!$A:$B,2,FALSE),0))+IF(G959="",0,IFNA(VLOOKUP(G959,Pitcher_Trait_Coef!$A:$B,2,FALSE),0)),IF(F959="",0,IFNA(VLOOKUP(F959,Hitter_Trait_Coef!$A:$B,2,FALSE),0))+IF(G959="",0,IFNA(VLOOKUP(G959,Hitter_Trait_Coef!$A:$B,2,FALSE),0)))</f>
        <v/>
      </c>
      <c r="X959">
        <f>IF(Q959="P",IFNA(VLOOKUP(B959,Pitcher_Primary_Coef!$A:$B,2,FALSE),0),IFNA(VLOOKUP(B959,Hitter_Primary_Coef!$A:$B,2,FALSE),0))</f>
        <v/>
      </c>
      <c r="Y959">
        <f>IF(Q959="P",0,IFNA(VLOOKUP(IF(C959="","(none)",C959),Hitter_Secondary_Coef!$A:$B,2,FALSE),0))</f>
        <v/>
      </c>
      <c r="Z959">
        <f>IF(Q959="P",IF(ISNUMBER(SEARCH("2F",H959)),IFNA(VLOOKUP("2F",Pitch_Coef!$A:$B,2,FALSE),0),0)+IF(ISNUMBER(SEARCH("4F",H959)),IFNA(VLOOKUP("4F",Pitch_Coef!$A:$B,2,FALSE),0),0)+IF(ISNUMBER(SEARCH("CB",H959)),IFNA(VLOOKUP("CB",Pitch_Coef!$A:$B,2,FALSE),0),0)+IF(ISNUMBER(SEARCH("CF",H959)),IFNA(VLOOKUP("CF",Pitch_Coef!$A:$B,2,FALSE),0),0)+IF(ISNUMBER(SEARCH("CH",H959)),IFNA(VLOOKUP("CH",Pitch_Coef!$A:$B,2,FALSE),0),0)+IF(ISNUMBER(SEARCH("FK",H959)),IFNA(VLOOKUP("FK",Pitch_Coef!$A:$B,2,FALSE),0),0)+IF(ISNUMBER(SEARCH("SB",H959)),IFNA(VLOOKUP("SB",Pitch_Coef!$A:$B,2,FALSE),0),0)+IF(ISNUMBER(SEARCH("SL",H959)),IFNA(VLOOKUP("SL",Pitch_Coef!$A:$B,2,FALSE),0),0),0)</f>
        <v/>
      </c>
      <c r="AA959">
        <f>IF(Q959="P",16.5944849573+0.2529999141*N959+0.2665900378*O959+0.2632687105*P959+0.0427586837*I959+0.0534777057*J959+0.009015832*K959+0.0204898106*(O959*P959/100)+1.0091022427*U959+1.0968542297*IF(D959="L",1,0)+0.3771555045*IF(D959="S",1,0)-0.2226159177*IF(E959="L",1,0)+1.21385024*R959-1.1652812274*S959+W959+X959+Z959,10.5965166711+0.2825983581*I959+0.2806503532*J959+0.2027213083*K959+0.1147824982*L959+0.0915305332*M959-0.0088454122*(I959*J959/100)-0.0336045706*(K959*L959/100)+2.8497389733*IF(D959="L",1,0)+4.5116226727*IF(D959="S",1,0)-0.6571546448*IF(E959="L",1,0)+0.0850728147*T959+0.0129488446*(T959*T959)+0.1909373936*IF(OR(F959="Utility",G959="Utility"),T959,0)+0.9656824071*R959-1.7517683256*S959+W959+X959+Y959)</f>
        <v/>
      </c>
      <c r="AB959">
        <f>LOOKUP(AA959,Grade_Scale!$A$2:$A$18,Grade_Scale!$B$2:$B$18)</f>
        <v/>
      </c>
      <c r="AC959">
        <f>LOOKUP(AA959,Grade_Scale!$A$2:$A$18,Grade_Scale!$C$2:$C$18)</f>
        <v/>
      </c>
      <c r="AE959">
        <f>IF(AD959="","",AB959-VLOOKUP(AD959,Grade_Scale!$C$2:$E$18,3,FALSE))</f>
        <v/>
      </c>
    </row>
    <row r="960">
      <c r="Q960">
        <f>IF(OR(B960="SP",B960="RP",B960="CP",B960="SP/RP"),"P","H")</f>
        <v/>
      </c>
      <c r="R960">
        <f>IF(F960="",0,IFNA(VLOOKUP(F960,Trait_Polarity!$A:$C,2,FALSE),0))+IF(G960="",0,IFNA(VLOOKUP(G960,Trait_Polarity!$A:$C,2,FALSE),0))</f>
        <v/>
      </c>
      <c r="S960">
        <f>IF(F960="",0,IFNA(VLOOKUP(F960,Trait_Polarity!$A:$C,3,FALSE),0))+IF(G960="",0,IFNA(VLOOKUP(G960,Trait_Polarity!$A:$C,3,FALSE),0))</f>
        <v/>
      </c>
      <c r="T960">
        <f>IF(Q960="P",0,IFNA(VLOOKUP(IF(C960="","(none)",C960),Secondary_Versatility!$A:$B,2,FALSE),0))</f>
        <v/>
      </c>
      <c r="U960">
        <f>IF(H960="",0,LEN(H960)-LEN(SUBSTITUTE(H960,"|",""))+1)</f>
        <v/>
      </c>
      <c r="V960">
        <f>IF(Q960="P",(N960+O960+P960)/3,0.3*I960+0.3*J960+0.2*K960+0.1*L960+0.1*M960)</f>
        <v/>
      </c>
      <c r="W960">
        <f>IF(Q960="P",IF(F960="",0,IFNA(VLOOKUP(F960,Pitcher_Trait_Coef!$A:$B,2,FALSE),0))+IF(G960="",0,IFNA(VLOOKUP(G960,Pitcher_Trait_Coef!$A:$B,2,FALSE),0)),IF(F960="",0,IFNA(VLOOKUP(F960,Hitter_Trait_Coef!$A:$B,2,FALSE),0))+IF(G960="",0,IFNA(VLOOKUP(G960,Hitter_Trait_Coef!$A:$B,2,FALSE),0)))</f>
        <v/>
      </c>
      <c r="X960">
        <f>IF(Q960="P",IFNA(VLOOKUP(B960,Pitcher_Primary_Coef!$A:$B,2,FALSE),0),IFNA(VLOOKUP(B960,Hitter_Primary_Coef!$A:$B,2,FALSE),0))</f>
        <v/>
      </c>
      <c r="Y960">
        <f>IF(Q960="P",0,IFNA(VLOOKUP(IF(C960="","(none)",C960),Hitter_Secondary_Coef!$A:$B,2,FALSE),0))</f>
        <v/>
      </c>
      <c r="Z960">
        <f>IF(Q960="P",IF(ISNUMBER(SEARCH("2F",H960)),IFNA(VLOOKUP("2F",Pitch_Coef!$A:$B,2,FALSE),0),0)+IF(ISNUMBER(SEARCH("4F",H960)),IFNA(VLOOKUP("4F",Pitch_Coef!$A:$B,2,FALSE),0),0)+IF(ISNUMBER(SEARCH("CB",H960)),IFNA(VLOOKUP("CB",Pitch_Coef!$A:$B,2,FALSE),0),0)+IF(ISNUMBER(SEARCH("CF",H960)),IFNA(VLOOKUP("CF",Pitch_Coef!$A:$B,2,FALSE),0),0)+IF(ISNUMBER(SEARCH("CH",H960)),IFNA(VLOOKUP("CH",Pitch_Coef!$A:$B,2,FALSE),0),0)+IF(ISNUMBER(SEARCH("FK",H960)),IFNA(VLOOKUP("FK",Pitch_Coef!$A:$B,2,FALSE),0),0)+IF(ISNUMBER(SEARCH("SB",H960)),IFNA(VLOOKUP("SB",Pitch_Coef!$A:$B,2,FALSE),0),0)+IF(ISNUMBER(SEARCH("SL",H960)),IFNA(VLOOKUP("SL",Pitch_Coef!$A:$B,2,FALSE),0),0),0)</f>
        <v/>
      </c>
      <c r="AA960">
        <f>IF(Q960="P",16.5944849573+0.2529999141*N960+0.2665900378*O960+0.2632687105*P960+0.0427586837*I960+0.0534777057*J960+0.009015832*K960+0.0204898106*(O960*P960/100)+1.0091022427*U960+1.0968542297*IF(D960="L",1,0)+0.3771555045*IF(D960="S",1,0)-0.2226159177*IF(E960="L",1,0)+1.21385024*R960-1.1652812274*S960+W960+X960+Z960,10.5965166711+0.2825983581*I960+0.2806503532*J960+0.2027213083*K960+0.1147824982*L960+0.0915305332*M960-0.0088454122*(I960*J960/100)-0.0336045706*(K960*L960/100)+2.8497389733*IF(D960="L",1,0)+4.5116226727*IF(D960="S",1,0)-0.6571546448*IF(E960="L",1,0)+0.0850728147*T960+0.0129488446*(T960*T960)+0.1909373936*IF(OR(F960="Utility",G960="Utility"),T960,0)+0.9656824071*R960-1.7517683256*S960+W960+X960+Y960)</f>
        <v/>
      </c>
      <c r="AB960">
        <f>LOOKUP(AA960,Grade_Scale!$A$2:$A$18,Grade_Scale!$B$2:$B$18)</f>
        <v/>
      </c>
      <c r="AC960">
        <f>LOOKUP(AA960,Grade_Scale!$A$2:$A$18,Grade_Scale!$C$2:$C$18)</f>
        <v/>
      </c>
      <c r="AE960">
        <f>IF(AD960="","",AB960-VLOOKUP(AD960,Grade_Scale!$C$2:$E$18,3,FALSE))</f>
        <v/>
      </c>
    </row>
    <row r="961">
      <c r="Q961">
        <f>IF(OR(B961="SP",B961="RP",B961="CP",B961="SP/RP"),"P","H")</f>
        <v/>
      </c>
      <c r="R961">
        <f>IF(F961="",0,IFNA(VLOOKUP(F961,Trait_Polarity!$A:$C,2,FALSE),0))+IF(G961="",0,IFNA(VLOOKUP(G961,Trait_Polarity!$A:$C,2,FALSE),0))</f>
        <v/>
      </c>
      <c r="S961">
        <f>IF(F961="",0,IFNA(VLOOKUP(F961,Trait_Polarity!$A:$C,3,FALSE),0))+IF(G961="",0,IFNA(VLOOKUP(G961,Trait_Polarity!$A:$C,3,FALSE),0))</f>
        <v/>
      </c>
      <c r="T961">
        <f>IF(Q961="P",0,IFNA(VLOOKUP(IF(C961="","(none)",C961),Secondary_Versatility!$A:$B,2,FALSE),0))</f>
        <v/>
      </c>
      <c r="U961">
        <f>IF(H961="",0,LEN(H961)-LEN(SUBSTITUTE(H961,"|",""))+1)</f>
        <v/>
      </c>
      <c r="V961">
        <f>IF(Q961="P",(N961+O961+P961)/3,0.3*I961+0.3*J961+0.2*K961+0.1*L961+0.1*M961)</f>
        <v/>
      </c>
      <c r="W961">
        <f>IF(Q961="P",IF(F961="",0,IFNA(VLOOKUP(F961,Pitcher_Trait_Coef!$A:$B,2,FALSE),0))+IF(G961="",0,IFNA(VLOOKUP(G961,Pitcher_Trait_Coef!$A:$B,2,FALSE),0)),IF(F961="",0,IFNA(VLOOKUP(F961,Hitter_Trait_Coef!$A:$B,2,FALSE),0))+IF(G961="",0,IFNA(VLOOKUP(G961,Hitter_Trait_Coef!$A:$B,2,FALSE),0)))</f>
        <v/>
      </c>
      <c r="X961">
        <f>IF(Q961="P",IFNA(VLOOKUP(B961,Pitcher_Primary_Coef!$A:$B,2,FALSE),0),IFNA(VLOOKUP(B961,Hitter_Primary_Coef!$A:$B,2,FALSE),0))</f>
        <v/>
      </c>
      <c r="Y961">
        <f>IF(Q961="P",0,IFNA(VLOOKUP(IF(C961="","(none)",C961),Hitter_Secondary_Coef!$A:$B,2,FALSE),0))</f>
        <v/>
      </c>
      <c r="Z961">
        <f>IF(Q961="P",IF(ISNUMBER(SEARCH("2F",H961)),IFNA(VLOOKUP("2F",Pitch_Coef!$A:$B,2,FALSE),0),0)+IF(ISNUMBER(SEARCH("4F",H961)),IFNA(VLOOKUP("4F",Pitch_Coef!$A:$B,2,FALSE),0),0)+IF(ISNUMBER(SEARCH("CB",H961)),IFNA(VLOOKUP("CB",Pitch_Coef!$A:$B,2,FALSE),0),0)+IF(ISNUMBER(SEARCH("CF",H961)),IFNA(VLOOKUP("CF",Pitch_Coef!$A:$B,2,FALSE),0),0)+IF(ISNUMBER(SEARCH("CH",H961)),IFNA(VLOOKUP("CH",Pitch_Coef!$A:$B,2,FALSE),0),0)+IF(ISNUMBER(SEARCH("FK",H961)),IFNA(VLOOKUP("FK",Pitch_Coef!$A:$B,2,FALSE),0),0)+IF(ISNUMBER(SEARCH("SB",H961)),IFNA(VLOOKUP("SB",Pitch_Coef!$A:$B,2,FALSE),0),0)+IF(ISNUMBER(SEARCH("SL",H961)),IFNA(VLOOKUP("SL",Pitch_Coef!$A:$B,2,FALSE),0),0),0)</f>
        <v/>
      </c>
      <c r="AA961">
        <f>IF(Q961="P",16.5944849573+0.2529999141*N961+0.2665900378*O961+0.2632687105*P961+0.0427586837*I961+0.0534777057*J961+0.009015832*K961+0.0204898106*(O961*P961/100)+1.0091022427*U961+1.0968542297*IF(D961="L",1,0)+0.3771555045*IF(D961="S",1,0)-0.2226159177*IF(E961="L",1,0)+1.21385024*R961-1.1652812274*S961+W961+X961+Z961,10.5965166711+0.2825983581*I961+0.2806503532*J961+0.2027213083*K961+0.1147824982*L961+0.0915305332*M961-0.0088454122*(I961*J961/100)-0.0336045706*(K961*L961/100)+2.8497389733*IF(D961="L",1,0)+4.5116226727*IF(D961="S",1,0)-0.6571546448*IF(E961="L",1,0)+0.0850728147*T961+0.0129488446*(T961*T961)+0.1909373936*IF(OR(F961="Utility",G961="Utility"),T961,0)+0.9656824071*R961-1.7517683256*S961+W961+X961+Y961)</f>
        <v/>
      </c>
      <c r="AB961">
        <f>LOOKUP(AA961,Grade_Scale!$A$2:$A$18,Grade_Scale!$B$2:$B$18)</f>
        <v/>
      </c>
      <c r="AC961">
        <f>LOOKUP(AA961,Grade_Scale!$A$2:$A$18,Grade_Scale!$C$2:$C$18)</f>
        <v/>
      </c>
      <c r="AE961">
        <f>IF(AD961="","",AB961-VLOOKUP(AD961,Grade_Scale!$C$2:$E$18,3,FALSE))</f>
        <v/>
      </c>
    </row>
    <row r="962">
      <c r="Q962">
        <f>IF(OR(B962="SP",B962="RP",B962="CP",B962="SP/RP"),"P","H")</f>
        <v/>
      </c>
      <c r="R962">
        <f>IF(F962="",0,IFNA(VLOOKUP(F962,Trait_Polarity!$A:$C,2,FALSE),0))+IF(G962="",0,IFNA(VLOOKUP(G962,Trait_Polarity!$A:$C,2,FALSE),0))</f>
        <v/>
      </c>
      <c r="S962">
        <f>IF(F962="",0,IFNA(VLOOKUP(F962,Trait_Polarity!$A:$C,3,FALSE),0))+IF(G962="",0,IFNA(VLOOKUP(G962,Trait_Polarity!$A:$C,3,FALSE),0))</f>
        <v/>
      </c>
      <c r="T962">
        <f>IF(Q962="P",0,IFNA(VLOOKUP(IF(C962="","(none)",C962),Secondary_Versatility!$A:$B,2,FALSE),0))</f>
        <v/>
      </c>
      <c r="U962">
        <f>IF(H962="",0,LEN(H962)-LEN(SUBSTITUTE(H962,"|",""))+1)</f>
        <v/>
      </c>
      <c r="V962">
        <f>IF(Q962="P",(N962+O962+P962)/3,0.3*I962+0.3*J962+0.2*K962+0.1*L962+0.1*M962)</f>
        <v/>
      </c>
      <c r="W962">
        <f>IF(Q962="P",IF(F962="",0,IFNA(VLOOKUP(F962,Pitcher_Trait_Coef!$A:$B,2,FALSE),0))+IF(G962="",0,IFNA(VLOOKUP(G962,Pitcher_Trait_Coef!$A:$B,2,FALSE),0)),IF(F962="",0,IFNA(VLOOKUP(F962,Hitter_Trait_Coef!$A:$B,2,FALSE),0))+IF(G962="",0,IFNA(VLOOKUP(G962,Hitter_Trait_Coef!$A:$B,2,FALSE),0)))</f>
        <v/>
      </c>
      <c r="X962">
        <f>IF(Q962="P",IFNA(VLOOKUP(B962,Pitcher_Primary_Coef!$A:$B,2,FALSE),0),IFNA(VLOOKUP(B962,Hitter_Primary_Coef!$A:$B,2,FALSE),0))</f>
        <v/>
      </c>
      <c r="Y962">
        <f>IF(Q962="P",0,IFNA(VLOOKUP(IF(C962="","(none)",C962),Hitter_Secondary_Coef!$A:$B,2,FALSE),0))</f>
        <v/>
      </c>
      <c r="Z962">
        <f>IF(Q962="P",IF(ISNUMBER(SEARCH("2F",H962)),IFNA(VLOOKUP("2F",Pitch_Coef!$A:$B,2,FALSE),0),0)+IF(ISNUMBER(SEARCH("4F",H962)),IFNA(VLOOKUP("4F",Pitch_Coef!$A:$B,2,FALSE),0),0)+IF(ISNUMBER(SEARCH("CB",H962)),IFNA(VLOOKUP("CB",Pitch_Coef!$A:$B,2,FALSE),0),0)+IF(ISNUMBER(SEARCH("CF",H962)),IFNA(VLOOKUP("CF",Pitch_Coef!$A:$B,2,FALSE),0),0)+IF(ISNUMBER(SEARCH("CH",H962)),IFNA(VLOOKUP("CH",Pitch_Coef!$A:$B,2,FALSE),0),0)+IF(ISNUMBER(SEARCH("FK",H962)),IFNA(VLOOKUP("FK",Pitch_Coef!$A:$B,2,FALSE),0),0)+IF(ISNUMBER(SEARCH("SB",H962)),IFNA(VLOOKUP("SB",Pitch_Coef!$A:$B,2,FALSE),0),0)+IF(ISNUMBER(SEARCH("SL",H962)),IFNA(VLOOKUP("SL",Pitch_Coef!$A:$B,2,FALSE),0),0),0)</f>
        <v/>
      </c>
      <c r="AA962">
        <f>IF(Q962="P",16.5944849573+0.2529999141*N962+0.2665900378*O962+0.2632687105*P962+0.0427586837*I962+0.0534777057*J962+0.009015832*K962+0.0204898106*(O962*P962/100)+1.0091022427*U962+1.0968542297*IF(D962="L",1,0)+0.3771555045*IF(D962="S",1,0)-0.2226159177*IF(E962="L",1,0)+1.21385024*R962-1.1652812274*S962+W962+X962+Z962,10.5965166711+0.2825983581*I962+0.2806503532*J962+0.2027213083*K962+0.1147824982*L962+0.0915305332*M962-0.0088454122*(I962*J962/100)-0.0336045706*(K962*L962/100)+2.8497389733*IF(D962="L",1,0)+4.5116226727*IF(D962="S",1,0)-0.6571546448*IF(E962="L",1,0)+0.0850728147*T962+0.0129488446*(T962*T962)+0.1909373936*IF(OR(F962="Utility",G962="Utility"),T962,0)+0.9656824071*R962-1.7517683256*S962+W962+X962+Y962)</f>
        <v/>
      </c>
      <c r="AB962">
        <f>LOOKUP(AA962,Grade_Scale!$A$2:$A$18,Grade_Scale!$B$2:$B$18)</f>
        <v/>
      </c>
      <c r="AC962">
        <f>LOOKUP(AA962,Grade_Scale!$A$2:$A$18,Grade_Scale!$C$2:$C$18)</f>
        <v/>
      </c>
      <c r="AE962">
        <f>IF(AD962="","",AB962-VLOOKUP(AD962,Grade_Scale!$C$2:$E$18,3,FALSE))</f>
        <v/>
      </c>
    </row>
    <row r="963">
      <c r="Q963">
        <f>IF(OR(B963="SP",B963="RP",B963="CP",B963="SP/RP"),"P","H")</f>
        <v/>
      </c>
      <c r="R963">
        <f>IF(F963="",0,IFNA(VLOOKUP(F963,Trait_Polarity!$A:$C,2,FALSE),0))+IF(G963="",0,IFNA(VLOOKUP(G963,Trait_Polarity!$A:$C,2,FALSE),0))</f>
        <v/>
      </c>
      <c r="S963">
        <f>IF(F963="",0,IFNA(VLOOKUP(F963,Trait_Polarity!$A:$C,3,FALSE),0))+IF(G963="",0,IFNA(VLOOKUP(G963,Trait_Polarity!$A:$C,3,FALSE),0))</f>
        <v/>
      </c>
      <c r="T963">
        <f>IF(Q963="P",0,IFNA(VLOOKUP(IF(C963="","(none)",C963),Secondary_Versatility!$A:$B,2,FALSE),0))</f>
        <v/>
      </c>
      <c r="U963">
        <f>IF(H963="",0,LEN(H963)-LEN(SUBSTITUTE(H963,"|",""))+1)</f>
        <v/>
      </c>
      <c r="V963">
        <f>IF(Q963="P",(N963+O963+P963)/3,0.3*I963+0.3*J963+0.2*K963+0.1*L963+0.1*M963)</f>
        <v/>
      </c>
      <c r="W963">
        <f>IF(Q963="P",IF(F963="",0,IFNA(VLOOKUP(F963,Pitcher_Trait_Coef!$A:$B,2,FALSE),0))+IF(G963="",0,IFNA(VLOOKUP(G963,Pitcher_Trait_Coef!$A:$B,2,FALSE),0)),IF(F963="",0,IFNA(VLOOKUP(F963,Hitter_Trait_Coef!$A:$B,2,FALSE),0))+IF(G963="",0,IFNA(VLOOKUP(G963,Hitter_Trait_Coef!$A:$B,2,FALSE),0)))</f>
        <v/>
      </c>
      <c r="X963">
        <f>IF(Q963="P",IFNA(VLOOKUP(B963,Pitcher_Primary_Coef!$A:$B,2,FALSE),0),IFNA(VLOOKUP(B963,Hitter_Primary_Coef!$A:$B,2,FALSE),0))</f>
        <v/>
      </c>
      <c r="Y963">
        <f>IF(Q963="P",0,IFNA(VLOOKUP(IF(C963="","(none)",C963),Hitter_Secondary_Coef!$A:$B,2,FALSE),0))</f>
        <v/>
      </c>
      <c r="Z963">
        <f>IF(Q963="P",IF(ISNUMBER(SEARCH("2F",H963)),IFNA(VLOOKUP("2F",Pitch_Coef!$A:$B,2,FALSE),0),0)+IF(ISNUMBER(SEARCH("4F",H963)),IFNA(VLOOKUP("4F",Pitch_Coef!$A:$B,2,FALSE),0),0)+IF(ISNUMBER(SEARCH("CB",H963)),IFNA(VLOOKUP("CB",Pitch_Coef!$A:$B,2,FALSE),0),0)+IF(ISNUMBER(SEARCH("CF",H963)),IFNA(VLOOKUP("CF",Pitch_Coef!$A:$B,2,FALSE),0),0)+IF(ISNUMBER(SEARCH("CH",H963)),IFNA(VLOOKUP("CH",Pitch_Coef!$A:$B,2,FALSE),0),0)+IF(ISNUMBER(SEARCH("FK",H963)),IFNA(VLOOKUP("FK",Pitch_Coef!$A:$B,2,FALSE),0),0)+IF(ISNUMBER(SEARCH("SB",H963)),IFNA(VLOOKUP("SB",Pitch_Coef!$A:$B,2,FALSE),0),0)+IF(ISNUMBER(SEARCH("SL",H963)),IFNA(VLOOKUP("SL",Pitch_Coef!$A:$B,2,FALSE),0),0),0)</f>
        <v/>
      </c>
      <c r="AA963">
        <f>IF(Q963="P",16.5944849573+0.2529999141*N963+0.2665900378*O963+0.2632687105*P963+0.0427586837*I963+0.0534777057*J963+0.009015832*K963+0.0204898106*(O963*P963/100)+1.0091022427*U963+1.0968542297*IF(D963="L",1,0)+0.3771555045*IF(D963="S",1,0)-0.2226159177*IF(E963="L",1,0)+1.21385024*R963-1.1652812274*S963+W963+X963+Z963,10.5965166711+0.2825983581*I963+0.2806503532*J963+0.2027213083*K963+0.1147824982*L963+0.0915305332*M963-0.0088454122*(I963*J963/100)-0.0336045706*(K963*L963/100)+2.8497389733*IF(D963="L",1,0)+4.5116226727*IF(D963="S",1,0)-0.6571546448*IF(E963="L",1,0)+0.0850728147*T963+0.0129488446*(T963*T963)+0.1909373936*IF(OR(F963="Utility",G963="Utility"),T963,0)+0.9656824071*R963-1.7517683256*S963+W963+X963+Y963)</f>
        <v/>
      </c>
      <c r="AB963">
        <f>LOOKUP(AA963,Grade_Scale!$A$2:$A$18,Grade_Scale!$B$2:$B$18)</f>
        <v/>
      </c>
      <c r="AC963">
        <f>LOOKUP(AA963,Grade_Scale!$A$2:$A$18,Grade_Scale!$C$2:$C$18)</f>
        <v/>
      </c>
      <c r="AE963">
        <f>IF(AD963="","",AB963-VLOOKUP(AD963,Grade_Scale!$C$2:$E$18,3,FALSE))</f>
        <v/>
      </c>
    </row>
    <row r="964">
      <c r="Q964">
        <f>IF(OR(B964="SP",B964="RP",B964="CP",B964="SP/RP"),"P","H")</f>
        <v/>
      </c>
      <c r="R964">
        <f>IF(F964="",0,IFNA(VLOOKUP(F964,Trait_Polarity!$A:$C,2,FALSE),0))+IF(G964="",0,IFNA(VLOOKUP(G964,Trait_Polarity!$A:$C,2,FALSE),0))</f>
        <v/>
      </c>
      <c r="S964">
        <f>IF(F964="",0,IFNA(VLOOKUP(F964,Trait_Polarity!$A:$C,3,FALSE),0))+IF(G964="",0,IFNA(VLOOKUP(G964,Trait_Polarity!$A:$C,3,FALSE),0))</f>
        <v/>
      </c>
      <c r="T964">
        <f>IF(Q964="P",0,IFNA(VLOOKUP(IF(C964="","(none)",C964),Secondary_Versatility!$A:$B,2,FALSE),0))</f>
        <v/>
      </c>
      <c r="U964">
        <f>IF(H964="",0,LEN(H964)-LEN(SUBSTITUTE(H964,"|",""))+1)</f>
        <v/>
      </c>
      <c r="V964">
        <f>IF(Q964="P",(N964+O964+P964)/3,0.3*I964+0.3*J964+0.2*K964+0.1*L964+0.1*M964)</f>
        <v/>
      </c>
      <c r="W964">
        <f>IF(Q964="P",IF(F964="",0,IFNA(VLOOKUP(F964,Pitcher_Trait_Coef!$A:$B,2,FALSE),0))+IF(G964="",0,IFNA(VLOOKUP(G964,Pitcher_Trait_Coef!$A:$B,2,FALSE),0)),IF(F964="",0,IFNA(VLOOKUP(F964,Hitter_Trait_Coef!$A:$B,2,FALSE),0))+IF(G964="",0,IFNA(VLOOKUP(G964,Hitter_Trait_Coef!$A:$B,2,FALSE),0)))</f>
        <v/>
      </c>
      <c r="X964">
        <f>IF(Q964="P",IFNA(VLOOKUP(B964,Pitcher_Primary_Coef!$A:$B,2,FALSE),0),IFNA(VLOOKUP(B964,Hitter_Primary_Coef!$A:$B,2,FALSE),0))</f>
        <v/>
      </c>
      <c r="Y964">
        <f>IF(Q964="P",0,IFNA(VLOOKUP(IF(C964="","(none)",C964),Hitter_Secondary_Coef!$A:$B,2,FALSE),0))</f>
        <v/>
      </c>
      <c r="Z964">
        <f>IF(Q964="P",IF(ISNUMBER(SEARCH("2F",H964)),IFNA(VLOOKUP("2F",Pitch_Coef!$A:$B,2,FALSE),0),0)+IF(ISNUMBER(SEARCH("4F",H964)),IFNA(VLOOKUP("4F",Pitch_Coef!$A:$B,2,FALSE),0),0)+IF(ISNUMBER(SEARCH("CB",H964)),IFNA(VLOOKUP("CB",Pitch_Coef!$A:$B,2,FALSE),0),0)+IF(ISNUMBER(SEARCH("CF",H964)),IFNA(VLOOKUP("CF",Pitch_Coef!$A:$B,2,FALSE),0),0)+IF(ISNUMBER(SEARCH("CH",H964)),IFNA(VLOOKUP("CH",Pitch_Coef!$A:$B,2,FALSE),0),0)+IF(ISNUMBER(SEARCH("FK",H964)),IFNA(VLOOKUP("FK",Pitch_Coef!$A:$B,2,FALSE),0),0)+IF(ISNUMBER(SEARCH("SB",H964)),IFNA(VLOOKUP("SB",Pitch_Coef!$A:$B,2,FALSE),0),0)+IF(ISNUMBER(SEARCH("SL",H964)),IFNA(VLOOKUP("SL",Pitch_Coef!$A:$B,2,FALSE),0),0),0)</f>
        <v/>
      </c>
      <c r="AA964">
        <f>IF(Q964="P",16.5944849573+0.2529999141*N964+0.2665900378*O964+0.2632687105*P964+0.0427586837*I964+0.0534777057*J964+0.009015832*K964+0.0204898106*(O964*P964/100)+1.0091022427*U964+1.0968542297*IF(D964="L",1,0)+0.3771555045*IF(D964="S",1,0)-0.2226159177*IF(E964="L",1,0)+1.21385024*R964-1.1652812274*S964+W964+X964+Z964,10.5965166711+0.2825983581*I964+0.2806503532*J964+0.2027213083*K964+0.1147824982*L964+0.0915305332*M964-0.0088454122*(I964*J964/100)-0.0336045706*(K964*L964/100)+2.8497389733*IF(D964="L",1,0)+4.5116226727*IF(D964="S",1,0)-0.6571546448*IF(E964="L",1,0)+0.0850728147*T964+0.0129488446*(T964*T964)+0.1909373936*IF(OR(F964="Utility",G964="Utility"),T964,0)+0.9656824071*R964-1.7517683256*S964+W964+X964+Y964)</f>
        <v/>
      </c>
      <c r="AB964">
        <f>LOOKUP(AA964,Grade_Scale!$A$2:$A$18,Grade_Scale!$B$2:$B$18)</f>
        <v/>
      </c>
      <c r="AC964">
        <f>LOOKUP(AA964,Grade_Scale!$A$2:$A$18,Grade_Scale!$C$2:$C$18)</f>
        <v/>
      </c>
      <c r="AE964">
        <f>IF(AD964="","",AB964-VLOOKUP(AD964,Grade_Scale!$C$2:$E$18,3,FALSE))</f>
        <v/>
      </c>
    </row>
    <row r="965">
      <c r="Q965">
        <f>IF(OR(B965="SP",B965="RP",B965="CP",B965="SP/RP"),"P","H")</f>
        <v/>
      </c>
      <c r="R965">
        <f>IF(F965="",0,IFNA(VLOOKUP(F965,Trait_Polarity!$A:$C,2,FALSE),0))+IF(G965="",0,IFNA(VLOOKUP(G965,Trait_Polarity!$A:$C,2,FALSE),0))</f>
        <v/>
      </c>
      <c r="S965">
        <f>IF(F965="",0,IFNA(VLOOKUP(F965,Trait_Polarity!$A:$C,3,FALSE),0))+IF(G965="",0,IFNA(VLOOKUP(G965,Trait_Polarity!$A:$C,3,FALSE),0))</f>
        <v/>
      </c>
      <c r="T965">
        <f>IF(Q965="P",0,IFNA(VLOOKUP(IF(C965="","(none)",C965),Secondary_Versatility!$A:$B,2,FALSE),0))</f>
        <v/>
      </c>
      <c r="U965">
        <f>IF(H965="",0,LEN(H965)-LEN(SUBSTITUTE(H965,"|",""))+1)</f>
        <v/>
      </c>
      <c r="V965">
        <f>IF(Q965="P",(N965+O965+P965)/3,0.3*I965+0.3*J965+0.2*K965+0.1*L965+0.1*M965)</f>
        <v/>
      </c>
      <c r="W965">
        <f>IF(Q965="P",IF(F965="",0,IFNA(VLOOKUP(F965,Pitcher_Trait_Coef!$A:$B,2,FALSE),0))+IF(G965="",0,IFNA(VLOOKUP(G965,Pitcher_Trait_Coef!$A:$B,2,FALSE),0)),IF(F965="",0,IFNA(VLOOKUP(F965,Hitter_Trait_Coef!$A:$B,2,FALSE),0))+IF(G965="",0,IFNA(VLOOKUP(G965,Hitter_Trait_Coef!$A:$B,2,FALSE),0)))</f>
        <v/>
      </c>
      <c r="X965">
        <f>IF(Q965="P",IFNA(VLOOKUP(B965,Pitcher_Primary_Coef!$A:$B,2,FALSE),0),IFNA(VLOOKUP(B965,Hitter_Primary_Coef!$A:$B,2,FALSE),0))</f>
        <v/>
      </c>
      <c r="Y965">
        <f>IF(Q965="P",0,IFNA(VLOOKUP(IF(C965="","(none)",C965),Hitter_Secondary_Coef!$A:$B,2,FALSE),0))</f>
        <v/>
      </c>
      <c r="Z965">
        <f>IF(Q965="P",IF(ISNUMBER(SEARCH("2F",H965)),IFNA(VLOOKUP("2F",Pitch_Coef!$A:$B,2,FALSE),0),0)+IF(ISNUMBER(SEARCH("4F",H965)),IFNA(VLOOKUP("4F",Pitch_Coef!$A:$B,2,FALSE),0),0)+IF(ISNUMBER(SEARCH("CB",H965)),IFNA(VLOOKUP("CB",Pitch_Coef!$A:$B,2,FALSE),0),0)+IF(ISNUMBER(SEARCH("CF",H965)),IFNA(VLOOKUP("CF",Pitch_Coef!$A:$B,2,FALSE),0),0)+IF(ISNUMBER(SEARCH("CH",H965)),IFNA(VLOOKUP("CH",Pitch_Coef!$A:$B,2,FALSE),0),0)+IF(ISNUMBER(SEARCH("FK",H965)),IFNA(VLOOKUP("FK",Pitch_Coef!$A:$B,2,FALSE),0),0)+IF(ISNUMBER(SEARCH("SB",H965)),IFNA(VLOOKUP("SB",Pitch_Coef!$A:$B,2,FALSE),0),0)+IF(ISNUMBER(SEARCH("SL",H965)),IFNA(VLOOKUP("SL",Pitch_Coef!$A:$B,2,FALSE),0),0),0)</f>
        <v/>
      </c>
      <c r="AA965">
        <f>IF(Q965="P",16.5944849573+0.2529999141*N965+0.2665900378*O965+0.2632687105*P965+0.0427586837*I965+0.0534777057*J965+0.009015832*K965+0.0204898106*(O965*P965/100)+1.0091022427*U965+1.0968542297*IF(D965="L",1,0)+0.3771555045*IF(D965="S",1,0)-0.2226159177*IF(E965="L",1,0)+1.21385024*R965-1.1652812274*S965+W965+X965+Z965,10.5965166711+0.2825983581*I965+0.2806503532*J965+0.2027213083*K965+0.1147824982*L965+0.0915305332*M965-0.0088454122*(I965*J965/100)-0.0336045706*(K965*L965/100)+2.8497389733*IF(D965="L",1,0)+4.5116226727*IF(D965="S",1,0)-0.6571546448*IF(E965="L",1,0)+0.0850728147*T965+0.0129488446*(T965*T965)+0.1909373936*IF(OR(F965="Utility",G965="Utility"),T965,0)+0.9656824071*R965-1.7517683256*S965+W965+X965+Y965)</f>
        <v/>
      </c>
      <c r="AB965">
        <f>LOOKUP(AA965,Grade_Scale!$A$2:$A$18,Grade_Scale!$B$2:$B$18)</f>
        <v/>
      </c>
      <c r="AC965">
        <f>LOOKUP(AA965,Grade_Scale!$A$2:$A$18,Grade_Scale!$C$2:$C$18)</f>
        <v/>
      </c>
      <c r="AE965">
        <f>IF(AD965="","",AB965-VLOOKUP(AD965,Grade_Scale!$C$2:$E$18,3,FALSE))</f>
        <v/>
      </c>
    </row>
    <row r="966">
      <c r="Q966">
        <f>IF(OR(B966="SP",B966="RP",B966="CP",B966="SP/RP"),"P","H")</f>
        <v/>
      </c>
      <c r="R966">
        <f>IF(F966="",0,IFNA(VLOOKUP(F966,Trait_Polarity!$A:$C,2,FALSE),0))+IF(G966="",0,IFNA(VLOOKUP(G966,Trait_Polarity!$A:$C,2,FALSE),0))</f>
        <v/>
      </c>
      <c r="S966">
        <f>IF(F966="",0,IFNA(VLOOKUP(F966,Trait_Polarity!$A:$C,3,FALSE),0))+IF(G966="",0,IFNA(VLOOKUP(G966,Trait_Polarity!$A:$C,3,FALSE),0))</f>
        <v/>
      </c>
      <c r="T966">
        <f>IF(Q966="P",0,IFNA(VLOOKUP(IF(C966="","(none)",C966),Secondary_Versatility!$A:$B,2,FALSE),0))</f>
        <v/>
      </c>
      <c r="U966">
        <f>IF(H966="",0,LEN(H966)-LEN(SUBSTITUTE(H966,"|",""))+1)</f>
        <v/>
      </c>
      <c r="V966">
        <f>IF(Q966="P",(N966+O966+P966)/3,0.3*I966+0.3*J966+0.2*K966+0.1*L966+0.1*M966)</f>
        <v/>
      </c>
      <c r="W966">
        <f>IF(Q966="P",IF(F966="",0,IFNA(VLOOKUP(F966,Pitcher_Trait_Coef!$A:$B,2,FALSE),0))+IF(G966="",0,IFNA(VLOOKUP(G966,Pitcher_Trait_Coef!$A:$B,2,FALSE),0)),IF(F966="",0,IFNA(VLOOKUP(F966,Hitter_Trait_Coef!$A:$B,2,FALSE),0))+IF(G966="",0,IFNA(VLOOKUP(G966,Hitter_Trait_Coef!$A:$B,2,FALSE),0)))</f>
        <v/>
      </c>
      <c r="X966">
        <f>IF(Q966="P",IFNA(VLOOKUP(B966,Pitcher_Primary_Coef!$A:$B,2,FALSE),0),IFNA(VLOOKUP(B966,Hitter_Primary_Coef!$A:$B,2,FALSE),0))</f>
        <v/>
      </c>
      <c r="Y966">
        <f>IF(Q966="P",0,IFNA(VLOOKUP(IF(C966="","(none)",C966),Hitter_Secondary_Coef!$A:$B,2,FALSE),0))</f>
        <v/>
      </c>
      <c r="Z966">
        <f>IF(Q966="P",IF(ISNUMBER(SEARCH("2F",H966)),IFNA(VLOOKUP("2F",Pitch_Coef!$A:$B,2,FALSE),0),0)+IF(ISNUMBER(SEARCH("4F",H966)),IFNA(VLOOKUP("4F",Pitch_Coef!$A:$B,2,FALSE),0),0)+IF(ISNUMBER(SEARCH("CB",H966)),IFNA(VLOOKUP("CB",Pitch_Coef!$A:$B,2,FALSE),0),0)+IF(ISNUMBER(SEARCH("CF",H966)),IFNA(VLOOKUP("CF",Pitch_Coef!$A:$B,2,FALSE),0),0)+IF(ISNUMBER(SEARCH("CH",H966)),IFNA(VLOOKUP("CH",Pitch_Coef!$A:$B,2,FALSE),0),0)+IF(ISNUMBER(SEARCH("FK",H966)),IFNA(VLOOKUP("FK",Pitch_Coef!$A:$B,2,FALSE),0),0)+IF(ISNUMBER(SEARCH("SB",H966)),IFNA(VLOOKUP("SB",Pitch_Coef!$A:$B,2,FALSE),0),0)+IF(ISNUMBER(SEARCH("SL",H966)),IFNA(VLOOKUP("SL",Pitch_Coef!$A:$B,2,FALSE),0),0),0)</f>
        <v/>
      </c>
      <c r="AA966">
        <f>IF(Q966="P",16.5944849573+0.2529999141*N966+0.2665900378*O966+0.2632687105*P966+0.0427586837*I966+0.0534777057*J966+0.009015832*K966+0.0204898106*(O966*P966/100)+1.0091022427*U966+1.0968542297*IF(D966="L",1,0)+0.3771555045*IF(D966="S",1,0)-0.2226159177*IF(E966="L",1,0)+1.21385024*R966-1.1652812274*S966+W966+X966+Z966,10.5965166711+0.2825983581*I966+0.2806503532*J966+0.2027213083*K966+0.1147824982*L966+0.0915305332*M966-0.0088454122*(I966*J966/100)-0.0336045706*(K966*L966/100)+2.8497389733*IF(D966="L",1,0)+4.5116226727*IF(D966="S",1,0)-0.6571546448*IF(E966="L",1,0)+0.0850728147*T966+0.0129488446*(T966*T966)+0.1909373936*IF(OR(F966="Utility",G966="Utility"),T966,0)+0.9656824071*R966-1.7517683256*S966+W966+X966+Y966)</f>
        <v/>
      </c>
      <c r="AB966">
        <f>LOOKUP(AA966,Grade_Scale!$A$2:$A$18,Grade_Scale!$B$2:$B$18)</f>
        <v/>
      </c>
      <c r="AC966">
        <f>LOOKUP(AA966,Grade_Scale!$A$2:$A$18,Grade_Scale!$C$2:$C$18)</f>
        <v/>
      </c>
      <c r="AE966">
        <f>IF(AD966="","",AB966-VLOOKUP(AD966,Grade_Scale!$C$2:$E$18,3,FALSE))</f>
        <v/>
      </c>
    </row>
    <row r="967">
      <c r="Q967">
        <f>IF(OR(B967="SP",B967="RP",B967="CP",B967="SP/RP"),"P","H")</f>
        <v/>
      </c>
      <c r="R967">
        <f>IF(F967="",0,IFNA(VLOOKUP(F967,Trait_Polarity!$A:$C,2,FALSE),0))+IF(G967="",0,IFNA(VLOOKUP(G967,Trait_Polarity!$A:$C,2,FALSE),0))</f>
        <v/>
      </c>
      <c r="S967">
        <f>IF(F967="",0,IFNA(VLOOKUP(F967,Trait_Polarity!$A:$C,3,FALSE),0))+IF(G967="",0,IFNA(VLOOKUP(G967,Trait_Polarity!$A:$C,3,FALSE),0))</f>
        <v/>
      </c>
      <c r="T967">
        <f>IF(Q967="P",0,IFNA(VLOOKUP(IF(C967="","(none)",C967),Secondary_Versatility!$A:$B,2,FALSE),0))</f>
        <v/>
      </c>
      <c r="U967">
        <f>IF(H967="",0,LEN(H967)-LEN(SUBSTITUTE(H967,"|",""))+1)</f>
        <v/>
      </c>
      <c r="V967">
        <f>IF(Q967="P",(N967+O967+P967)/3,0.3*I967+0.3*J967+0.2*K967+0.1*L967+0.1*M967)</f>
        <v/>
      </c>
      <c r="W967">
        <f>IF(Q967="P",IF(F967="",0,IFNA(VLOOKUP(F967,Pitcher_Trait_Coef!$A:$B,2,FALSE),0))+IF(G967="",0,IFNA(VLOOKUP(G967,Pitcher_Trait_Coef!$A:$B,2,FALSE),0)),IF(F967="",0,IFNA(VLOOKUP(F967,Hitter_Trait_Coef!$A:$B,2,FALSE),0))+IF(G967="",0,IFNA(VLOOKUP(G967,Hitter_Trait_Coef!$A:$B,2,FALSE),0)))</f>
        <v/>
      </c>
      <c r="X967">
        <f>IF(Q967="P",IFNA(VLOOKUP(B967,Pitcher_Primary_Coef!$A:$B,2,FALSE),0),IFNA(VLOOKUP(B967,Hitter_Primary_Coef!$A:$B,2,FALSE),0))</f>
        <v/>
      </c>
      <c r="Y967">
        <f>IF(Q967="P",0,IFNA(VLOOKUP(IF(C967="","(none)",C967),Hitter_Secondary_Coef!$A:$B,2,FALSE),0))</f>
        <v/>
      </c>
      <c r="Z967">
        <f>IF(Q967="P",IF(ISNUMBER(SEARCH("2F",H967)),IFNA(VLOOKUP("2F",Pitch_Coef!$A:$B,2,FALSE),0),0)+IF(ISNUMBER(SEARCH("4F",H967)),IFNA(VLOOKUP("4F",Pitch_Coef!$A:$B,2,FALSE),0),0)+IF(ISNUMBER(SEARCH("CB",H967)),IFNA(VLOOKUP("CB",Pitch_Coef!$A:$B,2,FALSE),0),0)+IF(ISNUMBER(SEARCH("CF",H967)),IFNA(VLOOKUP("CF",Pitch_Coef!$A:$B,2,FALSE),0),0)+IF(ISNUMBER(SEARCH("CH",H967)),IFNA(VLOOKUP("CH",Pitch_Coef!$A:$B,2,FALSE),0),0)+IF(ISNUMBER(SEARCH("FK",H967)),IFNA(VLOOKUP("FK",Pitch_Coef!$A:$B,2,FALSE),0),0)+IF(ISNUMBER(SEARCH("SB",H967)),IFNA(VLOOKUP("SB",Pitch_Coef!$A:$B,2,FALSE),0),0)+IF(ISNUMBER(SEARCH("SL",H967)),IFNA(VLOOKUP("SL",Pitch_Coef!$A:$B,2,FALSE),0),0),0)</f>
        <v/>
      </c>
      <c r="AA967">
        <f>IF(Q967="P",16.5944849573+0.2529999141*N967+0.2665900378*O967+0.2632687105*P967+0.0427586837*I967+0.0534777057*J967+0.009015832*K967+0.0204898106*(O967*P967/100)+1.0091022427*U967+1.0968542297*IF(D967="L",1,0)+0.3771555045*IF(D967="S",1,0)-0.2226159177*IF(E967="L",1,0)+1.21385024*R967-1.1652812274*S967+W967+X967+Z967,10.5965166711+0.2825983581*I967+0.2806503532*J967+0.2027213083*K967+0.1147824982*L967+0.0915305332*M967-0.0088454122*(I967*J967/100)-0.0336045706*(K967*L967/100)+2.8497389733*IF(D967="L",1,0)+4.5116226727*IF(D967="S",1,0)-0.6571546448*IF(E967="L",1,0)+0.0850728147*T967+0.0129488446*(T967*T967)+0.1909373936*IF(OR(F967="Utility",G967="Utility"),T967,0)+0.9656824071*R967-1.7517683256*S967+W967+X967+Y967)</f>
        <v/>
      </c>
      <c r="AB967">
        <f>LOOKUP(AA967,Grade_Scale!$A$2:$A$18,Grade_Scale!$B$2:$B$18)</f>
        <v/>
      </c>
      <c r="AC967">
        <f>LOOKUP(AA967,Grade_Scale!$A$2:$A$18,Grade_Scale!$C$2:$C$18)</f>
        <v/>
      </c>
      <c r="AE967">
        <f>IF(AD967="","",AB967-VLOOKUP(AD967,Grade_Scale!$C$2:$E$18,3,FALSE))</f>
        <v/>
      </c>
    </row>
    <row r="968">
      <c r="Q968">
        <f>IF(OR(B968="SP",B968="RP",B968="CP",B968="SP/RP"),"P","H")</f>
        <v/>
      </c>
      <c r="R968">
        <f>IF(F968="",0,IFNA(VLOOKUP(F968,Trait_Polarity!$A:$C,2,FALSE),0))+IF(G968="",0,IFNA(VLOOKUP(G968,Trait_Polarity!$A:$C,2,FALSE),0))</f>
        <v/>
      </c>
      <c r="S968">
        <f>IF(F968="",0,IFNA(VLOOKUP(F968,Trait_Polarity!$A:$C,3,FALSE),0))+IF(G968="",0,IFNA(VLOOKUP(G968,Trait_Polarity!$A:$C,3,FALSE),0))</f>
        <v/>
      </c>
      <c r="T968">
        <f>IF(Q968="P",0,IFNA(VLOOKUP(IF(C968="","(none)",C968),Secondary_Versatility!$A:$B,2,FALSE),0))</f>
        <v/>
      </c>
      <c r="U968">
        <f>IF(H968="",0,LEN(H968)-LEN(SUBSTITUTE(H968,"|",""))+1)</f>
        <v/>
      </c>
      <c r="V968">
        <f>IF(Q968="P",(N968+O968+P968)/3,0.3*I968+0.3*J968+0.2*K968+0.1*L968+0.1*M968)</f>
        <v/>
      </c>
      <c r="W968">
        <f>IF(Q968="P",IF(F968="",0,IFNA(VLOOKUP(F968,Pitcher_Trait_Coef!$A:$B,2,FALSE),0))+IF(G968="",0,IFNA(VLOOKUP(G968,Pitcher_Trait_Coef!$A:$B,2,FALSE),0)),IF(F968="",0,IFNA(VLOOKUP(F968,Hitter_Trait_Coef!$A:$B,2,FALSE),0))+IF(G968="",0,IFNA(VLOOKUP(G968,Hitter_Trait_Coef!$A:$B,2,FALSE),0)))</f>
        <v/>
      </c>
      <c r="X968">
        <f>IF(Q968="P",IFNA(VLOOKUP(B968,Pitcher_Primary_Coef!$A:$B,2,FALSE),0),IFNA(VLOOKUP(B968,Hitter_Primary_Coef!$A:$B,2,FALSE),0))</f>
        <v/>
      </c>
      <c r="Y968">
        <f>IF(Q968="P",0,IFNA(VLOOKUP(IF(C968="","(none)",C968),Hitter_Secondary_Coef!$A:$B,2,FALSE),0))</f>
        <v/>
      </c>
      <c r="Z968">
        <f>IF(Q968="P",IF(ISNUMBER(SEARCH("2F",H968)),IFNA(VLOOKUP("2F",Pitch_Coef!$A:$B,2,FALSE),0),0)+IF(ISNUMBER(SEARCH("4F",H968)),IFNA(VLOOKUP("4F",Pitch_Coef!$A:$B,2,FALSE),0),0)+IF(ISNUMBER(SEARCH("CB",H968)),IFNA(VLOOKUP("CB",Pitch_Coef!$A:$B,2,FALSE),0),0)+IF(ISNUMBER(SEARCH("CF",H968)),IFNA(VLOOKUP("CF",Pitch_Coef!$A:$B,2,FALSE),0),0)+IF(ISNUMBER(SEARCH("CH",H968)),IFNA(VLOOKUP("CH",Pitch_Coef!$A:$B,2,FALSE),0),0)+IF(ISNUMBER(SEARCH("FK",H968)),IFNA(VLOOKUP("FK",Pitch_Coef!$A:$B,2,FALSE),0),0)+IF(ISNUMBER(SEARCH("SB",H968)),IFNA(VLOOKUP("SB",Pitch_Coef!$A:$B,2,FALSE),0),0)+IF(ISNUMBER(SEARCH("SL",H968)),IFNA(VLOOKUP("SL",Pitch_Coef!$A:$B,2,FALSE),0),0),0)</f>
        <v/>
      </c>
      <c r="AA968">
        <f>IF(Q968="P",16.5944849573+0.2529999141*N968+0.2665900378*O968+0.2632687105*P968+0.0427586837*I968+0.0534777057*J968+0.009015832*K968+0.0204898106*(O968*P968/100)+1.0091022427*U968+1.0968542297*IF(D968="L",1,0)+0.3771555045*IF(D968="S",1,0)-0.2226159177*IF(E968="L",1,0)+1.21385024*R968-1.1652812274*S968+W968+X968+Z968,10.5965166711+0.2825983581*I968+0.2806503532*J968+0.2027213083*K968+0.1147824982*L968+0.0915305332*M968-0.0088454122*(I968*J968/100)-0.0336045706*(K968*L968/100)+2.8497389733*IF(D968="L",1,0)+4.5116226727*IF(D968="S",1,0)-0.6571546448*IF(E968="L",1,0)+0.0850728147*T968+0.0129488446*(T968*T968)+0.1909373936*IF(OR(F968="Utility",G968="Utility"),T968,0)+0.9656824071*R968-1.7517683256*S968+W968+X968+Y968)</f>
        <v/>
      </c>
      <c r="AB968">
        <f>LOOKUP(AA968,Grade_Scale!$A$2:$A$18,Grade_Scale!$B$2:$B$18)</f>
        <v/>
      </c>
      <c r="AC968">
        <f>LOOKUP(AA968,Grade_Scale!$A$2:$A$18,Grade_Scale!$C$2:$C$18)</f>
        <v/>
      </c>
      <c r="AE968">
        <f>IF(AD968="","",AB968-VLOOKUP(AD968,Grade_Scale!$C$2:$E$18,3,FALSE))</f>
        <v/>
      </c>
    </row>
    <row r="969">
      <c r="Q969">
        <f>IF(OR(B969="SP",B969="RP",B969="CP",B969="SP/RP"),"P","H")</f>
        <v/>
      </c>
      <c r="R969">
        <f>IF(F969="",0,IFNA(VLOOKUP(F969,Trait_Polarity!$A:$C,2,FALSE),0))+IF(G969="",0,IFNA(VLOOKUP(G969,Trait_Polarity!$A:$C,2,FALSE),0))</f>
        <v/>
      </c>
      <c r="S969">
        <f>IF(F969="",0,IFNA(VLOOKUP(F969,Trait_Polarity!$A:$C,3,FALSE),0))+IF(G969="",0,IFNA(VLOOKUP(G969,Trait_Polarity!$A:$C,3,FALSE),0))</f>
        <v/>
      </c>
      <c r="T969">
        <f>IF(Q969="P",0,IFNA(VLOOKUP(IF(C969="","(none)",C969),Secondary_Versatility!$A:$B,2,FALSE),0))</f>
        <v/>
      </c>
      <c r="U969">
        <f>IF(H969="",0,LEN(H969)-LEN(SUBSTITUTE(H969,"|",""))+1)</f>
        <v/>
      </c>
      <c r="V969">
        <f>IF(Q969="P",(N969+O969+P969)/3,0.3*I969+0.3*J969+0.2*K969+0.1*L969+0.1*M969)</f>
        <v/>
      </c>
      <c r="W969">
        <f>IF(Q969="P",IF(F969="",0,IFNA(VLOOKUP(F969,Pitcher_Trait_Coef!$A:$B,2,FALSE),0))+IF(G969="",0,IFNA(VLOOKUP(G969,Pitcher_Trait_Coef!$A:$B,2,FALSE),0)),IF(F969="",0,IFNA(VLOOKUP(F969,Hitter_Trait_Coef!$A:$B,2,FALSE),0))+IF(G969="",0,IFNA(VLOOKUP(G969,Hitter_Trait_Coef!$A:$B,2,FALSE),0)))</f>
        <v/>
      </c>
      <c r="X969">
        <f>IF(Q969="P",IFNA(VLOOKUP(B969,Pitcher_Primary_Coef!$A:$B,2,FALSE),0),IFNA(VLOOKUP(B969,Hitter_Primary_Coef!$A:$B,2,FALSE),0))</f>
        <v/>
      </c>
      <c r="Y969">
        <f>IF(Q969="P",0,IFNA(VLOOKUP(IF(C969="","(none)",C969),Hitter_Secondary_Coef!$A:$B,2,FALSE),0))</f>
        <v/>
      </c>
      <c r="Z969">
        <f>IF(Q969="P",IF(ISNUMBER(SEARCH("2F",H969)),IFNA(VLOOKUP("2F",Pitch_Coef!$A:$B,2,FALSE),0),0)+IF(ISNUMBER(SEARCH("4F",H969)),IFNA(VLOOKUP("4F",Pitch_Coef!$A:$B,2,FALSE),0),0)+IF(ISNUMBER(SEARCH("CB",H969)),IFNA(VLOOKUP("CB",Pitch_Coef!$A:$B,2,FALSE),0),0)+IF(ISNUMBER(SEARCH("CF",H969)),IFNA(VLOOKUP("CF",Pitch_Coef!$A:$B,2,FALSE),0),0)+IF(ISNUMBER(SEARCH("CH",H969)),IFNA(VLOOKUP("CH",Pitch_Coef!$A:$B,2,FALSE),0),0)+IF(ISNUMBER(SEARCH("FK",H969)),IFNA(VLOOKUP("FK",Pitch_Coef!$A:$B,2,FALSE),0),0)+IF(ISNUMBER(SEARCH("SB",H969)),IFNA(VLOOKUP("SB",Pitch_Coef!$A:$B,2,FALSE),0),0)+IF(ISNUMBER(SEARCH("SL",H969)),IFNA(VLOOKUP("SL",Pitch_Coef!$A:$B,2,FALSE),0),0),0)</f>
        <v/>
      </c>
      <c r="AA969">
        <f>IF(Q969="P",16.5944849573+0.2529999141*N969+0.2665900378*O969+0.2632687105*P969+0.0427586837*I969+0.0534777057*J969+0.009015832*K969+0.0204898106*(O969*P969/100)+1.0091022427*U969+1.0968542297*IF(D969="L",1,0)+0.3771555045*IF(D969="S",1,0)-0.2226159177*IF(E969="L",1,0)+1.21385024*R969-1.1652812274*S969+W969+X969+Z969,10.5965166711+0.2825983581*I969+0.2806503532*J969+0.2027213083*K969+0.1147824982*L969+0.0915305332*M969-0.0088454122*(I969*J969/100)-0.0336045706*(K969*L969/100)+2.8497389733*IF(D969="L",1,0)+4.5116226727*IF(D969="S",1,0)-0.6571546448*IF(E969="L",1,0)+0.0850728147*T969+0.0129488446*(T969*T969)+0.1909373936*IF(OR(F969="Utility",G969="Utility"),T969,0)+0.9656824071*R969-1.7517683256*S969+W969+X969+Y969)</f>
        <v/>
      </c>
      <c r="AB969">
        <f>LOOKUP(AA969,Grade_Scale!$A$2:$A$18,Grade_Scale!$B$2:$B$18)</f>
        <v/>
      </c>
      <c r="AC969">
        <f>LOOKUP(AA969,Grade_Scale!$A$2:$A$18,Grade_Scale!$C$2:$C$18)</f>
        <v/>
      </c>
      <c r="AE969">
        <f>IF(AD969="","",AB969-VLOOKUP(AD969,Grade_Scale!$C$2:$E$18,3,FALSE))</f>
        <v/>
      </c>
    </row>
    <row r="970">
      <c r="Q970">
        <f>IF(OR(B970="SP",B970="RP",B970="CP",B970="SP/RP"),"P","H")</f>
        <v/>
      </c>
      <c r="R970">
        <f>IF(F970="",0,IFNA(VLOOKUP(F970,Trait_Polarity!$A:$C,2,FALSE),0))+IF(G970="",0,IFNA(VLOOKUP(G970,Trait_Polarity!$A:$C,2,FALSE),0))</f>
        <v/>
      </c>
      <c r="S970">
        <f>IF(F970="",0,IFNA(VLOOKUP(F970,Trait_Polarity!$A:$C,3,FALSE),0))+IF(G970="",0,IFNA(VLOOKUP(G970,Trait_Polarity!$A:$C,3,FALSE),0))</f>
        <v/>
      </c>
      <c r="T970">
        <f>IF(Q970="P",0,IFNA(VLOOKUP(IF(C970="","(none)",C970),Secondary_Versatility!$A:$B,2,FALSE),0))</f>
        <v/>
      </c>
      <c r="U970">
        <f>IF(H970="",0,LEN(H970)-LEN(SUBSTITUTE(H970,"|",""))+1)</f>
        <v/>
      </c>
      <c r="V970">
        <f>IF(Q970="P",(N970+O970+P970)/3,0.3*I970+0.3*J970+0.2*K970+0.1*L970+0.1*M970)</f>
        <v/>
      </c>
      <c r="W970">
        <f>IF(Q970="P",IF(F970="",0,IFNA(VLOOKUP(F970,Pitcher_Trait_Coef!$A:$B,2,FALSE),0))+IF(G970="",0,IFNA(VLOOKUP(G970,Pitcher_Trait_Coef!$A:$B,2,FALSE),0)),IF(F970="",0,IFNA(VLOOKUP(F970,Hitter_Trait_Coef!$A:$B,2,FALSE),0))+IF(G970="",0,IFNA(VLOOKUP(G970,Hitter_Trait_Coef!$A:$B,2,FALSE),0)))</f>
        <v/>
      </c>
      <c r="X970">
        <f>IF(Q970="P",IFNA(VLOOKUP(B970,Pitcher_Primary_Coef!$A:$B,2,FALSE),0),IFNA(VLOOKUP(B970,Hitter_Primary_Coef!$A:$B,2,FALSE),0))</f>
        <v/>
      </c>
      <c r="Y970">
        <f>IF(Q970="P",0,IFNA(VLOOKUP(IF(C970="","(none)",C970),Hitter_Secondary_Coef!$A:$B,2,FALSE),0))</f>
        <v/>
      </c>
      <c r="Z970">
        <f>IF(Q970="P",IF(ISNUMBER(SEARCH("2F",H970)),IFNA(VLOOKUP("2F",Pitch_Coef!$A:$B,2,FALSE),0),0)+IF(ISNUMBER(SEARCH("4F",H970)),IFNA(VLOOKUP("4F",Pitch_Coef!$A:$B,2,FALSE),0),0)+IF(ISNUMBER(SEARCH("CB",H970)),IFNA(VLOOKUP("CB",Pitch_Coef!$A:$B,2,FALSE),0),0)+IF(ISNUMBER(SEARCH("CF",H970)),IFNA(VLOOKUP("CF",Pitch_Coef!$A:$B,2,FALSE),0),0)+IF(ISNUMBER(SEARCH("CH",H970)),IFNA(VLOOKUP("CH",Pitch_Coef!$A:$B,2,FALSE),0),0)+IF(ISNUMBER(SEARCH("FK",H970)),IFNA(VLOOKUP("FK",Pitch_Coef!$A:$B,2,FALSE),0),0)+IF(ISNUMBER(SEARCH("SB",H970)),IFNA(VLOOKUP("SB",Pitch_Coef!$A:$B,2,FALSE),0),0)+IF(ISNUMBER(SEARCH("SL",H970)),IFNA(VLOOKUP("SL",Pitch_Coef!$A:$B,2,FALSE),0),0),0)</f>
        <v/>
      </c>
      <c r="AA970">
        <f>IF(Q970="P",16.5944849573+0.2529999141*N970+0.2665900378*O970+0.2632687105*P970+0.0427586837*I970+0.0534777057*J970+0.009015832*K970+0.0204898106*(O970*P970/100)+1.0091022427*U970+1.0968542297*IF(D970="L",1,0)+0.3771555045*IF(D970="S",1,0)-0.2226159177*IF(E970="L",1,0)+1.21385024*R970-1.1652812274*S970+W970+X970+Z970,10.5965166711+0.2825983581*I970+0.2806503532*J970+0.2027213083*K970+0.1147824982*L970+0.0915305332*M970-0.0088454122*(I970*J970/100)-0.0336045706*(K970*L970/100)+2.8497389733*IF(D970="L",1,0)+4.5116226727*IF(D970="S",1,0)-0.6571546448*IF(E970="L",1,0)+0.0850728147*T970+0.0129488446*(T970*T970)+0.1909373936*IF(OR(F970="Utility",G970="Utility"),T970,0)+0.9656824071*R970-1.7517683256*S970+W970+X970+Y970)</f>
        <v/>
      </c>
      <c r="AB970">
        <f>LOOKUP(AA970,Grade_Scale!$A$2:$A$18,Grade_Scale!$B$2:$B$18)</f>
        <v/>
      </c>
      <c r="AC970">
        <f>LOOKUP(AA970,Grade_Scale!$A$2:$A$18,Grade_Scale!$C$2:$C$18)</f>
        <v/>
      </c>
      <c r="AE970">
        <f>IF(AD970="","",AB970-VLOOKUP(AD970,Grade_Scale!$C$2:$E$18,3,FALSE))</f>
        <v/>
      </c>
    </row>
    <row r="971">
      <c r="Q971">
        <f>IF(OR(B971="SP",B971="RP",B971="CP",B971="SP/RP"),"P","H")</f>
        <v/>
      </c>
      <c r="R971">
        <f>IF(F971="",0,IFNA(VLOOKUP(F971,Trait_Polarity!$A:$C,2,FALSE),0))+IF(G971="",0,IFNA(VLOOKUP(G971,Trait_Polarity!$A:$C,2,FALSE),0))</f>
        <v/>
      </c>
      <c r="S971">
        <f>IF(F971="",0,IFNA(VLOOKUP(F971,Trait_Polarity!$A:$C,3,FALSE),0))+IF(G971="",0,IFNA(VLOOKUP(G971,Trait_Polarity!$A:$C,3,FALSE),0))</f>
        <v/>
      </c>
      <c r="T971">
        <f>IF(Q971="P",0,IFNA(VLOOKUP(IF(C971="","(none)",C971),Secondary_Versatility!$A:$B,2,FALSE),0))</f>
        <v/>
      </c>
      <c r="U971">
        <f>IF(H971="",0,LEN(H971)-LEN(SUBSTITUTE(H971,"|",""))+1)</f>
        <v/>
      </c>
      <c r="V971">
        <f>IF(Q971="P",(N971+O971+P971)/3,0.3*I971+0.3*J971+0.2*K971+0.1*L971+0.1*M971)</f>
        <v/>
      </c>
      <c r="W971">
        <f>IF(Q971="P",IF(F971="",0,IFNA(VLOOKUP(F971,Pitcher_Trait_Coef!$A:$B,2,FALSE),0))+IF(G971="",0,IFNA(VLOOKUP(G971,Pitcher_Trait_Coef!$A:$B,2,FALSE),0)),IF(F971="",0,IFNA(VLOOKUP(F971,Hitter_Trait_Coef!$A:$B,2,FALSE),0))+IF(G971="",0,IFNA(VLOOKUP(G971,Hitter_Trait_Coef!$A:$B,2,FALSE),0)))</f>
        <v/>
      </c>
      <c r="X971">
        <f>IF(Q971="P",IFNA(VLOOKUP(B971,Pitcher_Primary_Coef!$A:$B,2,FALSE),0),IFNA(VLOOKUP(B971,Hitter_Primary_Coef!$A:$B,2,FALSE),0))</f>
        <v/>
      </c>
      <c r="Y971">
        <f>IF(Q971="P",0,IFNA(VLOOKUP(IF(C971="","(none)",C971),Hitter_Secondary_Coef!$A:$B,2,FALSE),0))</f>
        <v/>
      </c>
      <c r="Z971">
        <f>IF(Q971="P",IF(ISNUMBER(SEARCH("2F",H971)),IFNA(VLOOKUP("2F",Pitch_Coef!$A:$B,2,FALSE),0),0)+IF(ISNUMBER(SEARCH("4F",H971)),IFNA(VLOOKUP("4F",Pitch_Coef!$A:$B,2,FALSE),0),0)+IF(ISNUMBER(SEARCH("CB",H971)),IFNA(VLOOKUP("CB",Pitch_Coef!$A:$B,2,FALSE),0),0)+IF(ISNUMBER(SEARCH("CF",H971)),IFNA(VLOOKUP("CF",Pitch_Coef!$A:$B,2,FALSE),0),0)+IF(ISNUMBER(SEARCH("CH",H971)),IFNA(VLOOKUP("CH",Pitch_Coef!$A:$B,2,FALSE),0),0)+IF(ISNUMBER(SEARCH("FK",H971)),IFNA(VLOOKUP("FK",Pitch_Coef!$A:$B,2,FALSE),0),0)+IF(ISNUMBER(SEARCH("SB",H971)),IFNA(VLOOKUP("SB",Pitch_Coef!$A:$B,2,FALSE),0),0)+IF(ISNUMBER(SEARCH("SL",H971)),IFNA(VLOOKUP("SL",Pitch_Coef!$A:$B,2,FALSE),0),0),0)</f>
        <v/>
      </c>
      <c r="AA971">
        <f>IF(Q971="P",16.5944849573+0.2529999141*N971+0.2665900378*O971+0.2632687105*P971+0.0427586837*I971+0.0534777057*J971+0.009015832*K971+0.0204898106*(O971*P971/100)+1.0091022427*U971+1.0968542297*IF(D971="L",1,0)+0.3771555045*IF(D971="S",1,0)-0.2226159177*IF(E971="L",1,0)+1.21385024*R971-1.1652812274*S971+W971+X971+Z971,10.5965166711+0.2825983581*I971+0.2806503532*J971+0.2027213083*K971+0.1147824982*L971+0.0915305332*M971-0.0088454122*(I971*J971/100)-0.0336045706*(K971*L971/100)+2.8497389733*IF(D971="L",1,0)+4.5116226727*IF(D971="S",1,0)-0.6571546448*IF(E971="L",1,0)+0.0850728147*T971+0.0129488446*(T971*T971)+0.1909373936*IF(OR(F971="Utility",G971="Utility"),T971,0)+0.9656824071*R971-1.7517683256*S971+W971+X971+Y971)</f>
        <v/>
      </c>
      <c r="AB971">
        <f>LOOKUP(AA971,Grade_Scale!$A$2:$A$18,Grade_Scale!$B$2:$B$18)</f>
        <v/>
      </c>
      <c r="AC971">
        <f>LOOKUP(AA971,Grade_Scale!$A$2:$A$18,Grade_Scale!$C$2:$C$18)</f>
        <v/>
      </c>
      <c r="AE971">
        <f>IF(AD971="","",AB971-VLOOKUP(AD971,Grade_Scale!$C$2:$E$18,3,FALSE))</f>
        <v/>
      </c>
    </row>
    <row r="972">
      <c r="Q972">
        <f>IF(OR(B972="SP",B972="RP",B972="CP",B972="SP/RP"),"P","H")</f>
        <v/>
      </c>
      <c r="R972">
        <f>IF(F972="",0,IFNA(VLOOKUP(F972,Trait_Polarity!$A:$C,2,FALSE),0))+IF(G972="",0,IFNA(VLOOKUP(G972,Trait_Polarity!$A:$C,2,FALSE),0))</f>
        <v/>
      </c>
      <c r="S972">
        <f>IF(F972="",0,IFNA(VLOOKUP(F972,Trait_Polarity!$A:$C,3,FALSE),0))+IF(G972="",0,IFNA(VLOOKUP(G972,Trait_Polarity!$A:$C,3,FALSE),0))</f>
        <v/>
      </c>
      <c r="T972">
        <f>IF(Q972="P",0,IFNA(VLOOKUP(IF(C972="","(none)",C972),Secondary_Versatility!$A:$B,2,FALSE),0))</f>
        <v/>
      </c>
      <c r="U972">
        <f>IF(H972="",0,LEN(H972)-LEN(SUBSTITUTE(H972,"|",""))+1)</f>
        <v/>
      </c>
      <c r="V972">
        <f>IF(Q972="P",(N972+O972+P972)/3,0.3*I972+0.3*J972+0.2*K972+0.1*L972+0.1*M972)</f>
        <v/>
      </c>
      <c r="W972">
        <f>IF(Q972="P",IF(F972="",0,IFNA(VLOOKUP(F972,Pitcher_Trait_Coef!$A:$B,2,FALSE),0))+IF(G972="",0,IFNA(VLOOKUP(G972,Pitcher_Trait_Coef!$A:$B,2,FALSE),0)),IF(F972="",0,IFNA(VLOOKUP(F972,Hitter_Trait_Coef!$A:$B,2,FALSE),0))+IF(G972="",0,IFNA(VLOOKUP(G972,Hitter_Trait_Coef!$A:$B,2,FALSE),0)))</f>
        <v/>
      </c>
      <c r="X972">
        <f>IF(Q972="P",IFNA(VLOOKUP(B972,Pitcher_Primary_Coef!$A:$B,2,FALSE),0),IFNA(VLOOKUP(B972,Hitter_Primary_Coef!$A:$B,2,FALSE),0))</f>
        <v/>
      </c>
      <c r="Y972">
        <f>IF(Q972="P",0,IFNA(VLOOKUP(IF(C972="","(none)",C972),Hitter_Secondary_Coef!$A:$B,2,FALSE),0))</f>
        <v/>
      </c>
      <c r="Z972">
        <f>IF(Q972="P",IF(ISNUMBER(SEARCH("2F",H972)),IFNA(VLOOKUP("2F",Pitch_Coef!$A:$B,2,FALSE),0),0)+IF(ISNUMBER(SEARCH("4F",H972)),IFNA(VLOOKUP("4F",Pitch_Coef!$A:$B,2,FALSE),0),0)+IF(ISNUMBER(SEARCH("CB",H972)),IFNA(VLOOKUP("CB",Pitch_Coef!$A:$B,2,FALSE),0),0)+IF(ISNUMBER(SEARCH("CF",H972)),IFNA(VLOOKUP("CF",Pitch_Coef!$A:$B,2,FALSE),0),0)+IF(ISNUMBER(SEARCH("CH",H972)),IFNA(VLOOKUP("CH",Pitch_Coef!$A:$B,2,FALSE),0),0)+IF(ISNUMBER(SEARCH("FK",H972)),IFNA(VLOOKUP("FK",Pitch_Coef!$A:$B,2,FALSE),0),0)+IF(ISNUMBER(SEARCH("SB",H972)),IFNA(VLOOKUP("SB",Pitch_Coef!$A:$B,2,FALSE),0),0)+IF(ISNUMBER(SEARCH("SL",H972)),IFNA(VLOOKUP("SL",Pitch_Coef!$A:$B,2,FALSE),0),0),0)</f>
        <v/>
      </c>
      <c r="AA972">
        <f>IF(Q972="P",16.5944849573+0.2529999141*N972+0.2665900378*O972+0.2632687105*P972+0.0427586837*I972+0.0534777057*J972+0.009015832*K972+0.0204898106*(O972*P972/100)+1.0091022427*U972+1.0968542297*IF(D972="L",1,0)+0.3771555045*IF(D972="S",1,0)-0.2226159177*IF(E972="L",1,0)+1.21385024*R972-1.1652812274*S972+W972+X972+Z972,10.5965166711+0.2825983581*I972+0.2806503532*J972+0.2027213083*K972+0.1147824982*L972+0.0915305332*M972-0.0088454122*(I972*J972/100)-0.0336045706*(K972*L972/100)+2.8497389733*IF(D972="L",1,0)+4.5116226727*IF(D972="S",1,0)-0.6571546448*IF(E972="L",1,0)+0.0850728147*T972+0.0129488446*(T972*T972)+0.1909373936*IF(OR(F972="Utility",G972="Utility"),T972,0)+0.9656824071*R972-1.7517683256*S972+W972+X972+Y972)</f>
        <v/>
      </c>
      <c r="AB972">
        <f>LOOKUP(AA972,Grade_Scale!$A$2:$A$18,Grade_Scale!$B$2:$B$18)</f>
        <v/>
      </c>
      <c r="AC972">
        <f>LOOKUP(AA972,Grade_Scale!$A$2:$A$18,Grade_Scale!$C$2:$C$18)</f>
        <v/>
      </c>
      <c r="AE972">
        <f>IF(AD972="","",AB972-VLOOKUP(AD972,Grade_Scale!$C$2:$E$18,3,FALSE))</f>
        <v/>
      </c>
    </row>
    <row r="973">
      <c r="Q973">
        <f>IF(OR(B973="SP",B973="RP",B973="CP",B973="SP/RP"),"P","H")</f>
        <v/>
      </c>
      <c r="R973">
        <f>IF(F973="",0,IFNA(VLOOKUP(F973,Trait_Polarity!$A:$C,2,FALSE),0))+IF(G973="",0,IFNA(VLOOKUP(G973,Trait_Polarity!$A:$C,2,FALSE),0))</f>
        <v/>
      </c>
      <c r="S973">
        <f>IF(F973="",0,IFNA(VLOOKUP(F973,Trait_Polarity!$A:$C,3,FALSE),0))+IF(G973="",0,IFNA(VLOOKUP(G973,Trait_Polarity!$A:$C,3,FALSE),0))</f>
        <v/>
      </c>
      <c r="T973">
        <f>IF(Q973="P",0,IFNA(VLOOKUP(IF(C973="","(none)",C973),Secondary_Versatility!$A:$B,2,FALSE),0))</f>
        <v/>
      </c>
      <c r="U973">
        <f>IF(H973="",0,LEN(H973)-LEN(SUBSTITUTE(H973,"|",""))+1)</f>
        <v/>
      </c>
      <c r="V973">
        <f>IF(Q973="P",(N973+O973+P973)/3,0.3*I973+0.3*J973+0.2*K973+0.1*L973+0.1*M973)</f>
        <v/>
      </c>
      <c r="W973">
        <f>IF(Q973="P",IF(F973="",0,IFNA(VLOOKUP(F973,Pitcher_Trait_Coef!$A:$B,2,FALSE),0))+IF(G973="",0,IFNA(VLOOKUP(G973,Pitcher_Trait_Coef!$A:$B,2,FALSE),0)),IF(F973="",0,IFNA(VLOOKUP(F973,Hitter_Trait_Coef!$A:$B,2,FALSE),0))+IF(G973="",0,IFNA(VLOOKUP(G973,Hitter_Trait_Coef!$A:$B,2,FALSE),0)))</f>
        <v/>
      </c>
      <c r="X973">
        <f>IF(Q973="P",IFNA(VLOOKUP(B973,Pitcher_Primary_Coef!$A:$B,2,FALSE),0),IFNA(VLOOKUP(B973,Hitter_Primary_Coef!$A:$B,2,FALSE),0))</f>
        <v/>
      </c>
      <c r="Y973">
        <f>IF(Q973="P",0,IFNA(VLOOKUP(IF(C973="","(none)",C973),Hitter_Secondary_Coef!$A:$B,2,FALSE),0))</f>
        <v/>
      </c>
      <c r="Z973">
        <f>IF(Q973="P",IF(ISNUMBER(SEARCH("2F",H973)),IFNA(VLOOKUP("2F",Pitch_Coef!$A:$B,2,FALSE),0),0)+IF(ISNUMBER(SEARCH("4F",H973)),IFNA(VLOOKUP("4F",Pitch_Coef!$A:$B,2,FALSE),0),0)+IF(ISNUMBER(SEARCH("CB",H973)),IFNA(VLOOKUP("CB",Pitch_Coef!$A:$B,2,FALSE),0),0)+IF(ISNUMBER(SEARCH("CF",H973)),IFNA(VLOOKUP("CF",Pitch_Coef!$A:$B,2,FALSE),0),0)+IF(ISNUMBER(SEARCH("CH",H973)),IFNA(VLOOKUP("CH",Pitch_Coef!$A:$B,2,FALSE),0),0)+IF(ISNUMBER(SEARCH("FK",H973)),IFNA(VLOOKUP("FK",Pitch_Coef!$A:$B,2,FALSE),0),0)+IF(ISNUMBER(SEARCH("SB",H973)),IFNA(VLOOKUP("SB",Pitch_Coef!$A:$B,2,FALSE),0),0)+IF(ISNUMBER(SEARCH("SL",H973)),IFNA(VLOOKUP("SL",Pitch_Coef!$A:$B,2,FALSE),0),0),0)</f>
        <v/>
      </c>
      <c r="AA973">
        <f>IF(Q973="P",16.5944849573+0.2529999141*N973+0.2665900378*O973+0.2632687105*P973+0.0427586837*I973+0.0534777057*J973+0.009015832*K973+0.0204898106*(O973*P973/100)+1.0091022427*U973+1.0968542297*IF(D973="L",1,0)+0.3771555045*IF(D973="S",1,0)-0.2226159177*IF(E973="L",1,0)+1.21385024*R973-1.1652812274*S973+W973+X973+Z973,10.5965166711+0.2825983581*I973+0.2806503532*J973+0.2027213083*K973+0.1147824982*L973+0.0915305332*M973-0.0088454122*(I973*J973/100)-0.0336045706*(K973*L973/100)+2.8497389733*IF(D973="L",1,0)+4.5116226727*IF(D973="S",1,0)-0.6571546448*IF(E973="L",1,0)+0.0850728147*T973+0.0129488446*(T973*T973)+0.1909373936*IF(OR(F973="Utility",G973="Utility"),T973,0)+0.9656824071*R973-1.7517683256*S973+W973+X973+Y973)</f>
        <v/>
      </c>
      <c r="AB973">
        <f>LOOKUP(AA973,Grade_Scale!$A$2:$A$18,Grade_Scale!$B$2:$B$18)</f>
        <v/>
      </c>
      <c r="AC973">
        <f>LOOKUP(AA973,Grade_Scale!$A$2:$A$18,Grade_Scale!$C$2:$C$18)</f>
        <v/>
      </c>
      <c r="AE973">
        <f>IF(AD973="","",AB973-VLOOKUP(AD973,Grade_Scale!$C$2:$E$18,3,FALSE))</f>
        <v/>
      </c>
    </row>
    <row r="974">
      <c r="Q974">
        <f>IF(OR(B974="SP",B974="RP",B974="CP",B974="SP/RP"),"P","H")</f>
        <v/>
      </c>
      <c r="R974">
        <f>IF(F974="",0,IFNA(VLOOKUP(F974,Trait_Polarity!$A:$C,2,FALSE),0))+IF(G974="",0,IFNA(VLOOKUP(G974,Trait_Polarity!$A:$C,2,FALSE),0))</f>
        <v/>
      </c>
      <c r="S974">
        <f>IF(F974="",0,IFNA(VLOOKUP(F974,Trait_Polarity!$A:$C,3,FALSE),0))+IF(G974="",0,IFNA(VLOOKUP(G974,Trait_Polarity!$A:$C,3,FALSE),0))</f>
        <v/>
      </c>
      <c r="T974">
        <f>IF(Q974="P",0,IFNA(VLOOKUP(IF(C974="","(none)",C974),Secondary_Versatility!$A:$B,2,FALSE),0))</f>
        <v/>
      </c>
      <c r="U974">
        <f>IF(H974="",0,LEN(H974)-LEN(SUBSTITUTE(H974,"|",""))+1)</f>
        <v/>
      </c>
      <c r="V974">
        <f>IF(Q974="P",(N974+O974+P974)/3,0.3*I974+0.3*J974+0.2*K974+0.1*L974+0.1*M974)</f>
        <v/>
      </c>
      <c r="W974">
        <f>IF(Q974="P",IF(F974="",0,IFNA(VLOOKUP(F974,Pitcher_Trait_Coef!$A:$B,2,FALSE),0))+IF(G974="",0,IFNA(VLOOKUP(G974,Pitcher_Trait_Coef!$A:$B,2,FALSE),0)),IF(F974="",0,IFNA(VLOOKUP(F974,Hitter_Trait_Coef!$A:$B,2,FALSE),0))+IF(G974="",0,IFNA(VLOOKUP(G974,Hitter_Trait_Coef!$A:$B,2,FALSE),0)))</f>
        <v/>
      </c>
      <c r="X974">
        <f>IF(Q974="P",IFNA(VLOOKUP(B974,Pitcher_Primary_Coef!$A:$B,2,FALSE),0),IFNA(VLOOKUP(B974,Hitter_Primary_Coef!$A:$B,2,FALSE),0))</f>
        <v/>
      </c>
      <c r="Y974">
        <f>IF(Q974="P",0,IFNA(VLOOKUP(IF(C974="","(none)",C974),Hitter_Secondary_Coef!$A:$B,2,FALSE),0))</f>
        <v/>
      </c>
      <c r="Z974">
        <f>IF(Q974="P",IF(ISNUMBER(SEARCH("2F",H974)),IFNA(VLOOKUP("2F",Pitch_Coef!$A:$B,2,FALSE),0),0)+IF(ISNUMBER(SEARCH("4F",H974)),IFNA(VLOOKUP("4F",Pitch_Coef!$A:$B,2,FALSE),0),0)+IF(ISNUMBER(SEARCH("CB",H974)),IFNA(VLOOKUP("CB",Pitch_Coef!$A:$B,2,FALSE),0),0)+IF(ISNUMBER(SEARCH("CF",H974)),IFNA(VLOOKUP("CF",Pitch_Coef!$A:$B,2,FALSE),0),0)+IF(ISNUMBER(SEARCH("CH",H974)),IFNA(VLOOKUP("CH",Pitch_Coef!$A:$B,2,FALSE),0),0)+IF(ISNUMBER(SEARCH("FK",H974)),IFNA(VLOOKUP("FK",Pitch_Coef!$A:$B,2,FALSE),0),0)+IF(ISNUMBER(SEARCH("SB",H974)),IFNA(VLOOKUP("SB",Pitch_Coef!$A:$B,2,FALSE),0),0)+IF(ISNUMBER(SEARCH("SL",H974)),IFNA(VLOOKUP("SL",Pitch_Coef!$A:$B,2,FALSE),0),0),0)</f>
        <v/>
      </c>
      <c r="AA974">
        <f>IF(Q974="P",16.5944849573+0.2529999141*N974+0.2665900378*O974+0.2632687105*P974+0.0427586837*I974+0.0534777057*J974+0.009015832*K974+0.0204898106*(O974*P974/100)+1.0091022427*U974+1.0968542297*IF(D974="L",1,0)+0.3771555045*IF(D974="S",1,0)-0.2226159177*IF(E974="L",1,0)+1.21385024*R974-1.1652812274*S974+W974+X974+Z974,10.5965166711+0.2825983581*I974+0.2806503532*J974+0.2027213083*K974+0.1147824982*L974+0.0915305332*M974-0.0088454122*(I974*J974/100)-0.0336045706*(K974*L974/100)+2.8497389733*IF(D974="L",1,0)+4.5116226727*IF(D974="S",1,0)-0.6571546448*IF(E974="L",1,0)+0.0850728147*T974+0.0129488446*(T974*T974)+0.1909373936*IF(OR(F974="Utility",G974="Utility"),T974,0)+0.9656824071*R974-1.7517683256*S974+W974+X974+Y974)</f>
        <v/>
      </c>
      <c r="AB974">
        <f>LOOKUP(AA974,Grade_Scale!$A$2:$A$18,Grade_Scale!$B$2:$B$18)</f>
        <v/>
      </c>
      <c r="AC974">
        <f>LOOKUP(AA974,Grade_Scale!$A$2:$A$18,Grade_Scale!$C$2:$C$18)</f>
        <v/>
      </c>
      <c r="AE974">
        <f>IF(AD974="","",AB974-VLOOKUP(AD974,Grade_Scale!$C$2:$E$18,3,FALSE))</f>
        <v/>
      </c>
    </row>
    <row r="975">
      <c r="Q975">
        <f>IF(OR(B975="SP",B975="RP",B975="CP",B975="SP/RP"),"P","H")</f>
        <v/>
      </c>
      <c r="R975">
        <f>IF(F975="",0,IFNA(VLOOKUP(F975,Trait_Polarity!$A:$C,2,FALSE),0))+IF(G975="",0,IFNA(VLOOKUP(G975,Trait_Polarity!$A:$C,2,FALSE),0))</f>
        <v/>
      </c>
      <c r="S975">
        <f>IF(F975="",0,IFNA(VLOOKUP(F975,Trait_Polarity!$A:$C,3,FALSE),0))+IF(G975="",0,IFNA(VLOOKUP(G975,Trait_Polarity!$A:$C,3,FALSE),0))</f>
        <v/>
      </c>
      <c r="T975">
        <f>IF(Q975="P",0,IFNA(VLOOKUP(IF(C975="","(none)",C975),Secondary_Versatility!$A:$B,2,FALSE),0))</f>
        <v/>
      </c>
      <c r="U975">
        <f>IF(H975="",0,LEN(H975)-LEN(SUBSTITUTE(H975,"|",""))+1)</f>
        <v/>
      </c>
      <c r="V975">
        <f>IF(Q975="P",(N975+O975+P975)/3,0.3*I975+0.3*J975+0.2*K975+0.1*L975+0.1*M975)</f>
        <v/>
      </c>
      <c r="W975">
        <f>IF(Q975="P",IF(F975="",0,IFNA(VLOOKUP(F975,Pitcher_Trait_Coef!$A:$B,2,FALSE),0))+IF(G975="",0,IFNA(VLOOKUP(G975,Pitcher_Trait_Coef!$A:$B,2,FALSE),0)),IF(F975="",0,IFNA(VLOOKUP(F975,Hitter_Trait_Coef!$A:$B,2,FALSE),0))+IF(G975="",0,IFNA(VLOOKUP(G975,Hitter_Trait_Coef!$A:$B,2,FALSE),0)))</f>
        <v/>
      </c>
      <c r="X975">
        <f>IF(Q975="P",IFNA(VLOOKUP(B975,Pitcher_Primary_Coef!$A:$B,2,FALSE),0),IFNA(VLOOKUP(B975,Hitter_Primary_Coef!$A:$B,2,FALSE),0))</f>
        <v/>
      </c>
      <c r="Y975">
        <f>IF(Q975="P",0,IFNA(VLOOKUP(IF(C975="","(none)",C975),Hitter_Secondary_Coef!$A:$B,2,FALSE),0))</f>
        <v/>
      </c>
      <c r="Z975">
        <f>IF(Q975="P",IF(ISNUMBER(SEARCH("2F",H975)),IFNA(VLOOKUP("2F",Pitch_Coef!$A:$B,2,FALSE),0),0)+IF(ISNUMBER(SEARCH("4F",H975)),IFNA(VLOOKUP("4F",Pitch_Coef!$A:$B,2,FALSE),0),0)+IF(ISNUMBER(SEARCH("CB",H975)),IFNA(VLOOKUP("CB",Pitch_Coef!$A:$B,2,FALSE),0),0)+IF(ISNUMBER(SEARCH("CF",H975)),IFNA(VLOOKUP("CF",Pitch_Coef!$A:$B,2,FALSE),0),0)+IF(ISNUMBER(SEARCH("CH",H975)),IFNA(VLOOKUP("CH",Pitch_Coef!$A:$B,2,FALSE),0),0)+IF(ISNUMBER(SEARCH("FK",H975)),IFNA(VLOOKUP("FK",Pitch_Coef!$A:$B,2,FALSE),0),0)+IF(ISNUMBER(SEARCH("SB",H975)),IFNA(VLOOKUP("SB",Pitch_Coef!$A:$B,2,FALSE),0),0)+IF(ISNUMBER(SEARCH("SL",H975)),IFNA(VLOOKUP("SL",Pitch_Coef!$A:$B,2,FALSE),0),0),0)</f>
        <v/>
      </c>
      <c r="AA975">
        <f>IF(Q975="P",16.5944849573+0.2529999141*N975+0.2665900378*O975+0.2632687105*P975+0.0427586837*I975+0.0534777057*J975+0.009015832*K975+0.0204898106*(O975*P975/100)+1.0091022427*U975+1.0968542297*IF(D975="L",1,0)+0.3771555045*IF(D975="S",1,0)-0.2226159177*IF(E975="L",1,0)+1.21385024*R975-1.1652812274*S975+W975+X975+Z975,10.5965166711+0.2825983581*I975+0.2806503532*J975+0.2027213083*K975+0.1147824982*L975+0.0915305332*M975-0.0088454122*(I975*J975/100)-0.0336045706*(K975*L975/100)+2.8497389733*IF(D975="L",1,0)+4.5116226727*IF(D975="S",1,0)-0.6571546448*IF(E975="L",1,0)+0.0850728147*T975+0.0129488446*(T975*T975)+0.1909373936*IF(OR(F975="Utility",G975="Utility"),T975,0)+0.9656824071*R975-1.7517683256*S975+W975+X975+Y975)</f>
        <v/>
      </c>
      <c r="AB975">
        <f>LOOKUP(AA975,Grade_Scale!$A$2:$A$18,Grade_Scale!$B$2:$B$18)</f>
        <v/>
      </c>
      <c r="AC975">
        <f>LOOKUP(AA975,Grade_Scale!$A$2:$A$18,Grade_Scale!$C$2:$C$18)</f>
        <v/>
      </c>
      <c r="AE975">
        <f>IF(AD975="","",AB975-VLOOKUP(AD975,Grade_Scale!$C$2:$E$18,3,FALSE))</f>
        <v/>
      </c>
    </row>
    <row r="976">
      <c r="Q976">
        <f>IF(OR(B976="SP",B976="RP",B976="CP",B976="SP/RP"),"P","H")</f>
        <v/>
      </c>
      <c r="R976">
        <f>IF(F976="",0,IFNA(VLOOKUP(F976,Trait_Polarity!$A:$C,2,FALSE),0))+IF(G976="",0,IFNA(VLOOKUP(G976,Trait_Polarity!$A:$C,2,FALSE),0))</f>
        <v/>
      </c>
      <c r="S976">
        <f>IF(F976="",0,IFNA(VLOOKUP(F976,Trait_Polarity!$A:$C,3,FALSE),0))+IF(G976="",0,IFNA(VLOOKUP(G976,Trait_Polarity!$A:$C,3,FALSE),0))</f>
        <v/>
      </c>
      <c r="T976">
        <f>IF(Q976="P",0,IFNA(VLOOKUP(IF(C976="","(none)",C976),Secondary_Versatility!$A:$B,2,FALSE),0))</f>
        <v/>
      </c>
      <c r="U976">
        <f>IF(H976="",0,LEN(H976)-LEN(SUBSTITUTE(H976,"|",""))+1)</f>
        <v/>
      </c>
      <c r="V976">
        <f>IF(Q976="P",(N976+O976+P976)/3,0.3*I976+0.3*J976+0.2*K976+0.1*L976+0.1*M976)</f>
        <v/>
      </c>
      <c r="W976">
        <f>IF(Q976="P",IF(F976="",0,IFNA(VLOOKUP(F976,Pitcher_Trait_Coef!$A:$B,2,FALSE),0))+IF(G976="",0,IFNA(VLOOKUP(G976,Pitcher_Trait_Coef!$A:$B,2,FALSE),0)),IF(F976="",0,IFNA(VLOOKUP(F976,Hitter_Trait_Coef!$A:$B,2,FALSE),0))+IF(G976="",0,IFNA(VLOOKUP(G976,Hitter_Trait_Coef!$A:$B,2,FALSE),0)))</f>
        <v/>
      </c>
      <c r="X976">
        <f>IF(Q976="P",IFNA(VLOOKUP(B976,Pitcher_Primary_Coef!$A:$B,2,FALSE),0),IFNA(VLOOKUP(B976,Hitter_Primary_Coef!$A:$B,2,FALSE),0))</f>
        <v/>
      </c>
      <c r="Y976">
        <f>IF(Q976="P",0,IFNA(VLOOKUP(IF(C976="","(none)",C976),Hitter_Secondary_Coef!$A:$B,2,FALSE),0))</f>
        <v/>
      </c>
      <c r="Z976">
        <f>IF(Q976="P",IF(ISNUMBER(SEARCH("2F",H976)),IFNA(VLOOKUP("2F",Pitch_Coef!$A:$B,2,FALSE),0),0)+IF(ISNUMBER(SEARCH("4F",H976)),IFNA(VLOOKUP("4F",Pitch_Coef!$A:$B,2,FALSE),0),0)+IF(ISNUMBER(SEARCH("CB",H976)),IFNA(VLOOKUP("CB",Pitch_Coef!$A:$B,2,FALSE),0),0)+IF(ISNUMBER(SEARCH("CF",H976)),IFNA(VLOOKUP("CF",Pitch_Coef!$A:$B,2,FALSE),0),0)+IF(ISNUMBER(SEARCH("CH",H976)),IFNA(VLOOKUP("CH",Pitch_Coef!$A:$B,2,FALSE),0),0)+IF(ISNUMBER(SEARCH("FK",H976)),IFNA(VLOOKUP("FK",Pitch_Coef!$A:$B,2,FALSE),0),0)+IF(ISNUMBER(SEARCH("SB",H976)),IFNA(VLOOKUP("SB",Pitch_Coef!$A:$B,2,FALSE),0),0)+IF(ISNUMBER(SEARCH("SL",H976)),IFNA(VLOOKUP("SL",Pitch_Coef!$A:$B,2,FALSE),0),0),0)</f>
        <v/>
      </c>
      <c r="AA976">
        <f>IF(Q976="P",16.5944849573+0.2529999141*N976+0.2665900378*O976+0.2632687105*P976+0.0427586837*I976+0.0534777057*J976+0.009015832*K976+0.0204898106*(O976*P976/100)+1.0091022427*U976+1.0968542297*IF(D976="L",1,0)+0.3771555045*IF(D976="S",1,0)-0.2226159177*IF(E976="L",1,0)+1.21385024*R976-1.1652812274*S976+W976+X976+Z976,10.5965166711+0.2825983581*I976+0.2806503532*J976+0.2027213083*K976+0.1147824982*L976+0.0915305332*M976-0.0088454122*(I976*J976/100)-0.0336045706*(K976*L976/100)+2.8497389733*IF(D976="L",1,0)+4.5116226727*IF(D976="S",1,0)-0.6571546448*IF(E976="L",1,0)+0.0850728147*T976+0.0129488446*(T976*T976)+0.1909373936*IF(OR(F976="Utility",G976="Utility"),T976,0)+0.9656824071*R976-1.7517683256*S976+W976+X976+Y976)</f>
        <v/>
      </c>
      <c r="AB976">
        <f>LOOKUP(AA976,Grade_Scale!$A$2:$A$18,Grade_Scale!$B$2:$B$18)</f>
        <v/>
      </c>
      <c r="AC976">
        <f>LOOKUP(AA976,Grade_Scale!$A$2:$A$18,Grade_Scale!$C$2:$C$18)</f>
        <v/>
      </c>
      <c r="AE976">
        <f>IF(AD976="","",AB976-VLOOKUP(AD976,Grade_Scale!$C$2:$E$18,3,FALSE))</f>
        <v/>
      </c>
    </row>
    <row r="977">
      <c r="Q977">
        <f>IF(OR(B977="SP",B977="RP",B977="CP",B977="SP/RP"),"P","H")</f>
        <v/>
      </c>
      <c r="R977">
        <f>IF(F977="",0,IFNA(VLOOKUP(F977,Trait_Polarity!$A:$C,2,FALSE),0))+IF(G977="",0,IFNA(VLOOKUP(G977,Trait_Polarity!$A:$C,2,FALSE),0))</f>
        <v/>
      </c>
      <c r="S977">
        <f>IF(F977="",0,IFNA(VLOOKUP(F977,Trait_Polarity!$A:$C,3,FALSE),0))+IF(G977="",0,IFNA(VLOOKUP(G977,Trait_Polarity!$A:$C,3,FALSE),0))</f>
        <v/>
      </c>
      <c r="T977">
        <f>IF(Q977="P",0,IFNA(VLOOKUP(IF(C977="","(none)",C977),Secondary_Versatility!$A:$B,2,FALSE),0))</f>
        <v/>
      </c>
      <c r="U977">
        <f>IF(H977="",0,LEN(H977)-LEN(SUBSTITUTE(H977,"|",""))+1)</f>
        <v/>
      </c>
      <c r="V977">
        <f>IF(Q977="P",(N977+O977+P977)/3,0.3*I977+0.3*J977+0.2*K977+0.1*L977+0.1*M977)</f>
        <v/>
      </c>
      <c r="W977">
        <f>IF(Q977="P",IF(F977="",0,IFNA(VLOOKUP(F977,Pitcher_Trait_Coef!$A:$B,2,FALSE),0))+IF(G977="",0,IFNA(VLOOKUP(G977,Pitcher_Trait_Coef!$A:$B,2,FALSE),0)),IF(F977="",0,IFNA(VLOOKUP(F977,Hitter_Trait_Coef!$A:$B,2,FALSE),0))+IF(G977="",0,IFNA(VLOOKUP(G977,Hitter_Trait_Coef!$A:$B,2,FALSE),0)))</f>
        <v/>
      </c>
      <c r="X977">
        <f>IF(Q977="P",IFNA(VLOOKUP(B977,Pitcher_Primary_Coef!$A:$B,2,FALSE),0),IFNA(VLOOKUP(B977,Hitter_Primary_Coef!$A:$B,2,FALSE),0))</f>
        <v/>
      </c>
      <c r="Y977">
        <f>IF(Q977="P",0,IFNA(VLOOKUP(IF(C977="","(none)",C977),Hitter_Secondary_Coef!$A:$B,2,FALSE),0))</f>
        <v/>
      </c>
      <c r="Z977">
        <f>IF(Q977="P",IF(ISNUMBER(SEARCH("2F",H977)),IFNA(VLOOKUP("2F",Pitch_Coef!$A:$B,2,FALSE),0),0)+IF(ISNUMBER(SEARCH("4F",H977)),IFNA(VLOOKUP("4F",Pitch_Coef!$A:$B,2,FALSE),0),0)+IF(ISNUMBER(SEARCH("CB",H977)),IFNA(VLOOKUP("CB",Pitch_Coef!$A:$B,2,FALSE),0),0)+IF(ISNUMBER(SEARCH("CF",H977)),IFNA(VLOOKUP("CF",Pitch_Coef!$A:$B,2,FALSE),0),0)+IF(ISNUMBER(SEARCH("CH",H977)),IFNA(VLOOKUP("CH",Pitch_Coef!$A:$B,2,FALSE),0),0)+IF(ISNUMBER(SEARCH("FK",H977)),IFNA(VLOOKUP("FK",Pitch_Coef!$A:$B,2,FALSE),0),0)+IF(ISNUMBER(SEARCH("SB",H977)),IFNA(VLOOKUP("SB",Pitch_Coef!$A:$B,2,FALSE),0),0)+IF(ISNUMBER(SEARCH("SL",H977)),IFNA(VLOOKUP("SL",Pitch_Coef!$A:$B,2,FALSE),0),0),0)</f>
        <v/>
      </c>
      <c r="AA977">
        <f>IF(Q977="P",16.5944849573+0.2529999141*N977+0.2665900378*O977+0.2632687105*P977+0.0427586837*I977+0.0534777057*J977+0.009015832*K977+0.0204898106*(O977*P977/100)+1.0091022427*U977+1.0968542297*IF(D977="L",1,0)+0.3771555045*IF(D977="S",1,0)-0.2226159177*IF(E977="L",1,0)+1.21385024*R977-1.1652812274*S977+W977+X977+Z977,10.5965166711+0.2825983581*I977+0.2806503532*J977+0.2027213083*K977+0.1147824982*L977+0.0915305332*M977-0.0088454122*(I977*J977/100)-0.0336045706*(K977*L977/100)+2.8497389733*IF(D977="L",1,0)+4.5116226727*IF(D977="S",1,0)-0.6571546448*IF(E977="L",1,0)+0.0850728147*T977+0.0129488446*(T977*T977)+0.1909373936*IF(OR(F977="Utility",G977="Utility"),T977,0)+0.9656824071*R977-1.7517683256*S977+W977+X977+Y977)</f>
        <v/>
      </c>
      <c r="AB977">
        <f>LOOKUP(AA977,Grade_Scale!$A$2:$A$18,Grade_Scale!$B$2:$B$18)</f>
        <v/>
      </c>
      <c r="AC977">
        <f>LOOKUP(AA977,Grade_Scale!$A$2:$A$18,Grade_Scale!$C$2:$C$18)</f>
        <v/>
      </c>
      <c r="AE977">
        <f>IF(AD977="","",AB977-VLOOKUP(AD977,Grade_Scale!$C$2:$E$18,3,FALSE))</f>
        <v/>
      </c>
    </row>
    <row r="978">
      <c r="Q978">
        <f>IF(OR(B978="SP",B978="RP",B978="CP",B978="SP/RP"),"P","H")</f>
        <v/>
      </c>
      <c r="R978">
        <f>IF(F978="",0,IFNA(VLOOKUP(F978,Trait_Polarity!$A:$C,2,FALSE),0))+IF(G978="",0,IFNA(VLOOKUP(G978,Trait_Polarity!$A:$C,2,FALSE),0))</f>
        <v/>
      </c>
      <c r="S978">
        <f>IF(F978="",0,IFNA(VLOOKUP(F978,Trait_Polarity!$A:$C,3,FALSE),0))+IF(G978="",0,IFNA(VLOOKUP(G978,Trait_Polarity!$A:$C,3,FALSE),0))</f>
        <v/>
      </c>
      <c r="T978">
        <f>IF(Q978="P",0,IFNA(VLOOKUP(IF(C978="","(none)",C978),Secondary_Versatility!$A:$B,2,FALSE),0))</f>
        <v/>
      </c>
      <c r="U978">
        <f>IF(H978="",0,LEN(H978)-LEN(SUBSTITUTE(H978,"|",""))+1)</f>
        <v/>
      </c>
      <c r="V978">
        <f>IF(Q978="P",(N978+O978+P978)/3,0.3*I978+0.3*J978+0.2*K978+0.1*L978+0.1*M978)</f>
        <v/>
      </c>
      <c r="W978">
        <f>IF(Q978="P",IF(F978="",0,IFNA(VLOOKUP(F978,Pitcher_Trait_Coef!$A:$B,2,FALSE),0))+IF(G978="",0,IFNA(VLOOKUP(G978,Pitcher_Trait_Coef!$A:$B,2,FALSE),0)),IF(F978="",0,IFNA(VLOOKUP(F978,Hitter_Trait_Coef!$A:$B,2,FALSE),0))+IF(G978="",0,IFNA(VLOOKUP(G978,Hitter_Trait_Coef!$A:$B,2,FALSE),0)))</f>
        <v/>
      </c>
      <c r="X978">
        <f>IF(Q978="P",IFNA(VLOOKUP(B978,Pitcher_Primary_Coef!$A:$B,2,FALSE),0),IFNA(VLOOKUP(B978,Hitter_Primary_Coef!$A:$B,2,FALSE),0))</f>
        <v/>
      </c>
      <c r="Y978">
        <f>IF(Q978="P",0,IFNA(VLOOKUP(IF(C978="","(none)",C978),Hitter_Secondary_Coef!$A:$B,2,FALSE),0))</f>
        <v/>
      </c>
      <c r="Z978">
        <f>IF(Q978="P",IF(ISNUMBER(SEARCH("2F",H978)),IFNA(VLOOKUP("2F",Pitch_Coef!$A:$B,2,FALSE),0),0)+IF(ISNUMBER(SEARCH("4F",H978)),IFNA(VLOOKUP("4F",Pitch_Coef!$A:$B,2,FALSE),0),0)+IF(ISNUMBER(SEARCH("CB",H978)),IFNA(VLOOKUP("CB",Pitch_Coef!$A:$B,2,FALSE),0),0)+IF(ISNUMBER(SEARCH("CF",H978)),IFNA(VLOOKUP("CF",Pitch_Coef!$A:$B,2,FALSE),0),0)+IF(ISNUMBER(SEARCH("CH",H978)),IFNA(VLOOKUP("CH",Pitch_Coef!$A:$B,2,FALSE),0),0)+IF(ISNUMBER(SEARCH("FK",H978)),IFNA(VLOOKUP("FK",Pitch_Coef!$A:$B,2,FALSE),0),0)+IF(ISNUMBER(SEARCH("SB",H978)),IFNA(VLOOKUP("SB",Pitch_Coef!$A:$B,2,FALSE),0),0)+IF(ISNUMBER(SEARCH("SL",H978)),IFNA(VLOOKUP("SL",Pitch_Coef!$A:$B,2,FALSE),0),0),0)</f>
        <v/>
      </c>
      <c r="AA978">
        <f>IF(Q978="P",16.5944849573+0.2529999141*N978+0.2665900378*O978+0.2632687105*P978+0.0427586837*I978+0.0534777057*J978+0.009015832*K978+0.0204898106*(O978*P978/100)+1.0091022427*U978+1.0968542297*IF(D978="L",1,0)+0.3771555045*IF(D978="S",1,0)-0.2226159177*IF(E978="L",1,0)+1.21385024*R978-1.1652812274*S978+W978+X978+Z978,10.5965166711+0.2825983581*I978+0.2806503532*J978+0.2027213083*K978+0.1147824982*L978+0.0915305332*M978-0.0088454122*(I978*J978/100)-0.0336045706*(K978*L978/100)+2.8497389733*IF(D978="L",1,0)+4.5116226727*IF(D978="S",1,0)-0.6571546448*IF(E978="L",1,0)+0.0850728147*T978+0.0129488446*(T978*T978)+0.1909373936*IF(OR(F978="Utility",G978="Utility"),T978,0)+0.9656824071*R978-1.7517683256*S978+W978+X978+Y978)</f>
        <v/>
      </c>
      <c r="AB978">
        <f>LOOKUP(AA978,Grade_Scale!$A$2:$A$18,Grade_Scale!$B$2:$B$18)</f>
        <v/>
      </c>
      <c r="AC978">
        <f>LOOKUP(AA978,Grade_Scale!$A$2:$A$18,Grade_Scale!$C$2:$C$18)</f>
        <v/>
      </c>
      <c r="AE978">
        <f>IF(AD978="","",AB978-VLOOKUP(AD978,Grade_Scale!$C$2:$E$18,3,FALSE))</f>
        <v/>
      </c>
    </row>
    <row r="979">
      <c r="Q979">
        <f>IF(OR(B979="SP",B979="RP",B979="CP",B979="SP/RP"),"P","H")</f>
        <v/>
      </c>
      <c r="R979">
        <f>IF(F979="",0,IFNA(VLOOKUP(F979,Trait_Polarity!$A:$C,2,FALSE),0))+IF(G979="",0,IFNA(VLOOKUP(G979,Trait_Polarity!$A:$C,2,FALSE),0))</f>
        <v/>
      </c>
      <c r="S979">
        <f>IF(F979="",0,IFNA(VLOOKUP(F979,Trait_Polarity!$A:$C,3,FALSE),0))+IF(G979="",0,IFNA(VLOOKUP(G979,Trait_Polarity!$A:$C,3,FALSE),0))</f>
        <v/>
      </c>
      <c r="T979">
        <f>IF(Q979="P",0,IFNA(VLOOKUP(IF(C979="","(none)",C979),Secondary_Versatility!$A:$B,2,FALSE),0))</f>
        <v/>
      </c>
      <c r="U979">
        <f>IF(H979="",0,LEN(H979)-LEN(SUBSTITUTE(H979,"|",""))+1)</f>
        <v/>
      </c>
      <c r="V979">
        <f>IF(Q979="P",(N979+O979+P979)/3,0.3*I979+0.3*J979+0.2*K979+0.1*L979+0.1*M979)</f>
        <v/>
      </c>
      <c r="W979">
        <f>IF(Q979="P",IF(F979="",0,IFNA(VLOOKUP(F979,Pitcher_Trait_Coef!$A:$B,2,FALSE),0))+IF(G979="",0,IFNA(VLOOKUP(G979,Pitcher_Trait_Coef!$A:$B,2,FALSE),0)),IF(F979="",0,IFNA(VLOOKUP(F979,Hitter_Trait_Coef!$A:$B,2,FALSE),0))+IF(G979="",0,IFNA(VLOOKUP(G979,Hitter_Trait_Coef!$A:$B,2,FALSE),0)))</f>
        <v/>
      </c>
      <c r="X979">
        <f>IF(Q979="P",IFNA(VLOOKUP(B979,Pitcher_Primary_Coef!$A:$B,2,FALSE),0),IFNA(VLOOKUP(B979,Hitter_Primary_Coef!$A:$B,2,FALSE),0))</f>
        <v/>
      </c>
      <c r="Y979">
        <f>IF(Q979="P",0,IFNA(VLOOKUP(IF(C979="","(none)",C979),Hitter_Secondary_Coef!$A:$B,2,FALSE),0))</f>
        <v/>
      </c>
      <c r="Z979">
        <f>IF(Q979="P",IF(ISNUMBER(SEARCH("2F",H979)),IFNA(VLOOKUP("2F",Pitch_Coef!$A:$B,2,FALSE),0),0)+IF(ISNUMBER(SEARCH("4F",H979)),IFNA(VLOOKUP("4F",Pitch_Coef!$A:$B,2,FALSE),0),0)+IF(ISNUMBER(SEARCH("CB",H979)),IFNA(VLOOKUP("CB",Pitch_Coef!$A:$B,2,FALSE),0),0)+IF(ISNUMBER(SEARCH("CF",H979)),IFNA(VLOOKUP("CF",Pitch_Coef!$A:$B,2,FALSE),0),0)+IF(ISNUMBER(SEARCH("CH",H979)),IFNA(VLOOKUP("CH",Pitch_Coef!$A:$B,2,FALSE),0),0)+IF(ISNUMBER(SEARCH("FK",H979)),IFNA(VLOOKUP("FK",Pitch_Coef!$A:$B,2,FALSE),0),0)+IF(ISNUMBER(SEARCH("SB",H979)),IFNA(VLOOKUP("SB",Pitch_Coef!$A:$B,2,FALSE),0),0)+IF(ISNUMBER(SEARCH("SL",H979)),IFNA(VLOOKUP("SL",Pitch_Coef!$A:$B,2,FALSE),0),0),0)</f>
        <v/>
      </c>
      <c r="AA979">
        <f>IF(Q979="P",16.5944849573+0.2529999141*N979+0.2665900378*O979+0.2632687105*P979+0.0427586837*I979+0.0534777057*J979+0.009015832*K979+0.0204898106*(O979*P979/100)+1.0091022427*U979+1.0968542297*IF(D979="L",1,0)+0.3771555045*IF(D979="S",1,0)-0.2226159177*IF(E979="L",1,0)+1.21385024*R979-1.1652812274*S979+W979+X979+Z979,10.5965166711+0.2825983581*I979+0.2806503532*J979+0.2027213083*K979+0.1147824982*L979+0.0915305332*M979-0.0088454122*(I979*J979/100)-0.0336045706*(K979*L979/100)+2.8497389733*IF(D979="L",1,0)+4.5116226727*IF(D979="S",1,0)-0.6571546448*IF(E979="L",1,0)+0.0850728147*T979+0.0129488446*(T979*T979)+0.1909373936*IF(OR(F979="Utility",G979="Utility"),T979,0)+0.9656824071*R979-1.7517683256*S979+W979+X979+Y979)</f>
        <v/>
      </c>
      <c r="AB979">
        <f>LOOKUP(AA979,Grade_Scale!$A$2:$A$18,Grade_Scale!$B$2:$B$18)</f>
        <v/>
      </c>
      <c r="AC979">
        <f>LOOKUP(AA979,Grade_Scale!$A$2:$A$18,Grade_Scale!$C$2:$C$18)</f>
        <v/>
      </c>
      <c r="AE979">
        <f>IF(AD979="","",AB979-VLOOKUP(AD979,Grade_Scale!$C$2:$E$18,3,FALSE))</f>
        <v/>
      </c>
    </row>
    <row r="980">
      <c r="Q980">
        <f>IF(OR(B980="SP",B980="RP",B980="CP",B980="SP/RP"),"P","H")</f>
        <v/>
      </c>
      <c r="R980">
        <f>IF(F980="",0,IFNA(VLOOKUP(F980,Trait_Polarity!$A:$C,2,FALSE),0))+IF(G980="",0,IFNA(VLOOKUP(G980,Trait_Polarity!$A:$C,2,FALSE),0))</f>
        <v/>
      </c>
      <c r="S980">
        <f>IF(F980="",0,IFNA(VLOOKUP(F980,Trait_Polarity!$A:$C,3,FALSE),0))+IF(G980="",0,IFNA(VLOOKUP(G980,Trait_Polarity!$A:$C,3,FALSE),0))</f>
        <v/>
      </c>
      <c r="T980">
        <f>IF(Q980="P",0,IFNA(VLOOKUP(IF(C980="","(none)",C980),Secondary_Versatility!$A:$B,2,FALSE),0))</f>
        <v/>
      </c>
      <c r="U980">
        <f>IF(H980="",0,LEN(H980)-LEN(SUBSTITUTE(H980,"|",""))+1)</f>
        <v/>
      </c>
      <c r="V980">
        <f>IF(Q980="P",(N980+O980+P980)/3,0.3*I980+0.3*J980+0.2*K980+0.1*L980+0.1*M980)</f>
        <v/>
      </c>
      <c r="W980">
        <f>IF(Q980="P",IF(F980="",0,IFNA(VLOOKUP(F980,Pitcher_Trait_Coef!$A:$B,2,FALSE),0))+IF(G980="",0,IFNA(VLOOKUP(G980,Pitcher_Trait_Coef!$A:$B,2,FALSE),0)),IF(F980="",0,IFNA(VLOOKUP(F980,Hitter_Trait_Coef!$A:$B,2,FALSE),0))+IF(G980="",0,IFNA(VLOOKUP(G980,Hitter_Trait_Coef!$A:$B,2,FALSE),0)))</f>
        <v/>
      </c>
      <c r="X980">
        <f>IF(Q980="P",IFNA(VLOOKUP(B980,Pitcher_Primary_Coef!$A:$B,2,FALSE),0),IFNA(VLOOKUP(B980,Hitter_Primary_Coef!$A:$B,2,FALSE),0))</f>
        <v/>
      </c>
      <c r="Y980">
        <f>IF(Q980="P",0,IFNA(VLOOKUP(IF(C980="","(none)",C980),Hitter_Secondary_Coef!$A:$B,2,FALSE),0))</f>
        <v/>
      </c>
      <c r="Z980">
        <f>IF(Q980="P",IF(ISNUMBER(SEARCH("2F",H980)),IFNA(VLOOKUP("2F",Pitch_Coef!$A:$B,2,FALSE),0),0)+IF(ISNUMBER(SEARCH("4F",H980)),IFNA(VLOOKUP("4F",Pitch_Coef!$A:$B,2,FALSE),0),0)+IF(ISNUMBER(SEARCH("CB",H980)),IFNA(VLOOKUP("CB",Pitch_Coef!$A:$B,2,FALSE),0),0)+IF(ISNUMBER(SEARCH("CF",H980)),IFNA(VLOOKUP("CF",Pitch_Coef!$A:$B,2,FALSE),0),0)+IF(ISNUMBER(SEARCH("CH",H980)),IFNA(VLOOKUP("CH",Pitch_Coef!$A:$B,2,FALSE),0),0)+IF(ISNUMBER(SEARCH("FK",H980)),IFNA(VLOOKUP("FK",Pitch_Coef!$A:$B,2,FALSE),0),0)+IF(ISNUMBER(SEARCH("SB",H980)),IFNA(VLOOKUP("SB",Pitch_Coef!$A:$B,2,FALSE),0),0)+IF(ISNUMBER(SEARCH("SL",H980)),IFNA(VLOOKUP("SL",Pitch_Coef!$A:$B,2,FALSE),0),0),0)</f>
        <v/>
      </c>
      <c r="AA980">
        <f>IF(Q980="P",16.5944849573+0.2529999141*N980+0.2665900378*O980+0.2632687105*P980+0.0427586837*I980+0.0534777057*J980+0.009015832*K980+0.0204898106*(O980*P980/100)+1.0091022427*U980+1.0968542297*IF(D980="L",1,0)+0.3771555045*IF(D980="S",1,0)-0.2226159177*IF(E980="L",1,0)+1.21385024*R980-1.1652812274*S980+W980+X980+Z980,10.5965166711+0.2825983581*I980+0.2806503532*J980+0.2027213083*K980+0.1147824982*L980+0.0915305332*M980-0.0088454122*(I980*J980/100)-0.0336045706*(K980*L980/100)+2.8497389733*IF(D980="L",1,0)+4.5116226727*IF(D980="S",1,0)-0.6571546448*IF(E980="L",1,0)+0.0850728147*T980+0.0129488446*(T980*T980)+0.1909373936*IF(OR(F980="Utility",G980="Utility"),T980,0)+0.9656824071*R980-1.7517683256*S980+W980+X980+Y980)</f>
        <v/>
      </c>
      <c r="AB980">
        <f>LOOKUP(AA980,Grade_Scale!$A$2:$A$18,Grade_Scale!$B$2:$B$18)</f>
        <v/>
      </c>
      <c r="AC980">
        <f>LOOKUP(AA980,Grade_Scale!$A$2:$A$18,Grade_Scale!$C$2:$C$18)</f>
        <v/>
      </c>
      <c r="AE980">
        <f>IF(AD980="","",AB980-VLOOKUP(AD980,Grade_Scale!$C$2:$E$18,3,FALSE))</f>
        <v/>
      </c>
    </row>
    <row r="981">
      <c r="Q981">
        <f>IF(OR(B981="SP",B981="RP",B981="CP",B981="SP/RP"),"P","H")</f>
        <v/>
      </c>
      <c r="R981">
        <f>IF(F981="",0,IFNA(VLOOKUP(F981,Trait_Polarity!$A:$C,2,FALSE),0))+IF(G981="",0,IFNA(VLOOKUP(G981,Trait_Polarity!$A:$C,2,FALSE),0))</f>
        <v/>
      </c>
      <c r="S981">
        <f>IF(F981="",0,IFNA(VLOOKUP(F981,Trait_Polarity!$A:$C,3,FALSE),0))+IF(G981="",0,IFNA(VLOOKUP(G981,Trait_Polarity!$A:$C,3,FALSE),0))</f>
        <v/>
      </c>
      <c r="T981">
        <f>IF(Q981="P",0,IFNA(VLOOKUP(IF(C981="","(none)",C981),Secondary_Versatility!$A:$B,2,FALSE),0))</f>
        <v/>
      </c>
      <c r="U981">
        <f>IF(H981="",0,LEN(H981)-LEN(SUBSTITUTE(H981,"|",""))+1)</f>
        <v/>
      </c>
      <c r="V981">
        <f>IF(Q981="P",(N981+O981+P981)/3,0.3*I981+0.3*J981+0.2*K981+0.1*L981+0.1*M981)</f>
        <v/>
      </c>
      <c r="W981">
        <f>IF(Q981="P",IF(F981="",0,IFNA(VLOOKUP(F981,Pitcher_Trait_Coef!$A:$B,2,FALSE),0))+IF(G981="",0,IFNA(VLOOKUP(G981,Pitcher_Trait_Coef!$A:$B,2,FALSE),0)),IF(F981="",0,IFNA(VLOOKUP(F981,Hitter_Trait_Coef!$A:$B,2,FALSE),0))+IF(G981="",0,IFNA(VLOOKUP(G981,Hitter_Trait_Coef!$A:$B,2,FALSE),0)))</f>
        <v/>
      </c>
      <c r="X981">
        <f>IF(Q981="P",IFNA(VLOOKUP(B981,Pitcher_Primary_Coef!$A:$B,2,FALSE),0),IFNA(VLOOKUP(B981,Hitter_Primary_Coef!$A:$B,2,FALSE),0))</f>
        <v/>
      </c>
      <c r="Y981">
        <f>IF(Q981="P",0,IFNA(VLOOKUP(IF(C981="","(none)",C981),Hitter_Secondary_Coef!$A:$B,2,FALSE),0))</f>
        <v/>
      </c>
      <c r="Z981">
        <f>IF(Q981="P",IF(ISNUMBER(SEARCH("2F",H981)),IFNA(VLOOKUP("2F",Pitch_Coef!$A:$B,2,FALSE),0),0)+IF(ISNUMBER(SEARCH("4F",H981)),IFNA(VLOOKUP("4F",Pitch_Coef!$A:$B,2,FALSE),0),0)+IF(ISNUMBER(SEARCH("CB",H981)),IFNA(VLOOKUP("CB",Pitch_Coef!$A:$B,2,FALSE),0),0)+IF(ISNUMBER(SEARCH("CF",H981)),IFNA(VLOOKUP("CF",Pitch_Coef!$A:$B,2,FALSE),0),0)+IF(ISNUMBER(SEARCH("CH",H981)),IFNA(VLOOKUP("CH",Pitch_Coef!$A:$B,2,FALSE),0),0)+IF(ISNUMBER(SEARCH("FK",H981)),IFNA(VLOOKUP("FK",Pitch_Coef!$A:$B,2,FALSE),0),0)+IF(ISNUMBER(SEARCH("SB",H981)),IFNA(VLOOKUP("SB",Pitch_Coef!$A:$B,2,FALSE),0),0)+IF(ISNUMBER(SEARCH("SL",H981)),IFNA(VLOOKUP("SL",Pitch_Coef!$A:$B,2,FALSE),0),0),0)</f>
        <v/>
      </c>
      <c r="AA981">
        <f>IF(Q981="P",16.5944849573+0.2529999141*N981+0.2665900378*O981+0.2632687105*P981+0.0427586837*I981+0.0534777057*J981+0.009015832*K981+0.0204898106*(O981*P981/100)+1.0091022427*U981+1.0968542297*IF(D981="L",1,0)+0.3771555045*IF(D981="S",1,0)-0.2226159177*IF(E981="L",1,0)+1.21385024*R981-1.1652812274*S981+W981+X981+Z981,10.5965166711+0.2825983581*I981+0.2806503532*J981+0.2027213083*K981+0.1147824982*L981+0.0915305332*M981-0.0088454122*(I981*J981/100)-0.0336045706*(K981*L981/100)+2.8497389733*IF(D981="L",1,0)+4.5116226727*IF(D981="S",1,0)-0.6571546448*IF(E981="L",1,0)+0.0850728147*T981+0.0129488446*(T981*T981)+0.1909373936*IF(OR(F981="Utility",G981="Utility"),T981,0)+0.9656824071*R981-1.7517683256*S981+W981+X981+Y981)</f>
        <v/>
      </c>
      <c r="AB981">
        <f>LOOKUP(AA981,Grade_Scale!$A$2:$A$18,Grade_Scale!$B$2:$B$18)</f>
        <v/>
      </c>
      <c r="AC981">
        <f>LOOKUP(AA981,Grade_Scale!$A$2:$A$18,Grade_Scale!$C$2:$C$18)</f>
        <v/>
      </c>
      <c r="AE981">
        <f>IF(AD981="","",AB981-VLOOKUP(AD981,Grade_Scale!$C$2:$E$18,3,FALSE))</f>
        <v/>
      </c>
    </row>
    <row r="982">
      <c r="Q982">
        <f>IF(OR(B982="SP",B982="RP",B982="CP",B982="SP/RP"),"P","H")</f>
        <v/>
      </c>
      <c r="R982">
        <f>IF(F982="",0,IFNA(VLOOKUP(F982,Trait_Polarity!$A:$C,2,FALSE),0))+IF(G982="",0,IFNA(VLOOKUP(G982,Trait_Polarity!$A:$C,2,FALSE),0))</f>
        <v/>
      </c>
      <c r="S982">
        <f>IF(F982="",0,IFNA(VLOOKUP(F982,Trait_Polarity!$A:$C,3,FALSE),0))+IF(G982="",0,IFNA(VLOOKUP(G982,Trait_Polarity!$A:$C,3,FALSE),0))</f>
        <v/>
      </c>
      <c r="T982">
        <f>IF(Q982="P",0,IFNA(VLOOKUP(IF(C982="","(none)",C982),Secondary_Versatility!$A:$B,2,FALSE),0))</f>
        <v/>
      </c>
      <c r="U982">
        <f>IF(H982="",0,LEN(H982)-LEN(SUBSTITUTE(H982,"|",""))+1)</f>
        <v/>
      </c>
      <c r="V982">
        <f>IF(Q982="P",(N982+O982+P982)/3,0.3*I982+0.3*J982+0.2*K982+0.1*L982+0.1*M982)</f>
        <v/>
      </c>
      <c r="W982">
        <f>IF(Q982="P",IF(F982="",0,IFNA(VLOOKUP(F982,Pitcher_Trait_Coef!$A:$B,2,FALSE),0))+IF(G982="",0,IFNA(VLOOKUP(G982,Pitcher_Trait_Coef!$A:$B,2,FALSE),0)),IF(F982="",0,IFNA(VLOOKUP(F982,Hitter_Trait_Coef!$A:$B,2,FALSE),0))+IF(G982="",0,IFNA(VLOOKUP(G982,Hitter_Trait_Coef!$A:$B,2,FALSE),0)))</f>
        <v/>
      </c>
      <c r="X982">
        <f>IF(Q982="P",IFNA(VLOOKUP(B982,Pitcher_Primary_Coef!$A:$B,2,FALSE),0),IFNA(VLOOKUP(B982,Hitter_Primary_Coef!$A:$B,2,FALSE),0))</f>
        <v/>
      </c>
      <c r="Y982">
        <f>IF(Q982="P",0,IFNA(VLOOKUP(IF(C982="","(none)",C982),Hitter_Secondary_Coef!$A:$B,2,FALSE),0))</f>
        <v/>
      </c>
      <c r="Z982">
        <f>IF(Q982="P",IF(ISNUMBER(SEARCH("2F",H982)),IFNA(VLOOKUP("2F",Pitch_Coef!$A:$B,2,FALSE),0),0)+IF(ISNUMBER(SEARCH("4F",H982)),IFNA(VLOOKUP("4F",Pitch_Coef!$A:$B,2,FALSE),0),0)+IF(ISNUMBER(SEARCH("CB",H982)),IFNA(VLOOKUP("CB",Pitch_Coef!$A:$B,2,FALSE),0),0)+IF(ISNUMBER(SEARCH("CF",H982)),IFNA(VLOOKUP("CF",Pitch_Coef!$A:$B,2,FALSE),0),0)+IF(ISNUMBER(SEARCH("CH",H982)),IFNA(VLOOKUP("CH",Pitch_Coef!$A:$B,2,FALSE),0),0)+IF(ISNUMBER(SEARCH("FK",H982)),IFNA(VLOOKUP("FK",Pitch_Coef!$A:$B,2,FALSE),0),0)+IF(ISNUMBER(SEARCH("SB",H982)),IFNA(VLOOKUP("SB",Pitch_Coef!$A:$B,2,FALSE),0),0)+IF(ISNUMBER(SEARCH("SL",H982)),IFNA(VLOOKUP("SL",Pitch_Coef!$A:$B,2,FALSE),0),0),0)</f>
        <v/>
      </c>
      <c r="AA982">
        <f>IF(Q982="P",16.5944849573+0.2529999141*N982+0.2665900378*O982+0.2632687105*P982+0.0427586837*I982+0.0534777057*J982+0.009015832*K982+0.0204898106*(O982*P982/100)+1.0091022427*U982+1.0968542297*IF(D982="L",1,0)+0.3771555045*IF(D982="S",1,0)-0.2226159177*IF(E982="L",1,0)+1.21385024*R982-1.1652812274*S982+W982+X982+Z982,10.5965166711+0.2825983581*I982+0.2806503532*J982+0.2027213083*K982+0.1147824982*L982+0.0915305332*M982-0.0088454122*(I982*J982/100)-0.0336045706*(K982*L982/100)+2.8497389733*IF(D982="L",1,0)+4.5116226727*IF(D982="S",1,0)-0.6571546448*IF(E982="L",1,0)+0.0850728147*T982+0.0129488446*(T982*T982)+0.1909373936*IF(OR(F982="Utility",G982="Utility"),T982,0)+0.9656824071*R982-1.7517683256*S982+W982+X982+Y982)</f>
        <v/>
      </c>
      <c r="AB982">
        <f>LOOKUP(AA982,Grade_Scale!$A$2:$A$18,Grade_Scale!$B$2:$B$18)</f>
        <v/>
      </c>
      <c r="AC982">
        <f>LOOKUP(AA982,Grade_Scale!$A$2:$A$18,Grade_Scale!$C$2:$C$18)</f>
        <v/>
      </c>
      <c r="AE982">
        <f>IF(AD982="","",AB982-VLOOKUP(AD982,Grade_Scale!$C$2:$E$18,3,FALSE))</f>
        <v/>
      </c>
    </row>
    <row r="983">
      <c r="Q983">
        <f>IF(OR(B983="SP",B983="RP",B983="CP",B983="SP/RP"),"P","H")</f>
        <v/>
      </c>
      <c r="R983">
        <f>IF(F983="",0,IFNA(VLOOKUP(F983,Trait_Polarity!$A:$C,2,FALSE),0))+IF(G983="",0,IFNA(VLOOKUP(G983,Trait_Polarity!$A:$C,2,FALSE),0))</f>
        <v/>
      </c>
      <c r="S983">
        <f>IF(F983="",0,IFNA(VLOOKUP(F983,Trait_Polarity!$A:$C,3,FALSE),0))+IF(G983="",0,IFNA(VLOOKUP(G983,Trait_Polarity!$A:$C,3,FALSE),0))</f>
        <v/>
      </c>
      <c r="T983">
        <f>IF(Q983="P",0,IFNA(VLOOKUP(IF(C983="","(none)",C983),Secondary_Versatility!$A:$B,2,FALSE),0))</f>
        <v/>
      </c>
      <c r="U983">
        <f>IF(H983="",0,LEN(H983)-LEN(SUBSTITUTE(H983,"|",""))+1)</f>
        <v/>
      </c>
      <c r="V983">
        <f>IF(Q983="P",(N983+O983+P983)/3,0.3*I983+0.3*J983+0.2*K983+0.1*L983+0.1*M983)</f>
        <v/>
      </c>
      <c r="W983">
        <f>IF(Q983="P",IF(F983="",0,IFNA(VLOOKUP(F983,Pitcher_Trait_Coef!$A:$B,2,FALSE),0))+IF(G983="",0,IFNA(VLOOKUP(G983,Pitcher_Trait_Coef!$A:$B,2,FALSE),0)),IF(F983="",0,IFNA(VLOOKUP(F983,Hitter_Trait_Coef!$A:$B,2,FALSE),0))+IF(G983="",0,IFNA(VLOOKUP(G983,Hitter_Trait_Coef!$A:$B,2,FALSE),0)))</f>
        <v/>
      </c>
      <c r="X983">
        <f>IF(Q983="P",IFNA(VLOOKUP(B983,Pitcher_Primary_Coef!$A:$B,2,FALSE),0),IFNA(VLOOKUP(B983,Hitter_Primary_Coef!$A:$B,2,FALSE),0))</f>
        <v/>
      </c>
      <c r="Y983">
        <f>IF(Q983="P",0,IFNA(VLOOKUP(IF(C983="","(none)",C983),Hitter_Secondary_Coef!$A:$B,2,FALSE),0))</f>
        <v/>
      </c>
      <c r="Z983">
        <f>IF(Q983="P",IF(ISNUMBER(SEARCH("2F",H983)),IFNA(VLOOKUP("2F",Pitch_Coef!$A:$B,2,FALSE),0),0)+IF(ISNUMBER(SEARCH("4F",H983)),IFNA(VLOOKUP("4F",Pitch_Coef!$A:$B,2,FALSE),0),0)+IF(ISNUMBER(SEARCH("CB",H983)),IFNA(VLOOKUP("CB",Pitch_Coef!$A:$B,2,FALSE),0),0)+IF(ISNUMBER(SEARCH("CF",H983)),IFNA(VLOOKUP("CF",Pitch_Coef!$A:$B,2,FALSE),0),0)+IF(ISNUMBER(SEARCH("CH",H983)),IFNA(VLOOKUP("CH",Pitch_Coef!$A:$B,2,FALSE),0),0)+IF(ISNUMBER(SEARCH("FK",H983)),IFNA(VLOOKUP("FK",Pitch_Coef!$A:$B,2,FALSE),0),0)+IF(ISNUMBER(SEARCH("SB",H983)),IFNA(VLOOKUP("SB",Pitch_Coef!$A:$B,2,FALSE),0),0)+IF(ISNUMBER(SEARCH("SL",H983)),IFNA(VLOOKUP("SL",Pitch_Coef!$A:$B,2,FALSE),0),0),0)</f>
        <v/>
      </c>
      <c r="AA983">
        <f>IF(Q983="P",16.5944849573+0.2529999141*N983+0.2665900378*O983+0.2632687105*P983+0.0427586837*I983+0.0534777057*J983+0.009015832*K983+0.0204898106*(O983*P983/100)+1.0091022427*U983+1.0968542297*IF(D983="L",1,0)+0.3771555045*IF(D983="S",1,0)-0.2226159177*IF(E983="L",1,0)+1.21385024*R983-1.1652812274*S983+W983+X983+Z983,10.5965166711+0.2825983581*I983+0.2806503532*J983+0.2027213083*K983+0.1147824982*L983+0.0915305332*M983-0.0088454122*(I983*J983/100)-0.0336045706*(K983*L983/100)+2.8497389733*IF(D983="L",1,0)+4.5116226727*IF(D983="S",1,0)-0.6571546448*IF(E983="L",1,0)+0.0850728147*T983+0.0129488446*(T983*T983)+0.1909373936*IF(OR(F983="Utility",G983="Utility"),T983,0)+0.9656824071*R983-1.7517683256*S983+W983+X983+Y983)</f>
        <v/>
      </c>
      <c r="AB983">
        <f>LOOKUP(AA983,Grade_Scale!$A$2:$A$18,Grade_Scale!$B$2:$B$18)</f>
        <v/>
      </c>
      <c r="AC983">
        <f>LOOKUP(AA983,Grade_Scale!$A$2:$A$18,Grade_Scale!$C$2:$C$18)</f>
        <v/>
      </c>
      <c r="AE983">
        <f>IF(AD983="","",AB983-VLOOKUP(AD983,Grade_Scale!$C$2:$E$18,3,FALSE))</f>
        <v/>
      </c>
    </row>
    <row r="984">
      <c r="Q984">
        <f>IF(OR(B984="SP",B984="RP",B984="CP",B984="SP/RP"),"P","H")</f>
        <v/>
      </c>
      <c r="R984">
        <f>IF(F984="",0,IFNA(VLOOKUP(F984,Trait_Polarity!$A:$C,2,FALSE),0))+IF(G984="",0,IFNA(VLOOKUP(G984,Trait_Polarity!$A:$C,2,FALSE),0))</f>
        <v/>
      </c>
      <c r="S984">
        <f>IF(F984="",0,IFNA(VLOOKUP(F984,Trait_Polarity!$A:$C,3,FALSE),0))+IF(G984="",0,IFNA(VLOOKUP(G984,Trait_Polarity!$A:$C,3,FALSE),0))</f>
        <v/>
      </c>
      <c r="T984">
        <f>IF(Q984="P",0,IFNA(VLOOKUP(IF(C984="","(none)",C984),Secondary_Versatility!$A:$B,2,FALSE),0))</f>
        <v/>
      </c>
      <c r="U984">
        <f>IF(H984="",0,LEN(H984)-LEN(SUBSTITUTE(H984,"|",""))+1)</f>
        <v/>
      </c>
      <c r="V984">
        <f>IF(Q984="P",(N984+O984+P984)/3,0.3*I984+0.3*J984+0.2*K984+0.1*L984+0.1*M984)</f>
        <v/>
      </c>
      <c r="W984">
        <f>IF(Q984="P",IF(F984="",0,IFNA(VLOOKUP(F984,Pitcher_Trait_Coef!$A:$B,2,FALSE),0))+IF(G984="",0,IFNA(VLOOKUP(G984,Pitcher_Trait_Coef!$A:$B,2,FALSE),0)),IF(F984="",0,IFNA(VLOOKUP(F984,Hitter_Trait_Coef!$A:$B,2,FALSE),0))+IF(G984="",0,IFNA(VLOOKUP(G984,Hitter_Trait_Coef!$A:$B,2,FALSE),0)))</f>
        <v/>
      </c>
      <c r="X984">
        <f>IF(Q984="P",IFNA(VLOOKUP(B984,Pitcher_Primary_Coef!$A:$B,2,FALSE),0),IFNA(VLOOKUP(B984,Hitter_Primary_Coef!$A:$B,2,FALSE),0))</f>
        <v/>
      </c>
      <c r="Y984">
        <f>IF(Q984="P",0,IFNA(VLOOKUP(IF(C984="","(none)",C984),Hitter_Secondary_Coef!$A:$B,2,FALSE),0))</f>
        <v/>
      </c>
      <c r="Z984">
        <f>IF(Q984="P",IF(ISNUMBER(SEARCH("2F",H984)),IFNA(VLOOKUP("2F",Pitch_Coef!$A:$B,2,FALSE),0),0)+IF(ISNUMBER(SEARCH("4F",H984)),IFNA(VLOOKUP("4F",Pitch_Coef!$A:$B,2,FALSE),0),0)+IF(ISNUMBER(SEARCH("CB",H984)),IFNA(VLOOKUP("CB",Pitch_Coef!$A:$B,2,FALSE),0),0)+IF(ISNUMBER(SEARCH("CF",H984)),IFNA(VLOOKUP("CF",Pitch_Coef!$A:$B,2,FALSE),0),0)+IF(ISNUMBER(SEARCH("CH",H984)),IFNA(VLOOKUP("CH",Pitch_Coef!$A:$B,2,FALSE),0),0)+IF(ISNUMBER(SEARCH("FK",H984)),IFNA(VLOOKUP("FK",Pitch_Coef!$A:$B,2,FALSE),0),0)+IF(ISNUMBER(SEARCH("SB",H984)),IFNA(VLOOKUP("SB",Pitch_Coef!$A:$B,2,FALSE),0),0)+IF(ISNUMBER(SEARCH("SL",H984)),IFNA(VLOOKUP("SL",Pitch_Coef!$A:$B,2,FALSE),0),0),0)</f>
        <v/>
      </c>
      <c r="AA984">
        <f>IF(Q984="P",16.5944849573+0.2529999141*N984+0.2665900378*O984+0.2632687105*P984+0.0427586837*I984+0.0534777057*J984+0.009015832*K984+0.0204898106*(O984*P984/100)+1.0091022427*U984+1.0968542297*IF(D984="L",1,0)+0.3771555045*IF(D984="S",1,0)-0.2226159177*IF(E984="L",1,0)+1.21385024*R984-1.1652812274*S984+W984+X984+Z984,10.5965166711+0.2825983581*I984+0.2806503532*J984+0.2027213083*K984+0.1147824982*L984+0.0915305332*M984-0.0088454122*(I984*J984/100)-0.0336045706*(K984*L984/100)+2.8497389733*IF(D984="L",1,0)+4.5116226727*IF(D984="S",1,0)-0.6571546448*IF(E984="L",1,0)+0.0850728147*T984+0.0129488446*(T984*T984)+0.1909373936*IF(OR(F984="Utility",G984="Utility"),T984,0)+0.9656824071*R984-1.7517683256*S984+W984+X984+Y984)</f>
        <v/>
      </c>
      <c r="AB984">
        <f>LOOKUP(AA984,Grade_Scale!$A$2:$A$18,Grade_Scale!$B$2:$B$18)</f>
        <v/>
      </c>
      <c r="AC984">
        <f>LOOKUP(AA984,Grade_Scale!$A$2:$A$18,Grade_Scale!$C$2:$C$18)</f>
        <v/>
      </c>
      <c r="AE984">
        <f>IF(AD984="","",AB984-VLOOKUP(AD984,Grade_Scale!$C$2:$E$18,3,FALSE))</f>
        <v/>
      </c>
    </row>
    <row r="985">
      <c r="Q985">
        <f>IF(OR(B985="SP",B985="RP",B985="CP",B985="SP/RP"),"P","H")</f>
        <v/>
      </c>
      <c r="R985">
        <f>IF(F985="",0,IFNA(VLOOKUP(F985,Trait_Polarity!$A:$C,2,FALSE),0))+IF(G985="",0,IFNA(VLOOKUP(G985,Trait_Polarity!$A:$C,2,FALSE),0))</f>
        <v/>
      </c>
      <c r="S985">
        <f>IF(F985="",0,IFNA(VLOOKUP(F985,Trait_Polarity!$A:$C,3,FALSE),0))+IF(G985="",0,IFNA(VLOOKUP(G985,Trait_Polarity!$A:$C,3,FALSE),0))</f>
        <v/>
      </c>
      <c r="T985">
        <f>IF(Q985="P",0,IFNA(VLOOKUP(IF(C985="","(none)",C985),Secondary_Versatility!$A:$B,2,FALSE),0))</f>
        <v/>
      </c>
      <c r="U985">
        <f>IF(H985="",0,LEN(H985)-LEN(SUBSTITUTE(H985,"|",""))+1)</f>
        <v/>
      </c>
      <c r="V985">
        <f>IF(Q985="P",(N985+O985+P985)/3,0.3*I985+0.3*J985+0.2*K985+0.1*L985+0.1*M985)</f>
        <v/>
      </c>
      <c r="W985">
        <f>IF(Q985="P",IF(F985="",0,IFNA(VLOOKUP(F985,Pitcher_Trait_Coef!$A:$B,2,FALSE),0))+IF(G985="",0,IFNA(VLOOKUP(G985,Pitcher_Trait_Coef!$A:$B,2,FALSE),0)),IF(F985="",0,IFNA(VLOOKUP(F985,Hitter_Trait_Coef!$A:$B,2,FALSE),0))+IF(G985="",0,IFNA(VLOOKUP(G985,Hitter_Trait_Coef!$A:$B,2,FALSE),0)))</f>
        <v/>
      </c>
      <c r="X985">
        <f>IF(Q985="P",IFNA(VLOOKUP(B985,Pitcher_Primary_Coef!$A:$B,2,FALSE),0),IFNA(VLOOKUP(B985,Hitter_Primary_Coef!$A:$B,2,FALSE),0))</f>
        <v/>
      </c>
      <c r="Y985">
        <f>IF(Q985="P",0,IFNA(VLOOKUP(IF(C985="","(none)",C985),Hitter_Secondary_Coef!$A:$B,2,FALSE),0))</f>
        <v/>
      </c>
      <c r="Z985">
        <f>IF(Q985="P",IF(ISNUMBER(SEARCH("2F",H985)),IFNA(VLOOKUP("2F",Pitch_Coef!$A:$B,2,FALSE),0),0)+IF(ISNUMBER(SEARCH("4F",H985)),IFNA(VLOOKUP("4F",Pitch_Coef!$A:$B,2,FALSE),0),0)+IF(ISNUMBER(SEARCH("CB",H985)),IFNA(VLOOKUP("CB",Pitch_Coef!$A:$B,2,FALSE),0),0)+IF(ISNUMBER(SEARCH("CF",H985)),IFNA(VLOOKUP("CF",Pitch_Coef!$A:$B,2,FALSE),0),0)+IF(ISNUMBER(SEARCH("CH",H985)),IFNA(VLOOKUP("CH",Pitch_Coef!$A:$B,2,FALSE),0),0)+IF(ISNUMBER(SEARCH("FK",H985)),IFNA(VLOOKUP("FK",Pitch_Coef!$A:$B,2,FALSE),0),0)+IF(ISNUMBER(SEARCH("SB",H985)),IFNA(VLOOKUP("SB",Pitch_Coef!$A:$B,2,FALSE),0),0)+IF(ISNUMBER(SEARCH("SL",H985)),IFNA(VLOOKUP("SL",Pitch_Coef!$A:$B,2,FALSE),0),0),0)</f>
        <v/>
      </c>
      <c r="AA985">
        <f>IF(Q985="P",16.5944849573+0.2529999141*N985+0.2665900378*O985+0.2632687105*P985+0.0427586837*I985+0.0534777057*J985+0.009015832*K985+0.0204898106*(O985*P985/100)+1.0091022427*U985+1.0968542297*IF(D985="L",1,0)+0.3771555045*IF(D985="S",1,0)-0.2226159177*IF(E985="L",1,0)+1.21385024*R985-1.1652812274*S985+W985+X985+Z985,10.5965166711+0.2825983581*I985+0.2806503532*J985+0.2027213083*K985+0.1147824982*L985+0.0915305332*M985-0.0088454122*(I985*J985/100)-0.0336045706*(K985*L985/100)+2.8497389733*IF(D985="L",1,0)+4.5116226727*IF(D985="S",1,0)-0.6571546448*IF(E985="L",1,0)+0.0850728147*T985+0.0129488446*(T985*T985)+0.1909373936*IF(OR(F985="Utility",G985="Utility"),T985,0)+0.9656824071*R985-1.7517683256*S985+W985+X985+Y985)</f>
        <v/>
      </c>
      <c r="AB985">
        <f>LOOKUP(AA985,Grade_Scale!$A$2:$A$18,Grade_Scale!$B$2:$B$18)</f>
        <v/>
      </c>
      <c r="AC985">
        <f>LOOKUP(AA985,Grade_Scale!$A$2:$A$18,Grade_Scale!$C$2:$C$18)</f>
        <v/>
      </c>
      <c r="AE985">
        <f>IF(AD985="","",AB985-VLOOKUP(AD985,Grade_Scale!$C$2:$E$18,3,FALSE))</f>
        <v/>
      </c>
    </row>
    <row r="986">
      <c r="Q986">
        <f>IF(OR(B986="SP",B986="RP",B986="CP",B986="SP/RP"),"P","H")</f>
        <v/>
      </c>
      <c r="R986">
        <f>IF(F986="",0,IFNA(VLOOKUP(F986,Trait_Polarity!$A:$C,2,FALSE),0))+IF(G986="",0,IFNA(VLOOKUP(G986,Trait_Polarity!$A:$C,2,FALSE),0))</f>
        <v/>
      </c>
      <c r="S986">
        <f>IF(F986="",0,IFNA(VLOOKUP(F986,Trait_Polarity!$A:$C,3,FALSE),0))+IF(G986="",0,IFNA(VLOOKUP(G986,Trait_Polarity!$A:$C,3,FALSE),0))</f>
        <v/>
      </c>
      <c r="T986">
        <f>IF(Q986="P",0,IFNA(VLOOKUP(IF(C986="","(none)",C986),Secondary_Versatility!$A:$B,2,FALSE),0))</f>
        <v/>
      </c>
      <c r="U986">
        <f>IF(H986="",0,LEN(H986)-LEN(SUBSTITUTE(H986,"|",""))+1)</f>
        <v/>
      </c>
      <c r="V986">
        <f>IF(Q986="P",(N986+O986+P986)/3,0.3*I986+0.3*J986+0.2*K986+0.1*L986+0.1*M986)</f>
        <v/>
      </c>
      <c r="W986">
        <f>IF(Q986="P",IF(F986="",0,IFNA(VLOOKUP(F986,Pitcher_Trait_Coef!$A:$B,2,FALSE),0))+IF(G986="",0,IFNA(VLOOKUP(G986,Pitcher_Trait_Coef!$A:$B,2,FALSE),0)),IF(F986="",0,IFNA(VLOOKUP(F986,Hitter_Trait_Coef!$A:$B,2,FALSE),0))+IF(G986="",0,IFNA(VLOOKUP(G986,Hitter_Trait_Coef!$A:$B,2,FALSE),0)))</f>
        <v/>
      </c>
      <c r="X986">
        <f>IF(Q986="P",IFNA(VLOOKUP(B986,Pitcher_Primary_Coef!$A:$B,2,FALSE),0),IFNA(VLOOKUP(B986,Hitter_Primary_Coef!$A:$B,2,FALSE),0))</f>
        <v/>
      </c>
      <c r="Y986">
        <f>IF(Q986="P",0,IFNA(VLOOKUP(IF(C986="","(none)",C986),Hitter_Secondary_Coef!$A:$B,2,FALSE),0))</f>
        <v/>
      </c>
      <c r="Z986">
        <f>IF(Q986="P",IF(ISNUMBER(SEARCH("2F",H986)),IFNA(VLOOKUP("2F",Pitch_Coef!$A:$B,2,FALSE),0),0)+IF(ISNUMBER(SEARCH("4F",H986)),IFNA(VLOOKUP("4F",Pitch_Coef!$A:$B,2,FALSE),0),0)+IF(ISNUMBER(SEARCH("CB",H986)),IFNA(VLOOKUP("CB",Pitch_Coef!$A:$B,2,FALSE),0),0)+IF(ISNUMBER(SEARCH("CF",H986)),IFNA(VLOOKUP("CF",Pitch_Coef!$A:$B,2,FALSE),0),0)+IF(ISNUMBER(SEARCH("CH",H986)),IFNA(VLOOKUP("CH",Pitch_Coef!$A:$B,2,FALSE),0),0)+IF(ISNUMBER(SEARCH("FK",H986)),IFNA(VLOOKUP("FK",Pitch_Coef!$A:$B,2,FALSE),0),0)+IF(ISNUMBER(SEARCH("SB",H986)),IFNA(VLOOKUP("SB",Pitch_Coef!$A:$B,2,FALSE),0),0)+IF(ISNUMBER(SEARCH("SL",H986)),IFNA(VLOOKUP("SL",Pitch_Coef!$A:$B,2,FALSE),0),0),0)</f>
        <v/>
      </c>
      <c r="AA986">
        <f>IF(Q986="P",16.5944849573+0.2529999141*N986+0.2665900378*O986+0.2632687105*P986+0.0427586837*I986+0.0534777057*J986+0.009015832*K986+0.0204898106*(O986*P986/100)+1.0091022427*U986+1.0968542297*IF(D986="L",1,0)+0.3771555045*IF(D986="S",1,0)-0.2226159177*IF(E986="L",1,0)+1.21385024*R986-1.1652812274*S986+W986+X986+Z986,10.5965166711+0.2825983581*I986+0.2806503532*J986+0.2027213083*K986+0.1147824982*L986+0.0915305332*M986-0.0088454122*(I986*J986/100)-0.0336045706*(K986*L986/100)+2.8497389733*IF(D986="L",1,0)+4.5116226727*IF(D986="S",1,0)-0.6571546448*IF(E986="L",1,0)+0.0850728147*T986+0.0129488446*(T986*T986)+0.1909373936*IF(OR(F986="Utility",G986="Utility"),T986,0)+0.9656824071*R986-1.7517683256*S986+W986+X986+Y986)</f>
        <v/>
      </c>
      <c r="AB986">
        <f>LOOKUP(AA986,Grade_Scale!$A$2:$A$18,Grade_Scale!$B$2:$B$18)</f>
        <v/>
      </c>
      <c r="AC986">
        <f>LOOKUP(AA986,Grade_Scale!$A$2:$A$18,Grade_Scale!$C$2:$C$18)</f>
        <v/>
      </c>
      <c r="AE986">
        <f>IF(AD986="","",AB986-VLOOKUP(AD986,Grade_Scale!$C$2:$E$18,3,FALSE))</f>
        <v/>
      </c>
    </row>
    <row r="987">
      <c r="Q987">
        <f>IF(OR(B987="SP",B987="RP",B987="CP",B987="SP/RP"),"P","H")</f>
        <v/>
      </c>
      <c r="R987">
        <f>IF(F987="",0,IFNA(VLOOKUP(F987,Trait_Polarity!$A:$C,2,FALSE),0))+IF(G987="",0,IFNA(VLOOKUP(G987,Trait_Polarity!$A:$C,2,FALSE),0))</f>
        <v/>
      </c>
      <c r="S987">
        <f>IF(F987="",0,IFNA(VLOOKUP(F987,Trait_Polarity!$A:$C,3,FALSE),0))+IF(G987="",0,IFNA(VLOOKUP(G987,Trait_Polarity!$A:$C,3,FALSE),0))</f>
        <v/>
      </c>
      <c r="T987">
        <f>IF(Q987="P",0,IFNA(VLOOKUP(IF(C987="","(none)",C987),Secondary_Versatility!$A:$B,2,FALSE),0))</f>
        <v/>
      </c>
      <c r="U987">
        <f>IF(H987="",0,LEN(H987)-LEN(SUBSTITUTE(H987,"|",""))+1)</f>
        <v/>
      </c>
      <c r="V987">
        <f>IF(Q987="P",(N987+O987+P987)/3,0.3*I987+0.3*J987+0.2*K987+0.1*L987+0.1*M987)</f>
        <v/>
      </c>
      <c r="W987">
        <f>IF(Q987="P",IF(F987="",0,IFNA(VLOOKUP(F987,Pitcher_Trait_Coef!$A:$B,2,FALSE),0))+IF(G987="",0,IFNA(VLOOKUP(G987,Pitcher_Trait_Coef!$A:$B,2,FALSE),0)),IF(F987="",0,IFNA(VLOOKUP(F987,Hitter_Trait_Coef!$A:$B,2,FALSE),0))+IF(G987="",0,IFNA(VLOOKUP(G987,Hitter_Trait_Coef!$A:$B,2,FALSE),0)))</f>
        <v/>
      </c>
      <c r="X987">
        <f>IF(Q987="P",IFNA(VLOOKUP(B987,Pitcher_Primary_Coef!$A:$B,2,FALSE),0),IFNA(VLOOKUP(B987,Hitter_Primary_Coef!$A:$B,2,FALSE),0))</f>
        <v/>
      </c>
      <c r="Y987">
        <f>IF(Q987="P",0,IFNA(VLOOKUP(IF(C987="","(none)",C987),Hitter_Secondary_Coef!$A:$B,2,FALSE),0))</f>
        <v/>
      </c>
      <c r="Z987">
        <f>IF(Q987="P",IF(ISNUMBER(SEARCH("2F",H987)),IFNA(VLOOKUP("2F",Pitch_Coef!$A:$B,2,FALSE),0),0)+IF(ISNUMBER(SEARCH("4F",H987)),IFNA(VLOOKUP("4F",Pitch_Coef!$A:$B,2,FALSE),0),0)+IF(ISNUMBER(SEARCH("CB",H987)),IFNA(VLOOKUP("CB",Pitch_Coef!$A:$B,2,FALSE),0),0)+IF(ISNUMBER(SEARCH("CF",H987)),IFNA(VLOOKUP("CF",Pitch_Coef!$A:$B,2,FALSE),0),0)+IF(ISNUMBER(SEARCH("CH",H987)),IFNA(VLOOKUP("CH",Pitch_Coef!$A:$B,2,FALSE),0),0)+IF(ISNUMBER(SEARCH("FK",H987)),IFNA(VLOOKUP("FK",Pitch_Coef!$A:$B,2,FALSE),0),0)+IF(ISNUMBER(SEARCH("SB",H987)),IFNA(VLOOKUP("SB",Pitch_Coef!$A:$B,2,FALSE),0),0)+IF(ISNUMBER(SEARCH("SL",H987)),IFNA(VLOOKUP("SL",Pitch_Coef!$A:$B,2,FALSE),0),0),0)</f>
        <v/>
      </c>
      <c r="AA987">
        <f>IF(Q987="P",16.5944849573+0.2529999141*N987+0.2665900378*O987+0.2632687105*P987+0.0427586837*I987+0.0534777057*J987+0.009015832*K987+0.0204898106*(O987*P987/100)+1.0091022427*U987+1.0968542297*IF(D987="L",1,0)+0.3771555045*IF(D987="S",1,0)-0.2226159177*IF(E987="L",1,0)+1.21385024*R987-1.1652812274*S987+W987+X987+Z987,10.5965166711+0.2825983581*I987+0.2806503532*J987+0.2027213083*K987+0.1147824982*L987+0.0915305332*M987-0.0088454122*(I987*J987/100)-0.0336045706*(K987*L987/100)+2.8497389733*IF(D987="L",1,0)+4.5116226727*IF(D987="S",1,0)-0.6571546448*IF(E987="L",1,0)+0.0850728147*T987+0.0129488446*(T987*T987)+0.1909373936*IF(OR(F987="Utility",G987="Utility"),T987,0)+0.9656824071*R987-1.7517683256*S987+W987+X987+Y987)</f>
        <v/>
      </c>
      <c r="AB987">
        <f>LOOKUP(AA987,Grade_Scale!$A$2:$A$18,Grade_Scale!$B$2:$B$18)</f>
        <v/>
      </c>
      <c r="AC987">
        <f>LOOKUP(AA987,Grade_Scale!$A$2:$A$18,Grade_Scale!$C$2:$C$18)</f>
        <v/>
      </c>
      <c r="AE987">
        <f>IF(AD987="","",AB987-VLOOKUP(AD987,Grade_Scale!$C$2:$E$18,3,FALSE))</f>
        <v/>
      </c>
    </row>
    <row r="988">
      <c r="Q988">
        <f>IF(OR(B988="SP",B988="RP",B988="CP",B988="SP/RP"),"P","H")</f>
        <v/>
      </c>
      <c r="R988">
        <f>IF(F988="",0,IFNA(VLOOKUP(F988,Trait_Polarity!$A:$C,2,FALSE),0))+IF(G988="",0,IFNA(VLOOKUP(G988,Trait_Polarity!$A:$C,2,FALSE),0))</f>
        <v/>
      </c>
      <c r="S988">
        <f>IF(F988="",0,IFNA(VLOOKUP(F988,Trait_Polarity!$A:$C,3,FALSE),0))+IF(G988="",0,IFNA(VLOOKUP(G988,Trait_Polarity!$A:$C,3,FALSE),0))</f>
        <v/>
      </c>
      <c r="T988">
        <f>IF(Q988="P",0,IFNA(VLOOKUP(IF(C988="","(none)",C988),Secondary_Versatility!$A:$B,2,FALSE),0))</f>
        <v/>
      </c>
      <c r="U988">
        <f>IF(H988="",0,LEN(H988)-LEN(SUBSTITUTE(H988,"|",""))+1)</f>
        <v/>
      </c>
      <c r="V988">
        <f>IF(Q988="P",(N988+O988+P988)/3,0.3*I988+0.3*J988+0.2*K988+0.1*L988+0.1*M988)</f>
        <v/>
      </c>
      <c r="W988">
        <f>IF(Q988="P",IF(F988="",0,IFNA(VLOOKUP(F988,Pitcher_Trait_Coef!$A:$B,2,FALSE),0))+IF(G988="",0,IFNA(VLOOKUP(G988,Pitcher_Trait_Coef!$A:$B,2,FALSE),0)),IF(F988="",0,IFNA(VLOOKUP(F988,Hitter_Trait_Coef!$A:$B,2,FALSE),0))+IF(G988="",0,IFNA(VLOOKUP(G988,Hitter_Trait_Coef!$A:$B,2,FALSE),0)))</f>
        <v/>
      </c>
      <c r="X988">
        <f>IF(Q988="P",IFNA(VLOOKUP(B988,Pitcher_Primary_Coef!$A:$B,2,FALSE),0),IFNA(VLOOKUP(B988,Hitter_Primary_Coef!$A:$B,2,FALSE),0))</f>
        <v/>
      </c>
      <c r="Y988">
        <f>IF(Q988="P",0,IFNA(VLOOKUP(IF(C988="","(none)",C988),Hitter_Secondary_Coef!$A:$B,2,FALSE),0))</f>
        <v/>
      </c>
      <c r="Z988">
        <f>IF(Q988="P",IF(ISNUMBER(SEARCH("2F",H988)),IFNA(VLOOKUP("2F",Pitch_Coef!$A:$B,2,FALSE),0),0)+IF(ISNUMBER(SEARCH("4F",H988)),IFNA(VLOOKUP("4F",Pitch_Coef!$A:$B,2,FALSE),0),0)+IF(ISNUMBER(SEARCH("CB",H988)),IFNA(VLOOKUP("CB",Pitch_Coef!$A:$B,2,FALSE),0),0)+IF(ISNUMBER(SEARCH("CF",H988)),IFNA(VLOOKUP("CF",Pitch_Coef!$A:$B,2,FALSE),0),0)+IF(ISNUMBER(SEARCH("CH",H988)),IFNA(VLOOKUP("CH",Pitch_Coef!$A:$B,2,FALSE),0),0)+IF(ISNUMBER(SEARCH("FK",H988)),IFNA(VLOOKUP("FK",Pitch_Coef!$A:$B,2,FALSE),0),0)+IF(ISNUMBER(SEARCH("SB",H988)),IFNA(VLOOKUP("SB",Pitch_Coef!$A:$B,2,FALSE),0),0)+IF(ISNUMBER(SEARCH("SL",H988)),IFNA(VLOOKUP("SL",Pitch_Coef!$A:$B,2,FALSE),0),0),0)</f>
        <v/>
      </c>
      <c r="AA988">
        <f>IF(Q988="P",16.5944849573+0.2529999141*N988+0.2665900378*O988+0.2632687105*P988+0.0427586837*I988+0.0534777057*J988+0.009015832*K988+0.0204898106*(O988*P988/100)+1.0091022427*U988+1.0968542297*IF(D988="L",1,0)+0.3771555045*IF(D988="S",1,0)-0.2226159177*IF(E988="L",1,0)+1.21385024*R988-1.1652812274*S988+W988+X988+Z988,10.5965166711+0.2825983581*I988+0.2806503532*J988+0.2027213083*K988+0.1147824982*L988+0.0915305332*M988-0.0088454122*(I988*J988/100)-0.0336045706*(K988*L988/100)+2.8497389733*IF(D988="L",1,0)+4.5116226727*IF(D988="S",1,0)-0.6571546448*IF(E988="L",1,0)+0.0850728147*T988+0.0129488446*(T988*T988)+0.1909373936*IF(OR(F988="Utility",G988="Utility"),T988,0)+0.9656824071*R988-1.7517683256*S988+W988+X988+Y988)</f>
        <v/>
      </c>
      <c r="AB988">
        <f>LOOKUP(AA988,Grade_Scale!$A$2:$A$18,Grade_Scale!$B$2:$B$18)</f>
        <v/>
      </c>
      <c r="AC988">
        <f>LOOKUP(AA988,Grade_Scale!$A$2:$A$18,Grade_Scale!$C$2:$C$18)</f>
        <v/>
      </c>
      <c r="AE988">
        <f>IF(AD988="","",AB988-VLOOKUP(AD988,Grade_Scale!$C$2:$E$18,3,FALSE))</f>
        <v/>
      </c>
    </row>
    <row r="989">
      <c r="Q989">
        <f>IF(OR(B989="SP",B989="RP",B989="CP",B989="SP/RP"),"P","H")</f>
        <v/>
      </c>
      <c r="R989">
        <f>IF(F989="",0,IFNA(VLOOKUP(F989,Trait_Polarity!$A:$C,2,FALSE),0))+IF(G989="",0,IFNA(VLOOKUP(G989,Trait_Polarity!$A:$C,2,FALSE),0))</f>
        <v/>
      </c>
      <c r="S989">
        <f>IF(F989="",0,IFNA(VLOOKUP(F989,Trait_Polarity!$A:$C,3,FALSE),0))+IF(G989="",0,IFNA(VLOOKUP(G989,Trait_Polarity!$A:$C,3,FALSE),0))</f>
        <v/>
      </c>
      <c r="T989">
        <f>IF(Q989="P",0,IFNA(VLOOKUP(IF(C989="","(none)",C989),Secondary_Versatility!$A:$B,2,FALSE),0))</f>
        <v/>
      </c>
      <c r="U989">
        <f>IF(H989="",0,LEN(H989)-LEN(SUBSTITUTE(H989,"|",""))+1)</f>
        <v/>
      </c>
      <c r="V989">
        <f>IF(Q989="P",(N989+O989+P989)/3,0.3*I989+0.3*J989+0.2*K989+0.1*L989+0.1*M989)</f>
        <v/>
      </c>
      <c r="W989">
        <f>IF(Q989="P",IF(F989="",0,IFNA(VLOOKUP(F989,Pitcher_Trait_Coef!$A:$B,2,FALSE),0))+IF(G989="",0,IFNA(VLOOKUP(G989,Pitcher_Trait_Coef!$A:$B,2,FALSE),0)),IF(F989="",0,IFNA(VLOOKUP(F989,Hitter_Trait_Coef!$A:$B,2,FALSE),0))+IF(G989="",0,IFNA(VLOOKUP(G989,Hitter_Trait_Coef!$A:$B,2,FALSE),0)))</f>
        <v/>
      </c>
      <c r="X989">
        <f>IF(Q989="P",IFNA(VLOOKUP(B989,Pitcher_Primary_Coef!$A:$B,2,FALSE),0),IFNA(VLOOKUP(B989,Hitter_Primary_Coef!$A:$B,2,FALSE),0))</f>
        <v/>
      </c>
      <c r="Y989">
        <f>IF(Q989="P",0,IFNA(VLOOKUP(IF(C989="","(none)",C989),Hitter_Secondary_Coef!$A:$B,2,FALSE),0))</f>
        <v/>
      </c>
      <c r="Z989">
        <f>IF(Q989="P",IF(ISNUMBER(SEARCH("2F",H989)),IFNA(VLOOKUP("2F",Pitch_Coef!$A:$B,2,FALSE),0),0)+IF(ISNUMBER(SEARCH("4F",H989)),IFNA(VLOOKUP("4F",Pitch_Coef!$A:$B,2,FALSE),0),0)+IF(ISNUMBER(SEARCH("CB",H989)),IFNA(VLOOKUP("CB",Pitch_Coef!$A:$B,2,FALSE),0),0)+IF(ISNUMBER(SEARCH("CF",H989)),IFNA(VLOOKUP("CF",Pitch_Coef!$A:$B,2,FALSE),0),0)+IF(ISNUMBER(SEARCH("CH",H989)),IFNA(VLOOKUP("CH",Pitch_Coef!$A:$B,2,FALSE),0),0)+IF(ISNUMBER(SEARCH("FK",H989)),IFNA(VLOOKUP("FK",Pitch_Coef!$A:$B,2,FALSE),0),0)+IF(ISNUMBER(SEARCH("SB",H989)),IFNA(VLOOKUP("SB",Pitch_Coef!$A:$B,2,FALSE),0),0)+IF(ISNUMBER(SEARCH("SL",H989)),IFNA(VLOOKUP("SL",Pitch_Coef!$A:$B,2,FALSE),0),0),0)</f>
        <v/>
      </c>
      <c r="AA989">
        <f>IF(Q989="P",16.5944849573+0.2529999141*N989+0.2665900378*O989+0.2632687105*P989+0.0427586837*I989+0.0534777057*J989+0.009015832*K989+0.0204898106*(O989*P989/100)+1.0091022427*U989+1.0968542297*IF(D989="L",1,0)+0.3771555045*IF(D989="S",1,0)-0.2226159177*IF(E989="L",1,0)+1.21385024*R989-1.1652812274*S989+W989+X989+Z989,10.5965166711+0.2825983581*I989+0.2806503532*J989+0.2027213083*K989+0.1147824982*L989+0.0915305332*M989-0.0088454122*(I989*J989/100)-0.0336045706*(K989*L989/100)+2.8497389733*IF(D989="L",1,0)+4.5116226727*IF(D989="S",1,0)-0.6571546448*IF(E989="L",1,0)+0.0850728147*T989+0.0129488446*(T989*T989)+0.1909373936*IF(OR(F989="Utility",G989="Utility"),T989,0)+0.9656824071*R989-1.7517683256*S989+W989+X989+Y989)</f>
        <v/>
      </c>
      <c r="AB989">
        <f>LOOKUP(AA989,Grade_Scale!$A$2:$A$18,Grade_Scale!$B$2:$B$18)</f>
        <v/>
      </c>
      <c r="AC989">
        <f>LOOKUP(AA989,Grade_Scale!$A$2:$A$18,Grade_Scale!$C$2:$C$18)</f>
        <v/>
      </c>
      <c r="AE989">
        <f>IF(AD989="","",AB989-VLOOKUP(AD989,Grade_Scale!$C$2:$E$18,3,FALSE))</f>
        <v/>
      </c>
    </row>
    <row r="990">
      <c r="Q990">
        <f>IF(OR(B990="SP",B990="RP",B990="CP",B990="SP/RP"),"P","H")</f>
        <v/>
      </c>
      <c r="R990">
        <f>IF(F990="",0,IFNA(VLOOKUP(F990,Trait_Polarity!$A:$C,2,FALSE),0))+IF(G990="",0,IFNA(VLOOKUP(G990,Trait_Polarity!$A:$C,2,FALSE),0))</f>
        <v/>
      </c>
      <c r="S990">
        <f>IF(F990="",0,IFNA(VLOOKUP(F990,Trait_Polarity!$A:$C,3,FALSE),0))+IF(G990="",0,IFNA(VLOOKUP(G990,Trait_Polarity!$A:$C,3,FALSE),0))</f>
        <v/>
      </c>
      <c r="T990">
        <f>IF(Q990="P",0,IFNA(VLOOKUP(IF(C990="","(none)",C990),Secondary_Versatility!$A:$B,2,FALSE),0))</f>
        <v/>
      </c>
      <c r="U990">
        <f>IF(H990="",0,LEN(H990)-LEN(SUBSTITUTE(H990,"|",""))+1)</f>
        <v/>
      </c>
      <c r="V990">
        <f>IF(Q990="P",(N990+O990+P990)/3,0.3*I990+0.3*J990+0.2*K990+0.1*L990+0.1*M990)</f>
        <v/>
      </c>
      <c r="W990">
        <f>IF(Q990="P",IF(F990="",0,IFNA(VLOOKUP(F990,Pitcher_Trait_Coef!$A:$B,2,FALSE),0))+IF(G990="",0,IFNA(VLOOKUP(G990,Pitcher_Trait_Coef!$A:$B,2,FALSE),0)),IF(F990="",0,IFNA(VLOOKUP(F990,Hitter_Trait_Coef!$A:$B,2,FALSE),0))+IF(G990="",0,IFNA(VLOOKUP(G990,Hitter_Trait_Coef!$A:$B,2,FALSE),0)))</f>
        <v/>
      </c>
      <c r="X990">
        <f>IF(Q990="P",IFNA(VLOOKUP(B990,Pitcher_Primary_Coef!$A:$B,2,FALSE),0),IFNA(VLOOKUP(B990,Hitter_Primary_Coef!$A:$B,2,FALSE),0))</f>
        <v/>
      </c>
      <c r="Y990">
        <f>IF(Q990="P",0,IFNA(VLOOKUP(IF(C990="","(none)",C990),Hitter_Secondary_Coef!$A:$B,2,FALSE),0))</f>
        <v/>
      </c>
      <c r="Z990">
        <f>IF(Q990="P",IF(ISNUMBER(SEARCH("2F",H990)),IFNA(VLOOKUP("2F",Pitch_Coef!$A:$B,2,FALSE),0),0)+IF(ISNUMBER(SEARCH("4F",H990)),IFNA(VLOOKUP("4F",Pitch_Coef!$A:$B,2,FALSE),0),0)+IF(ISNUMBER(SEARCH("CB",H990)),IFNA(VLOOKUP("CB",Pitch_Coef!$A:$B,2,FALSE),0),0)+IF(ISNUMBER(SEARCH("CF",H990)),IFNA(VLOOKUP("CF",Pitch_Coef!$A:$B,2,FALSE),0),0)+IF(ISNUMBER(SEARCH("CH",H990)),IFNA(VLOOKUP("CH",Pitch_Coef!$A:$B,2,FALSE),0),0)+IF(ISNUMBER(SEARCH("FK",H990)),IFNA(VLOOKUP("FK",Pitch_Coef!$A:$B,2,FALSE),0),0)+IF(ISNUMBER(SEARCH("SB",H990)),IFNA(VLOOKUP("SB",Pitch_Coef!$A:$B,2,FALSE),0),0)+IF(ISNUMBER(SEARCH("SL",H990)),IFNA(VLOOKUP("SL",Pitch_Coef!$A:$B,2,FALSE),0),0),0)</f>
        <v/>
      </c>
      <c r="AA990">
        <f>IF(Q990="P",16.5944849573+0.2529999141*N990+0.2665900378*O990+0.2632687105*P990+0.0427586837*I990+0.0534777057*J990+0.009015832*K990+0.0204898106*(O990*P990/100)+1.0091022427*U990+1.0968542297*IF(D990="L",1,0)+0.3771555045*IF(D990="S",1,0)-0.2226159177*IF(E990="L",1,0)+1.21385024*R990-1.1652812274*S990+W990+X990+Z990,10.5965166711+0.2825983581*I990+0.2806503532*J990+0.2027213083*K990+0.1147824982*L990+0.0915305332*M990-0.0088454122*(I990*J990/100)-0.0336045706*(K990*L990/100)+2.8497389733*IF(D990="L",1,0)+4.5116226727*IF(D990="S",1,0)-0.6571546448*IF(E990="L",1,0)+0.0850728147*T990+0.0129488446*(T990*T990)+0.1909373936*IF(OR(F990="Utility",G990="Utility"),T990,0)+0.9656824071*R990-1.7517683256*S990+W990+X990+Y990)</f>
        <v/>
      </c>
      <c r="AB990">
        <f>LOOKUP(AA990,Grade_Scale!$A$2:$A$18,Grade_Scale!$B$2:$B$18)</f>
        <v/>
      </c>
      <c r="AC990">
        <f>LOOKUP(AA990,Grade_Scale!$A$2:$A$18,Grade_Scale!$C$2:$C$18)</f>
        <v/>
      </c>
      <c r="AE990">
        <f>IF(AD990="","",AB990-VLOOKUP(AD990,Grade_Scale!$C$2:$E$18,3,FALSE))</f>
        <v/>
      </c>
    </row>
    <row r="991">
      <c r="Q991">
        <f>IF(OR(B991="SP",B991="RP",B991="CP",B991="SP/RP"),"P","H")</f>
        <v/>
      </c>
      <c r="R991">
        <f>IF(F991="",0,IFNA(VLOOKUP(F991,Trait_Polarity!$A:$C,2,FALSE),0))+IF(G991="",0,IFNA(VLOOKUP(G991,Trait_Polarity!$A:$C,2,FALSE),0))</f>
        <v/>
      </c>
      <c r="S991">
        <f>IF(F991="",0,IFNA(VLOOKUP(F991,Trait_Polarity!$A:$C,3,FALSE),0))+IF(G991="",0,IFNA(VLOOKUP(G991,Trait_Polarity!$A:$C,3,FALSE),0))</f>
        <v/>
      </c>
      <c r="T991">
        <f>IF(Q991="P",0,IFNA(VLOOKUP(IF(C991="","(none)",C991),Secondary_Versatility!$A:$B,2,FALSE),0))</f>
        <v/>
      </c>
      <c r="U991">
        <f>IF(H991="",0,LEN(H991)-LEN(SUBSTITUTE(H991,"|",""))+1)</f>
        <v/>
      </c>
      <c r="V991">
        <f>IF(Q991="P",(N991+O991+P991)/3,0.3*I991+0.3*J991+0.2*K991+0.1*L991+0.1*M991)</f>
        <v/>
      </c>
      <c r="W991">
        <f>IF(Q991="P",IF(F991="",0,IFNA(VLOOKUP(F991,Pitcher_Trait_Coef!$A:$B,2,FALSE),0))+IF(G991="",0,IFNA(VLOOKUP(G991,Pitcher_Trait_Coef!$A:$B,2,FALSE),0)),IF(F991="",0,IFNA(VLOOKUP(F991,Hitter_Trait_Coef!$A:$B,2,FALSE),0))+IF(G991="",0,IFNA(VLOOKUP(G991,Hitter_Trait_Coef!$A:$B,2,FALSE),0)))</f>
        <v/>
      </c>
      <c r="X991">
        <f>IF(Q991="P",IFNA(VLOOKUP(B991,Pitcher_Primary_Coef!$A:$B,2,FALSE),0),IFNA(VLOOKUP(B991,Hitter_Primary_Coef!$A:$B,2,FALSE),0))</f>
        <v/>
      </c>
      <c r="Y991">
        <f>IF(Q991="P",0,IFNA(VLOOKUP(IF(C991="","(none)",C991),Hitter_Secondary_Coef!$A:$B,2,FALSE),0))</f>
        <v/>
      </c>
      <c r="Z991">
        <f>IF(Q991="P",IF(ISNUMBER(SEARCH("2F",H991)),IFNA(VLOOKUP("2F",Pitch_Coef!$A:$B,2,FALSE),0),0)+IF(ISNUMBER(SEARCH("4F",H991)),IFNA(VLOOKUP("4F",Pitch_Coef!$A:$B,2,FALSE),0),0)+IF(ISNUMBER(SEARCH("CB",H991)),IFNA(VLOOKUP("CB",Pitch_Coef!$A:$B,2,FALSE),0),0)+IF(ISNUMBER(SEARCH("CF",H991)),IFNA(VLOOKUP("CF",Pitch_Coef!$A:$B,2,FALSE),0),0)+IF(ISNUMBER(SEARCH("CH",H991)),IFNA(VLOOKUP("CH",Pitch_Coef!$A:$B,2,FALSE),0),0)+IF(ISNUMBER(SEARCH("FK",H991)),IFNA(VLOOKUP("FK",Pitch_Coef!$A:$B,2,FALSE),0),0)+IF(ISNUMBER(SEARCH("SB",H991)),IFNA(VLOOKUP("SB",Pitch_Coef!$A:$B,2,FALSE),0),0)+IF(ISNUMBER(SEARCH("SL",H991)),IFNA(VLOOKUP("SL",Pitch_Coef!$A:$B,2,FALSE),0),0),0)</f>
        <v/>
      </c>
      <c r="AA991">
        <f>IF(Q991="P",16.5944849573+0.2529999141*N991+0.2665900378*O991+0.2632687105*P991+0.0427586837*I991+0.0534777057*J991+0.009015832*K991+0.0204898106*(O991*P991/100)+1.0091022427*U991+1.0968542297*IF(D991="L",1,0)+0.3771555045*IF(D991="S",1,0)-0.2226159177*IF(E991="L",1,0)+1.21385024*R991-1.1652812274*S991+W991+X991+Z991,10.5965166711+0.2825983581*I991+0.2806503532*J991+0.2027213083*K991+0.1147824982*L991+0.0915305332*M991-0.0088454122*(I991*J991/100)-0.0336045706*(K991*L991/100)+2.8497389733*IF(D991="L",1,0)+4.5116226727*IF(D991="S",1,0)-0.6571546448*IF(E991="L",1,0)+0.0850728147*T991+0.0129488446*(T991*T991)+0.1909373936*IF(OR(F991="Utility",G991="Utility"),T991,0)+0.9656824071*R991-1.7517683256*S991+W991+X991+Y991)</f>
        <v/>
      </c>
      <c r="AB991">
        <f>LOOKUP(AA991,Grade_Scale!$A$2:$A$18,Grade_Scale!$B$2:$B$18)</f>
        <v/>
      </c>
      <c r="AC991">
        <f>LOOKUP(AA991,Grade_Scale!$A$2:$A$18,Grade_Scale!$C$2:$C$18)</f>
        <v/>
      </c>
      <c r="AE991">
        <f>IF(AD991="","",AB991-VLOOKUP(AD991,Grade_Scale!$C$2:$E$18,3,FALSE))</f>
        <v/>
      </c>
    </row>
    <row r="992">
      <c r="Q992">
        <f>IF(OR(B992="SP",B992="RP",B992="CP",B992="SP/RP"),"P","H")</f>
        <v/>
      </c>
      <c r="R992">
        <f>IF(F992="",0,IFNA(VLOOKUP(F992,Trait_Polarity!$A:$C,2,FALSE),0))+IF(G992="",0,IFNA(VLOOKUP(G992,Trait_Polarity!$A:$C,2,FALSE),0))</f>
        <v/>
      </c>
      <c r="S992">
        <f>IF(F992="",0,IFNA(VLOOKUP(F992,Trait_Polarity!$A:$C,3,FALSE),0))+IF(G992="",0,IFNA(VLOOKUP(G992,Trait_Polarity!$A:$C,3,FALSE),0))</f>
        <v/>
      </c>
      <c r="T992">
        <f>IF(Q992="P",0,IFNA(VLOOKUP(IF(C992="","(none)",C992),Secondary_Versatility!$A:$B,2,FALSE),0))</f>
        <v/>
      </c>
      <c r="U992">
        <f>IF(H992="",0,LEN(H992)-LEN(SUBSTITUTE(H992,"|",""))+1)</f>
        <v/>
      </c>
      <c r="V992">
        <f>IF(Q992="P",(N992+O992+P992)/3,0.3*I992+0.3*J992+0.2*K992+0.1*L992+0.1*M992)</f>
        <v/>
      </c>
      <c r="W992">
        <f>IF(Q992="P",IF(F992="",0,IFNA(VLOOKUP(F992,Pitcher_Trait_Coef!$A:$B,2,FALSE),0))+IF(G992="",0,IFNA(VLOOKUP(G992,Pitcher_Trait_Coef!$A:$B,2,FALSE),0)),IF(F992="",0,IFNA(VLOOKUP(F992,Hitter_Trait_Coef!$A:$B,2,FALSE),0))+IF(G992="",0,IFNA(VLOOKUP(G992,Hitter_Trait_Coef!$A:$B,2,FALSE),0)))</f>
        <v/>
      </c>
      <c r="X992">
        <f>IF(Q992="P",IFNA(VLOOKUP(B992,Pitcher_Primary_Coef!$A:$B,2,FALSE),0),IFNA(VLOOKUP(B992,Hitter_Primary_Coef!$A:$B,2,FALSE),0))</f>
        <v/>
      </c>
      <c r="Y992">
        <f>IF(Q992="P",0,IFNA(VLOOKUP(IF(C992="","(none)",C992),Hitter_Secondary_Coef!$A:$B,2,FALSE),0))</f>
        <v/>
      </c>
      <c r="Z992">
        <f>IF(Q992="P",IF(ISNUMBER(SEARCH("2F",H992)),IFNA(VLOOKUP("2F",Pitch_Coef!$A:$B,2,FALSE),0),0)+IF(ISNUMBER(SEARCH("4F",H992)),IFNA(VLOOKUP("4F",Pitch_Coef!$A:$B,2,FALSE),0),0)+IF(ISNUMBER(SEARCH("CB",H992)),IFNA(VLOOKUP("CB",Pitch_Coef!$A:$B,2,FALSE),0),0)+IF(ISNUMBER(SEARCH("CF",H992)),IFNA(VLOOKUP("CF",Pitch_Coef!$A:$B,2,FALSE),0),0)+IF(ISNUMBER(SEARCH("CH",H992)),IFNA(VLOOKUP("CH",Pitch_Coef!$A:$B,2,FALSE),0),0)+IF(ISNUMBER(SEARCH("FK",H992)),IFNA(VLOOKUP("FK",Pitch_Coef!$A:$B,2,FALSE),0),0)+IF(ISNUMBER(SEARCH("SB",H992)),IFNA(VLOOKUP("SB",Pitch_Coef!$A:$B,2,FALSE),0),0)+IF(ISNUMBER(SEARCH("SL",H992)),IFNA(VLOOKUP("SL",Pitch_Coef!$A:$B,2,FALSE),0),0),0)</f>
        <v/>
      </c>
      <c r="AA992">
        <f>IF(Q992="P",16.5944849573+0.2529999141*N992+0.2665900378*O992+0.2632687105*P992+0.0427586837*I992+0.0534777057*J992+0.009015832*K992+0.0204898106*(O992*P992/100)+1.0091022427*U992+1.0968542297*IF(D992="L",1,0)+0.3771555045*IF(D992="S",1,0)-0.2226159177*IF(E992="L",1,0)+1.21385024*R992-1.1652812274*S992+W992+X992+Z992,10.5965166711+0.2825983581*I992+0.2806503532*J992+0.2027213083*K992+0.1147824982*L992+0.0915305332*M992-0.0088454122*(I992*J992/100)-0.0336045706*(K992*L992/100)+2.8497389733*IF(D992="L",1,0)+4.5116226727*IF(D992="S",1,0)-0.6571546448*IF(E992="L",1,0)+0.0850728147*T992+0.0129488446*(T992*T992)+0.1909373936*IF(OR(F992="Utility",G992="Utility"),T992,0)+0.9656824071*R992-1.7517683256*S992+W992+X992+Y992)</f>
        <v/>
      </c>
      <c r="AB992">
        <f>LOOKUP(AA992,Grade_Scale!$A$2:$A$18,Grade_Scale!$B$2:$B$18)</f>
        <v/>
      </c>
      <c r="AC992">
        <f>LOOKUP(AA992,Grade_Scale!$A$2:$A$18,Grade_Scale!$C$2:$C$18)</f>
        <v/>
      </c>
      <c r="AE992">
        <f>IF(AD992="","",AB992-VLOOKUP(AD992,Grade_Scale!$C$2:$E$18,3,FALSE))</f>
        <v/>
      </c>
    </row>
    <row r="993">
      <c r="Q993">
        <f>IF(OR(B993="SP",B993="RP",B993="CP",B993="SP/RP"),"P","H")</f>
        <v/>
      </c>
      <c r="R993">
        <f>IF(F993="",0,IFNA(VLOOKUP(F993,Trait_Polarity!$A:$C,2,FALSE),0))+IF(G993="",0,IFNA(VLOOKUP(G993,Trait_Polarity!$A:$C,2,FALSE),0))</f>
        <v/>
      </c>
      <c r="S993">
        <f>IF(F993="",0,IFNA(VLOOKUP(F993,Trait_Polarity!$A:$C,3,FALSE),0))+IF(G993="",0,IFNA(VLOOKUP(G993,Trait_Polarity!$A:$C,3,FALSE),0))</f>
        <v/>
      </c>
      <c r="T993">
        <f>IF(Q993="P",0,IFNA(VLOOKUP(IF(C993="","(none)",C993),Secondary_Versatility!$A:$B,2,FALSE),0))</f>
        <v/>
      </c>
      <c r="U993">
        <f>IF(H993="",0,LEN(H993)-LEN(SUBSTITUTE(H993,"|",""))+1)</f>
        <v/>
      </c>
      <c r="V993">
        <f>IF(Q993="P",(N993+O993+P993)/3,0.3*I993+0.3*J993+0.2*K993+0.1*L993+0.1*M993)</f>
        <v/>
      </c>
      <c r="W993">
        <f>IF(Q993="P",IF(F993="",0,IFNA(VLOOKUP(F993,Pitcher_Trait_Coef!$A:$B,2,FALSE),0))+IF(G993="",0,IFNA(VLOOKUP(G993,Pitcher_Trait_Coef!$A:$B,2,FALSE),0)),IF(F993="",0,IFNA(VLOOKUP(F993,Hitter_Trait_Coef!$A:$B,2,FALSE),0))+IF(G993="",0,IFNA(VLOOKUP(G993,Hitter_Trait_Coef!$A:$B,2,FALSE),0)))</f>
        <v/>
      </c>
      <c r="X993">
        <f>IF(Q993="P",IFNA(VLOOKUP(B993,Pitcher_Primary_Coef!$A:$B,2,FALSE),0),IFNA(VLOOKUP(B993,Hitter_Primary_Coef!$A:$B,2,FALSE),0))</f>
        <v/>
      </c>
      <c r="Y993">
        <f>IF(Q993="P",0,IFNA(VLOOKUP(IF(C993="","(none)",C993),Hitter_Secondary_Coef!$A:$B,2,FALSE),0))</f>
        <v/>
      </c>
      <c r="Z993">
        <f>IF(Q993="P",IF(ISNUMBER(SEARCH("2F",H993)),IFNA(VLOOKUP("2F",Pitch_Coef!$A:$B,2,FALSE),0),0)+IF(ISNUMBER(SEARCH("4F",H993)),IFNA(VLOOKUP("4F",Pitch_Coef!$A:$B,2,FALSE),0),0)+IF(ISNUMBER(SEARCH("CB",H993)),IFNA(VLOOKUP("CB",Pitch_Coef!$A:$B,2,FALSE),0),0)+IF(ISNUMBER(SEARCH("CF",H993)),IFNA(VLOOKUP("CF",Pitch_Coef!$A:$B,2,FALSE),0),0)+IF(ISNUMBER(SEARCH("CH",H993)),IFNA(VLOOKUP("CH",Pitch_Coef!$A:$B,2,FALSE),0),0)+IF(ISNUMBER(SEARCH("FK",H993)),IFNA(VLOOKUP("FK",Pitch_Coef!$A:$B,2,FALSE),0),0)+IF(ISNUMBER(SEARCH("SB",H993)),IFNA(VLOOKUP("SB",Pitch_Coef!$A:$B,2,FALSE),0),0)+IF(ISNUMBER(SEARCH("SL",H993)),IFNA(VLOOKUP("SL",Pitch_Coef!$A:$B,2,FALSE),0),0),0)</f>
        <v/>
      </c>
      <c r="AA993">
        <f>IF(Q993="P",16.5944849573+0.2529999141*N993+0.2665900378*O993+0.2632687105*P993+0.0427586837*I993+0.0534777057*J993+0.009015832*K993+0.0204898106*(O993*P993/100)+1.0091022427*U993+1.0968542297*IF(D993="L",1,0)+0.3771555045*IF(D993="S",1,0)-0.2226159177*IF(E993="L",1,0)+1.21385024*R993-1.1652812274*S993+W993+X993+Z993,10.5965166711+0.2825983581*I993+0.2806503532*J993+0.2027213083*K993+0.1147824982*L993+0.0915305332*M993-0.0088454122*(I993*J993/100)-0.0336045706*(K993*L993/100)+2.8497389733*IF(D993="L",1,0)+4.5116226727*IF(D993="S",1,0)-0.6571546448*IF(E993="L",1,0)+0.0850728147*T993+0.0129488446*(T993*T993)+0.1909373936*IF(OR(F993="Utility",G993="Utility"),T993,0)+0.9656824071*R993-1.7517683256*S993+W993+X993+Y993)</f>
        <v/>
      </c>
      <c r="AB993">
        <f>LOOKUP(AA993,Grade_Scale!$A$2:$A$18,Grade_Scale!$B$2:$B$18)</f>
        <v/>
      </c>
      <c r="AC993">
        <f>LOOKUP(AA993,Grade_Scale!$A$2:$A$18,Grade_Scale!$C$2:$C$18)</f>
        <v/>
      </c>
      <c r="AE993">
        <f>IF(AD993="","",AB993-VLOOKUP(AD993,Grade_Scale!$C$2:$E$18,3,FALSE))</f>
        <v/>
      </c>
    </row>
    <row r="994">
      <c r="Q994">
        <f>IF(OR(B994="SP",B994="RP",B994="CP",B994="SP/RP"),"P","H")</f>
        <v/>
      </c>
      <c r="R994">
        <f>IF(F994="",0,IFNA(VLOOKUP(F994,Trait_Polarity!$A:$C,2,FALSE),0))+IF(G994="",0,IFNA(VLOOKUP(G994,Trait_Polarity!$A:$C,2,FALSE),0))</f>
        <v/>
      </c>
      <c r="S994">
        <f>IF(F994="",0,IFNA(VLOOKUP(F994,Trait_Polarity!$A:$C,3,FALSE),0))+IF(G994="",0,IFNA(VLOOKUP(G994,Trait_Polarity!$A:$C,3,FALSE),0))</f>
        <v/>
      </c>
      <c r="T994">
        <f>IF(Q994="P",0,IFNA(VLOOKUP(IF(C994="","(none)",C994),Secondary_Versatility!$A:$B,2,FALSE),0))</f>
        <v/>
      </c>
      <c r="U994">
        <f>IF(H994="",0,LEN(H994)-LEN(SUBSTITUTE(H994,"|",""))+1)</f>
        <v/>
      </c>
      <c r="V994">
        <f>IF(Q994="P",(N994+O994+P994)/3,0.3*I994+0.3*J994+0.2*K994+0.1*L994+0.1*M994)</f>
        <v/>
      </c>
      <c r="W994">
        <f>IF(Q994="P",IF(F994="",0,IFNA(VLOOKUP(F994,Pitcher_Trait_Coef!$A:$B,2,FALSE),0))+IF(G994="",0,IFNA(VLOOKUP(G994,Pitcher_Trait_Coef!$A:$B,2,FALSE),0)),IF(F994="",0,IFNA(VLOOKUP(F994,Hitter_Trait_Coef!$A:$B,2,FALSE),0))+IF(G994="",0,IFNA(VLOOKUP(G994,Hitter_Trait_Coef!$A:$B,2,FALSE),0)))</f>
        <v/>
      </c>
      <c r="X994">
        <f>IF(Q994="P",IFNA(VLOOKUP(B994,Pitcher_Primary_Coef!$A:$B,2,FALSE),0),IFNA(VLOOKUP(B994,Hitter_Primary_Coef!$A:$B,2,FALSE),0))</f>
        <v/>
      </c>
      <c r="Y994">
        <f>IF(Q994="P",0,IFNA(VLOOKUP(IF(C994="","(none)",C994),Hitter_Secondary_Coef!$A:$B,2,FALSE),0))</f>
        <v/>
      </c>
      <c r="Z994">
        <f>IF(Q994="P",IF(ISNUMBER(SEARCH("2F",H994)),IFNA(VLOOKUP("2F",Pitch_Coef!$A:$B,2,FALSE),0),0)+IF(ISNUMBER(SEARCH("4F",H994)),IFNA(VLOOKUP("4F",Pitch_Coef!$A:$B,2,FALSE),0),0)+IF(ISNUMBER(SEARCH("CB",H994)),IFNA(VLOOKUP("CB",Pitch_Coef!$A:$B,2,FALSE),0),0)+IF(ISNUMBER(SEARCH("CF",H994)),IFNA(VLOOKUP("CF",Pitch_Coef!$A:$B,2,FALSE),0),0)+IF(ISNUMBER(SEARCH("CH",H994)),IFNA(VLOOKUP("CH",Pitch_Coef!$A:$B,2,FALSE),0),0)+IF(ISNUMBER(SEARCH("FK",H994)),IFNA(VLOOKUP("FK",Pitch_Coef!$A:$B,2,FALSE),0),0)+IF(ISNUMBER(SEARCH("SB",H994)),IFNA(VLOOKUP("SB",Pitch_Coef!$A:$B,2,FALSE),0),0)+IF(ISNUMBER(SEARCH("SL",H994)),IFNA(VLOOKUP("SL",Pitch_Coef!$A:$B,2,FALSE),0),0),0)</f>
        <v/>
      </c>
      <c r="AA994">
        <f>IF(Q994="P",16.5944849573+0.2529999141*N994+0.2665900378*O994+0.2632687105*P994+0.0427586837*I994+0.0534777057*J994+0.009015832*K994+0.0204898106*(O994*P994/100)+1.0091022427*U994+1.0968542297*IF(D994="L",1,0)+0.3771555045*IF(D994="S",1,0)-0.2226159177*IF(E994="L",1,0)+1.21385024*R994-1.1652812274*S994+W994+X994+Z994,10.5965166711+0.2825983581*I994+0.2806503532*J994+0.2027213083*K994+0.1147824982*L994+0.0915305332*M994-0.0088454122*(I994*J994/100)-0.0336045706*(K994*L994/100)+2.8497389733*IF(D994="L",1,0)+4.5116226727*IF(D994="S",1,0)-0.6571546448*IF(E994="L",1,0)+0.0850728147*T994+0.0129488446*(T994*T994)+0.1909373936*IF(OR(F994="Utility",G994="Utility"),T994,0)+0.9656824071*R994-1.7517683256*S994+W994+X994+Y994)</f>
        <v/>
      </c>
      <c r="AB994">
        <f>LOOKUP(AA994,Grade_Scale!$A$2:$A$18,Grade_Scale!$B$2:$B$18)</f>
        <v/>
      </c>
      <c r="AC994">
        <f>LOOKUP(AA994,Grade_Scale!$A$2:$A$18,Grade_Scale!$C$2:$C$18)</f>
        <v/>
      </c>
      <c r="AE994">
        <f>IF(AD994="","",AB994-VLOOKUP(AD994,Grade_Scale!$C$2:$E$18,3,FALSE))</f>
        <v/>
      </c>
    </row>
    <row r="995">
      <c r="Q995">
        <f>IF(OR(B995="SP",B995="RP",B995="CP",B995="SP/RP"),"P","H")</f>
        <v/>
      </c>
      <c r="R995">
        <f>IF(F995="",0,IFNA(VLOOKUP(F995,Trait_Polarity!$A:$C,2,FALSE),0))+IF(G995="",0,IFNA(VLOOKUP(G995,Trait_Polarity!$A:$C,2,FALSE),0))</f>
        <v/>
      </c>
      <c r="S995">
        <f>IF(F995="",0,IFNA(VLOOKUP(F995,Trait_Polarity!$A:$C,3,FALSE),0))+IF(G995="",0,IFNA(VLOOKUP(G995,Trait_Polarity!$A:$C,3,FALSE),0))</f>
        <v/>
      </c>
      <c r="T995">
        <f>IF(Q995="P",0,IFNA(VLOOKUP(IF(C995="","(none)",C995),Secondary_Versatility!$A:$B,2,FALSE),0))</f>
        <v/>
      </c>
      <c r="U995">
        <f>IF(H995="",0,LEN(H995)-LEN(SUBSTITUTE(H995,"|",""))+1)</f>
        <v/>
      </c>
      <c r="V995">
        <f>IF(Q995="P",(N995+O995+P995)/3,0.3*I995+0.3*J995+0.2*K995+0.1*L995+0.1*M995)</f>
        <v/>
      </c>
      <c r="W995">
        <f>IF(Q995="P",IF(F995="",0,IFNA(VLOOKUP(F995,Pitcher_Trait_Coef!$A:$B,2,FALSE),0))+IF(G995="",0,IFNA(VLOOKUP(G995,Pitcher_Trait_Coef!$A:$B,2,FALSE),0)),IF(F995="",0,IFNA(VLOOKUP(F995,Hitter_Trait_Coef!$A:$B,2,FALSE),0))+IF(G995="",0,IFNA(VLOOKUP(G995,Hitter_Trait_Coef!$A:$B,2,FALSE),0)))</f>
        <v/>
      </c>
      <c r="X995">
        <f>IF(Q995="P",IFNA(VLOOKUP(B995,Pitcher_Primary_Coef!$A:$B,2,FALSE),0),IFNA(VLOOKUP(B995,Hitter_Primary_Coef!$A:$B,2,FALSE),0))</f>
        <v/>
      </c>
      <c r="Y995">
        <f>IF(Q995="P",0,IFNA(VLOOKUP(IF(C995="","(none)",C995),Hitter_Secondary_Coef!$A:$B,2,FALSE),0))</f>
        <v/>
      </c>
      <c r="Z995">
        <f>IF(Q995="P",IF(ISNUMBER(SEARCH("2F",H995)),IFNA(VLOOKUP("2F",Pitch_Coef!$A:$B,2,FALSE),0),0)+IF(ISNUMBER(SEARCH("4F",H995)),IFNA(VLOOKUP("4F",Pitch_Coef!$A:$B,2,FALSE),0),0)+IF(ISNUMBER(SEARCH("CB",H995)),IFNA(VLOOKUP("CB",Pitch_Coef!$A:$B,2,FALSE),0),0)+IF(ISNUMBER(SEARCH("CF",H995)),IFNA(VLOOKUP("CF",Pitch_Coef!$A:$B,2,FALSE),0),0)+IF(ISNUMBER(SEARCH("CH",H995)),IFNA(VLOOKUP("CH",Pitch_Coef!$A:$B,2,FALSE),0),0)+IF(ISNUMBER(SEARCH("FK",H995)),IFNA(VLOOKUP("FK",Pitch_Coef!$A:$B,2,FALSE),0),0)+IF(ISNUMBER(SEARCH("SB",H995)),IFNA(VLOOKUP("SB",Pitch_Coef!$A:$B,2,FALSE),0),0)+IF(ISNUMBER(SEARCH("SL",H995)),IFNA(VLOOKUP("SL",Pitch_Coef!$A:$B,2,FALSE),0),0),0)</f>
        <v/>
      </c>
      <c r="AA995">
        <f>IF(Q995="P",16.5944849573+0.2529999141*N995+0.2665900378*O995+0.2632687105*P995+0.0427586837*I995+0.0534777057*J995+0.009015832*K995+0.0204898106*(O995*P995/100)+1.0091022427*U995+1.0968542297*IF(D995="L",1,0)+0.3771555045*IF(D995="S",1,0)-0.2226159177*IF(E995="L",1,0)+1.21385024*R995-1.1652812274*S995+W995+X995+Z995,10.5965166711+0.2825983581*I995+0.2806503532*J995+0.2027213083*K995+0.1147824982*L995+0.0915305332*M995-0.0088454122*(I995*J995/100)-0.0336045706*(K995*L995/100)+2.8497389733*IF(D995="L",1,0)+4.5116226727*IF(D995="S",1,0)-0.6571546448*IF(E995="L",1,0)+0.0850728147*T995+0.0129488446*(T995*T995)+0.1909373936*IF(OR(F995="Utility",G995="Utility"),T995,0)+0.9656824071*R995-1.7517683256*S995+W995+X995+Y995)</f>
        <v/>
      </c>
      <c r="AB995">
        <f>LOOKUP(AA995,Grade_Scale!$A$2:$A$18,Grade_Scale!$B$2:$B$18)</f>
        <v/>
      </c>
      <c r="AC995">
        <f>LOOKUP(AA995,Grade_Scale!$A$2:$A$18,Grade_Scale!$C$2:$C$18)</f>
        <v/>
      </c>
      <c r="AE995">
        <f>IF(AD995="","",AB995-VLOOKUP(AD995,Grade_Scale!$C$2:$E$18,3,FALSE))</f>
        <v/>
      </c>
    </row>
    <row r="996">
      <c r="Q996">
        <f>IF(OR(B996="SP",B996="RP",B996="CP",B996="SP/RP"),"P","H")</f>
        <v/>
      </c>
      <c r="R996">
        <f>IF(F996="",0,IFNA(VLOOKUP(F996,Trait_Polarity!$A:$C,2,FALSE),0))+IF(G996="",0,IFNA(VLOOKUP(G996,Trait_Polarity!$A:$C,2,FALSE),0))</f>
        <v/>
      </c>
      <c r="S996">
        <f>IF(F996="",0,IFNA(VLOOKUP(F996,Trait_Polarity!$A:$C,3,FALSE),0))+IF(G996="",0,IFNA(VLOOKUP(G996,Trait_Polarity!$A:$C,3,FALSE),0))</f>
        <v/>
      </c>
      <c r="T996">
        <f>IF(Q996="P",0,IFNA(VLOOKUP(IF(C996="","(none)",C996),Secondary_Versatility!$A:$B,2,FALSE),0))</f>
        <v/>
      </c>
      <c r="U996">
        <f>IF(H996="",0,LEN(H996)-LEN(SUBSTITUTE(H996,"|",""))+1)</f>
        <v/>
      </c>
      <c r="V996">
        <f>IF(Q996="P",(N996+O996+P996)/3,0.3*I996+0.3*J996+0.2*K996+0.1*L996+0.1*M996)</f>
        <v/>
      </c>
      <c r="W996">
        <f>IF(Q996="P",IF(F996="",0,IFNA(VLOOKUP(F996,Pitcher_Trait_Coef!$A:$B,2,FALSE),0))+IF(G996="",0,IFNA(VLOOKUP(G996,Pitcher_Trait_Coef!$A:$B,2,FALSE),0)),IF(F996="",0,IFNA(VLOOKUP(F996,Hitter_Trait_Coef!$A:$B,2,FALSE),0))+IF(G996="",0,IFNA(VLOOKUP(G996,Hitter_Trait_Coef!$A:$B,2,FALSE),0)))</f>
        <v/>
      </c>
      <c r="X996">
        <f>IF(Q996="P",IFNA(VLOOKUP(B996,Pitcher_Primary_Coef!$A:$B,2,FALSE),0),IFNA(VLOOKUP(B996,Hitter_Primary_Coef!$A:$B,2,FALSE),0))</f>
        <v/>
      </c>
      <c r="Y996">
        <f>IF(Q996="P",0,IFNA(VLOOKUP(IF(C996="","(none)",C996),Hitter_Secondary_Coef!$A:$B,2,FALSE),0))</f>
        <v/>
      </c>
      <c r="Z996">
        <f>IF(Q996="P",IF(ISNUMBER(SEARCH("2F",H996)),IFNA(VLOOKUP("2F",Pitch_Coef!$A:$B,2,FALSE),0),0)+IF(ISNUMBER(SEARCH("4F",H996)),IFNA(VLOOKUP("4F",Pitch_Coef!$A:$B,2,FALSE),0),0)+IF(ISNUMBER(SEARCH("CB",H996)),IFNA(VLOOKUP("CB",Pitch_Coef!$A:$B,2,FALSE),0),0)+IF(ISNUMBER(SEARCH("CF",H996)),IFNA(VLOOKUP("CF",Pitch_Coef!$A:$B,2,FALSE),0),0)+IF(ISNUMBER(SEARCH("CH",H996)),IFNA(VLOOKUP("CH",Pitch_Coef!$A:$B,2,FALSE),0),0)+IF(ISNUMBER(SEARCH("FK",H996)),IFNA(VLOOKUP("FK",Pitch_Coef!$A:$B,2,FALSE),0),0)+IF(ISNUMBER(SEARCH("SB",H996)),IFNA(VLOOKUP("SB",Pitch_Coef!$A:$B,2,FALSE),0),0)+IF(ISNUMBER(SEARCH("SL",H996)),IFNA(VLOOKUP("SL",Pitch_Coef!$A:$B,2,FALSE),0),0),0)</f>
        <v/>
      </c>
      <c r="AA996">
        <f>IF(Q996="P",16.5944849573+0.2529999141*N996+0.2665900378*O996+0.2632687105*P996+0.0427586837*I996+0.0534777057*J996+0.009015832*K996+0.0204898106*(O996*P996/100)+1.0091022427*U996+1.0968542297*IF(D996="L",1,0)+0.3771555045*IF(D996="S",1,0)-0.2226159177*IF(E996="L",1,0)+1.21385024*R996-1.1652812274*S996+W996+X996+Z996,10.5965166711+0.2825983581*I996+0.2806503532*J996+0.2027213083*K996+0.1147824982*L996+0.0915305332*M996-0.0088454122*(I996*J996/100)-0.0336045706*(K996*L996/100)+2.8497389733*IF(D996="L",1,0)+4.5116226727*IF(D996="S",1,0)-0.6571546448*IF(E996="L",1,0)+0.0850728147*T996+0.0129488446*(T996*T996)+0.1909373936*IF(OR(F996="Utility",G996="Utility"),T996,0)+0.9656824071*R996-1.7517683256*S996+W996+X996+Y996)</f>
        <v/>
      </c>
      <c r="AB996">
        <f>LOOKUP(AA996,Grade_Scale!$A$2:$A$18,Grade_Scale!$B$2:$B$18)</f>
        <v/>
      </c>
      <c r="AC996">
        <f>LOOKUP(AA996,Grade_Scale!$A$2:$A$18,Grade_Scale!$C$2:$C$18)</f>
        <v/>
      </c>
      <c r="AE996">
        <f>IF(AD996="","",AB996-VLOOKUP(AD996,Grade_Scale!$C$2:$E$18,3,FALSE))</f>
        <v/>
      </c>
    </row>
    <row r="997">
      <c r="Q997">
        <f>IF(OR(B997="SP",B997="RP",B997="CP",B997="SP/RP"),"P","H")</f>
        <v/>
      </c>
      <c r="R997">
        <f>IF(F997="",0,IFNA(VLOOKUP(F997,Trait_Polarity!$A:$C,2,FALSE),0))+IF(G997="",0,IFNA(VLOOKUP(G997,Trait_Polarity!$A:$C,2,FALSE),0))</f>
        <v/>
      </c>
      <c r="S997">
        <f>IF(F997="",0,IFNA(VLOOKUP(F997,Trait_Polarity!$A:$C,3,FALSE),0))+IF(G997="",0,IFNA(VLOOKUP(G997,Trait_Polarity!$A:$C,3,FALSE),0))</f>
        <v/>
      </c>
      <c r="T997">
        <f>IF(Q997="P",0,IFNA(VLOOKUP(IF(C997="","(none)",C997),Secondary_Versatility!$A:$B,2,FALSE),0))</f>
        <v/>
      </c>
      <c r="U997">
        <f>IF(H997="",0,LEN(H997)-LEN(SUBSTITUTE(H997,"|",""))+1)</f>
        <v/>
      </c>
      <c r="V997">
        <f>IF(Q997="P",(N997+O997+P997)/3,0.3*I997+0.3*J997+0.2*K997+0.1*L997+0.1*M997)</f>
        <v/>
      </c>
      <c r="W997">
        <f>IF(Q997="P",IF(F997="",0,IFNA(VLOOKUP(F997,Pitcher_Trait_Coef!$A:$B,2,FALSE),0))+IF(G997="",0,IFNA(VLOOKUP(G997,Pitcher_Trait_Coef!$A:$B,2,FALSE),0)),IF(F997="",0,IFNA(VLOOKUP(F997,Hitter_Trait_Coef!$A:$B,2,FALSE),0))+IF(G997="",0,IFNA(VLOOKUP(G997,Hitter_Trait_Coef!$A:$B,2,FALSE),0)))</f>
        <v/>
      </c>
      <c r="X997">
        <f>IF(Q997="P",IFNA(VLOOKUP(B997,Pitcher_Primary_Coef!$A:$B,2,FALSE),0),IFNA(VLOOKUP(B997,Hitter_Primary_Coef!$A:$B,2,FALSE),0))</f>
        <v/>
      </c>
      <c r="Y997">
        <f>IF(Q997="P",0,IFNA(VLOOKUP(IF(C997="","(none)",C997),Hitter_Secondary_Coef!$A:$B,2,FALSE),0))</f>
        <v/>
      </c>
      <c r="Z997">
        <f>IF(Q997="P",IF(ISNUMBER(SEARCH("2F",H997)),IFNA(VLOOKUP("2F",Pitch_Coef!$A:$B,2,FALSE),0),0)+IF(ISNUMBER(SEARCH("4F",H997)),IFNA(VLOOKUP("4F",Pitch_Coef!$A:$B,2,FALSE),0),0)+IF(ISNUMBER(SEARCH("CB",H997)),IFNA(VLOOKUP("CB",Pitch_Coef!$A:$B,2,FALSE),0),0)+IF(ISNUMBER(SEARCH("CF",H997)),IFNA(VLOOKUP("CF",Pitch_Coef!$A:$B,2,FALSE),0),0)+IF(ISNUMBER(SEARCH("CH",H997)),IFNA(VLOOKUP("CH",Pitch_Coef!$A:$B,2,FALSE),0),0)+IF(ISNUMBER(SEARCH("FK",H997)),IFNA(VLOOKUP("FK",Pitch_Coef!$A:$B,2,FALSE),0),0)+IF(ISNUMBER(SEARCH("SB",H997)),IFNA(VLOOKUP("SB",Pitch_Coef!$A:$B,2,FALSE),0),0)+IF(ISNUMBER(SEARCH("SL",H997)),IFNA(VLOOKUP("SL",Pitch_Coef!$A:$B,2,FALSE),0),0),0)</f>
        <v/>
      </c>
      <c r="AA997">
        <f>IF(Q997="P",16.5944849573+0.2529999141*N997+0.2665900378*O997+0.2632687105*P997+0.0427586837*I997+0.0534777057*J997+0.009015832*K997+0.0204898106*(O997*P997/100)+1.0091022427*U997+1.0968542297*IF(D997="L",1,0)+0.3771555045*IF(D997="S",1,0)-0.2226159177*IF(E997="L",1,0)+1.21385024*R997-1.1652812274*S997+W997+X997+Z997,10.5965166711+0.2825983581*I997+0.2806503532*J997+0.2027213083*K997+0.1147824982*L997+0.0915305332*M997-0.0088454122*(I997*J997/100)-0.0336045706*(K997*L997/100)+2.8497389733*IF(D997="L",1,0)+4.5116226727*IF(D997="S",1,0)-0.6571546448*IF(E997="L",1,0)+0.0850728147*T997+0.0129488446*(T997*T997)+0.1909373936*IF(OR(F997="Utility",G997="Utility"),T997,0)+0.9656824071*R997-1.7517683256*S997+W997+X997+Y997)</f>
        <v/>
      </c>
      <c r="AB997">
        <f>LOOKUP(AA997,Grade_Scale!$A$2:$A$18,Grade_Scale!$B$2:$B$18)</f>
        <v/>
      </c>
      <c r="AC997">
        <f>LOOKUP(AA997,Grade_Scale!$A$2:$A$18,Grade_Scale!$C$2:$C$18)</f>
        <v/>
      </c>
      <c r="AE997">
        <f>IF(AD997="","",AB997-VLOOKUP(AD997,Grade_Scale!$C$2:$E$18,3,FALSE))</f>
        <v/>
      </c>
    </row>
    <row r="998">
      <c r="Q998">
        <f>IF(OR(B998="SP",B998="RP",B998="CP",B998="SP/RP"),"P","H")</f>
        <v/>
      </c>
      <c r="R998">
        <f>IF(F998="",0,IFNA(VLOOKUP(F998,Trait_Polarity!$A:$C,2,FALSE),0))+IF(G998="",0,IFNA(VLOOKUP(G998,Trait_Polarity!$A:$C,2,FALSE),0))</f>
        <v/>
      </c>
      <c r="S998">
        <f>IF(F998="",0,IFNA(VLOOKUP(F998,Trait_Polarity!$A:$C,3,FALSE),0))+IF(G998="",0,IFNA(VLOOKUP(G998,Trait_Polarity!$A:$C,3,FALSE),0))</f>
        <v/>
      </c>
      <c r="T998">
        <f>IF(Q998="P",0,IFNA(VLOOKUP(IF(C998="","(none)",C998),Secondary_Versatility!$A:$B,2,FALSE),0))</f>
        <v/>
      </c>
      <c r="U998">
        <f>IF(H998="",0,LEN(H998)-LEN(SUBSTITUTE(H998,"|",""))+1)</f>
        <v/>
      </c>
      <c r="V998">
        <f>IF(Q998="P",(N998+O998+P998)/3,0.3*I998+0.3*J998+0.2*K998+0.1*L998+0.1*M998)</f>
        <v/>
      </c>
      <c r="W998">
        <f>IF(Q998="P",IF(F998="",0,IFNA(VLOOKUP(F998,Pitcher_Trait_Coef!$A:$B,2,FALSE),0))+IF(G998="",0,IFNA(VLOOKUP(G998,Pitcher_Trait_Coef!$A:$B,2,FALSE),0)),IF(F998="",0,IFNA(VLOOKUP(F998,Hitter_Trait_Coef!$A:$B,2,FALSE),0))+IF(G998="",0,IFNA(VLOOKUP(G998,Hitter_Trait_Coef!$A:$B,2,FALSE),0)))</f>
        <v/>
      </c>
      <c r="X998">
        <f>IF(Q998="P",IFNA(VLOOKUP(B998,Pitcher_Primary_Coef!$A:$B,2,FALSE),0),IFNA(VLOOKUP(B998,Hitter_Primary_Coef!$A:$B,2,FALSE),0))</f>
        <v/>
      </c>
      <c r="Y998">
        <f>IF(Q998="P",0,IFNA(VLOOKUP(IF(C998="","(none)",C998),Hitter_Secondary_Coef!$A:$B,2,FALSE),0))</f>
        <v/>
      </c>
      <c r="Z998">
        <f>IF(Q998="P",IF(ISNUMBER(SEARCH("2F",H998)),IFNA(VLOOKUP("2F",Pitch_Coef!$A:$B,2,FALSE),0),0)+IF(ISNUMBER(SEARCH("4F",H998)),IFNA(VLOOKUP("4F",Pitch_Coef!$A:$B,2,FALSE),0),0)+IF(ISNUMBER(SEARCH("CB",H998)),IFNA(VLOOKUP("CB",Pitch_Coef!$A:$B,2,FALSE),0),0)+IF(ISNUMBER(SEARCH("CF",H998)),IFNA(VLOOKUP("CF",Pitch_Coef!$A:$B,2,FALSE),0),0)+IF(ISNUMBER(SEARCH("CH",H998)),IFNA(VLOOKUP("CH",Pitch_Coef!$A:$B,2,FALSE),0),0)+IF(ISNUMBER(SEARCH("FK",H998)),IFNA(VLOOKUP("FK",Pitch_Coef!$A:$B,2,FALSE),0),0)+IF(ISNUMBER(SEARCH("SB",H998)),IFNA(VLOOKUP("SB",Pitch_Coef!$A:$B,2,FALSE),0),0)+IF(ISNUMBER(SEARCH("SL",H998)),IFNA(VLOOKUP("SL",Pitch_Coef!$A:$B,2,FALSE),0),0),0)</f>
        <v/>
      </c>
      <c r="AA998">
        <f>IF(Q998="P",16.5944849573+0.2529999141*N998+0.2665900378*O998+0.2632687105*P998+0.0427586837*I998+0.0534777057*J998+0.009015832*K998+0.0204898106*(O998*P998/100)+1.0091022427*U998+1.0968542297*IF(D998="L",1,0)+0.3771555045*IF(D998="S",1,0)-0.2226159177*IF(E998="L",1,0)+1.21385024*R998-1.1652812274*S998+W998+X998+Z998,10.5965166711+0.2825983581*I998+0.2806503532*J998+0.2027213083*K998+0.1147824982*L998+0.0915305332*M998-0.0088454122*(I998*J998/100)-0.0336045706*(K998*L998/100)+2.8497389733*IF(D998="L",1,0)+4.5116226727*IF(D998="S",1,0)-0.6571546448*IF(E998="L",1,0)+0.0850728147*T998+0.0129488446*(T998*T998)+0.1909373936*IF(OR(F998="Utility",G998="Utility"),T998,0)+0.9656824071*R998-1.7517683256*S998+W998+X998+Y998)</f>
        <v/>
      </c>
      <c r="AB998">
        <f>LOOKUP(AA998,Grade_Scale!$A$2:$A$18,Grade_Scale!$B$2:$B$18)</f>
        <v/>
      </c>
      <c r="AC998">
        <f>LOOKUP(AA998,Grade_Scale!$A$2:$A$18,Grade_Scale!$C$2:$C$18)</f>
        <v/>
      </c>
      <c r="AE998">
        <f>IF(AD998="","",AB998-VLOOKUP(AD998,Grade_Scale!$C$2:$E$18,3,FALSE))</f>
        <v/>
      </c>
    </row>
    <row r="999">
      <c r="Q999">
        <f>IF(OR(B999="SP",B999="RP",B999="CP",B999="SP/RP"),"P","H")</f>
        <v/>
      </c>
      <c r="R999">
        <f>IF(F999="",0,IFNA(VLOOKUP(F999,Trait_Polarity!$A:$C,2,FALSE),0))+IF(G999="",0,IFNA(VLOOKUP(G999,Trait_Polarity!$A:$C,2,FALSE),0))</f>
        <v/>
      </c>
      <c r="S999">
        <f>IF(F999="",0,IFNA(VLOOKUP(F999,Trait_Polarity!$A:$C,3,FALSE),0))+IF(G999="",0,IFNA(VLOOKUP(G999,Trait_Polarity!$A:$C,3,FALSE),0))</f>
        <v/>
      </c>
      <c r="T999">
        <f>IF(Q999="P",0,IFNA(VLOOKUP(IF(C999="","(none)",C999),Secondary_Versatility!$A:$B,2,FALSE),0))</f>
        <v/>
      </c>
      <c r="U999">
        <f>IF(H999="",0,LEN(H999)-LEN(SUBSTITUTE(H999,"|",""))+1)</f>
        <v/>
      </c>
      <c r="V999">
        <f>IF(Q999="P",(N999+O999+P999)/3,0.3*I999+0.3*J999+0.2*K999+0.1*L999+0.1*M999)</f>
        <v/>
      </c>
      <c r="W999">
        <f>IF(Q999="P",IF(F999="",0,IFNA(VLOOKUP(F999,Pitcher_Trait_Coef!$A:$B,2,FALSE),0))+IF(G999="",0,IFNA(VLOOKUP(G999,Pitcher_Trait_Coef!$A:$B,2,FALSE),0)),IF(F999="",0,IFNA(VLOOKUP(F999,Hitter_Trait_Coef!$A:$B,2,FALSE),0))+IF(G999="",0,IFNA(VLOOKUP(G999,Hitter_Trait_Coef!$A:$B,2,FALSE),0)))</f>
        <v/>
      </c>
      <c r="X999">
        <f>IF(Q999="P",IFNA(VLOOKUP(B999,Pitcher_Primary_Coef!$A:$B,2,FALSE),0),IFNA(VLOOKUP(B999,Hitter_Primary_Coef!$A:$B,2,FALSE),0))</f>
        <v/>
      </c>
      <c r="Y999">
        <f>IF(Q999="P",0,IFNA(VLOOKUP(IF(C999="","(none)",C999),Hitter_Secondary_Coef!$A:$B,2,FALSE),0))</f>
        <v/>
      </c>
      <c r="Z999">
        <f>IF(Q999="P",IF(ISNUMBER(SEARCH("2F",H999)),IFNA(VLOOKUP("2F",Pitch_Coef!$A:$B,2,FALSE),0),0)+IF(ISNUMBER(SEARCH("4F",H999)),IFNA(VLOOKUP("4F",Pitch_Coef!$A:$B,2,FALSE),0),0)+IF(ISNUMBER(SEARCH("CB",H999)),IFNA(VLOOKUP("CB",Pitch_Coef!$A:$B,2,FALSE),0),0)+IF(ISNUMBER(SEARCH("CF",H999)),IFNA(VLOOKUP("CF",Pitch_Coef!$A:$B,2,FALSE),0),0)+IF(ISNUMBER(SEARCH("CH",H999)),IFNA(VLOOKUP("CH",Pitch_Coef!$A:$B,2,FALSE),0),0)+IF(ISNUMBER(SEARCH("FK",H999)),IFNA(VLOOKUP("FK",Pitch_Coef!$A:$B,2,FALSE),0),0)+IF(ISNUMBER(SEARCH("SB",H999)),IFNA(VLOOKUP("SB",Pitch_Coef!$A:$B,2,FALSE),0),0)+IF(ISNUMBER(SEARCH("SL",H999)),IFNA(VLOOKUP("SL",Pitch_Coef!$A:$B,2,FALSE),0),0),0)</f>
        <v/>
      </c>
      <c r="AA999">
        <f>IF(Q999="P",16.5944849573+0.2529999141*N999+0.2665900378*O999+0.2632687105*P999+0.0427586837*I999+0.0534777057*J999+0.009015832*K999+0.0204898106*(O999*P999/100)+1.0091022427*U999+1.0968542297*IF(D999="L",1,0)+0.3771555045*IF(D999="S",1,0)-0.2226159177*IF(E999="L",1,0)+1.21385024*R999-1.1652812274*S999+W999+X999+Z999,10.5965166711+0.2825983581*I999+0.2806503532*J999+0.2027213083*K999+0.1147824982*L999+0.0915305332*M999-0.0088454122*(I999*J999/100)-0.0336045706*(K999*L999/100)+2.8497389733*IF(D999="L",1,0)+4.5116226727*IF(D999="S",1,0)-0.6571546448*IF(E999="L",1,0)+0.0850728147*T999+0.0129488446*(T999*T999)+0.1909373936*IF(OR(F999="Utility",G999="Utility"),T999,0)+0.9656824071*R999-1.7517683256*S999+W999+X999+Y999)</f>
        <v/>
      </c>
      <c r="AB999">
        <f>LOOKUP(AA999,Grade_Scale!$A$2:$A$18,Grade_Scale!$B$2:$B$18)</f>
        <v/>
      </c>
      <c r="AC999">
        <f>LOOKUP(AA999,Grade_Scale!$A$2:$A$18,Grade_Scale!$C$2:$C$18)</f>
        <v/>
      </c>
      <c r="AE999">
        <f>IF(AD999="","",AB999-VLOOKUP(AD999,Grade_Scale!$C$2:$E$18,3,FALSE))</f>
        <v/>
      </c>
    </row>
    <row r="1000">
      <c r="Q1000">
        <f>IF(OR(B1000="SP",B1000="RP",B1000="CP",B1000="SP/RP"),"P","H")</f>
        <v/>
      </c>
      <c r="R1000">
        <f>IF(F1000="",0,IFNA(VLOOKUP(F1000,Trait_Polarity!$A:$C,2,FALSE),0))+IF(G1000="",0,IFNA(VLOOKUP(G1000,Trait_Polarity!$A:$C,2,FALSE),0))</f>
        <v/>
      </c>
      <c r="S1000">
        <f>IF(F1000="",0,IFNA(VLOOKUP(F1000,Trait_Polarity!$A:$C,3,FALSE),0))+IF(G1000="",0,IFNA(VLOOKUP(G1000,Trait_Polarity!$A:$C,3,FALSE),0))</f>
        <v/>
      </c>
      <c r="T1000">
        <f>IF(Q1000="P",0,IFNA(VLOOKUP(IF(C1000="","(none)",C1000),Secondary_Versatility!$A:$B,2,FALSE),0))</f>
        <v/>
      </c>
      <c r="U1000">
        <f>IF(H1000="",0,LEN(H1000)-LEN(SUBSTITUTE(H1000,"|",""))+1)</f>
        <v/>
      </c>
      <c r="V1000">
        <f>IF(Q1000="P",(N1000+O1000+P1000)/3,0.3*I1000+0.3*J1000+0.2*K1000+0.1*L1000+0.1*M1000)</f>
        <v/>
      </c>
      <c r="W1000">
        <f>IF(Q1000="P",IF(F1000="",0,IFNA(VLOOKUP(F1000,Pitcher_Trait_Coef!$A:$B,2,FALSE),0))+IF(G1000="",0,IFNA(VLOOKUP(G1000,Pitcher_Trait_Coef!$A:$B,2,FALSE),0)),IF(F1000="",0,IFNA(VLOOKUP(F1000,Hitter_Trait_Coef!$A:$B,2,FALSE),0))+IF(G1000="",0,IFNA(VLOOKUP(G1000,Hitter_Trait_Coef!$A:$B,2,FALSE),0)))</f>
        <v/>
      </c>
      <c r="X1000">
        <f>IF(Q1000="P",IFNA(VLOOKUP(B1000,Pitcher_Primary_Coef!$A:$B,2,FALSE),0),IFNA(VLOOKUP(B1000,Hitter_Primary_Coef!$A:$B,2,FALSE),0))</f>
        <v/>
      </c>
      <c r="Y1000">
        <f>IF(Q1000="P",0,IFNA(VLOOKUP(IF(C1000="","(none)",C1000),Hitter_Secondary_Coef!$A:$B,2,FALSE),0))</f>
        <v/>
      </c>
      <c r="Z1000">
        <f>IF(Q1000="P",IF(ISNUMBER(SEARCH("2F",H1000)),IFNA(VLOOKUP("2F",Pitch_Coef!$A:$B,2,FALSE),0),0)+IF(ISNUMBER(SEARCH("4F",H1000)),IFNA(VLOOKUP("4F",Pitch_Coef!$A:$B,2,FALSE),0),0)+IF(ISNUMBER(SEARCH("CB",H1000)),IFNA(VLOOKUP("CB",Pitch_Coef!$A:$B,2,FALSE),0),0)+IF(ISNUMBER(SEARCH("CF",H1000)),IFNA(VLOOKUP("CF",Pitch_Coef!$A:$B,2,FALSE),0),0)+IF(ISNUMBER(SEARCH("CH",H1000)),IFNA(VLOOKUP("CH",Pitch_Coef!$A:$B,2,FALSE),0),0)+IF(ISNUMBER(SEARCH("FK",H1000)),IFNA(VLOOKUP("FK",Pitch_Coef!$A:$B,2,FALSE),0),0)+IF(ISNUMBER(SEARCH("SB",H1000)),IFNA(VLOOKUP("SB",Pitch_Coef!$A:$B,2,FALSE),0),0)+IF(ISNUMBER(SEARCH("SL",H1000)),IFNA(VLOOKUP("SL",Pitch_Coef!$A:$B,2,FALSE),0),0),0)</f>
        <v/>
      </c>
      <c r="AA1000">
        <f>IF(Q1000="P",16.5944849573+0.2529999141*N1000+0.2665900378*O1000+0.2632687105*P1000+0.0427586837*I1000+0.0534777057*J1000+0.009015832*K1000+0.0204898106*(O1000*P1000/100)+1.0091022427*U1000+1.0968542297*IF(D1000="L",1,0)+0.3771555045*IF(D1000="S",1,0)-0.2226159177*IF(E1000="L",1,0)+1.21385024*R1000-1.1652812274*S1000+W1000+X1000+Z1000,10.5965166711+0.2825983581*I1000+0.2806503532*J1000+0.2027213083*K1000+0.1147824982*L1000+0.0915305332*M1000-0.0088454122*(I1000*J1000/100)-0.0336045706*(K1000*L1000/100)+2.8497389733*IF(D1000="L",1,0)+4.5116226727*IF(D1000="S",1,0)-0.6571546448*IF(E1000="L",1,0)+0.0850728147*T1000+0.0129488446*(T1000*T1000)+0.1909373936*IF(OR(F1000="Utility",G1000="Utility"),T1000,0)+0.9656824071*R1000-1.7517683256*S1000+W1000+X1000+Y1000)</f>
        <v/>
      </c>
      <c r="AB1000">
        <f>LOOKUP(AA1000,Grade_Scale!$A$2:$A$18,Grade_Scale!$B$2:$B$18)</f>
        <v/>
      </c>
      <c r="AC1000">
        <f>LOOKUP(AA1000,Grade_Scale!$A$2:$A$18,Grade_Scale!$C$2:$C$18)</f>
        <v/>
      </c>
      <c r="AE1000">
        <f>IF(AD1000="","",AB1000-VLOOKUP(AD1000,Grade_Scale!$C$2:$E$18,3,FALSE))</f>
        <v/>
      </c>
    </row>
    <row r="1001">
      <c r="Q1001">
        <f>IF(OR(B1001="SP",B1001="RP",B1001="CP",B1001="SP/RP"),"P","H")</f>
        <v/>
      </c>
      <c r="R1001">
        <f>IF(F1001="",0,IFNA(VLOOKUP(F1001,Trait_Polarity!$A:$C,2,FALSE),0))+IF(G1001="",0,IFNA(VLOOKUP(G1001,Trait_Polarity!$A:$C,2,FALSE),0))</f>
        <v/>
      </c>
      <c r="S1001">
        <f>IF(F1001="",0,IFNA(VLOOKUP(F1001,Trait_Polarity!$A:$C,3,FALSE),0))+IF(G1001="",0,IFNA(VLOOKUP(G1001,Trait_Polarity!$A:$C,3,FALSE),0))</f>
        <v/>
      </c>
      <c r="T1001">
        <f>IF(Q1001="P",0,IFNA(VLOOKUP(IF(C1001="","(none)",C1001),Secondary_Versatility!$A:$B,2,FALSE),0))</f>
        <v/>
      </c>
      <c r="U1001">
        <f>IF(H1001="",0,LEN(H1001)-LEN(SUBSTITUTE(H1001,"|",""))+1)</f>
        <v/>
      </c>
      <c r="V1001">
        <f>IF(Q1001="P",(N1001+O1001+P1001)/3,0.3*I1001+0.3*J1001+0.2*K1001+0.1*L1001+0.1*M1001)</f>
        <v/>
      </c>
      <c r="W1001">
        <f>IF(Q1001="P",IF(F1001="",0,IFNA(VLOOKUP(F1001,Pitcher_Trait_Coef!$A:$B,2,FALSE),0))+IF(G1001="",0,IFNA(VLOOKUP(G1001,Pitcher_Trait_Coef!$A:$B,2,FALSE),0)),IF(F1001="",0,IFNA(VLOOKUP(F1001,Hitter_Trait_Coef!$A:$B,2,FALSE),0))+IF(G1001="",0,IFNA(VLOOKUP(G1001,Hitter_Trait_Coef!$A:$B,2,FALSE),0)))</f>
        <v/>
      </c>
      <c r="X1001">
        <f>IF(Q1001="P",IFNA(VLOOKUP(B1001,Pitcher_Primary_Coef!$A:$B,2,FALSE),0),IFNA(VLOOKUP(B1001,Hitter_Primary_Coef!$A:$B,2,FALSE),0))</f>
        <v/>
      </c>
      <c r="Y1001">
        <f>IF(Q1001="P",0,IFNA(VLOOKUP(IF(C1001="","(none)",C1001),Hitter_Secondary_Coef!$A:$B,2,FALSE),0))</f>
        <v/>
      </c>
      <c r="Z1001">
        <f>IF(Q1001="P",IF(ISNUMBER(SEARCH("2F",H1001)),IFNA(VLOOKUP("2F",Pitch_Coef!$A:$B,2,FALSE),0),0)+IF(ISNUMBER(SEARCH("4F",H1001)),IFNA(VLOOKUP("4F",Pitch_Coef!$A:$B,2,FALSE),0),0)+IF(ISNUMBER(SEARCH("CB",H1001)),IFNA(VLOOKUP("CB",Pitch_Coef!$A:$B,2,FALSE),0),0)+IF(ISNUMBER(SEARCH("CF",H1001)),IFNA(VLOOKUP("CF",Pitch_Coef!$A:$B,2,FALSE),0),0)+IF(ISNUMBER(SEARCH("CH",H1001)),IFNA(VLOOKUP("CH",Pitch_Coef!$A:$B,2,FALSE),0),0)+IF(ISNUMBER(SEARCH("FK",H1001)),IFNA(VLOOKUP("FK",Pitch_Coef!$A:$B,2,FALSE),0),0)+IF(ISNUMBER(SEARCH("SB",H1001)),IFNA(VLOOKUP("SB",Pitch_Coef!$A:$B,2,FALSE),0),0)+IF(ISNUMBER(SEARCH("SL",H1001)),IFNA(VLOOKUP("SL",Pitch_Coef!$A:$B,2,FALSE),0),0),0)</f>
        <v/>
      </c>
      <c r="AA1001">
        <f>IF(Q1001="P",16.5944849573+0.2529999141*N1001+0.2665900378*O1001+0.2632687105*P1001+0.0427586837*I1001+0.0534777057*J1001+0.009015832*K1001+0.0204898106*(O1001*P1001/100)+1.0091022427*U1001+1.0968542297*IF(D1001="L",1,0)+0.3771555045*IF(D1001="S",1,0)-0.2226159177*IF(E1001="L",1,0)+1.21385024*R1001-1.1652812274*S1001+W1001+X1001+Z1001,10.5965166711+0.2825983581*I1001+0.2806503532*J1001+0.2027213083*K1001+0.1147824982*L1001+0.0915305332*M1001-0.0088454122*(I1001*J1001/100)-0.0336045706*(K1001*L1001/100)+2.8497389733*IF(D1001="L",1,0)+4.5116226727*IF(D1001="S",1,0)-0.6571546448*IF(E1001="L",1,0)+0.0850728147*T1001+0.0129488446*(T1001*T1001)+0.1909373936*IF(OR(F1001="Utility",G1001="Utility"),T1001,0)+0.9656824071*R1001-1.7517683256*S1001+W1001+X1001+Y1001)</f>
        <v/>
      </c>
      <c r="AB1001">
        <f>LOOKUP(AA1001,Grade_Scale!$A$2:$A$18,Grade_Scale!$B$2:$B$18)</f>
        <v/>
      </c>
      <c r="AC1001">
        <f>LOOKUP(AA1001,Grade_Scale!$A$2:$A$18,Grade_Scale!$C$2:$C$18)</f>
        <v/>
      </c>
      <c r="AE1001">
        <f>IF(AD1001="","",AB1001-VLOOKUP(AD1001,Grade_Scale!$C$2:$E$18,3,FALSE))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  <col width="96" customWidth="1" min="4" max="4"/>
  </cols>
  <sheetData>
    <row r="1">
      <c r="A1" s="3" t="inlineStr">
        <is>
          <t>Fictional Player Generator</t>
        </is>
      </c>
    </row>
    <row r="3">
      <c r="A3" s="4" t="inlineStr">
        <is>
          <t>Mode (H or P)</t>
        </is>
      </c>
      <c r="B3" t="inlineStr">
        <is>
          <t>H</t>
        </is>
      </c>
      <c r="D3" t="inlineStr">
        <is>
          <t>Use the Generator tab to create a random starting player. The grade shown here is exact for the generated ratings.</t>
        </is>
      </c>
    </row>
    <row r="4">
      <c r="A4" s="4" t="inlineStr">
        <is>
          <t>TargetGrade</t>
        </is>
      </c>
      <c r="B4" t="inlineStr">
        <is>
          <t>B</t>
        </is>
      </c>
      <c r="D4" t="inlineStr">
        <is>
          <t>For pitchers, type an arsenal like 4F|CF|SL|CH to include pitch-count and pitch-type effects.</t>
        </is>
      </c>
    </row>
    <row r="5">
      <c r="A5" s="4" t="inlineStr">
        <is>
          <t>PrimaryPos</t>
        </is>
      </c>
      <c r="B5" t="inlineStr">
        <is>
          <t>SS</t>
        </is>
      </c>
      <c r="D5" t="inlineStr">
        <is>
          <t>If you need exact custom scoring, copy the generated line into Calculator and edit manually.</t>
        </is>
      </c>
    </row>
    <row r="6">
      <c r="A6" s="4" t="inlineStr">
        <is>
          <t>SecondaryPos</t>
        </is>
      </c>
      <c r="B6" t="inlineStr">
        <is>
          <t>2B</t>
        </is>
      </c>
    </row>
    <row r="7">
      <c r="A7" s="4" t="inlineStr">
        <is>
          <t>Bats</t>
        </is>
      </c>
      <c r="B7" t="inlineStr">
        <is>
          <t>R</t>
        </is>
      </c>
    </row>
    <row r="8">
      <c r="A8" s="4" t="inlineStr">
        <is>
          <t>Throws</t>
        </is>
      </c>
      <c r="B8" t="inlineStr">
        <is>
          <t>R</t>
        </is>
      </c>
    </row>
    <row r="9">
      <c r="A9" s="4" t="inlineStr">
        <is>
          <t>Trait1</t>
        </is>
      </c>
      <c r="B9" t="inlineStr"/>
    </row>
    <row r="10">
      <c r="A10" s="4" t="inlineStr">
        <is>
          <t>Trait2</t>
        </is>
      </c>
      <c r="B10" t="inlineStr"/>
    </row>
    <row r="11">
      <c r="A11" s="4" t="inlineStr">
        <is>
          <t>Arsenal (optional)</t>
        </is>
      </c>
      <c r="B11" t="inlineStr"/>
    </row>
    <row r="12">
      <c r="A12" s="4" t="inlineStr">
        <is>
          <t>Pitcher BatPOW</t>
        </is>
      </c>
      <c r="B12" t="n">
        <v>15</v>
      </c>
    </row>
    <row r="13">
      <c r="A13" s="4" t="inlineStr">
        <is>
          <t>Pitcher BatCON</t>
        </is>
      </c>
      <c r="B13" t="n">
        <v>20</v>
      </c>
    </row>
    <row r="14">
      <c r="A14" s="4" t="inlineStr">
        <is>
          <t>Pitcher BatSPD</t>
        </is>
      </c>
      <c r="B14" t="n">
        <v>35</v>
      </c>
    </row>
    <row r="16">
      <c r="A16" s="4" t="inlineStr">
        <is>
          <t>TargetCenter</t>
        </is>
      </c>
      <c r="B16">
        <f>VLOOKUP(B4,Grade_Scale!$C$2:$D$18,2,FALSE)</f>
        <v/>
      </c>
    </row>
    <row r="17">
      <c r="A17" s="4" t="inlineStr">
        <is>
          <t>PosTraits</t>
        </is>
      </c>
      <c r="B17">
        <f>IF(B9="",0,IFNA(VLOOKUP(B9,Trait_Polarity!$A:$C,2,FALSE),0))+IF(B10="",0,IFNA(VLOOKUP(B10,Trait_Polarity!$A:$C,2,FALSE),0))</f>
        <v/>
      </c>
    </row>
    <row r="18">
      <c r="A18" s="4" t="inlineStr">
        <is>
          <t>NegTraits</t>
        </is>
      </c>
      <c r="B18">
        <f>IF(B9="",0,IFNA(VLOOKUP(B9,Trait_Polarity!$A:$C,3,FALSE),0))+IF(B10="",0,IFNA(VLOOKUP(B10,Trait_Polarity!$A:$C,3,FALSE),0))</f>
        <v/>
      </c>
    </row>
    <row r="19">
      <c r="A19" s="4" t="inlineStr">
        <is>
          <t>Versatility</t>
        </is>
      </c>
      <c r="B19">
        <f>IF(B3="P",0,IFNA(VLOOKUP(IF(B6="","(none)",B6),Secondary_Versatility!$A:$B,2,FALSE),0))</f>
        <v/>
      </c>
    </row>
    <row r="20">
      <c r="A20" s="4" t="inlineStr">
        <is>
          <t>TraitCoef</t>
        </is>
      </c>
      <c r="B20">
        <f>IF(B3="P",IF(B9="",0,IFNA(VLOOKUP(B9,Pitcher_Trait_Coef!$A:$B,2,FALSE),0))+IF(B10="",0,IFNA(VLOOKUP(B10,Pitcher_Trait_Coef!$A:$B,2,FALSE),0)),IF(B9="",0,IFNA(VLOOKUP(B9,Hitter_Trait_Coef!$A:$B,2,FALSE),0))+IF(B10="",0,IFNA(VLOOKUP(B10,Hitter_Trait_Coef!$A:$B,2,FALSE),0)))</f>
        <v/>
      </c>
    </row>
    <row r="21">
      <c r="A21" s="4" t="inlineStr">
        <is>
          <t>PrimaryCoef</t>
        </is>
      </c>
      <c r="B21">
        <f>IF(B3="P",IFNA(VLOOKUP(B5,Pitcher_Primary_Coef!$A:$B,2,FALSE),0),IFNA(VLOOKUP(B5,Hitter_Primary_Coef!$A:$B,2,FALSE),0))</f>
        <v/>
      </c>
    </row>
    <row r="22">
      <c r="A22" s="4" t="inlineStr">
        <is>
          <t>SecondaryCoef</t>
        </is>
      </c>
      <c r="B22">
        <f>IF(B3="P",0,IFNA(VLOOKUP(IF(B6="","(none)",B6),Hitter_Secondary_Coef!$A:$B,2,FALSE),0))</f>
        <v/>
      </c>
    </row>
    <row r="23">
      <c r="A23" s="4" t="inlineStr">
        <is>
          <t>PitchCoef</t>
        </is>
      </c>
      <c r="B23">
        <f>IF(B3="P",IF(ISNUMBER(SEARCH("2F",B11)),IFNA(VLOOKUP("2F",Pitch_Coef!$A:$B,2,FALSE),0),0)+IF(ISNUMBER(SEARCH("4F",B11)),IFNA(VLOOKUP("4F",Pitch_Coef!$A:$B,2,FALSE),0),0)+IF(ISNUMBER(SEARCH("CB",B11)),IFNA(VLOOKUP("CB",Pitch_Coef!$A:$B,2,FALSE),0),0)+IF(ISNUMBER(SEARCH("CF",B11)),IFNA(VLOOKUP("CF",Pitch_Coef!$A:$B,2,FALSE),0),0)+IF(ISNUMBER(SEARCH("CH",B11)),IFNA(VLOOKUP("CH",Pitch_Coef!$A:$B,2,FALSE),0),0)+IF(ISNUMBER(SEARCH("FK",B11)),IFNA(VLOOKUP("FK",Pitch_Coef!$A:$B,2,FALSE),0),0)+IF(ISNUMBER(SEARCH("SB",B11)),IFNA(VLOOKUP("SB",Pitch_Coef!$A:$B,2,FALSE),0),0)+IF(ISNUMBER(SEARCH("SL",B11)),IFNA(VLOOKUP("SL",Pitch_Coef!$A:$B,2,FALSE),0),0),0)</f>
        <v/>
      </c>
    </row>
    <row r="24">
      <c r="A24" s="4" t="inlineStr">
        <is>
          <t>ArsenalCount</t>
        </is>
      </c>
      <c r="B24">
        <f>IF(B11="",0,LEN(B11)-LEN(SUBSTITUTE(B11,"|",""))+1)</f>
        <v/>
      </c>
    </row>
    <row r="25">
      <c r="A25" s="4" t="inlineStr">
        <is>
          <t>EstimatedBase</t>
        </is>
      </c>
      <c r="B25">
        <f>IF(B3="P",MAX(18,MIN(96,B16-15)),MAX(15,MIN(92,B16-10)))</f>
        <v/>
      </c>
    </row>
    <row r="28">
      <c r="A28" s="4" t="inlineStr">
        <is>
          <t>Generated Ratings</t>
        </is>
      </c>
    </row>
    <row r="29">
      <c r="A29" s="4" t="inlineStr">
        <is>
          <t>POW</t>
        </is>
      </c>
      <c r="B29">
        <f>IF($B$3="H",MAX(0,MIN(99,ROUND($B$25+C29+(RAND()-0.5)*18,0))),$B$12)</f>
        <v/>
      </c>
      <c r="C29">
        <f>IF($B$5="1B",15,IF($B$5="2B",-10,IF($B$5="SS",-10,IF($B$5="3B",10,IF($B$5="LF",10,IF($B$5="CF",-10,IF($B$5="RF",5,0)))))))</f>
        <v/>
      </c>
    </row>
    <row r="30">
      <c r="A30" s="4" t="inlineStr">
        <is>
          <t>CON</t>
        </is>
      </c>
      <c r="B30">
        <f>IF($B$3="H",MAX(0,MIN(99,ROUND($B$25+C30+(RAND()-0.5)*18,0))),$B$13)</f>
        <v/>
      </c>
      <c r="C30">
        <f>IF($B$5="2B",5,0)</f>
        <v/>
      </c>
    </row>
    <row r="31">
      <c r="A31" s="4" t="inlineStr">
        <is>
          <t>SPD</t>
        </is>
      </c>
      <c r="B31">
        <f>IF($B$3="H",MAX(0,MIN(99,ROUND($B$25+C31+(RAND()-0.5)*18,0))),$B$14)</f>
        <v/>
      </c>
      <c r="C31">
        <f>IF($B$5="C",-10,IF($B$5="1B",-10,IF($B$5="2B",5,IF($B$5="SS",5,IF($B$5="3B",-10,IF($B$5="CF",15,IF($B$5="RF",-5,0)))))))</f>
        <v/>
      </c>
    </row>
    <row r="32">
      <c r="A32" s="4" t="inlineStr">
        <is>
          <t>FLD</t>
        </is>
      </c>
      <c r="B32">
        <f>IF($B$3="H",MAX(0,MIN(99,ROUND($B$25+C32+(RAND()-0.5)*18,0))),ROUND(40+RAND()*30,0))</f>
        <v/>
      </c>
      <c r="C32">
        <f>IF($B$5="C",10,IF($B$5="1B",-5,IF($B$5="SS",10,IF($B$5="LF",-5,IF($B$5="CF",5,0)))))</f>
        <v/>
      </c>
    </row>
    <row r="33">
      <c r="A33" s="4" t="inlineStr">
        <is>
          <t>ARM</t>
        </is>
      </c>
      <c r="B33">
        <f>IF($B$3="H",MAX(0,MIN(99,ROUND($B$25+C33+(RAND()-0.5)*18,0))),0)</f>
        <v/>
      </c>
      <c r="C33">
        <f>IF($B$5="C",10,IF($B$5="SS",5,IF($B$5="3B",5,IF($B$5="LF",-5,IF($B$5="RF",10,0)))))</f>
        <v/>
      </c>
    </row>
    <row r="34">
      <c r="A34" s="4" t="inlineStr">
        <is>
          <t>VEL</t>
        </is>
      </c>
      <c r="B34">
        <f>IF($B$3="P",MAX(0,MIN(99,ROUND($B$25+C34+(RAND()-0.5)*18,0))),0)</f>
        <v/>
      </c>
      <c r="C34">
        <f>IF($B$5="SP",-2,IF($B$5="CP",8,IF($B$5="SP/RP",3,2)))</f>
        <v/>
      </c>
    </row>
    <row r="35">
      <c r="A35" s="4" t="inlineStr">
        <is>
          <t>JNK</t>
        </is>
      </c>
      <c r="B35">
        <f>IF($B$3="P",MAX(0,MIN(99,ROUND($B$25+C35+(RAND()-0.5)*18,0))),0)</f>
        <v/>
      </c>
      <c r="C35">
        <f>IF($B$5="SP",-3,IF($B$5="CP",5,IF($B$5="SP/RP",2,1)))</f>
        <v/>
      </c>
    </row>
    <row r="36">
      <c r="A36" s="4" t="inlineStr">
        <is>
          <t>ACC</t>
        </is>
      </c>
      <c r="B36">
        <f>IF($B$3="P",MAX(0,MIN(99,ROUND($B$25+C36+(RAND()-0.5)*18,0))),0)</f>
        <v/>
      </c>
      <c r="C36">
        <f>IF($B$5="SP",5,IF($B$5="CP",-13,IF($B$5="SP/RP",0,-2)))</f>
        <v/>
      </c>
    </row>
    <row r="37">
      <c r="A37" s="4" t="inlineStr">
        <is>
          <t>NumericScore</t>
        </is>
      </c>
      <c r="B37">
        <f>IF($B$3="P",16.5944849573+0.2529999141*B34+0.2665900378*B35+0.2632687105*B36+0.0427586837*B29+0.0534777057*B30+0.009015832*B31+0.0204898106*(B35*B36/100)+1.0091022427*$B$24+1.0968542297*IF($B$7="L",1,0)+0.3771555045*IF($B$7="S",1,0)-0.2226159177*IF($B$8="L",1,0)+1.21385024*$B$17-1.1652812274*$B$18+$B$20+$B$21+$B$23,10.5965166711+0.2825983581*B29+0.2806503532*B30+0.2027213083*B31+0.1147824982*B32+0.0915305332*B33-0.0088454122*(B29*B30/100)-0.0336045706*(B31*B32/100)+2.8497389733*IF($B$7="L",1,0)+4.5116226727*IF($B$7="S",1,0)-0.6571546448*IF($B$8="L",1,0)+0.0850728147*$B$19+0.0129488446*($B$19*$B$19)+0.1909373936*IF(OR($B$9="Utility",$B$10="Utility"),$B$19,0)+0.9656824071*$B$17-1.7517683256*$B$18+$B$20+$B$21+$B$22)</f>
        <v/>
      </c>
    </row>
    <row r="38">
      <c r="A38" s="4" t="inlineStr">
        <is>
          <t>GradeIdx</t>
        </is>
      </c>
      <c r="B38">
        <f>LOOKUP(B37,Grade_Scale!$A$2:$A$18,Grade_Scale!$B$2:$B$18)</f>
        <v/>
      </c>
    </row>
    <row r="39">
      <c r="A39" s="4" t="inlineStr">
        <is>
          <t>Grade</t>
        </is>
      </c>
      <c r="B39">
        <f>LOOKUP(B37,Grade_Scale!$A$2:$A$18,Grade_Scale!$C$2:$C$18)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2026-03-06T22:42:11Z</dcterms:created>
  <dcterms:modified xmlns:dcterms="http://purl.org/dc/terms/" xmlns:xsi="http://www.w3.org/2001/XMLSchema-instance" xsi:type="dcterms:W3CDTF">2026-03-06T22:42:11Z</dcterms:modified>
</cp:coreProperties>
</file>